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使い方" sheetId="1" r:id="rId5"/>
    <sheet state="visible" name="各エリア_マスタURL貼付" sheetId="2" r:id="rId6"/>
    <sheet state="visible" name="データ_全エリア" sheetId="3" r:id="rId7"/>
    <sheet state="visible" name="集計_店舗別月次推移" sheetId="4" r:id="rId8"/>
    <sheet state="visible" name="集計_エリア別" sheetId="5" r:id="rId9"/>
    <sheet state="hidden" name="数式メモ" sheetId="6" r:id="rId10"/>
    <sheet state="visible" name="集計_販路" sheetId="7" r:id="rId11"/>
    <sheet state="visible" name="集計_各エリア店舗別シェア率" sheetId="8" r:id="rId12"/>
    <sheet state="visible" name="集計_販路エリア" sheetId="9" r:id="rId13"/>
    <sheet state="visible" name="TIR店舗一覧" sheetId="10" r:id="rId14"/>
  </sheets>
  <definedNames/>
  <calcPr/>
</workbook>
</file>

<file path=xl/sharedStrings.xml><?xml version="1.0" encoding="utf-8"?>
<sst xmlns="http://schemas.openxmlformats.org/spreadsheetml/2006/main" count="70952" uniqueCount="117">
  <si>
    <t>シェア率回収_ALL(各エリアのシェア率を月ごとに集めて、エリア別・販路別・店舗別のシェア率と、月次推移のグラフを出すブック)</t>
  </si>
  <si>
    <t>黄色のセルにURLを入れる</t>
  </si>
  <si>
    <t/>
  </si>
  <si>
    <t>月は各月1日の日付で入れる。URLはその月のマスタのURL。行は下に足していく。</t>
  </si>
  <si>
    <t>【しくみ】各エリアのマスタ(シート「店舗別シェア率」のB6:U65)を、「各エリア_マスタURL貼付」の行ごとに「データ_全エリア」へ集める。そのとき、URL貼付シートの「月」を、データ_全エリアのB列に付ける。→「集計_エリア別」(C3)「集計_販路」(B3)「集計_販路エリア」(C3)「集計_各エリア店舗別シェア率」(B4)は、それぞれ()内のセルの「対象月」で選んだ月を集計する。→「集計_店舗別月次推移」は、エリアと店舗を選ぶと、月ごとのシェアの推移を表とグラフで表示する(店舗名を空欄にすると、選んだエリア(ALLなら全国)の合計になる)。</t>
  </si>
  <si>
    <t>【触るのは「各エリア_マスタURL貼付」だけ】黄色のセルに、エリア・月(各月1日の日付)・ブックのURL・シート名を入れる。</t>
  </si>
  <si>
    <t>【新しい月を追加する手順】①「各エリア_マスタURL貼付」の一番下に、8エリア分の行を足す(エリア名・月・URL・シート名)。②初回のみ、空きセルで =IMPORTRANGE("URL","シート名!B2")を入れて「アクセスを許可」を押す(エリアのブックごとに1回)。③各集計シートの「対象月」を、新しい月に切り替える。</t>
  </si>
  <si>
    <t>【エリアごとのシェア率の出し方】店舗のシェア率の平均ではなく、分母(総販・新規/MNP)で重み付けして計算している。</t>
  </si>
  <si>
    <t>エリア</t>
  </si>
  <si>
    <t xml:space="preserve">    エリアのシェア率 = Σ(店舗のシェア率 × 店舗の分母) ÷ Σ(店舗の分母)。「データ_全エリア」のV〜AG列は、この「シェア率 × 分母」の補助列。</t>
  </si>
  <si>
    <t>【取り込み元のルール】各エリアのマスタの「店舗別シェア率」で、B〜U列の並びを変えないこと(列の挿入・削除は禁止)。月はマスタには入れず、URL貼付シートで指定する。</t>
  </si>
  <si>
    <t>【A列】どのシートも、A列は空欄にしてある(使わない)。</t>
  </si>
  <si>
    <t>【数式が崩れたとき】「数式メモ」シートに、主要な数式を文字で控えてある。</t>
  </si>
  <si>
    <t>【データの範囲】「データ_全エリア」は4〜6000行。月が増えて足りなくなったら、各集計シートの 6000 を広げる。</t>
  </si>
  <si>
    <t>【シート一覧】使い方 / 各エリア_マスタURL貼付 / データ_全エリア / 集計_エリア別 / 集計_販路 / 集計_販路エリア / 集計_各エリア店舗別シェア率 / 集計_店舗別月次推移 / 数式メモ / TIR店舗一覧</t>
  </si>
  <si>
    <t>月</t>
  </si>
  <si>
    <t>ブックのURL</t>
  </si>
  <si>
    <t>シート名</t>
  </si>
  <si>
    <t>接続状況</t>
  </si>
  <si>
    <t>月一覧(自動・編集NG)</t>
  </si>
  <si>
    <t>取り込みデータ(自動表示のため編集NG)</t>
  </si>
  <si>
    <t>北海道</t>
  </si>
  <si>
    <t>総販ベース</t>
  </si>
  <si>
    <t>店舗別シェア率</t>
  </si>
  <si>
    <t>新規/MNPベース</t>
  </si>
  <si>
    <t>補助列(自動表示・編集NG)</t>
  </si>
  <si>
    <t>店舗コード</t>
  </si>
  <si>
    <t>店舗名</t>
  </si>
  <si>
    <t>楽天総販</t>
  </si>
  <si>
    <t>ドコモ</t>
  </si>
  <si>
    <t>東北</t>
  </si>
  <si>
    <t>au</t>
  </si>
  <si>
    <t>SB</t>
  </si>
  <si>
    <t>UQ</t>
  </si>
  <si>
    <t>関東</t>
  </si>
  <si>
    <t>CESシェア率回収</t>
  </si>
  <si>
    <t>Yモバ</t>
  </si>
  <si>
    <t>信越</t>
  </si>
  <si>
    <t>楽天</t>
  </si>
  <si>
    <t>総販</t>
  </si>
  <si>
    <t>中部</t>
  </si>
  <si>
    <t>新規/MNP</t>
  </si>
  <si>
    <t>販路</t>
  </si>
  <si>
    <t>関西</t>
  </si>
  <si>
    <t>ドコモのシェア率 × 総販</t>
  </si>
  <si>
    <t>auのシェア率 × 総販</t>
  </si>
  <si>
    <t>SBのシェア率 × 総販</t>
  </si>
  <si>
    <t>UQのシェア率 × 総販</t>
  </si>
  <si>
    <t>Yモバのシェア率 × 総販</t>
  </si>
  <si>
    <t>中四国</t>
  </si>
  <si>
    <t>楽天のシェア率 × 総販</t>
  </si>
  <si>
    <t>ドコモのシェア率 × 新規/MNP</t>
  </si>
  <si>
    <t>auのシェア率 × 新規/MNP</t>
  </si>
  <si>
    <t>SBのシェア率 × 新規/MNP</t>
  </si>
  <si>
    <t>UQのシェア率 × 新規/MNP</t>
  </si>
  <si>
    <t>Yモバのシェア率 × 新規/MNP</t>
  </si>
  <si>
    <t>楽天のシェア率 × 新規/MNP</t>
  </si>
  <si>
    <t>九州・沖縄</t>
  </si>
  <si>
    <t>https://docs.google.com/spreadsheets/d/1HQmMw_eziFnqzbZBgjBJBxCgKpzZ3nBOXESYZ8n0RFA/edit?gid=1169211779#gid=1169211779</t>
  </si>
  <si>
    <t>https://docs.google.com/spreadsheets/d/1FC01E-bDaShIRILMefsepFfA8yNt8BDjGhHZDlqZ0gQ/edit?gid=173124311#gid=173124311</t>
  </si>
  <si>
    <t>https://docs.google.com/spreadsheets/d/1CysG2mPIAHK5LHa7IAxotVT4BXZeF_ffoPWhat6Buvs/edit?pli=1&amp;gid=1208661004#gid=1208661004</t>
  </si>
  <si>
    <t>エリア別シェア率</t>
  </si>
  <si>
    <t>対象月</t>
  </si>
  <si>
    <t>https://docs.google.com/spreadsheets/d/1WKwLcLgVV_7EA1xhpH5oDhrJznfU2GoPsvu6i_-nhEQ/edit?gid=1169211779#gid=1169211779</t>
  </si>
  <si>
    <t>https://docs.google.com/spreadsheets/d/1LFC3bOKOjnaFY8UQ8VRQi9q1gvSGE7PvaYTDNQj8RP8/edit?gid=1169211779#gid=1169211779</t>
  </si>
  <si>
    <t>https://docs.google.com/spreadsheets/d/1LI9_bnOc87G-uwrO4xOBg7C8ugZ9QIk9eosfRSqvXmw/edit?gid=1991733541#gid=1991733541</t>
  </si>
  <si>
    <t>店舗数</t>
  </si>
  <si>
    <t>https://docs.google.com/spreadsheets/d/1xkO-x3oKEjKEh9o1tBgF70i-f_SH5vk3NzoPDShDunU/edit?gid=1169211779#gid=1169211779</t>
  </si>
  <si>
    <t>https://docs.google.com/spreadsheets/d/1qiFm_6D1uHvvLy0aBYEzfqL0LPKxjbBCKA9FknlHvvU/edit?gid=1169211779#gid=1169211779</t>
  </si>
  <si>
    <t>https://docs.google.com/spreadsheets/d/11mCKxxNiQxn8hboizpmYKdY7cG4sG6tgO17FgdlN5EA/edit?gid=1169211779#gid=1169211779</t>
  </si>
  <si>
    <t>https://docs.google.com/spreadsheets/d/1XfSk3wS9zWKljCqL9ar8d6wt6FBhVHm-aWZ2NDYT0hI/edit?gid=1169211779#gid=1169211779</t>
  </si>
  <si>
    <t>入力例(参考。D列には、実際のURLを入れる):https://docs.google.com/spreadsheets/d/XXXXXXXXXXXXXXXX/edit</t>
  </si>
  <si>
    <t>※エリア名は「TIR店舗一覧」のB列と同じ表記にする。E列は、各エリアのブックの取り込み元シート名(通常は変更しない)。</t>
  </si>
  <si>
    <t>店舗別 月次推移(シェア率)</t>
  </si>
  <si>
    <t>店舗名(CES)</t>
  </si>
  <si>
    <t>※エリアを選ぶと、該当エリア内の店舗に絞り込みができます</t>
  </si>
  <si>
    <t>店舗コード（自動）</t>
  </si>
  <si>
    <t>店舗名(プルダウン)</t>
  </si>
  <si>
    <t>Tecc LIFE SELECT 長野SBC通り店</t>
  </si>
  <si>
    <t>表示対象</t>
  </si>
  <si>
    <t>主要な数式(文字で控え。数式が崩れたら、ここから貼り直す)</t>
  </si>
  <si>
    <t>各エリア_マスタURL貼付!F3(接続状況)</t>
  </si>
  <si>
    <t>=IF($D3="","未設定",IF(ISERROR(IMPORTRANGE($D3,"'"&amp;$E3&amp;"'!B2")),"未接続(アクセス許可が必要)","OK"))</t>
  </si>
  <si>
    <t>データ_全エリア!B4</t>
  </si>
  <si>
    <t>=IFERROR(LET(
u,FILTER('各エリア_マスタURL貼付'!C3:E1024,'各エリア_マスタURL貼付'!D3:D1024&lt;&gt;""),
d,REDUCE(MAKEARRAY(1,21,LAMBDA(r,c,"")),SEQUENCE(ROWS(u)),LAMBDA(a,i,VSTACK(a,LET(
b,IFERROR(IMPORTRANGE(INDEX(u,i,2),"'"&amp;INDEX(u,i,3)&amp;"'!B6:U65"),MAKEARRAY(1,20,LAMBDA(r,c,""))),
HSTACK(MAKEARRAY(ROWS(b),1,LAMBDA(r,c,INDEX(u,i,1))),b))))),
CHOOSECOLS(FILTER(d,INDEX(d,0,3)&lt;&gt;""),1,2,3,4,5,6,7,8,9,10,11,12,13,14,15,16,17,20,21)),"")</t>
  </si>
  <si>
    <t>集計_エリア別!C6(店舗数)</t>
  </si>
  <si>
    <t>=COUNTIFS('データ_全エリア'!$C$4:$C$6000,$B6,'データ_全エリア'!$B$4:$B$6000,$C$3,'データ_全エリア'!$S$4:$S$6000,"&gt;=0")</t>
  </si>
  <si>
    <t>集計_エリア別!G6(ドコモ・総販ベース)</t>
  </si>
  <si>
    <t>=IFERROR(SUMIFS('データ_全エリア'!V$4:V$6000,'データ_全エリア'!$C$4:$C$6000,$B6,'データ_全エリア'!$B$4:$B$6000,$C$3)/$E6,"-")</t>
  </si>
  <si>
    <t>集計_エリア別!M6(ドコモ・新規/MNPベース)</t>
  </si>
  <si>
    <t>=IFERROR(SUMIFS('データ_全エリア'!AB$4:AB$6000,'データ_全エリア'!$C$4:$C$6000,$B6,'データ_全エリア'!$B$4:$B$6000,$C$3)/$F6,"-")</t>
  </si>
  <si>
    <t>データ_全エリアのB4の式は、「各エリア_マスタURL貼付」のURLがある行を順に取り込み、月を付けて縦につなげ、店舗コードが空でない行だけを残し、必要な19列(月+B〜Q、T、U)を選んでいる。</t>
  </si>
  <si>
    <t>集計_各エリア店舗別シェア率!B7</t>
  </si>
  <si>
    <t>=IFERROR(SORT(FILTER({'データ_全エリア'!$E$4:$E$6000,'データ_全エリア'!$F$4:$F$6000,'データ_全エリア'!$G$4:$R$6000,'データ_全エリア'!$C$4:$C$6000},'データ_全エリア'!$D$4:$D$6000&lt;&gt;"",'データ_全エリア'!$B$4:$B$6000=$B$4,(('データ_全エリア'!$C$4:$C$6000=$B$3)+($B$3="")+($B$3="ALL"))&gt;0),8,FALSE),"")</t>
  </si>
  <si>
    <t>データ_全エリア!V4(補助列・総販)</t>
  </si>
  <si>
    <t>=ARRAYFORMULA(IF($D$4:$D$6000="","",IFERROR(G$4:L$6000*$S$4:$S$6000,0)))</t>
  </si>
  <si>
    <t>データ_全エリア!AB4(補助列・新規/MNP)</t>
  </si>
  <si>
    <t>=ARRAYFORMULA(IF($D$4:$D$6000="","",IFERROR(M$4:R$6000*$T$4:$T$6000,0)))</t>
  </si>
  <si>
    <t>集計_店舗別月次推移!C10(月別シェア)</t>
  </si>
  <si>
    <t>=IF($B10="","",IF($C$4="",IFERROR(SUMIFS('データ_全エリア'!V$4:V$6000,'データ_全エリア'!$B$4:$B$6000,$B10,'データ_全エリア'!$C$4:$C$6000,IF($C$3="ALL","*",$C$3))/SUMIFS('データ_全エリア'!$S$4:$S$6000,'データ_全エリア'!$B$4:$B$6000,$B10,'データ_全エリア'!$C$4:$C$6000,IF($C$3="ALL","*",$C$3)),0),SUMIFS('データ_全エリア'!G$4:G$6000,'データ_全エリア'!$D$4:$D$6000,$C$4,'データ_全エリア'!$B$4:$B$6000,$B10,'データ_全エリア'!$C$4:$C$6000,IF($C$3="ALL","*",$C$3))))</t>
  </si>
  <si>
    <t>販路別シェア率</t>
  </si>
  <si>
    <t>総販(分母)</t>
  </si>
  <si>
    <t>新規/MNP(分母)</t>
  </si>
  <si>
    <t>YD</t>
  </si>
  <si>
    <t>全エリア</t>
  </si>
  <si>
    <t>KS</t>
  </si>
  <si>
    <t>ED</t>
  </si>
  <si>
    <t>JO</t>
  </si>
  <si>
    <t>全体</t>
  </si>
  <si>
    <t>販路×エリア別シェア率</t>
  </si>
  <si>
    <t>ラベル</t>
  </si>
  <si>
    <t>区分</t>
  </si>
  <si>
    <t>都道府県</t>
  </si>
  <si>
    <t>メイン店舗コード</t>
  </si>
  <si>
    <t>メイン店舗名</t>
  </si>
  <si>
    <t>備考</t>
  </si>
  <si>
    <t>エリア(C3)がALLのときは、全レコードが対象。店舗コード(C4)が空欄のときは、エリアの合計、入力したときは、その店舗の月別のシェア。データのない月は0。直近12か月分を表示。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</si>
</sst>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"/>
    <numFmt numFmtId="165" formatCode="MM"/>
    <numFmt numFmtId="166" formatCode="0.0%"/>
  </numFmts>
  <fonts count="29">
    <font>
      <sz val="11.0"/>
      <color theme="1"/>
      <name val="Calibri"/>
      <scheme val="minor"/>
    </font>
    <font>
      <b/>
      <sz val="12.0"/>
      <color rgb="FF000000"/>
      <name val="Arial"/>
    </font>
    <font>
      <sz val="10.0"/>
      <color rgb="FF000000"/>
      <name val="Arial"/>
    </font>
    <font>
      <sz val="9.0"/>
      <color rgb="FF5E6368"/>
      <name val="Calibri"/>
      <scheme val="minor"/>
    </font>
    <font>
      <b/>
      <sz val="10.0"/>
      <color theme="1"/>
      <name val="Arial"/>
    </font>
    <font>
      <b/>
      <sz val="12.0"/>
      <color rgb="FFFF0000"/>
      <name val="Arial"/>
    </font>
    <font>
      <color theme="1"/>
      <name val="Calibri"/>
      <scheme val="minor"/>
    </font>
    <font>
      <sz val="10.0"/>
      <color theme="1"/>
      <name val="Arial"/>
    </font>
    <font>
      <b/>
      <sz val="10.0"/>
      <color rgb="FFFFFFFF"/>
      <name val="Arial"/>
    </font>
    <font/>
    <font>
      <sz val="10.0"/>
      <color rgb="FF0000FF"/>
      <name val="Arial"/>
    </font>
    <font>
      <b/>
      <sz val="10.0"/>
      <color rgb="FFFF0000"/>
      <name val="Arial"/>
    </font>
    <font>
      <b/>
      <sz val="10.0"/>
      <color rgb="FF000000"/>
      <name val="Arial"/>
    </font>
    <font>
      <b/>
      <sz val="10.0"/>
      <color rgb="FF191919"/>
      <name val="Arial"/>
    </font>
    <font>
      <sz val="11.0"/>
      <color theme="1"/>
      <name val="Arial"/>
    </font>
    <font>
      <u/>
      <sz val="10.0"/>
      <color rgb="FF0000FF"/>
      <name val="Arial"/>
    </font>
    <font>
      <sz val="10.0"/>
      <color rgb="FF7F7F7F"/>
      <name val="Arial"/>
    </font>
    <font>
      <sz val="11.0"/>
      <color theme="1"/>
      <name val="Calibri"/>
    </font>
    <font>
      <b/>
      <color theme="1"/>
      <name val="Calibri"/>
      <scheme val="minor"/>
    </font>
    <font>
      <u/>
      <sz val="10.0"/>
      <color rgb="FF0000FF"/>
      <name val="Arial"/>
    </font>
    <font>
      <b/>
      <sz val="9.0"/>
      <color rgb="FFFFFFFF"/>
      <name val="Meiryo"/>
    </font>
    <font>
      <b/>
      <sz val="14.0"/>
      <color theme="1"/>
      <name val="Calibri"/>
      <scheme val="minor"/>
    </font>
    <font>
      <color rgb="FF999999"/>
      <name val="Calibri"/>
      <scheme val="minor"/>
    </font>
    <font>
      <b/>
      <sz val="11.0"/>
      <color theme="1"/>
      <name val="Calibri"/>
      <scheme val="minor"/>
    </font>
    <font>
      <b/>
      <color rgb="FFFFFFFF"/>
      <name val="Calibri"/>
      <scheme val="minor"/>
    </font>
    <font>
      <b/>
      <sz val="18.0"/>
      <color theme="1"/>
      <name val="Calibri"/>
      <scheme val="minor"/>
    </font>
    <font>
      <b/>
      <sz val="12.0"/>
      <color theme="1"/>
      <name val="Calibri"/>
      <scheme val="minor"/>
    </font>
    <font>
      <b/>
      <color theme="1"/>
      <name val="Arial"/>
    </font>
    <font>
      <sz val="9.0"/>
      <color rgb="FF666666"/>
      <name val="Calibri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00B0F0"/>
        <bgColor rgb="FF00B0F0"/>
      </patternFill>
    </fill>
    <fill>
      <patternFill patternType="solid">
        <fgColor rgb="FF990000"/>
        <bgColor rgb="FF990000"/>
      </patternFill>
    </fill>
    <fill>
      <patternFill patternType="solid">
        <fgColor rgb="FFEDEDED"/>
        <bgColor rgb="FFEDEDED"/>
      </patternFill>
    </fill>
    <fill>
      <patternFill patternType="solid">
        <fgColor rgb="FFFFF1CC"/>
        <bgColor rgb="FFFFF1CC"/>
      </patternFill>
    </fill>
    <fill>
      <patternFill patternType="solid">
        <fgColor rgb="FF0000FF"/>
        <bgColor rgb="FF0000FF"/>
      </patternFill>
    </fill>
    <fill>
      <patternFill patternType="solid">
        <fgColor rgb="FFE06666"/>
        <bgColor rgb="FFE06666"/>
      </patternFill>
    </fill>
    <fill>
      <patternFill patternType="solid">
        <fgColor rgb="FFE53333"/>
        <bgColor rgb="FFE53333"/>
      </patternFill>
    </fill>
    <fill>
      <patternFill patternType="solid">
        <fgColor rgb="FFD8D8D8"/>
        <bgColor rgb="FFD8D8D8"/>
      </patternFill>
    </fill>
    <fill>
      <patternFill patternType="solid">
        <fgColor rgb="FF00AEEE"/>
        <bgColor rgb="FF00AEEE"/>
      </patternFill>
    </fill>
    <fill>
      <patternFill patternType="solid">
        <fgColor rgb="FF424242"/>
        <bgColor rgb="FF424242"/>
      </patternFill>
    </fill>
    <fill>
      <patternFill patternType="solid">
        <fgColor rgb="FFEEEEEE"/>
        <bgColor rgb="FFEEEEEE"/>
      </patternFill>
    </fill>
    <fill>
      <patternFill patternType="solid">
        <fgColor rgb="FF00AFEF"/>
        <bgColor rgb="FF00AFEF"/>
      </patternFill>
    </fill>
    <fill>
      <patternFill patternType="solid">
        <fgColor rgb="FFF3F3F3"/>
        <bgColor rgb="FFF3F3F3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vertical="center"/>
    </xf>
    <xf borderId="0" fillId="0" fontId="2" numFmtId="0" xfId="0" applyAlignment="1" applyFont="1">
      <alignment horizontal="left" readingOrder="0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0" fillId="3" fontId="5" numFmtId="0" xfId="0" applyAlignment="1" applyFill="1" applyFont="1">
      <alignment readingOrder="0"/>
    </xf>
    <xf borderId="1" fillId="2" fontId="4" numFmtId="0" xfId="0" applyAlignment="1" applyBorder="1" applyFill="1" applyFont="1">
      <alignment horizontal="center" readingOrder="0" shrinkToFit="0" vertical="center" wrapText="1"/>
    </xf>
    <xf borderId="0" fillId="3" fontId="6" numFmtId="0" xfId="0" applyFill="1" applyFont="1"/>
    <xf borderId="1" fillId="4" fontId="4" numFmtId="0" xfId="0" applyAlignment="1" applyBorder="1" applyFill="1" applyFont="1">
      <alignment horizontal="center" readingOrder="0" shrinkToFit="0" vertical="center" wrapText="1"/>
    </xf>
    <xf borderId="1" fillId="4" fontId="7" numFmtId="164" xfId="0" applyAlignment="1" applyBorder="1" applyFill="1" applyFont="1" applyNumberFormat="1">
      <alignment horizontal="center" readingOrder="0" shrinkToFit="0" vertical="center" wrapText="1"/>
    </xf>
    <xf borderId="1" fillId="6" fontId="7" numFmtId="0" xfId="0" applyAlignment="1" applyBorder="1" applyFill="1" applyFont="1">
      <alignment vertical="center"/>
    </xf>
    <xf borderId="2" fillId="5" fontId="8" numFmtId="0" xfId="0" applyAlignment="1" applyBorder="1" applyFill="1" applyFont="1">
      <alignment horizontal="center" shrinkToFit="0" vertical="center" wrapText="1"/>
    </xf>
    <xf borderId="3" fillId="0" fontId="9" numFmtId="0" xfId="0" applyBorder="1" applyFont="1"/>
    <xf borderId="1" fillId="0" fontId="10" numFmtId="0" xfId="0" applyAlignment="1" applyBorder="1" applyFont="1">
      <alignment horizontal="center" readingOrder="0" shrinkToFit="0" vertical="center" wrapText="1"/>
    </xf>
    <xf borderId="4" fillId="0" fontId="9" numFmtId="0" xfId="0" applyBorder="1" applyFont="1"/>
    <xf borderId="5" fillId="0" fontId="8" numFmtId="0" xfId="0" applyAlignment="1" applyBorder="1" applyFont="1">
      <alignment horizontal="center" shrinkToFit="0" vertical="center" wrapText="1"/>
    </xf>
    <xf borderId="2" fillId="7" fontId="11" numFmtId="0" xfId="0" applyAlignment="1" applyBorder="1" applyFill="1" applyFont="1">
      <alignment horizontal="center" readingOrder="0" vertical="center"/>
    </xf>
    <xf borderId="1" fillId="0" fontId="7" numFmtId="0" xfId="0" applyAlignment="1" applyBorder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4" fontId="12" numFmtId="0" xfId="0" applyAlignment="1" applyBorder="1" applyFill="1" applyFont="1">
      <alignment horizontal="center" shrinkToFit="0" vertical="center" wrapText="1"/>
    </xf>
    <xf borderId="1" fillId="8" fontId="12" numFmtId="0" xfId="0" applyAlignment="1" applyBorder="1" applyFill="1" applyFont="1">
      <alignment horizontal="center" shrinkToFit="0" vertical="center" wrapText="1"/>
    </xf>
    <xf borderId="1" fillId="9" fontId="8" numFmtId="0" xfId="0" applyAlignment="1" applyBorder="1" applyFill="1" applyFont="1">
      <alignment horizontal="center" shrinkToFit="0" vertical="center" wrapText="1"/>
    </xf>
    <xf borderId="0" fillId="0" fontId="7" numFmtId="165" xfId="0" applyAlignment="1" applyFont="1" applyNumberFormat="1">
      <alignment horizontal="center" vertical="center"/>
    </xf>
    <xf borderId="1" fillId="10" fontId="8" numFmtId="0" xfId="0" applyAlignment="1" applyBorder="1" applyFill="1" applyFont="1">
      <alignment horizontal="center" shrinkToFit="0" vertical="center" wrapText="1"/>
    </xf>
    <xf borderId="1" fillId="11" fontId="12" numFmtId="0" xfId="0" applyAlignment="1" applyBorder="1" applyFill="1" applyFont="1">
      <alignment horizontal="center" shrinkToFit="0" vertical="center" wrapText="1"/>
    </xf>
    <xf borderId="1" fillId="12" fontId="12" numFmtId="0" xfId="0" applyAlignment="1" applyBorder="1" applyFill="1" applyFont="1">
      <alignment horizontal="center" shrinkToFit="0" vertical="center" wrapText="1"/>
    </xf>
    <xf borderId="1" fillId="13" fontId="12" numFmtId="0" xfId="0" applyAlignment="1" applyBorder="1" applyFill="1" applyFont="1">
      <alignment horizontal="center" shrinkToFit="0" vertical="center" wrapText="1"/>
    </xf>
    <xf borderId="1" fillId="14" fontId="8" numFmtId="0" xfId="0" applyAlignment="1" applyBorder="1" applyFill="1" applyFont="1">
      <alignment horizontal="center" shrinkToFit="0" vertical="center" wrapText="1"/>
    </xf>
    <xf borderId="6" fillId="2" fontId="12" numFmtId="0" xfId="0" applyAlignment="1" applyBorder="1" applyFill="1" applyFont="1">
      <alignment horizontal="center" readingOrder="0" shrinkToFit="0" vertical="center" wrapText="1"/>
    </xf>
    <xf borderId="1" fillId="2" fontId="4" numFmtId="0" xfId="0" applyAlignment="1" applyBorder="1" applyFill="1" applyFont="1">
      <alignment horizontal="center" vertical="center"/>
    </xf>
    <xf borderId="1" fillId="15" fontId="13" numFmtId="0" xfId="0" applyAlignment="1" applyBorder="1" applyFill="1" applyFont="1">
      <alignment horizontal="center" readingOrder="0" shrinkToFit="0" vertical="center" wrapText="1"/>
    </xf>
    <xf borderId="1" fillId="6" fontId="7" numFmtId="0" xfId="0" applyAlignment="1" applyBorder="1" applyFill="1" applyFont="1">
      <alignment readingOrder="0" vertical="center"/>
    </xf>
    <xf borderId="0" fillId="0" fontId="14" numFmtId="165" xfId="0" applyAlignment="1" applyFont="1" applyNumberFormat="1">
      <alignment horizontal="center"/>
    </xf>
    <xf borderId="0" fillId="0" fontId="14" numFmtId="0" xfId="0" applyFont="1"/>
    <xf borderId="1" fillId="6" fontId="15" numFmtId="0" xfId="0" applyAlignment="1" applyBorder="1" applyFill="1" applyFont="1">
      <alignment readingOrder="0" vertical="center"/>
    </xf>
    <xf borderId="0" fillId="0" fontId="6" numFmtId="0" xfId="0" applyFont="1"/>
    <xf borderId="0" fillId="0" fontId="16" numFmtId="0" xfId="0" applyAlignment="1" applyFont="1">
      <alignment readingOrder="0"/>
    </xf>
    <xf borderId="0" fillId="0" fontId="17" numFmtId="1" xfId="0" applyFont="1" applyNumberFormat="1"/>
    <xf borderId="0" fillId="2" fontId="18" numFmtId="0" xfId="0" applyAlignment="1" applyFill="1" applyFont="1">
      <alignment horizontal="center" readingOrder="0" vertical="center"/>
    </xf>
    <xf borderId="0" fillId="0" fontId="17" numFmtId="166" xfId="0" applyFont="1" applyNumberFormat="1"/>
    <xf borderId="1" fillId="6" fontId="19" numFmtId="0" xfId="0" applyAlignment="1" applyBorder="1" applyFill="1" applyFont="1">
      <alignment readingOrder="0" vertical="center"/>
    </xf>
    <xf borderId="0" fillId="16" fontId="6" numFmtId="165" xfId="0" applyAlignment="1" applyFill="1" applyFont="1" applyNumberFormat="1">
      <alignment horizontal="center" readingOrder="0" vertical="center"/>
    </xf>
    <xf borderId="2" fillId="10" fontId="8" numFmtId="0" xfId="0" applyAlignment="1" applyBorder="1" applyFill="1" applyFont="1">
      <alignment horizontal="center" shrinkToFit="0" vertical="center" wrapText="1"/>
    </xf>
    <xf borderId="1" fillId="0" fontId="6" numFmtId="0" xfId="0" applyBorder="1" applyFont="1"/>
    <xf borderId="2" fillId="17" fontId="8" numFmtId="0" xfId="0" applyAlignment="1" applyBorder="1" applyFill="1" applyFont="1">
      <alignment horizontal="center" shrinkToFit="0" vertical="center" wrapText="1"/>
    </xf>
    <xf borderId="1" fillId="2" fontId="12" numFmtId="0" xfId="0" applyAlignment="1" applyBorder="1" applyFill="1" applyFont="1">
      <alignment horizontal="center" shrinkToFit="0" vertical="center" wrapText="1"/>
    </xf>
    <xf borderId="1" fillId="2" fontId="12" numFmtId="0" xfId="0" applyAlignment="1" applyBorder="1" applyFill="1" applyFont="1">
      <alignment horizontal="center" readingOrder="0" shrinkToFit="0" vertical="center" wrapText="1"/>
    </xf>
    <xf borderId="7" fillId="18" fontId="20" numFmtId="0" xfId="0" applyAlignment="1" applyBorder="1" applyFill="1" applyFont="1">
      <alignment horizontal="center" vertical="center"/>
    </xf>
    <xf borderId="1" fillId="13" fontId="8" numFmtId="0" xfId="0" applyAlignment="1" applyBorder="1" applyFill="1" applyFont="1">
      <alignment horizontal="center" shrinkToFit="0" vertical="center" wrapText="1"/>
    </xf>
    <xf borderId="7" fillId="19" fontId="20" numFmtId="0" xfId="0" applyAlignment="1" applyBorder="1" applyFill="1" applyFont="1">
      <alignment horizontal="center" vertical="center"/>
    </xf>
    <xf borderId="1" fillId="4" fontId="12" numFmtId="0" xfId="0" applyAlignment="1" applyBorder="1" applyFill="1" applyFont="1">
      <alignment horizontal="center" readingOrder="0" shrinkToFit="0" vertical="center" wrapText="1"/>
    </xf>
    <xf borderId="0" fillId="0" fontId="6" numFmtId="4" xfId="0" applyFont="1" applyNumberFormat="1"/>
    <xf borderId="1" fillId="0" fontId="2" numFmtId="1" xfId="0" applyAlignment="1" applyBorder="1" applyFont="1" applyNumberFormat="1">
      <alignment horizontal="center" shrinkToFit="0" vertical="center" wrapText="1"/>
    </xf>
    <xf borderId="0" fillId="0" fontId="6" numFmtId="165" xfId="0" applyAlignment="1" applyFont="1" applyNumberFormat="1">
      <alignment horizontal="center"/>
    </xf>
    <xf borderId="1" fillId="0" fontId="2" numFmtId="166" xfId="0" applyAlignment="1" applyBorder="1" applyFont="1" applyNumberFormat="1">
      <alignment horizontal="center" shrinkToFit="0" vertical="center" wrapText="1"/>
    </xf>
    <xf borderId="0" fillId="0" fontId="6" numFmtId="164" xfId="0" applyFont="1" applyNumberFormat="1"/>
    <xf borderId="0" fillId="0" fontId="6" numFmtId="165" xfId="0" applyFont="1" applyNumberFormat="1"/>
    <xf borderId="0" fillId="0" fontId="16" numFmtId="0" xfId="0" applyFont="1"/>
    <xf borderId="0" fillId="0" fontId="16" numFmtId="164" xfId="0" applyFont="1" applyNumberFormat="1"/>
    <xf borderId="0" fillId="0" fontId="21" numFmtId="0" xfId="0" applyFont="1"/>
    <xf borderId="0" fillId="0" fontId="6" numFmtId="0" xfId="0" applyAlignment="1" applyFont="1">
      <alignment readingOrder="0"/>
    </xf>
    <xf borderId="0" fillId="15" fontId="18" numFmtId="0" xfId="0" applyAlignment="1" applyFill="1" applyFont="1">
      <alignment horizontal="left"/>
    </xf>
    <xf borderId="0" fillId="16" fontId="6" numFmtId="0" xfId="0" applyAlignment="1" applyFill="1" applyFont="1">
      <alignment horizontal="center" readingOrder="0"/>
    </xf>
    <xf borderId="0" fillId="0" fontId="22" numFmtId="0" xfId="0" applyAlignment="1" applyFont="1">
      <alignment readingOrder="0"/>
    </xf>
    <xf borderId="0" fillId="15" fontId="18" numFmtId="0" xfId="0" applyAlignment="1" applyFill="1" applyFont="1">
      <alignment horizontal="left" readingOrder="0"/>
    </xf>
    <xf borderId="0" fillId="2" fontId="6" numFmtId="1" xfId="0" applyAlignment="1" applyFill="1" applyFont="1" applyNumberFormat="1">
      <alignment horizontal="center" readingOrder="0"/>
    </xf>
    <xf borderId="0" fillId="0" fontId="23" numFmtId="0" xfId="0" applyAlignment="1" applyFont="1">
      <alignment readingOrder="0"/>
    </xf>
    <xf borderId="1" fillId="20" fontId="18" numFmtId="0" xfId="0" applyAlignment="1" applyBorder="1" applyFill="1" applyFont="1">
      <alignment horizontal="center" readingOrder="0" vertical="center"/>
    </xf>
    <xf borderId="1" fillId="10" fontId="24" numFmtId="0" xfId="0" applyAlignment="1" applyBorder="1" applyFill="1" applyFont="1">
      <alignment horizontal="center" readingOrder="0" vertical="center"/>
    </xf>
    <xf borderId="1" fillId="11" fontId="18" numFmtId="0" xfId="0" applyAlignment="1" applyBorder="1" applyFill="1" applyFont="1">
      <alignment horizontal="center" readingOrder="0" vertical="center"/>
    </xf>
    <xf borderId="1" fillId="15" fontId="18" numFmtId="0" xfId="0" applyAlignment="1" applyBorder="1" applyFill="1" applyFont="1">
      <alignment horizontal="center" readingOrder="0" vertical="center"/>
    </xf>
    <xf borderId="1" fillId="21" fontId="18" numFmtId="0" xfId="0" applyAlignment="1" applyBorder="1" applyFill="1" applyFont="1">
      <alignment horizontal="center" readingOrder="0" vertical="center"/>
    </xf>
    <xf borderId="1" fillId="14" fontId="24" numFmtId="0" xfId="0" applyAlignment="1" applyBorder="1" applyFill="1" applyFont="1">
      <alignment horizontal="center" readingOrder="0" vertical="center"/>
    </xf>
    <xf borderId="1" fillId="9" fontId="24" numFmtId="0" xfId="0" applyAlignment="1" applyBorder="1" applyFill="1" applyFont="1">
      <alignment horizontal="center" readingOrder="0" vertical="center"/>
    </xf>
    <xf borderId="1" fillId="0" fontId="6" numFmtId="165" xfId="0" applyAlignment="1" applyBorder="1" applyFont="1" applyNumberFormat="1">
      <alignment horizontal="center" vertical="center"/>
    </xf>
    <xf borderId="1" fillId="0" fontId="6" numFmtId="166" xfId="0" applyAlignment="1" applyBorder="1" applyFont="1" applyNumberFormat="1">
      <alignment horizontal="right" vertical="center"/>
    </xf>
    <xf borderId="0" fillId="0" fontId="1" numFmtId="0" xfId="0" applyFont="1"/>
    <xf borderId="0" fillId="0" fontId="12" numFmtId="0" xfId="0" applyAlignment="1" applyFont="1">
      <alignment readingOrder="0"/>
    </xf>
    <xf quotePrefix="1" borderId="0" fillId="0" fontId="2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readingOrder="0"/>
    </xf>
    <xf quotePrefix="1" borderId="0" fillId="0" fontId="2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readingOrder="0"/>
    </xf>
    <xf quotePrefix="1" borderId="0" fillId="0" fontId="6" numFmtId="0" xfId="0" applyAlignment="1" applyFont="1">
      <alignment readingOrder="0"/>
    </xf>
    <xf borderId="0" fillId="0" fontId="4" numFmtId="0" xfId="0" applyFont="1"/>
    <xf quotePrefix="1" borderId="0" fillId="0" fontId="7" numFmtId="0" xfId="0" applyAlignment="1" applyFont="1">
      <alignment horizontal="left" shrinkToFit="0" vertical="center" wrapText="1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16" fontId="18" numFmtId="165" xfId="0" applyAlignment="1" applyFill="1" applyFont="1" applyNumberFormat="1">
      <alignment horizontal="center" readingOrder="0" vertical="center"/>
    </xf>
    <xf borderId="2" fillId="22" fontId="24" numFmtId="0" xfId="0" applyAlignment="1" applyBorder="1" applyFill="1" applyFont="1">
      <alignment horizontal="center" readingOrder="0" vertical="center"/>
    </xf>
    <xf borderId="1" fillId="2" fontId="18" numFmtId="0" xfId="0" applyAlignment="1" applyBorder="1" applyFill="1" applyFont="1">
      <alignment horizontal="center" readingOrder="0" vertical="center"/>
    </xf>
    <xf borderId="1" fillId="23" fontId="18" numFmtId="0" xfId="0" applyAlignment="1" applyBorder="1" applyFill="1" applyFont="1">
      <alignment horizontal="center" readingOrder="0" vertical="center"/>
    </xf>
    <xf borderId="1" fillId="24" fontId="18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3" xfId="0" applyAlignment="1" applyBorder="1" applyFont="1" applyNumberFormat="1">
      <alignment horizontal="right" vertical="center"/>
    </xf>
    <xf borderId="1" fillId="25" fontId="12" numFmtId="0" xfId="0" applyAlignment="1" applyBorder="1" applyFill="1" applyFont="1">
      <alignment horizontal="center" shrinkToFit="0" vertical="center" wrapText="1"/>
    </xf>
    <xf borderId="1" fillId="25" fontId="12" numFmtId="1" xfId="0" applyAlignment="1" applyBorder="1" applyFill="1" applyFont="1" applyNumberFormat="1">
      <alignment horizontal="center" shrinkToFit="0" vertical="center" wrapText="1"/>
    </xf>
    <xf borderId="1" fillId="25" fontId="12" numFmtId="166" xfId="0" applyAlignment="1" applyBorder="1" applyFill="1" applyFont="1" applyNumberFormat="1">
      <alignment horizontal="center" shrinkToFit="0" vertical="center" wrapText="1"/>
    </xf>
    <xf borderId="1" fillId="0" fontId="18" numFmtId="0" xfId="0" applyAlignment="1" applyBorder="1" applyFont="1">
      <alignment horizontal="center" readingOrder="0" vertical="center"/>
    </xf>
    <xf borderId="1" fillId="0" fontId="18" numFmtId="3" xfId="0" applyAlignment="1" applyBorder="1" applyFont="1" applyNumberFormat="1">
      <alignment horizontal="right" vertical="center"/>
    </xf>
    <xf borderId="1" fillId="0" fontId="18" numFmtId="166" xfId="0" applyAlignment="1" applyBorder="1" applyFont="1" applyNumberFormat="1">
      <alignment horizontal="right" vertical="center"/>
    </xf>
    <xf borderId="0" fillId="16" fontId="18" numFmtId="0" xfId="0" applyAlignment="1" applyFill="1" applyFont="1">
      <alignment horizontal="center" readingOrder="0" vertical="center"/>
    </xf>
    <xf borderId="0" fillId="0" fontId="18" numFmtId="0" xfId="0" applyAlignment="1" applyFont="1">
      <alignment horizontal="center" readingOrder="0" vertical="center"/>
    </xf>
    <xf borderId="0" fillId="0" fontId="6" numFmtId="165" xfId="0" applyAlignment="1" applyFont="1" applyNumberFormat="1">
      <alignment horizontal="center" readingOrder="0" vertical="center"/>
    </xf>
    <xf borderId="8" fillId="22" fontId="24" numFmtId="0" xfId="0" applyAlignment="1" applyBorder="1" applyFill="1" applyFont="1">
      <alignment horizontal="center" readingOrder="0" vertical="center"/>
    </xf>
    <xf borderId="5" fillId="0" fontId="9" numFmtId="0" xfId="0" applyBorder="1" applyFont="1"/>
    <xf borderId="9" fillId="0" fontId="9" numFmtId="0" xfId="0" applyBorder="1" applyFont="1"/>
    <xf borderId="10" fillId="2" fontId="18" numFmtId="0" xfId="0" applyAlignment="1" applyBorder="1" applyFill="1" applyFont="1">
      <alignment horizontal="center" readingOrder="0" vertical="center"/>
    </xf>
    <xf borderId="11" fillId="2" fontId="18" numFmtId="0" xfId="0" applyAlignment="1" applyBorder="1" applyFill="1" applyFont="1">
      <alignment horizontal="center" readingOrder="0" vertical="center"/>
    </xf>
    <xf borderId="11" fillId="10" fontId="24" numFmtId="0" xfId="0" applyAlignment="1" applyBorder="1" applyFill="1" applyFont="1">
      <alignment horizontal="center" readingOrder="0" vertical="center"/>
    </xf>
    <xf borderId="11" fillId="11" fontId="18" numFmtId="0" xfId="0" applyAlignment="1" applyBorder="1" applyFill="1" applyFont="1">
      <alignment horizontal="center" readingOrder="0" vertical="center"/>
    </xf>
    <xf borderId="11" fillId="23" fontId="18" numFmtId="0" xfId="0" applyAlignment="1" applyBorder="1" applyFill="1" applyFont="1">
      <alignment horizontal="center" readingOrder="0" vertical="center"/>
    </xf>
    <xf borderId="11" fillId="24" fontId="18" numFmtId="0" xfId="0" applyAlignment="1" applyBorder="1" applyFill="1" applyFont="1">
      <alignment horizontal="center" readingOrder="0" vertical="center"/>
    </xf>
    <xf borderId="11" fillId="14" fontId="24" numFmtId="0" xfId="0" applyAlignment="1" applyBorder="1" applyFill="1" applyFont="1">
      <alignment horizontal="center" readingOrder="0" vertical="center"/>
    </xf>
    <xf borderId="11" fillId="9" fontId="24" numFmtId="0" xfId="0" applyAlignment="1" applyBorder="1" applyFill="1" applyFont="1">
      <alignment horizontal="center" readingOrder="0" vertical="center"/>
    </xf>
    <xf borderId="12" fillId="0" fontId="6" numFmtId="0" xfId="0" applyAlignment="1" applyBorder="1" applyFont="1">
      <alignment horizontal="left" vertical="center"/>
    </xf>
    <xf borderId="12" fillId="0" fontId="6" numFmtId="3" xfId="0" applyAlignment="1" applyBorder="1" applyFont="1" applyNumberFormat="1">
      <alignment horizontal="right" vertical="center"/>
    </xf>
    <xf borderId="12" fillId="0" fontId="6" numFmtId="166" xfId="0" applyAlignment="1" applyBorder="1" applyFont="1" applyNumberFormat="1">
      <alignment horizontal="right" vertical="center"/>
    </xf>
    <xf borderId="12" fillId="0" fontId="6" numFmtId="0" xfId="0" applyAlignment="1" applyBorder="1" applyFont="1">
      <alignment horizontal="center" vertical="center"/>
    </xf>
    <xf borderId="0" fillId="2" fontId="18" numFmtId="0" xfId="0" applyAlignment="1" applyFill="1" applyFont="1">
      <alignment horizontal="center"/>
    </xf>
    <xf borderId="0" fillId="16" fontId="18" numFmtId="165" xfId="0" applyAlignment="1" applyFill="1" applyFont="1" applyNumberFormat="1">
      <alignment horizontal="center" readingOrder="0"/>
    </xf>
    <xf borderId="1" fillId="0" fontId="6" numFmtId="0" xfId="0" applyAlignment="1" applyBorder="1" applyFont="1">
      <alignment horizontal="center" vertical="center"/>
    </xf>
    <xf borderId="0" fillId="4" fontId="27" numFmtId="0" xfId="0" applyAlignment="1" applyFill="1" applyFont="1">
      <alignment vertical="bottom"/>
    </xf>
    <xf borderId="0" fillId="0" fontId="6" numFmtId="1" xfId="0" applyFont="1" applyNumberFormat="1"/>
    <xf borderId="0" fillId="0" fontId="28" numFmtId="0" xfId="0" applyAlignment="1" applyFont="1">
      <alignment readingOrder="0"/>
    </xf>
  </cellXfs>
  <cellStyles count="1">
    <cellStyle xfId="0" name="Normal" builtinId="0"/>
  </cellStyles>
  <dxfs count="2">
    <dxf>
      <font>
        <b/>
        <color rgb="FFFF0000"/>
        <name val="Arial"/>
      </font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総販ベース 月次推移</a:t>
            </a:r>
          </a:p>
        </c:rich>
      </c:tx>
      <c:overlay val="0"/>
    </c:title>
    <c:plotArea>
      <c:layout/>
      <c:areaChart>
        <c:grouping val="percentStacked"/>
        <c:ser>
          <c:idx val="0"/>
          <c:order val="0"/>
          <c:tx>
            <c:strRef>
              <c:f>'集計_店舗別月次推移'!$C$9</c:f>
            </c:strRef>
          </c:tx>
          <c:spPr>
            <a:solidFill>
              <a:srgbClr val="E43935">
                <a:alpha val="30000"/>
              </a:srgbClr>
            </a:solidFill>
            <a:ln cmpd="sng">
              <a:solidFill>
                <a:srgbClr val="E43935"/>
              </a:solidFill>
            </a:ln>
          </c:spPr>
          <c:cat>
            <c:strRef>
              <c:f>'集計_店舗別月次推移'!$B$10:$B$21</c:f>
            </c:strRef>
          </c:cat>
          <c:val>
            <c:numRef>
              <c:f>'集計_店舗別月次推移'!$C$10:$C$21</c:f>
              <c:numCache/>
            </c:numRef>
          </c:val>
        </c:ser>
        <c:ser>
          <c:idx val="1"/>
          <c:order val="1"/>
          <c:tx>
            <c:strRef>
              <c:f>'集計_店舗別月次推移'!$D$9</c:f>
            </c:strRef>
          </c:tx>
          <c:spPr>
            <a:solidFill>
              <a:srgbClr val="FA8B00">
                <a:alpha val="30000"/>
              </a:srgbClr>
            </a:solidFill>
            <a:ln cmpd="sng">
              <a:solidFill>
                <a:srgbClr val="FA8B00"/>
              </a:solidFill>
            </a:ln>
          </c:spPr>
          <c:cat>
            <c:strRef>
              <c:f>'集計_店舗別月次推移'!$B$10:$B$21</c:f>
            </c:strRef>
          </c:cat>
          <c:val>
            <c:numRef>
              <c:f>'集計_店舗別月次推移'!$D$10:$D$21</c:f>
              <c:numCache/>
            </c:numRef>
          </c:val>
        </c:ser>
        <c:ser>
          <c:idx val="2"/>
          <c:order val="2"/>
          <c:tx>
            <c:strRef>
              <c:f>'集計_店舗別月次推移'!$E$9</c:f>
            </c:strRef>
          </c:tx>
          <c:spPr>
            <a:solidFill>
              <a:srgbClr val="78909C">
                <a:alpha val="30000"/>
              </a:srgbClr>
            </a:solidFill>
            <a:ln cmpd="sng">
              <a:solidFill>
                <a:srgbClr val="78909C"/>
              </a:solidFill>
            </a:ln>
          </c:spPr>
          <c:cat>
            <c:strRef>
              <c:f>'集計_店舗別月次推移'!$B$10:$B$21</c:f>
            </c:strRef>
          </c:cat>
          <c:val>
            <c:numRef>
              <c:f>'集計_店舗別月次推移'!$E$10:$E$21</c:f>
              <c:numCache/>
            </c:numRef>
          </c:val>
        </c:ser>
        <c:ser>
          <c:idx val="3"/>
          <c:order val="3"/>
          <c:tx>
            <c:strRef>
              <c:f>'集計_店舗別月次推移'!$F$9</c:f>
            </c:strRef>
          </c:tx>
          <c:spPr>
            <a:solidFill>
              <a:srgbClr val="039BE4">
                <a:alpha val="30000"/>
              </a:srgbClr>
            </a:solidFill>
            <a:ln cmpd="sng">
              <a:solidFill>
                <a:srgbClr val="039BE4"/>
              </a:solidFill>
            </a:ln>
          </c:spPr>
          <c:cat>
            <c:strRef>
              <c:f>'集計_店舗別月次推移'!$B$10:$B$21</c:f>
            </c:strRef>
          </c:cat>
          <c:val>
            <c:numRef>
              <c:f>'集計_店舗別月次推移'!$F$10:$F$21</c:f>
              <c:numCache/>
            </c:numRef>
          </c:val>
        </c:ser>
        <c:ser>
          <c:idx val="4"/>
          <c:order val="4"/>
          <c:tx>
            <c:strRef>
              <c:f>'集計_店舗別月次推移'!$G$9</c:f>
            </c:strRef>
          </c:tx>
          <c:spPr>
            <a:solidFill>
              <a:srgbClr val="AC1356">
                <a:alpha val="30000"/>
              </a:srgbClr>
            </a:solidFill>
            <a:ln cmpd="sng">
              <a:solidFill>
                <a:srgbClr val="AC1356"/>
              </a:solidFill>
            </a:ln>
          </c:spPr>
          <c:cat>
            <c:strRef>
              <c:f>'集計_店舗別月次推移'!$B$10:$B$21</c:f>
            </c:strRef>
          </c:cat>
          <c:val>
            <c:numRef>
              <c:f>'集計_店舗別月次推移'!$G$10:$G$21</c:f>
              <c:numCache/>
            </c:numRef>
          </c:val>
        </c:ser>
        <c:ser>
          <c:idx val="5"/>
          <c:order val="5"/>
          <c:tx>
            <c:strRef>
              <c:f>'集計_店舗別月次推移'!$H$9</c:f>
            </c:strRef>
          </c:tx>
          <c:spPr>
            <a:solidFill>
              <a:srgbClr val="BE0000">
                <a:alpha val="30000"/>
              </a:srgbClr>
            </a:solidFill>
            <a:ln cmpd="sng">
              <a:solidFill>
                <a:srgbClr val="BE0000"/>
              </a:solidFill>
            </a:ln>
          </c:spPr>
          <c:cat>
            <c:strRef>
              <c:f>'集計_店舗別月次推移'!$B$10:$B$21</c:f>
            </c:strRef>
          </c:cat>
          <c:val>
            <c:numRef>
              <c:f>'集計_店舗別月次推移'!$H$10:$H$21</c:f>
              <c:numCache/>
            </c:numRef>
          </c:val>
        </c:ser>
        <c:axId val="791659223"/>
        <c:axId val="964862973"/>
      </c:areaChart>
      <c:catAx>
        <c:axId val="791659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月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4862973"/>
      </c:catAx>
      <c:valAx>
        <c:axId val="9648629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シェア率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165922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新規/MNPベース 月次推移</a:t>
            </a:r>
          </a:p>
        </c:rich>
      </c:tx>
      <c:overlay val="0"/>
    </c:title>
    <c:plotArea>
      <c:layout/>
      <c:areaChart>
        <c:grouping val="percentStacked"/>
        <c:ser>
          <c:idx val="0"/>
          <c:order val="0"/>
          <c:tx>
            <c:strRef>
              <c:f>'集計_店舗別月次推移'!$C$25</c:f>
            </c:strRef>
          </c:tx>
          <c:spPr>
            <a:solidFill>
              <a:srgbClr val="E43935">
                <a:alpha val="30000"/>
              </a:srgbClr>
            </a:solidFill>
            <a:ln cmpd="sng">
              <a:solidFill>
                <a:srgbClr val="E43935"/>
              </a:solidFill>
            </a:ln>
          </c:spPr>
          <c:cat>
            <c:strRef>
              <c:f>'集計_店舗別月次推移'!$B$26:$B$37</c:f>
            </c:strRef>
          </c:cat>
          <c:val>
            <c:numRef>
              <c:f>'集計_店舗別月次推移'!$C$26:$C$37</c:f>
              <c:numCache/>
            </c:numRef>
          </c:val>
        </c:ser>
        <c:ser>
          <c:idx val="1"/>
          <c:order val="1"/>
          <c:tx>
            <c:strRef>
              <c:f>'集計_店舗別月次推移'!$D$25</c:f>
            </c:strRef>
          </c:tx>
          <c:spPr>
            <a:solidFill>
              <a:srgbClr val="FA8B00">
                <a:alpha val="30000"/>
              </a:srgbClr>
            </a:solidFill>
            <a:ln cmpd="sng">
              <a:solidFill>
                <a:srgbClr val="FA8B00"/>
              </a:solidFill>
            </a:ln>
          </c:spPr>
          <c:cat>
            <c:strRef>
              <c:f>'集計_店舗別月次推移'!$B$26:$B$37</c:f>
            </c:strRef>
          </c:cat>
          <c:val>
            <c:numRef>
              <c:f>'集計_店舗別月次推移'!$D$26:$D$37</c:f>
              <c:numCache/>
            </c:numRef>
          </c:val>
        </c:ser>
        <c:ser>
          <c:idx val="2"/>
          <c:order val="2"/>
          <c:tx>
            <c:strRef>
              <c:f>'集計_店舗別月次推移'!$E$25</c:f>
            </c:strRef>
          </c:tx>
          <c:spPr>
            <a:solidFill>
              <a:srgbClr val="78909C">
                <a:alpha val="30000"/>
              </a:srgbClr>
            </a:solidFill>
            <a:ln cmpd="sng">
              <a:solidFill>
                <a:srgbClr val="78909C"/>
              </a:solidFill>
            </a:ln>
          </c:spPr>
          <c:cat>
            <c:strRef>
              <c:f>'集計_店舗別月次推移'!$B$26:$B$37</c:f>
            </c:strRef>
          </c:cat>
          <c:val>
            <c:numRef>
              <c:f>'集計_店舗別月次推移'!$E$26:$E$37</c:f>
              <c:numCache/>
            </c:numRef>
          </c:val>
        </c:ser>
        <c:ser>
          <c:idx val="3"/>
          <c:order val="3"/>
          <c:tx>
            <c:strRef>
              <c:f>'集計_店舗別月次推移'!$F$25</c:f>
            </c:strRef>
          </c:tx>
          <c:spPr>
            <a:solidFill>
              <a:srgbClr val="039BE4">
                <a:alpha val="30000"/>
              </a:srgbClr>
            </a:solidFill>
            <a:ln cmpd="sng">
              <a:solidFill>
                <a:srgbClr val="039BE4"/>
              </a:solidFill>
            </a:ln>
          </c:spPr>
          <c:cat>
            <c:strRef>
              <c:f>'集計_店舗別月次推移'!$B$26:$B$37</c:f>
            </c:strRef>
          </c:cat>
          <c:val>
            <c:numRef>
              <c:f>'集計_店舗別月次推移'!$F$26:$F$37</c:f>
              <c:numCache/>
            </c:numRef>
          </c:val>
        </c:ser>
        <c:ser>
          <c:idx val="4"/>
          <c:order val="4"/>
          <c:tx>
            <c:strRef>
              <c:f>'集計_店舗別月次推移'!$G$25</c:f>
            </c:strRef>
          </c:tx>
          <c:spPr>
            <a:solidFill>
              <a:srgbClr val="AC1356">
                <a:alpha val="30000"/>
              </a:srgbClr>
            </a:solidFill>
            <a:ln cmpd="sng">
              <a:solidFill>
                <a:srgbClr val="AC1356"/>
              </a:solidFill>
            </a:ln>
          </c:spPr>
          <c:cat>
            <c:strRef>
              <c:f>'集計_店舗別月次推移'!$B$26:$B$37</c:f>
            </c:strRef>
          </c:cat>
          <c:val>
            <c:numRef>
              <c:f>'集計_店舗別月次推移'!$G$26:$G$37</c:f>
              <c:numCache/>
            </c:numRef>
          </c:val>
        </c:ser>
        <c:ser>
          <c:idx val="5"/>
          <c:order val="5"/>
          <c:tx>
            <c:strRef>
              <c:f>'集計_店舗別月次推移'!$H$25</c:f>
            </c:strRef>
          </c:tx>
          <c:spPr>
            <a:solidFill>
              <a:srgbClr val="BE0000">
                <a:alpha val="30000"/>
              </a:srgbClr>
            </a:solidFill>
            <a:ln cmpd="sng">
              <a:solidFill>
                <a:srgbClr val="BE0000"/>
              </a:solidFill>
            </a:ln>
          </c:spPr>
          <c:cat>
            <c:strRef>
              <c:f>'集計_店舗別月次推移'!$B$26:$B$37</c:f>
            </c:strRef>
          </c:cat>
          <c:val>
            <c:numRef>
              <c:f>'集計_店舗別月次推移'!$H$26:$H$37</c:f>
              <c:numCache/>
            </c:numRef>
          </c:val>
        </c:ser>
        <c:axId val="326788219"/>
        <c:axId val="802859134"/>
      </c:areaChart>
      <c:catAx>
        <c:axId val="3267882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月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2859134"/>
      </c:catAx>
      <c:valAx>
        <c:axId val="8028591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シェア率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678821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</xdr:row>
      <xdr:rowOff>0</xdr:rowOff>
    </xdr:from>
    <xdr:ext cx="5905500" cy="3143250"/>
    <xdr:graphicFrame>
      <xdr:nvGraphicFramePr>
        <xdr:cNvPr id="1" name="Chart 1" title="総販ベース 月次推移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962025</xdr:colOff>
      <xdr:row>20</xdr:row>
      <xdr:rowOff>76200</xdr:rowOff>
    </xdr:from>
    <xdr:ext cx="5905500" cy="3143250"/>
    <xdr:graphicFrame>
      <xdr:nvGraphicFramePr>
        <xdr:cNvPr id="2" name="Chart 2" title="新規/MNPベース 月次推移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ysG2mPIAHK5LHa7IAxotVT4BXZeF_ffoPWhat6Buvs/edit?pli=1&amp;gid=1208661004" TargetMode="External"/><Relationship Id="rId2" Type="http://schemas.openxmlformats.org/officeDocument/2006/relationships/hyperlink" Target="https://docs.google.com/spreadsheets/d/1WKwLcLgVV_7EA1xhpH5oDhrJznfU2GoPsvu6i_-nhEQ/edit?gid=1169211779" TargetMode="External"/><Relationship Id="rId3" Type="http://schemas.openxmlformats.org/officeDocument/2006/relationships/hyperlink" Target="https://docs.google.com/spreadsheets/d/1LFC3bOKOjnaFY8UQ8VRQi9q1gvSGE7PvaYTDNQj8RP8/edit?gid=1169211779" TargetMode="External"/><Relationship Id="rId4" Type="http://schemas.openxmlformats.org/officeDocument/2006/relationships/hyperlink" Target="https://docs.google.com/spreadsheets/d/1LI9_bnOc87G-uwrO4xOBg7C8ugZ9QIk9eosfRSqvXmw/edit?gid=1991733541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docs.google.com/spreadsheets/d/1xkO-x3oKEjKEh9o1tBgF70i-f_SH5vk3NzoPDShDunU/edit?gid=1169211779" TargetMode="External"/><Relationship Id="rId6" Type="http://schemas.openxmlformats.org/officeDocument/2006/relationships/hyperlink" Target="https://docs.google.com/spreadsheets/d/1qiFm_6D1uHvvLy0aBYEzfqL0LPKxjbBCKA9FknlHvvU/edit?gid=1169211779" TargetMode="External"/><Relationship Id="rId7" Type="http://schemas.openxmlformats.org/officeDocument/2006/relationships/hyperlink" Target="https://docs.google.com/spreadsheets/d/11mCKxxNiQxn8hboizpmYKdY7cG4sG6tgO17FgdlN5EA/edit?gid=1169211779" TargetMode="External"/><Relationship Id="rId8" Type="http://schemas.openxmlformats.org/officeDocument/2006/relationships/hyperlink" Target="https://docs.google.com/spreadsheets/d/1XfSk3wS9zWKljCqL9ar8d6wt6FBhVHm-aWZ2NDYT0hI/edit?gid=1169211779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2.0"/>
    <col customWidth="1" min="2" max="2" width="120.0"/>
    <col customWidth="1" min="3" max="26" width="8.71"/>
  </cols>
  <sheetData>
    <row r="2">
      <c r="B2" s="1" t="s">
        <v>0</v>
      </c>
    </row>
    <row r="3">
      <c r="B3" s="3" t="s">
        <v>2</v>
      </c>
    </row>
    <row r="4">
      <c r="B4" s="3" t="s">
        <v>4</v>
      </c>
    </row>
    <row r="5">
      <c r="B5" s="3" t="s">
        <v>5</v>
      </c>
    </row>
    <row r="6">
      <c r="B6" s="5" t="s">
        <v>6</v>
      </c>
    </row>
    <row r="7">
      <c r="B7" s="3" t="s">
        <v>7</v>
      </c>
    </row>
    <row r="8">
      <c r="B8" s="3" t="s">
        <v>9</v>
      </c>
    </row>
    <row r="9">
      <c r="B9" s="3" t="s">
        <v>10</v>
      </c>
    </row>
    <row r="10">
      <c r="B10" s="3" t="s">
        <v>11</v>
      </c>
    </row>
    <row r="11">
      <c r="B11" s="3" t="s">
        <v>12</v>
      </c>
    </row>
    <row r="12">
      <c r="B12" s="3" t="s">
        <v>13</v>
      </c>
    </row>
    <row r="13">
      <c r="B13" s="3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 outlineLevelCol="1"/>
  <cols>
    <col customWidth="1" min="1" max="1" width="2.0"/>
    <col customWidth="1" min="2" max="2" width="20.14"/>
    <col customWidth="1" min="3" max="3" width="15.86"/>
    <col customWidth="1" min="4" max="4" width="70.0"/>
    <col customWidth="1" min="5" max="5" width="24.0"/>
    <col customWidth="1" min="6" max="6" width="30.0"/>
    <col customWidth="1" min="7" max="7" width="8.71"/>
    <col customWidth="1" min="8" max="8" width="24.43"/>
    <col customWidth="1" min="9" max="27" width="8.71"/>
  </cols>
  <sheetData>
    <row r="1">
      <c r="B1" s="2" t="s">
        <v>1</v>
      </c>
      <c r="D1" s="4" t="s">
        <v>3</v>
      </c>
    </row>
    <row r="2">
      <c r="B2" s="6" t="s">
        <v>8</v>
      </c>
      <c r="C2" s="7" t="s">
        <v>15</v>
      </c>
      <c r="D2" s="6" t="s">
        <v>16</v>
      </c>
      <c r="E2" s="6" t="s">
        <v>17</v>
      </c>
      <c r="F2" s="6" t="s">
        <v>18</v>
      </c>
      <c r="H2" s="9" t="s">
        <v>19</v>
      </c>
    </row>
    <row r="3">
      <c r="B3" s="11" t="s">
        <v>21</v>
      </c>
      <c r="C3" s="12">
        <v>46266.0</v>
      </c>
      <c r="D3" s="13"/>
      <c r="E3" s="16" t="s">
        <v>23</v>
      </c>
      <c r="F3" s="20" t="str">
        <f>IFERROR(__xludf.DUMMYFUNCTION("IF($D3="""",""未設定"",IF(ISERROR(IMPORTRANGE($D3,""'""&amp;$E3&amp;""'!B2"")),""未接続(アクセス許可が必要)"",""OK""))"),"未設定")</f>
        <v>未設定</v>
      </c>
      <c r="H3" s="25">
        <f>IFERROR(__xludf.DUMMYFUNCTION("IFERROR(SORT(UNIQUE(FILTER(C3:C1024,C3:C1024&lt;&gt;"""")),1,FALSE),"""")"),46357.0)</f>
        <v>46357</v>
      </c>
    </row>
    <row r="4">
      <c r="B4" s="11" t="s">
        <v>30</v>
      </c>
      <c r="C4" s="12">
        <v>46266.0</v>
      </c>
      <c r="D4" s="13"/>
      <c r="E4" s="16" t="s">
        <v>23</v>
      </c>
      <c r="F4" s="20" t="str">
        <f>IFERROR(__xludf.DUMMYFUNCTION("IF($D4="""",""未設定"",IF(ISERROR(IMPORTRANGE($D4,""'""&amp;$E4&amp;""'!B2"")),""未接続(アクセス許可が必要)"",""OK""))"),"未設定")</f>
        <v>未設定</v>
      </c>
      <c r="H4" s="25">
        <f>IFERROR(__xludf.DUMMYFUNCTION("""COMPUTED_VALUE"""),46327.0)</f>
        <v>46327</v>
      </c>
    </row>
    <row r="5">
      <c r="B5" s="11" t="s">
        <v>34</v>
      </c>
      <c r="C5" s="12">
        <v>46266.0</v>
      </c>
      <c r="D5" s="13"/>
      <c r="E5" s="16" t="s">
        <v>35</v>
      </c>
      <c r="F5" s="20" t="str">
        <f>IFERROR(__xludf.DUMMYFUNCTION("IF($D5="""",""未設定"",IF(ISERROR(IMPORTRANGE($D5,""'""&amp;$E5&amp;""'!B2"")),""未接続(アクセス許可が必要)"",""OK""))"),"未設定")</f>
        <v>未設定</v>
      </c>
      <c r="H5" s="25">
        <f>IFERROR(__xludf.DUMMYFUNCTION("""COMPUTED_VALUE"""),46296.0)</f>
        <v>46296</v>
      </c>
    </row>
    <row r="6">
      <c r="B6" s="11" t="s">
        <v>37</v>
      </c>
      <c r="C6" s="12">
        <v>46266.0</v>
      </c>
      <c r="D6" s="13"/>
      <c r="E6" s="16" t="s">
        <v>23</v>
      </c>
      <c r="F6" s="20" t="str">
        <f>IFERROR(__xludf.DUMMYFUNCTION("IF($D6="""",""未設定"",IF(ISERROR(IMPORTRANGE($D6,""'""&amp;$E6&amp;""'!B2"")),""未接続(アクセス許可が必要)"",""OK""))"),"未設定")</f>
        <v>未設定</v>
      </c>
      <c r="H6" s="25">
        <f>IFERROR(__xludf.DUMMYFUNCTION("""COMPUTED_VALUE"""),46266.0)</f>
        <v>46266</v>
      </c>
    </row>
    <row r="7">
      <c r="B7" s="11" t="s">
        <v>40</v>
      </c>
      <c r="C7" s="12">
        <v>46266.0</v>
      </c>
      <c r="D7" s="13"/>
      <c r="E7" s="16" t="s">
        <v>23</v>
      </c>
      <c r="F7" s="20" t="str">
        <f>IFERROR(__xludf.DUMMYFUNCTION("IF($D7="""",""未設定"",IF(ISERROR(IMPORTRANGE($D7,""'""&amp;$E7&amp;""'!B2"")),""未接続(アクセス許可が必要)"",""OK""))"),"未設定")</f>
        <v>未設定</v>
      </c>
      <c r="H7" s="25"/>
    </row>
    <row r="8">
      <c r="B8" s="11" t="s">
        <v>43</v>
      </c>
      <c r="C8" s="12">
        <v>46266.0</v>
      </c>
      <c r="D8" s="13"/>
      <c r="E8" s="16" t="s">
        <v>23</v>
      </c>
      <c r="F8" s="20" t="str">
        <f>IFERROR(__xludf.DUMMYFUNCTION("IF($D8="""",""未設定"",IF(ISERROR(IMPORTRANGE($D8,""'""&amp;$E8&amp;""'!B2"")),""未接続(アクセス許可が必要)"",""OK""))"),"未設定")</f>
        <v>未設定</v>
      </c>
      <c r="H8" s="25"/>
    </row>
    <row r="9">
      <c r="B9" s="11" t="s">
        <v>49</v>
      </c>
      <c r="C9" s="12">
        <v>46266.0</v>
      </c>
      <c r="D9" s="13"/>
      <c r="E9" s="16" t="s">
        <v>23</v>
      </c>
      <c r="F9" s="20" t="str">
        <f>IFERROR(__xludf.DUMMYFUNCTION("IF($D9="""",""未設定"",IF(ISERROR(IMPORTRANGE($D9,""'""&amp;$E9&amp;""'!B2"")),""未接続(アクセス許可が必要)"",""OK""))"),"未設定")</f>
        <v>未設定</v>
      </c>
      <c r="H9" s="25"/>
    </row>
    <row r="10">
      <c r="B10" s="11" t="s">
        <v>57</v>
      </c>
      <c r="C10" s="12">
        <v>46266.0</v>
      </c>
      <c r="D10" s="13"/>
      <c r="E10" s="16" t="s">
        <v>23</v>
      </c>
      <c r="F10" s="20" t="str">
        <f>IFERROR(__xludf.DUMMYFUNCTION("IF($D10="""",""未設定"",IF(ISERROR(IMPORTRANGE($D10,""'""&amp;$E10&amp;""'!B2"")),""未接続(アクセス許可が必要)"",""OK""))"),"未設定")</f>
        <v>未設定</v>
      </c>
      <c r="H10" s="25"/>
    </row>
    <row r="11">
      <c r="B11" s="21" t="s">
        <v>21</v>
      </c>
      <c r="C11" s="12">
        <v>46296.0</v>
      </c>
      <c r="D11" s="34" t="s">
        <v>58</v>
      </c>
      <c r="E11" s="16" t="s">
        <v>23</v>
      </c>
      <c r="F11" s="20" t="str">
        <f>IFERROR(__xludf.DUMMYFUNCTION("IF($D11="""",""未設定"",IF(ISERROR(IMPORTRANGE($D11,""'""&amp;$E11&amp;""'!B2"")),""未接続(アクセス許可が必要)"",""OK""))"),"OK")</f>
        <v>OK</v>
      </c>
      <c r="H11" s="25"/>
    </row>
    <row r="12">
      <c r="B12" s="21" t="s">
        <v>30</v>
      </c>
      <c r="C12" s="12">
        <v>46296.0</v>
      </c>
      <c r="D12" s="13"/>
      <c r="E12" s="16" t="s">
        <v>23</v>
      </c>
      <c r="F12" s="20" t="str">
        <f>IFERROR(__xludf.DUMMYFUNCTION("IF($D12="""",""未設定"",IF(ISERROR(IMPORTRANGE($D12,""'""&amp;$E12&amp;""'!B2"")),""未接続(アクセス許可が必要)"",""OK""))"),"未設定")</f>
        <v>未設定</v>
      </c>
      <c r="H12" s="25"/>
    </row>
    <row r="13">
      <c r="B13" s="21" t="s">
        <v>34</v>
      </c>
      <c r="C13" s="12">
        <v>46296.0</v>
      </c>
      <c r="D13" s="34" t="s">
        <v>59</v>
      </c>
      <c r="E13" s="16" t="s">
        <v>35</v>
      </c>
      <c r="F13" s="20" t="str">
        <f>IFERROR(__xludf.DUMMYFUNCTION("IF($D13="""",""未設定"",IF(ISERROR(IMPORTRANGE($D13,""'""&amp;$E13&amp;""'!B2"")),""未接続(アクセス許可が必要)"",""OK""))"),"OK")</f>
        <v>OK</v>
      </c>
      <c r="H13" s="25"/>
    </row>
    <row r="14">
      <c r="B14" s="21" t="s">
        <v>37</v>
      </c>
      <c r="C14" s="12">
        <v>46296.0</v>
      </c>
      <c r="D14" s="37" t="s">
        <v>60</v>
      </c>
      <c r="E14" s="16" t="s">
        <v>23</v>
      </c>
      <c r="F14" s="20" t="str">
        <f>IFERROR(__xludf.DUMMYFUNCTION("IF($D14="""",""未設定"",IF(ISERROR(IMPORTRANGE($D14,""'""&amp;$E14&amp;""'!B2"")),""未接続(アクセス許可が必要)"",""OK""))"),"OK")</f>
        <v>OK</v>
      </c>
      <c r="H14" s="25"/>
    </row>
    <row r="15">
      <c r="B15" s="21" t="s">
        <v>40</v>
      </c>
      <c r="C15" s="12">
        <v>46296.0</v>
      </c>
      <c r="D15" s="13"/>
      <c r="E15" s="16" t="s">
        <v>23</v>
      </c>
      <c r="F15" s="20" t="str">
        <f>IFERROR(__xludf.DUMMYFUNCTION("IF($D15="""",""未設定"",IF(ISERROR(IMPORTRANGE($D15,""'""&amp;$E15&amp;""'!B2"")),""未接続(アクセス許可が必要)"",""OK""))"),"未設定")</f>
        <v>未設定</v>
      </c>
      <c r="H15" s="25"/>
    </row>
    <row r="16">
      <c r="B16" s="21" t="s">
        <v>43</v>
      </c>
      <c r="C16" s="12">
        <v>46296.0</v>
      </c>
      <c r="D16" s="13"/>
      <c r="E16" s="16" t="s">
        <v>23</v>
      </c>
      <c r="F16" s="20" t="str">
        <f>IFERROR(__xludf.DUMMYFUNCTION("IF($D16="""",""未設定"",IF(ISERROR(IMPORTRANGE($D16,""'""&amp;$E16&amp;""'!B2"")),""未接続(アクセス許可が必要)"",""OK""))"),"未設定")</f>
        <v>未設定</v>
      </c>
      <c r="H16" s="25"/>
    </row>
    <row r="17">
      <c r="B17" s="21" t="s">
        <v>49</v>
      </c>
      <c r="C17" s="12">
        <v>46296.0</v>
      </c>
      <c r="D17" s="13"/>
      <c r="E17" s="16" t="s">
        <v>23</v>
      </c>
      <c r="F17" s="20" t="str">
        <f>IFERROR(__xludf.DUMMYFUNCTION("IF($D17="""",""未設定"",IF(ISERROR(IMPORTRANGE($D17,""'""&amp;$E17&amp;""'!B2"")),""未接続(アクセス許可が必要)"",""OK""))"),"未設定")</f>
        <v>未設定</v>
      </c>
      <c r="H17" s="25"/>
    </row>
    <row r="18">
      <c r="B18" s="21" t="s">
        <v>57</v>
      </c>
      <c r="C18" s="12">
        <v>46296.0</v>
      </c>
      <c r="D18" s="13"/>
      <c r="E18" s="16" t="s">
        <v>23</v>
      </c>
      <c r="F18" s="20" t="str">
        <f>IFERROR(__xludf.DUMMYFUNCTION("IF($D18="""",""未設定"",IF(ISERROR(IMPORTRANGE($D18,""'""&amp;$E18&amp;""'!B2"")),""未接続(アクセス許可が必要)"",""OK""))"),"未設定")</f>
        <v>未設定</v>
      </c>
      <c r="H18" s="25"/>
    </row>
    <row r="19">
      <c r="B19" s="21" t="s">
        <v>21</v>
      </c>
      <c r="C19" s="12">
        <v>46327.0</v>
      </c>
      <c r="D19" s="43" t="s">
        <v>63</v>
      </c>
      <c r="E19" s="16" t="s">
        <v>23</v>
      </c>
      <c r="F19" s="20" t="str">
        <f>IFERROR(__xludf.DUMMYFUNCTION("IF($D19="""",""未設定"",IF(ISERROR(IMPORTRANGE($D19,""'""&amp;$E19&amp;""'!B2"")),""未接続(アクセス許可が必要)"",""OK""))"),"OK")</f>
        <v>OK</v>
      </c>
      <c r="H19" s="25"/>
    </row>
    <row r="20">
      <c r="B20" s="21" t="s">
        <v>30</v>
      </c>
      <c r="C20" s="12">
        <v>46327.0</v>
      </c>
      <c r="D20" s="43" t="s">
        <v>64</v>
      </c>
      <c r="E20" s="16" t="s">
        <v>23</v>
      </c>
      <c r="F20" s="20" t="str">
        <f>IFERROR(__xludf.DUMMYFUNCTION("IF($D20="""",""未設定"",IF(ISERROR(IMPORTRANGE($D20,""'""&amp;$E20&amp;""'!B2"")),""未接続(アクセス許可が必要)"",""OK""))"),"OK")</f>
        <v>OK</v>
      </c>
      <c r="H20" s="25"/>
    </row>
    <row r="21">
      <c r="B21" s="21" t="s">
        <v>34</v>
      </c>
      <c r="C21" s="12">
        <v>46327.0</v>
      </c>
      <c r="D21" s="37" t="s">
        <v>65</v>
      </c>
      <c r="E21" s="16" t="s">
        <v>35</v>
      </c>
      <c r="F21" s="20" t="str">
        <f>IFERROR(__xludf.DUMMYFUNCTION("IF($D21="""",""未設定"",IF(ISERROR(IMPORTRANGE($D21,""'""&amp;$E21&amp;""'!B2"")),""未接続(アクセス許可が必要)"",""OK""))"),"OK")</f>
        <v>OK</v>
      </c>
      <c r="H21" s="25"/>
    </row>
    <row r="22">
      <c r="B22" s="21" t="s">
        <v>37</v>
      </c>
      <c r="C22" s="12">
        <v>46327.0</v>
      </c>
      <c r="D22" s="13"/>
      <c r="E22" s="16" t="s">
        <v>23</v>
      </c>
      <c r="F22" s="20" t="str">
        <f>IFERROR(__xludf.DUMMYFUNCTION("IF($D22="""",""未設定"",IF(ISERROR(IMPORTRANGE($D22,""'""&amp;$E22&amp;""'!B2"")),""未接続(アクセス許可が必要)"",""OK""))"),"未設定")</f>
        <v>未設定</v>
      </c>
      <c r="H22" s="25"/>
    </row>
    <row r="23">
      <c r="B23" s="21" t="s">
        <v>40</v>
      </c>
      <c r="C23" s="12">
        <v>46327.0</v>
      </c>
      <c r="D23" s="37" t="s">
        <v>67</v>
      </c>
      <c r="E23" s="16" t="s">
        <v>23</v>
      </c>
      <c r="F23" s="20" t="str">
        <f>IFERROR(__xludf.DUMMYFUNCTION("IF($D23="""",""未設定"",IF(ISERROR(IMPORTRANGE($D23,""'""&amp;$E23&amp;""'!B2"")),""未接続(アクセス許可が必要)"",""OK""))"),"OK")</f>
        <v>OK</v>
      </c>
      <c r="H23" s="25"/>
    </row>
    <row r="24">
      <c r="B24" s="21" t="s">
        <v>43</v>
      </c>
      <c r="C24" s="12">
        <v>46327.0</v>
      </c>
      <c r="D24" s="37" t="s">
        <v>68</v>
      </c>
      <c r="E24" s="16" t="s">
        <v>23</v>
      </c>
      <c r="F24" s="20" t="str">
        <f>IFERROR(__xludf.DUMMYFUNCTION("IF($D24="""",""未設定"",IF(ISERROR(IMPORTRANGE($D24,""'""&amp;$E24&amp;""'!B2"")),""未接続(アクセス許可が必要)"",""OK""))"),"OK")</f>
        <v>OK</v>
      </c>
      <c r="H24" s="25"/>
    </row>
    <row r="25">
      <c r="B25" s="21" t="s">
        <v>49</v>
      </c>
      <c r="C25" s="12">
        <v>46327.0</v>
      </c>
      <c r="D25" s="43" t="s">
        <v>69</v>
      </c>
      <c r="E25" s="16" t="s">
        <v>23</v>
      </c>
      <c r="F25" s="20" t="str">
        <f>IFERROR(__xludf.DUMMYFUNCTION("IF($D25="""",""未設定"",IF(ISERROR(IMPORTRANGE($D25,""'""&amp;$E25&amp;""'!B2"")),""未接続(アクセス許可が必要)"",""OK""))"),"OK")</f>
        <v>OK</v>
      </c>
      <c r="H25" s="25"/>
    </row>
    <row r="26">
      <c r="B26" s="21" t="s">
        <v>57</v>
      </c>
      <c r="C26" s="12">
        <v>46327.0</v>
      </c>
      <c r="D26" s="43" t="s">
        <v>70</v>
      </c>
      <c r="E26" s="16" t="s">
        <v>23</v>
      </c>
      <c r="F26" s="20" t="str">
        <f>IFERROR(__xludf.DUMMYFUNCTION("IF($D26="""",""未設定"",IF(ISERROR(IMPORTRANGE($D26,""'""&amp;$E26&amp;""'!B2"")),""未接続(アクセス許可が必要)"",""OK""))"),"OK")</f>
        <v>OK</v>
      </c>
      <c r="H26" s="25"/>
    </row>
    <row r="27">
      <c r="B27" s="21" t="s">
        <v>21</v>
      </c>
      <c r="C27" s="12">
        <v>46357.0</v>
      </c>
      <c r="D27" s="13"/>
      <c r="E27" s="16" t="s">
        <v>23</v>
      </c>
      <c r="F27" s="20" t="str">
        <f>IFERROR(__xludf.DUMMYFUNCTION("IF($D27="""",""未設定"",IF(ISERROR(IMPORTRANGE($D27,""'""&amp;$E27&amp;""'!B2"")),""未接続(アクセス許可が必要)"",""OK""))"),"未設定")</f>
        <v>未設定</v>
      </c>
      <c r="H27" s="25"/>
    </row>
    <row r="28">
      <c r="B28" s="21" t="s">
        <v>30</v>
      </c>
      <c r="C28" s="12">
        <v>46357.0</v>
      </c>
      <c r="D28" s="13"/>
      <c r="E28" s="16" t="s">
        <v>23</v>
      </c>
      <c r="F28" s="20" t="str">
        <f>IFERROR(__xludf.DUMMYFUNCTION("IF($D28="""",""未設定"",IF(ISERROR(IMPORTRANGE($D28,""'""&amp;$E28&amp;""'!B2"")),""未接続(アクセス許可が必要)"",""OK""))"),"未設定")</f>
        <v>未設定</v>
      </c>
      <c r="H28" s="25"/>
    </row>
    <row r="29">
      <c r="B29" s="21" t="s">
        <v>34</v>
      </c>
      <c r="C29" s="12">
        <v>46357.0</v>
      </c>
      <c r="D29" s="13"/>
      <c r="E29" s="16" t="s">
        <v>35</v>
      </c>
      <c r="F29" s="20" t="str">
        <f>IFERROR(__xludf.DUMMYFUNCTION("IF($D29="""",""未設定"",IF(ISERROR(IMPORTRANGE($D29,""'""&amp;$E29&amp;""'!B2"")),""未接続(アクセス許可が必要)"",""OK""))"),"未設定")</f>
        <v>未設定</v>
      </c>
      <c r="H29" s="25"/>
    </row>
    <row r="30">
      <c r="B30" s="21" t="s">
        <v>37</v>
      </c>
      <c r="C30" s="12">
        <v>46357.0</v>
      </c>
      <c r="D30" s="13"/>
      <c r="E30" s="16" t="s">
        <v>23</v>
      </c>
      <c r="F30" s="20" t="str">
        <f>IFERROR(__xludf.DUMMYFUNCTION("IF($D30="""",""未設定"",IF(ISERROR(IMPORTRANGE($D30,""'""&amp;$E30&amp;""'!B2"")),""未接続(アクセス許可が必要)"",""OK""))"),"未設定")</f>
        <v>未設定</v>
      </c>
      <c r="H30" s="25"/>
    </row>
    <row r="31">
      <c r="B31" s="21" t="s">
        <v>40</v>
      </c>
      <c r="C31" s="12">
        <v>46357.0</v>
      </c>
      <c r="D31" s="13"/>
      <c r="E31" s="16" t="s">
        <v>23</v>
      </c>
      <c r="F31" s="20" t="str">
        <f>IFERROR(__xludf.DUMMYFUNCTION("IF($D31="""",""未設定"",IF(ISERROR(IMPORTRANGE($D31,""'""&amp;$E31&amp;""'!B2"")),""未接続(アクセス許可が必要)"",""OK""))"),"未設定")</f>
        <v>未設定</v>
      </c>
      <c r="H31" s="25"/>
    </row>
    <row r="32">
      <c r="B32" s="21" t="s">
        <v>43</v>
      </c>
      <c r="C32" s="12">
        <v>46357.0</v>
      </c>
      <c r="D32" s="13"/>
      <c r="E32" s="16" t="s">
        <v>23</v>
      </c>
      <c r="F32" s="20" t="str">
        <f>IFERROR(__xludf.DUMMYFUNCTION("IF($D32="""",""未設定"",IF(ISERROR(IMPORTRANGE($D32,""'""&amp;$E32&amp;""'!B2"")),""未接続(アクセス許可が必要)"",""OK""))"),"未設定")</f>
        <v>未設定</v>
      </c>
      <c r="H32" s="25"/>
    </row>
    <row r="33">
      <c r="B33" s="21" t="s">
        <v>49</v>
      </c>
      <c r="C33" s="12">
        <v>46357.0</v>
      </c>
      <c r="D33" s="13"/>
      <c r="E33" s="16" t="s">
        <v>23</v>
      </c>
      <c r="F33" s="20" t="str">
        <f>IFERROR(__xludf.DUMMYFUNCTION("IF($D33="""",""未設定"",IF(ISERROR(IMPORTRANGE($D33,""'""&amp;$E33&amp;""'!B2"")),""未接続(アクセス許可が必要)"",""OK""))"),"未設定")</f>
        <v>未設定</v>
      </c>
      <c r="H33" s="25"/>
    </row>
    <row r="34">
      <c r="B34" s="21" t="s">
        <v>57</v>
      </c>
      <c r="C34" s="12">
        <v>46357.0</v>
      </c>
      <c r="D34" s="13"/>
      <c r="E34" s="16" t="s">
        <v>23</v>
      </c>
      <c r="F34" s="20" t="str">
        <f>IFERROR(__xludf.DUMMYFUNCTION("IF($D34="""",""未設定"",IF(ISERROR(IMPORTRANGE($D34,""'""&amp;$E34&amp;""'!B2"")),""未接続(アクセス許可が必要)"",""OK""))"),"未設定")</f>
        <v>未設定</v>
      </c>
      <c r="H34" s="25"/>
    </row>
    <row r="35">
      <c r="C35" s="58"/>
      <c r="H35" s="59"/>
    </row>
    <row r="36">
      <c r="B36" s="60" t="s">
        <v>71</v>
      </c>
      <c r="C36" s="61"/>
      <c r="H36" s="59"/>
    </row>
    <row r="37">
      <c r="B37" s="60" t="s">
        <v>72</v>
      </c>
      <c r="C37" s="61"/>
      <c r="H37" s="59"/>
    </row>
    <row r="38">
      <c r="C38" s="58"/>
      <c r="H38" s="59"/>
    </row>
    <row r="39">
      <c r="C39" s="58"/>
      <c r="H39" s="59"/>
    </row>
    <row r="40">
      <c r="C40" s="58"/>
      <c r="H40" s="59"/>
    </row>
    <row r="41">
      <c r="C41" s="58"/>
      <c r="H41" s="59"/>
    </row>
    <row r="42">
      <c r="C42" s="58"/>
      <c r="H42" s="59"/>
    </row>
    <row r="43">
      <c r="C43" s="58"/>
      <c r="H43" s="59"/>
    </row>
    <row r="44">
      <c r="C44" s="58"/>
      <c r="H44" s="59"/>
    </row>
    <row r="45" ht="15.75" customHeight="1">
      <c r="C45" s="58"/>
      <c r="H45" s="59"/>
    </row>
    <row r="46" ht="15.75" customHeight="1">
      <c r="C46" s="58"/>
      <c r="H46" s="59"/>
    </row>
    <row r="47" ht="15.75" customHeight="1">
      <c r="C47" s="58"/>
      <c r="H47" s="59"/>
    </row>
    <row r="48" ht="15.75" customHeight="1">
      <c r="C48" s="58"/>
      <c r="H48" s="59"/>
    </row>
    <row r="49" ht="15.75" customHeight="1">
      <c r="C49" s="58"/>
      <c r="H49" s="59"/>
    </row>
    <row r="50" ht="15.75" customHeight="1">
      <c r="C50" s="58"/>
      <c r="H50" s="59"/>
    </row>
    <row r="51" ht="15.75" customHeight="1">
      <c r="C51" s="58"/>
      <c r="H51" s="59"/>
    </row>
    <row r="52" ht="15.75" customHeight="1">
      <c r="C52" s="58"/>
      <c r="H52" s="59"/>
    </row>
    <row r="53" ht="15.75" customHeight="1">
      <c r="C53" s="58"/>
      <c r="H53" s="59"/>
    </row>
    <row r="54" ht="15.75" customHeight="1">
      <c r="C54" s="58"/>
      <c r="H54" s="59"/>
    </row>
    <row r="55" ht="15.75" customHeight="1">
      <c r="C55" s="58"/>
      <c r="H55" s="59"/>
    </row>
    <row r="56" ht="15.75" customHeight="1">
      <c r="C56" s="58"/>
      <c r="H56" s="59"/>
    </row>
    <row r="57" ht="15.75" customHeight="1">
      <c r="C57" s="58"/>
      <c r="H57" s="59"/>
    </row>
    <row r="58" ht="15.75" customHeight="1">
      <c r="C58" s="58"/>
      <c r="H58" s="59"/>
    </row>
    <row r="59" ht="15.75" customHeight="1">
      <c r="C59" s="58"/>
      <c r="H59" s="59"/>
    </row>
    <row r="60" ht="15.75" customHeight="1">
      <c r="C60" s="58"/>
      <c r="H60" s="59"/>
    </row>
    <row r="61" ht="15.75" customHeight="1">
      <c r="C61" s="58"/>
      <c r="H61" s="59"/>
    </row>
    <row r="62" ht="15.75" customHeight="1">
      <c r="C62" s="58"/>
      <c r="H62" s="59"/>
    </row>
    <row r="63" ht="15.75" customHeight="1">
      <c r="C63" s="58"/>
      <c r="H63" s="59"/>
    </row>
    <row r="64" ht="15.75" customHeight="1">
      <c r="C64" s="58"/>
      <c r="H64" s="59"/>
    </row>
    <row r="65" ht="15.75" customHeight="1">
      <c r="C65" s="58"/>
      <c r="H65" s="59"/>
    </row>
    <row r="66" ht="15.75" customHeight="1">
      <c r="C66" s="58"/>
      <c r="H66" s="59"/>
    </row>
    <row r="67" ht="15.75" customHeight="1">
      <c r="C67" s="58"/>
      <c r="H67" s="59"/>
    </row>
    <row r="68" ht="15.75" customHeight="1">
      <c r="C68" s="58"/>
      <c r="H68" s="59"/>
    </row>
    <row r="69" ht="15.75" customHeight="1">
      <c r="C69" s="58"/>
      <c r="H69" s="59"/>
    </row>
    <row r="70" ht="15.75" customHeight="1">
      <c r="C70" s="58"/>
      <c r="H70" s="59"/>
    </row>
    <row r="71" ht="15.75" customHeight="1">
      <c r="C71" s="58"/>
      <c r="H71" s="59"/>
    </row>
    <row r="72" ht="15.75" customHeight="1">
      <c r="C72" s="58"/>
      <c r="H72" s="59"/>
    </row>
    <row r="73" ht="15.75" customHeight="1">
      <c r="C73" s="58"/>
      <c r="H73" s="59"/>
    </row>
    <row r="74" ht="15.75" customHeight="1">
      <c r="C74" s="58"/>
      <c r="H74" s="59"/>
    </row>
    <row r="75" ht="15.75" customHeight="1">
      <c r="C75" s="58"/>
      <c r="H75" s="59"/>
    </row>
    <row r="76" ht="15.75" customHeight="1">
      <c r="C76" s="58"/>
      <c r="H76" s="59"/>
    </row>
    <row r="77" ht="15.75" customHeight="1">
      <c r="C77" s="58"/>
      <c r="H77" s="59"/>
    </row>
    <row r="78" ht="15.75" customHeight="1">
      <c r="C78" s="58"/>
      <c r="H78" s="59"/>
    </row>
    <row r="79" ht="15.75" customHeight="1">
      <c r="C79" s="58"/>
      <c r="H79" s="59"/>
    </row>
    <row r="80" ht="15.75" customHeight="1">
      <c r="C80" s="58"/>
      <c r="H80" s="59"/>
    </row>
    <row r="81" ht="15.75" customHeight="1">
      <c r="C81" s="58"/>
      <c r="H81" s="59"/>
    </row>
    <row r="82" ht="15.75" customHeight="1">
      <c r="C82" s="58"/>
      <c r="H82" s="59"/>
    </row>
    <row r="83" ht="15.75" customHeight="1">
      <c r="C83" s="58"/>
      <c r="H83" s="59"/>
    </row>
    <row r="84" ht="15.75" customHeight="1">
      <c r="C84" s="58"/>
      <c r="H84" s="59"/>
    </row>
    <row r="85" ht="15.75" customHeight="1">
      <c r="C85" s="58"/>
      <c r="H85" s="59"/>
    </row>
    <row r="86" ht="15.75" customHeight="1">
      <c r="C86" s="58"/>
      <c r="H86" s="59"/>
    </row>
    <row r="87" ht="15.75" customHeight="1">
      <c r="C87" s="58"/>
      <c r="H87" s="59"/>
    </row>
    <row r="88" ht="15.75" customHeight="1">
      <c r="C88" s="58"/>
      <c r="H88" s="59"/>
    </row>
    <row r="89" ht="15.75" customHeight="1">
      <c r="C89" s="58"/>
      <c r="H89" s="59"/>
    </row>
    <row r="90" ht="15.75" customHeight="1">
      <c r="C90" s="58"/>
      <c r="H90" s="59"/>
    </row>
    <row r="91" ht="15.75" customHeight="1">
      <c r="C91" s="58"/>
      <c r="H91" s="59"/>
    </row>
    <row r="92" ht="15.75" customHeight="1">
      <c r="C92" s="58"/>
      <c r="H92" s="59"/>
    </row>
    <row r="93" ht="15.75" customHeight="1">
      <c r="C93" s="58"/>
      <c r="H93" s="59"/>
    </row>
    <row r="94" ht="15.75" customHeight="1">
      <c r="C94" s="58"/>
      <c r="H94" s="59"/>
    </row>
    <row r="95" ht="15.75" customHeight="1">
      <c r="C95" s="58"/>
      <c r="H95" s="59"/>
    </row>
    <row r="96" ht="15.75" customHeight="1">
      <c r="C96" s="58"/>
      <c r="H96" s="59"/>
    </row>
    <row r="97" ht="15.75" customHeight="1">
      <c r="C97" s="58"/>
      <c r="H97" s="59"/>
    </row>
    <row r="98" ht="15.75" customHeight="1">
      <c r="C98" s="58"/>
      <c r="H98" s="59"/>
    </row>
    <row r="99" ht="15.75" customHeight="1">
      <c r="C99" s="58"/>
      <c r="H99" s="59"/>
    </row>
    <row r="100" ht="15.75" customHeight="1">
      <c r="C100" s="58"/>
      <c r="H100" s="59"/>
    </row>
    <row r="101" ht="15.75" customHeight="1">
      <c r="C101" s="58"/>
      <c r="H101" s="59"/>
    </row>
    <row r="102" ht="15.75" customHeight="1">
      <c r="C102" s="58"/>
      <c r="H102" s="59"/>
    </row>
    <row r="103" ht="15.75" customHeight="1">
      <c r="C103" s="58"/>
      <c r="H103" s="59"/>
    </row>
    <row r="104" ht="15.75" customHeight="1">
      <c r="C104" s="58"/>
      <c r="H104" s="59"/>
    </row>
    <row r="105" ht="15.75" customHeight="1">
      <c r="C105" s="58"/>
      <c r="H105" s="59"/>
    </row>
    <row r="106" ht="15.75" customHeight="1">
      <c r="C106" s="58"/>
      <c r="H106" s="59"/>
    </row>
    <row r="107" ht="15.75" customHeight="1">
      <c r="C107" s="58"/>
      <c r="H107" s="59"/>
    </row>
    <row r="108" ht="15.75" customHeight="1">
      <c r="C108" s="58"/>
      <c r="H108" s="59"/>
    </row>
    <row r="109" ht="15.75" customHeight="1">
      <c r="C109" s="58"/>
      <c r="H109" s="59"/>
    </row>
    <row r="110" ht="15.75" customHeight="1">
      <c r="C110" s="58"/>
      <c r="H110" s="59"/>
    </row>
    <row r="111" ht="15.75" customHeight="1">
      <c r="C111" s="58"/>
      <c r="H111" s="59"/>
    </row>
    <row r="112" ht="15.75" customHeight="1">
      <c r="C112" s="58"/>
      <c r="H112" s="59"/>
    </row>
    <row r="113" ht="15.75" customHeight="1">
      <c r="C113" s="58"/>
      <c r="H113" s="59"/>
    </row>
    <row r="114" ht="15.75" customHeight="1">
      <c r="C114" s="58"/>
      <c r="H114" s="59"/>
    </row>
    <row r="115" ht="15.75" customHeight="1">
      <c r="C115" s="58"/>
      <c r="H115" s="59"/>
    </row>
    <row r="116" ht="15.75" customHeight="1">
      <c r="C116" s="58"/>
      <c r="H116" s="59"/>
    </row>
    <row r="117" ht="15.75" customHeight="1">
      <c r="C117" s="58"/>
      <c r="H117" s="59"/>
    </row>
    <row r="118" ht="15.75" customHeight="1">
      <c r="C118" s="58"/>
      <c r="H118" s="59"/>
    </row>
    <row r="119" ht="15.75" customHeight="1">
      <c r="C119" s="58"/>
      <c r="H119" s="59"/>
    </row>
    <row r="120" ht="15.75" customHeight="1">
      <c r="C120" s="58"/>
      <c r="H120" s="59"/>
    </row>
    <row r="121" ht="15.75" customHeight="1">
      <c r="C121" s="58"/>
      <c r="H121" s="59"/>
    </row>
    <row r="122" ht="15.75" customHeight="1">
      <c r="C122" s="58"/>
      <c r="H122" s="59"/>
    </row>
    <row r="123" ht="15.75" customHeight="1">
      <c r="C123" s="58"/>
      <c r="H123" s="59"/>
    </row>
    <row r="124" ht="15.75" customHeight="1">
      <c r="C124" s="58"/>
      <c r="H124" s="59"/>
    </row>
    <row r="125" ht="15.75" customHeight="1">
      <c r="C125" s="58"/>
      <c r="H125" s="59"/>
    </row>
    <row r="126" ht="15.75" customHeight="1">
      <c r="C126" s="58"/>
      <c r="H126" s="59"/>
    </row>
    <row r="127" ht="15.75" customHeight="1">
      <c r="C127" s="58"/>
      <c r="H127" s="59"/>
    </row>
    <row r="128" ht="15.75" customHeight="1">
      <c r="C128" s="58"/>
      <c r="H128" s="59"/>
    </row>
    <row r="129" ht="15.75" customHeight="1">
      <c r="C129" s="58"/>
      <c r="H129" s="59"/>
    </row>
    <row r="130" ht="15.75" customHeight="1">
      <c r="C130" s="58"/>
      <c r="H130" s="59"/>
    </row>
    <row r="131" ht="15.75" customHeight="1">
      <c r="C131" s="58"/>
      <c r="H131" s="59"/>
    </row>
    <row r="132" ht="15.75" customHeight="1">
      <c r="C132" s="58"/>
      <c r="H132" s="59"/>
    </row>
    <row r="133" ht="15.75" customHeight="1">
      <c r="C133" s="58"/>
      <c r="H133" s="59"/>
    </row>
    <row r="134" ht="15.75" customHeight="1">
      <c r="C134" s="58"/>
      <c r="H134" s="59"/>
    </row>
    <row r="135" ht="15.75" customHeight="1">
      <c r="C135" s="58"/>
      <c r="H135" s="59"/>
    </row>
    <row r="136" ht="15.75" customHeight="1">
      <c r="C136" s="58"/>
      <c r="H136" s="59"/>
    </row>
    <row r="137" ht="15.75" customHeight="1">
      <c r="C137" s="58"/>
      <c r="H137" s="59"/>
    </row>
    <row r="138" ht="15.75" customHeight="1">
      <c r="C138" s="58"/>
      <c r="H138" s="59"/>
    </row>
    <row r="139" ht="15.75" customHeight="1">
      <c r="C139" s="58"/>
      <c r="H139" s="59"/>
    </row>
    <row r="140" ht="15.75" customHeight="1">
      <c r="C140" s="58"/>
      <c r="H140" s="59"/>
    </row>
    <row r="141" ht="15.75" customHeight="1">
      <c r="C141" s="58"/>
      <c r="H141" s="59"/>
    </row>
    <row r="142" ht="15.75" customHeight="1">
      <c r="C142" s="58"/>
      <c r="H142" s="59"/>
    </row>
    <row r="143" ht="15.75" customHeight="1">
      <c r="C143" s="58"/>
      <c r="H143" s="59"/>
    </row>
    <row r="144" ht="15.75" customHeight="1">
      <c r="C144" s="58"/>
      <c r="H144" s="59"/>
    </row>
    <row r="145" ht="15.75" customHeight="1">
      <c r="C145" s="58"/>
      <c r="H145" s="59"/>
    </row>
    <row r="146" ht="15.75" customHeight="1">
      <c r="C146" s="58"/>
      <c r="H146" s="59"/>
    </row>
    <row r="147" ht="15.75" customHeight="1">
      <c r="C147" s="58"/>
      <c r="H147" s="59"/>
    </row>
    <row r="148" ht="15.75" customHeight="1">
      <c r="C148" s="58"/>
      <c r="H148" s="59"/>
    </row>
    <row r="149" ht="15.75" customHeight="1">
      <c r="C149" s="58"/>
      <c r="H149" s="59"/>
    </row>
    <row r="150" ht="15.75" customHeight="1">
      <c r="C150" s="58"/>
      <c r="H150" s="59"/>
    </row>
    <row r="151" ht="15.75" customHeight="1">
      <c r="C151" s="58"/>
      <c r="H151" s="59"/>
    </row>
    <row r="152" ht="15.75" customHeight="1">
      <c r="C152" s="58"/>
      <c r="H152" s="59"/>
    </row>
    <row r="153" ht="15.75" customHeight="1">
      <c r="C153" s="58"/>
      <c r="H153" s="59"/>
    </row>
    <row r="154" ht="15.75" customHeight="1">
      <c r="C154" s="58"/>
      <c r="H154" s="59"/>
    </row>
    <row r="155" ht="15.75" customHeight="1">
      <c r="C155" s="58"/>
      <c r="H155" s="59"/>
    </row>
    <row r="156" ht="15.75" customHeight="1">
      <c r="C156" s="58"/>
      <c r="H156" s="59"/>
    </row>
    <row r="157" ht="15.75" customHeight="1">
      <c r="C157" s="58"/>
      <c r="H157" s="59"/>
    </row>
    <row r="158" ht="15.75" customHeight="1">
      <c r="C158" s="58"/>
      <c r="H158" s="59"/>
    </row>
    <row r="159" ht="15.75" customHeight="1">
      <c r="C159" s="58"/>
      <c r="H159" s="59"/>
    </row>
    <row r="160" ht="15.75" customHeight="1">
      <c r="C160" s="58"/>
      <c r="H160" s="59"/>
    </row>
    <row r="161" ht="15.75" customHeight="1">
      <c r="C161" s="58"/>
      <c r="H161" s="59"/>
    </row>
    <row r="162" ht="15.75" customHeight="1">
      <c r="C162" s="58"/>
      <c r="H162" s="59"/>
    </row>
    <row r="163" ht="15.75" customHeight="1">
      <c r="C163" s="58"/>
      <c r="H163" s="59"/>
    </row>
    <row r="164" ht="15.75" customHeight="1">
      <c r="C164" s="58"/>
      <c r="H164" s="59"/>
    </row>
    <row r="165" ht="15.75" customHeight="1">
      <c r="C165" s="58"/>
      <c r="H165" s="59"/>
    </row>
    <row r="166" ht="15.75" customHeight="1">
      <c r="C166" s="58"/>
      <c r="H166" s="59"/>
    </row>
    <row r="167" ht="15.75" customHeight="1">
      <c r="C167" s="58"/>
      <c r="H167" s="59"/>
    </row>
    <row r="168" ht="15.75" customHeight="1">
      <c r="C168" s="58"/>
      <c r="H168" s="59"/>
    </row>
    <row r="169" ht="15.75" customHeight="1">
      <c r="C169" s="58"/>
      <c r="H169" s="59"/>
    </row>
    <row r="170" ht="15.75" customHeight="1">
      <c r="C170" s="58"/>
      <c r="H170" s="59"/>
    </row>
    <row r="171" ht="15.75" customHeight="1">
      <c r="C171" s="58"/>
      <c r="H171" s="59"/>
    </row>
    <row r="172" ht="15.75" customHeight="1">
      <c r="C172" s="58"/>
      <c r="H172" s="59"/>
    </row>
    <row r="173" ht="15.75" customHeight="1">
      <c r="C173" s="58"/>
      <c r="H173" s="59"/>
    </row>
    <row r="174" ht="15.75" customHeight="1">
      <c r="C174" s="58"/>
      <c r="H174" s="59"/>
    </row>
    <row r="175" ht="15.75" customHeight="1">
      <c r="C175" s="58"/>
      <c r="H175" s="59"/>
    </row>
    <row r="176" ht="15.75" customHeight="1">
      <c r="C176" s="58"/>
      <c r="H176" s="59"/>
    </row>
    <row r="177" ht="15.75" customHeight="1">
      <c r="C177" s="58"/>
      <c r="H177" s="59"/>
    </row>
    <row r="178" ht="15.75" customHeight="1">
      <c r="C178" s="58"/>
      <c r="H178" s="59"/>
    </row>
    <row r="179" ht="15.75" customHeight="1">
      <c r="C179" s="58"/>
      <c r="H179" s="59"/>
    </row>
    <row r="180" ht="15.75" customHeight="1">
      <c r="C180" s="58"/>
      <c r="H180" s="59"/>
    </row>
    <row r="181" ht="15.75" customHeight="1">
      <c r="C181" s="58"/>
      <c r="H181" s="59"/>
    </row>
    <row r="182" ht="15.75" customHeight="1">
      <c r="C182" s="58"/>
      <c r="H182" s="59"/>
    </row>
    <row r="183" ht="15.75" customHeight="1">
      <c r="C183" s="58"/>
      <c r="H183" s="59"/>
    </row>
    <row r="184" ht="15.75" customHeight="1">
      <c r="C184" s="58"/>
      <c r="H184" s="59"/>
    </row>
    <row r="185" ht="15.75" customHeight="1">
      <c r="C185" s="58"/>
      <c r="H185" s="59"/>
    </row>
    <row r="186" ht="15.75" customHeight="1">
      <c r="C186" s="58"/>
      <c r="H186" s="59"/>
    </row>
    <row r="187" ht="15.75" customHeight="1">
      <c r="C187" s="58"/>
      <c r="H187" s="59"/>
    </row>
    <row r="188" ht="15.75" customHeight="1">
      <c r="C188" s="58"/>
      <c r="H188" s="59"/>
    </row>
    <row r="189" ht="15.75" customHeight="1">
      <c r="C189" s="58"/>
      <c r="H189" s="59"/>
    </row>
    <row r="190" ht="15.75" customHeight="1">
      <c r="C190" s="58"/>
      <c r="H190" s="59"/>
    </row>
    <row r="191" ht="15.75" customHeight="1">
      <c r="C191" s="58"/>
      <c r="H191" s="59"/>
    </row>
    <row r="192" ht="15.75" customHeight="1">
      <c r="C192" s="58"/>
      <c r="H192" s="59"/>
    </row>
    <row r="193" ht="15.75" customHeight="1">
      <c r="C193" s="58"/>
      <c r="H193" s="59"/>
    </row>
    <row r="194" ht="15.75" customHeight="1">
      <c r="C194" s="58"/>
      <c r="H194" s="59"/>
    </row>
    <row r="195" ht="15.75" customHeight="1">
      <c r="C195" s="58"/>
      <c r="H195" s="59"/>
    </row>
    <row r="196" ht="15.75" customHeight="1">
      <c r="C196" s="58"/>
      <c r="H196" s="59"/>
    </row>
    <row r="197" ht="15.75" customHeight="1">
      <c r="C197" s="58"/>
      <c r="H197" s="59"/>
    </row>
    <row r="198" ht="15.75" customHeight="1">
      <c r="C198" s="58"/>
      <c r="H198" s="59"/>
    </row>
    <row r="199" ht="15.75" customHeight="1">
      <c r="C199" s="58"/>
      <c r="H199" s="59"/>
    </row>
    <row r="200" ht="15.75" customHeight="1">
      <c r="C200" s="58"/>
      <c r="H200" s="59"/>
    </row>
    <row r="201" ht="15.75" customHeight="1">
      <c r="C201" s="58"/>
      <c r="H201" s="59"/>
    </row>
    <row r="202" ht="15.75" customHeight="1">
      <c r="C202" s="58"/>
      <c r="H202" s="59"/>
    </row>
    <row r="203" ht="15.75" customHeight="1">
      <c r="C203" s="58"/>
      <c r="H203" s="59"/>
    </row>
    <row r="204" ht="15.75" customHeight="1">
      <c r="C204" s="58"/>
      <c r="H204" s="59"/>
    </row>
    <row r="205" ht="15.75" customHeight="1">
      <c r="C205" s="58"/>
      <c r="H205" s="59"/>
    </row>
    <row r="206" ht="15.75" customHeight="1">
      <c r="C206" s="58"/>
      <c r="H206" s="59"/>
    </row>
    <row r="207" ht="15.75" customHeight="1">
      <c r="C207" s="58"/>
      <c r="H207" s="59"/>
    </row>
    <row r="208" ht="15.75" customHeight="1">
      <c r="C208" s="58"/>
      <c r="H208" s="59"/>
    </row>
    <row r="209" ht="15.75" customHeight="1">
      <c r="C209" s="58"/>
      <c r="H209" s="59"/>
    </row>
    <row r="210" ht="15.75" customHeight="1">
      <c r="C210" s="58"/>
      <c r="H210" s="59"/>
    </row>
    <row r="211" ht="15.75" customHeight="1">
      <c r="C211" s="58"/>
      <c r="H211" s="59"/>
    </row>
    <row r="212" ht="15.75" customHeight="1">
      <c r="C212" s="58"/>
      <c r="H212" s="59"/>
    </row>
    <row r="213" ht="15.75" customHeight="1">
      <c r="C213" s="58"/>
      <c r="H213" s="59"/>
    </row>
    <row r="214" ht="15.75" customHeight="1">
      <c r="C214" s="58"/>
      <c r="H214" s="59"/>
    </row>
    <row r="215" ht="15.75" customHeight="1">
      <c r="C215" s="58"/>
      <c r="H215" s="59"/>
    </row>
    <row r="216" ht="15.75" customHeight="1">
      <c r="C216" s="58"/>
      <c r="H216" s="59"/>
    </row>
    <row r="217" ht="15.75" customHeight="1">
      <c r="C217" s="58"/>
      <c r="H217" s="59"/>
    </row>
    <row r="218" ht="15.75" customHeight="1">
      <c r="C218" s="58"/>
      <c r="H218" s="59"/>
    </row>
    <row r="219" ht="15.75" customHeight="1">
      <c r="C219" s="58"/>
      <c r="H219" s="59"/>
    </row>
    <row r="220" ht="15.75" customHeight="1">
      <c r="C220" s="58"/>
      <c r="H220" s="59"/>
    </row>
    <row r="221" ht="15.75" customHeight="1">
      <c r="C221" s="58"/>
      <c r="H221" s="59"/>
    </row>
    <row r="222" ht="15.75" customHeight="1">
      <c r="C222" s="58"/>
      <c r="H222" s="59"/>
    </row>
    <row r="223" ht="15.75" customHeight="1">
      <c r="C223" s="58"/>
      <c r="H223" s="59"/>
    </row>
    <row r="224" ht="15.75" customHeight="1">
      <c r="C224" s="58"/>
      <c r="H224" s="59"/>
    </row>
    <row r="225" ht="15.75" customHeight="1">
      <c r="C225" s="58"/>
      <c r="H225" s="59"/>
    </row>
    <row r="226" ht="15.75" customHeight="1">
      <c r="C226" s="58"/>
      <c r="H226" s="59"/>
    </row>
    <row r="227" ht="15.75" customHeight="1">
      <c r="C227" s="58"/>
      <c r="H227" s="59"/>
    </row>
    <row r="228" ht="15.75" customHeight="1">
      <c r="C228" s="58"/>
      <c r="H228" s="59"/>
    </row>
    <row r="229" ht="15.75" customHeight="1">
      <c r="C229" s="58"/>
      <c r="H229" s="59"/>
    </row>
    <row r="230" ht="15.75" customHeight="1">
      <c r="C230" s="58"/>
      <c r="H230" s="59"/>
    </row>
    <row r="231" ht="15.75" customHeight="1">
      <c r="C231" s="58"/>
      <c r="H231" s="59"/>
    </row>
    <row r="232" ht="15.75" customHeight="1">
      <c r="C232" s="58"/>
      <c r="H232" s="59"/>
    </row>
    <row r="233" ht="15.75" customHeight="1">
      <c r="C233" s="58"/>
      <c r="H233" s="59"/>
    </row>
    <row r="234" ht="15.75" customHeight="1">
      <c r="C234" s="58"/>
      <c r="H234" s="59"/>
    </row>
    <row r="235" ht="15.75" customHeight="1">
      <c r="C235" s="58"/>
      <c r="H235" s="59"/>
    </row>
    <row r="236" ht="15.75" customHeight="1">
      <c r="C236" s="58"/>
      <c r="H236" s="59"/>
    </row>
    <row r="237" ht="15.75" customHeight="1">
      <c r="C237" s="58"/>
      <c r="H237" s="59"/>
    </row>
    <row r="238" ht="15.75" customHeight="1">
      <c r="C238" s="58"/>
      <c r="H238" s="59"/>
    </row>
    <row r="239" ht="15.75" customHeight="1">
      <c r="C239" s="58"/>
      <c r="H239" s="59"/>
    </row>
    <row r="240" ht="15.75" customHeight="1">
      <c r="C240" s="58"/>
      <c r="H240" s="59"/>
    </row>
    <row r="241" ht="15.75" customHeight="1">
      <c r="C241" s="58"/>
      <c r="H241" s="59"/>
    </row>
    <row r="242" ht="15.75" customHeight="1">
      <c r="C242" s="58"/>
      <c r="H242" s="59"/>
    </row>
    <row r="243" ht="15.75" customHeight="1">
      <c r="C243" s="58"/>
      <c r="H243" s="59"/>
    </row>
    <row r="244" ht="15.75" customHeight="1">
      <c r="C244" s="58"/>
      <c r="H244" s="59"/>
    </row>
    <row r="245" ht="15.75" customHeight="1">
      <c r="C245" s="58"/>
      <c r="H245" s="59"/>
    </row>
    <row r="246" ht="15.75" customHeight="1">
      <c r="C246" s="58"/>
      <c r="H246" s="59"/>
    </row>
    <row r="247" ht="15.75" customHeight="1">
      <c r="C247" s="58"/>
      <c r="H247" s="59"/>
    </row>
    <row r="248" ht="15.75" customHeight="1">
      <c r="C248" s="58"/>
      <c r="H248" s="59"/>
    </row>
    <row r="249" ht="15.75" customHeight="1">
      <c r="C249" s="58"/>
      <c r="H249" s="59"/>
    </row>
    <row r="250" ht="15.75" customHeight="1">
      <c r="C250" s="58"/>
      <c r="H250" s="59"/>
    </row>
    <row r="251" ht="15.75" customHeight="1">
      <c r="C251" s="58"/>
      <c r="H251" s="59"/>
    </row>
    <row r="252" ht="15.75" customHeight="1">
      <c r="C252" s="58"/>
      <c r="H252" s="59"/>
    </row>
    <row r="253" ht="15.75" customHeight="1">
      <c r="C253" s="58"/>
      <c r="H253" s="59"/>
    </row>
    <row r="254" ht="15.75" customHeight="1">
      <c r="C254" s="58"/>
      <c r="H254" s="59"/>
    </row>
    <row r="255" ht="15.75" customHeight="1">
      <c r="C255" s="58"/>
      <c r="H255" s="59"/>
    </row>
    <row r="256" ht="15.75" customHeight="1">
      <c r="C256" s="58"/>
      <c r="H256" s="59"/>
    </row>
    <row r="257" ht="15.75" customHeight="1">
      <c r="C257" s="58"/>
      <c r="H257" s="59"/>
    </row>
    <row r="258" ht="15.75" customHeight="1">
      <c r="C258" s="58"/>
      <c r="H258" s="59"/>
    </row>
    <row r="259" ht="15.75" customHeight="1">
      <c r="C259" s="58"/>
      <c r="H259" s="59"/>
    </row>
    <row r="260" ht="15.75" customHeight="1">
      <c r="C260" s="58"/>
      <c r="H260" s="59"/>
    </row>
    <row r="261" ht="15.75" customHeight="1">
      <c r="C261" s="58"/>
      <c r="H261" s="59"/>
    </row>
    <row r="262" ht="15.75" customHeight="1">
      <c r="C262" s="58"/>
      <c r="H262" s="59"/>
    </row>
    <row r="263" ht="15.75" customHeight="1">
      <c r="C263" s="58"/>
      <c r="H263" s="59"/>
    </row>
    <row r="264" ht="15.75" customHeight="1">
      <c r="C264" s="58"/>
      <c r="H264" s="59"/>
    </row>
    <row r="265" ht="15.75" customHeight="1">
      <c r="C265" s="58"/>
      <c r="H265" s="59"/>
    </row>
    <row r="266" ht="15.75" customHeight="1">
      <c r="C266" s="58"/>
      <c r="H266" s="59"/>
    </row>
    <row r="267" ht="15.75" customHeight="1">
      <c r="C267" s="58"/>
      <c r="H267" s="59"/>
    </row>
    <row r="268" ht="15.75" customHeight="1">
      <c r="C268" s="58"/>
      <c r="H268" s="59"/>
    </row>
    <row r="269" ht="15.75" customHeight="1">
      <c r="C269" s="58"/>
      <c r="H269" s="59"/>
    </row>
    <row r="270" ht="15.75" customHeight="1">
      <c r="C270" s="58"/>
      <c r="H270" s="59"/>
    </row>
    <row r="271" ht="15.75" customHeight="1">
      <c r="C271" s="58"/>
      <c r="H271" s="59"/>
    </row>
    <row r="272" ht="15.75" customHeight="1">
      <c r="C272" s="58"/>
      <c r="H272" s="59"/>
    </row>
    <row r="273" ht="15.75" customHeight="1">
      <c r="C273" s="58"/>
      <c r="H273" s="59"/>
    </row>
    <row r="274" ht="15.75" customHeight="1">
      <c r="C274" s="58"/>
      <c r="H274" s="59"/>
    </row>
    <row r="275" ht="15.75" customHeight="1">
      <c r="C275" s="58"/>
      <c r="H275" s="59"/>
    </row>
    <row r="276" ht="15.75" customHeight="1">
      <c r="C276" s="58"/>
      <c r="H276" s="59"/>
    </row>
    <row r="277" ht="15.75" customHeight="1">
      <c r="C277" s="58"/>
      <c r="H277" s="59"/>
    </row>
    <row r="278" ht="15.75" customHeight="1">
      <c r="C278" s="58"/>
      <c r="H278" s="59"/>
    </row>
    <row r="279" ht="15.75" customHeight="1">
      <c r="C279" s="58"/>
      <c r="H279" s="59"/>
    </row>
    <row r="280" ht="15.75" customHeight="1">
      <c r="C280" s="58"/>
      <c r="H280" s="59"/>
    </row>
    <row r="281" ht="15.75" customHeight="1">
      <c r="C281" s="58"/>
      <c r="H281" s="59"/>
    </row>
    <row r="282" ht="15.75" customHeight="1">
      <c r="C282" s="58"/>
      <c r="H282" s="59"/>
    </row>
    <row r="283" ht="15.75" customHeight="1">
      <c r="C283" s="58"/>
      <c r="H283" s="59"/>
    </row>
    <row r="284" ht="15.75" customHeight="1">
      <c r="C284" s="58"/>
      <c r="H284" s="59"/>
    </row>
    <row r="285" ht="15.75" customHeight="1">
      <c r="C285" s="58"/>
      <c r="H285" s="59"/>
    </row>
    <row r="286" ht="15.75" customHeight="1">
      <c r="C286" s="58"/>
      <c r="H286" s="59"/>
    </row>
    <row r="287" ht="15.75" customHeight="1">
      <c r="C287" s="58"/>
      <c r="H287" s="59"/>
    </row>
    <row r="288" ht="15.75" customHeight="1">
      <c r="C288" s="58"/>
      <c r="H288" s="59"/>
    </row>
    <row r="289" ht="15.75" customHeight="1">
      <c r="C289" s="58"/>
      <c r="H289" s="59"/>
    </row>
    <row r="290" ht="15.75" customHeight="1">
      <c r="C290" s="58"/>
      <c r="H290" s="59"/>
    </row>
    <row r="291" ht="15.75" customHeight="1">
      <c r="C291" s="58"/>
      <c r="H291" s="59"/>
    </row>
    <row r="292" ht="15.75" customHeight="1">
      <c r="C292" s="58"/>
      <c r="H292" s="59"/>
    </row>
    <row r="293" ht="15.75" customHeight="1">
      <c r="C293" s="58"/>
      <c r="H293" s="59"/>
    </row>
    <row r="294" ht="15.75" customHeight="1">
      <c r="C294" s="58"/>
      <c r="H294" s="59"/>
    </row>
    <row r="295" ht="15.75" customHeight="1">
      <c r="C295" s="58"/>
      <c r="H295" s="59"/>
    </row>
    <row r="296" ht="15.75" customHeight="1">
      <c r="C296" s="58"/>
      <c r="H296" s="59"/>
    </row>
    <row r="297" ht="15.75" customHeight="1">
      <c r="C297" s="58"/>
      <c r="H297" s="59"/>
    </row>
    <row r="298" ht="15.75" customHeight="1">
      <c r="C298" s="58"/>
      <c r="H298" s="59"/>
    </row>
    <row r="299" ht="15.75" customHeight="1">
      <c r="C299" s="58"/>
      <c r="H299" s="59"/>
    </row>
    <row r="300" ht="15.75" customHeight="1">
      <c r="C300" s="58"/>
      <c r="H300" s="59"/>
    </row>
    <row r="301" ht="15.75" customHeight="1">
      <c r="C301" s="58"/>
      <c r="H301" s="59"/>
    </row>
    <row r="302" ht="15.75" customHeight="1">
      <c r="C302" s="58"/>
      <c r="H302" s="59"/>
    </row>
    <row r="303" ht="15.75" customHeight="1">
      <c r="C303" s="58"/>
      <c r="H303" s="59"/>
    </row>
    <row r="304" ht="15.75" customHeight="1">
      <c r="C304" s="58"/>
      <c r="H304" s="59"/>
    </row>
    <row r="305" ht="15.75" customHeight="1">
      <c r="C305" s="58"/>
      <c r="H305" s="59"/>
    </row>
    <row r="306" ht="15.75" customHeight="1">
      <c r="C306" s="58"/>
      <c r="H306" s="59"/>
    </row>
    <row r="307" ht="15.75" customHeight="1">
      <c r="C307" s="58"/>
      <c r="H307" s="59"/>
    </row>
    <row r="308" ht="15.75" customHeight="1">
      <c r="C308" s="58"/>
      <c r="H308" s="59"/>
    </row>
    <row r="309" ht="15.75" customHeight="1">
      <c r="C309" s="58"/>
      <c r="H309" s="59"/>
    </row>
    <row r="310" ht="15.75" customHeight="1">
      <c r="C310" s="58"/>
      <c r="H310" s="59"/>
    </row>
    <row r="311" ht="15.75" customHeight="1">
      <c r="C311" s="58"/>
      <c r="H311" s="59"/>
    </row>
    <row r="312" ht="15.75" customHeight="1">
      <c r="C312" s="58"/>
      <c r="H312" s="59"/>
    </row>
    <row r="313" ht="15.75" customHeight="1">
      <c r="C313" s="58"/>
      <c r="H313" s="59"/>
    </row>
    <row r="314" ht="15.75" customHeight="1">
      <c r="C314" s="58"/>
      <c r="H314" s="59"/>
    </row>
    <row r="315" ht="15.75" customHeight="1">
      <c r="C315" s="58"/>
      <c r="H315" s="59"/>
    </row>
    <row r="316" ht="15.75" customHeight="1">
      <c r="C316" s="58"/>
      <c r="H316" s="59"/>
    </row>
    <row r="317" ht="15.75" customHeight="1">
      <c r="C317" s="58"/>
      <c r="H317" s="59"/>
    </row>
    <row r="318" ht="15.75" customHeight="1">
      <c r="C318" s="58"/>
      <c r="H318" s="59"/>
    </row>
    <row r="319" ht="15.75" customHeight="1">
      <c r="C319" s="58"/>
      <c r="H319" s="59"/>
    </row>
    <row r="320" ht="15.75" customHeight="1">
      <c r="C320" s="58"/>
      <c r="H320" s="59"/>
    </row>
    <row r="321" ht="15.75" customHeight="1">
      <c r="C321" s="58"/>
      <c r="H321" s="59"/>
    </row>
    <row r="322" ht="15.75" customHeight="1">
      <c r="C322" s="58"/>
      <c r="H322" s="59"/>
    </row>
    <row r="323" ht="15.75" customHeight="1">
      <c r="C323" s="58"/>
      <c r="H323" s="59"/>
    </row>
    <row r="324" ht="15.75" customHeight="1">
      <c r="C324" s="58"/>
      <c r="H324" s="59"/>
    </row>
    <row r="325" ht="15.75" customHeight="1">
      <c r="C325" s="58"/>
      <c r="H325" s="59"/>
    </row>
    <row r="326" ht="15.75" customHeight="1">
      <c r="C326" s="58"/>
      <c r="H326" s="59"/>
    </row>
    <row r="327" ht="15.75" customHeight="1">
      <c r="C327" s="58"/>
      <c r="H327" s="59"/>
    </row>
    <row r="328" ht="15.75" customHeight="1">
      <c r="C328" s="58"/>
      <c r="H328" s="59"/>
    </row>
    <row r="329" ht="15.75" customHeight="1">
      <c r="C329" s="58"/>
      <c r="H329" s="59"/>
    </row>
    <row r="330" ht="15.75" customHeight="1">
      <c r="C330" s="58"/>
      <c r="H330" s="59"/>
    </row>
    <row r="331" ht="15.75" customHeight="1">
      <c r="C331" s="58"/>
      <c r="H331" s="59"/>
    </row>
    <row r="332" ht="15.75" customHeight="1">
      <c r="C332" s="58"/>
      <c r="H332" s="59"/>
    </row>
    <row r="333" ht="15.75" customHeight="1">
      <c r="C333" s="58"/>
      <c r="H333" s="59"/>
    </row>
    <row r="334" ht="15.75" customHeight="1">
      <c r="C334" s="58"/>
      <c r="H334" s="59"/>
    </row>
    <row r="335" ht="15.75" customHeight="1">
      <c r="C335" s="58"/>
      <c r="H335" s="59"/>
    </row>
    <row r="336" ht="15.75" customHeight="1">
      <c r="C336" s="58"/>
      <c r="H336" s="59"/>
    </row>
    <row r="337" ht="15.75" customHeight="1">
      <c r="C337" s="58"/>
      <c r="H337" s="59"/>
    </row>
    <row r="338" ht="15.75" customHeight="1">
      <c r="C338" s="58"/>
      <c r="H338" s="59"/>
    </row>
    <row r="339" ht="15.75" customHeight="1">
      <c r="C339" s="58"/>
      <c r="H339" s="59"/>
    </row>
    <row r="340" ht="15.75" customHeight="1">
      <c r="C340" s="58"/>
      <c r="H340" s="59"/>
    </row>
    <row r="341" ht="15.75" customHeight="1">
      <c r="C341" s="58"/>
      <c r="H341" s="59"/>
    </row>
    <row r="342" ht="15.75" customHeight="1">
      <c r="C342" s="58"/>
      <c r="H342" s="59"/>
    </row>
    <row r="343" ht="15.75" customHeight="1">
      <c r="C343" s="58"/>
      <c r="H343" s="59"/>
    </row>
    <row r="344" ht="15.75" customHeight="1">
      <c r="C344" s="58"/>
      <c r="H344" s="59"/>
    </row>
    <row r="345" ht="15.75" customHeight="1">
      <c r="C345" s="58"/>
      <c r="H345" s="59"/>
    </row>
    <row r="346" ht="15.75" customHeight="1">
      <c r="C346" s="58"/>
      <c r="H346" s="59"/>
    </row>
    <row r="347" ht="15.75" customHeight="1">
      <c r="C347" s="58"/>
      <c r="H347" s="59"/>
    </row>
    <row r="348" ht="15.75" customHeight="1">
      <c r="C348" s="58"/>
      <c r="H348" s="59"/>
    </row>
    <row r="349" ht="15.75" customHeight="1">
      <c r="C349" s="58"/>
      <c r="H349" s="59"/>
    </row>
    <row r="350" ht="15.75" customHeight="1">
      <c r="C350" s="58"/>
      <c r="H350" s="59"/>
    </row>
    <row r="351" ht="15.75" customHeight="1">
      <c r="C351" s="58"/>
      <c r="H351" s="59"/>
    </row>
    <row r="352" ht="15.75" customHeight="1">
      <c r="C352" s="58"/>
      <c r="H352" s="59"/>
    </row>
    <row r="353" ht="15.75" customHeight="1">
      <c r="C353" s="58"/>
      <c r="H353" s="59"/>
    </row>
    <row r="354" ht="15.75" customHeight="1">
      <c r="C354" s="58"/>
      <c r="H354" s="59"/>
    </row>
    <row r="355" ht="15.75" customHeight="1">
      <c r="C355" s="58"/>
      <c r="H355" s="59"/>
    </row>
    <row r="356" ht="15.75" customHeight="1">
      <c r="C356" s="58"/>
      <c r="H356" s="59"/>
    </row>
    <row r="357" ht="15.75" customHeight="1">
      <c r="C357" s="58"/>
      <c r="H357" s="59"/>
    </row>
    <row r="358" ht="15.75" customHeight="1">
      <c r="C358" s="58"/>
      <c r="H358" s="59"/>
    </row>
    <row r="359" ht="15.75" customHeight="1">
      <c r="C359" s="58"/>
      <c r="H359" s="59"/>
    </row>
    <row r="360" ht="15.75" customHeight="1">
      <c r="C360" s="58"/>
      <c r="H360" s="59"/>
    </row>
    <row r="361" ht="15.75" customHeight="1">
      <c r="C361" s="58"/>
      <c r="H361" s="59"/>
    </row>
    <row r="362" ht="15.75" customHeight="1">
      <c r="C362" s="58"/>
      <c r="H362" s="59"/>
    </row>
    <row r="363" ht="15.75" customHeight="1">
      <c r="C363" s="58"/>
      <c r="H363" s="59"/>
    </row>
    <row r="364" ht="15.75" customHeight="1">
      <c r="C364" s="58"/>
      <c r="H364" s="59"/>
    </row>
    <row r="365" ht="15.75" customHeight="1">
      <c r="C365" s="58"/>
      <c r="H365" s="59"/>
    </row>
    <row r="366" ht="15.75" customHeight="1">
      <c r="C366" s="58"/>
      <c r="H366" s="59"/>
    </row>
    <row r="367" ht="15.75" customHeight="1">
      <c r="C367" s="58"/>
      <c r="H367" s="59"/>
    </row>
    <row r="368" ht="15.75" customHeight="1">
      <c r="C368" s="58"/>
      <c r="H368" s="59"/>
    </row>
    <row r="369" ht="15.75" customHeight="1">
      <c r="C369" s="58"/>
      <c r="H369" s="59"/>
    </row>
    <row r="370" ht="15.75" customHeight="1">
      <c r="C370" s="58"/>
      <c r="H370" s="59"/>
    </row>
    <row r="371" ht="15.75" customHeight="1">
      <c r="C371" s="58"/>
      <c r="H371" s="59"/>
    </row>
    <row r="372" ht="15.75" customHeight="1">
      <c r="C372" s="58"/>
      <c r="H372" s="59"/>
    </row>
    <row r="373" ht="15.75" customHeight="1">
      <c r="C373" s="58"/>
      <c r="H373" s="59"/>
    </row>
    <row r="374" ht="15.75" customHeight="1">
      <c r="C374" s="58"/>
      <c r="H374" s="59"/>
    </row>
    <row r="375" ht="15.75" customHeight="1">
      <c r="C375" s="58"/>
      <c r="H375" s="59"/>
    </row>
    <row r="376" ht="15.75" customHeight="1">
      <c r="C376" s="58"/>
      <c r="H376" s="59"/>
    </row>
    <row r="377" ht="15.75" customHeight="1">
      <c r="C377" s="58"/>
      <c r="H377" s="59"/>
    </row>
    <row r="378" ht="15.75" customHeight="1">
      <c r="C378" s="58"/>
      <c r="H378" s="59"/>
    </row>
    <row r="379" ht="15.75" customHeight="1">
      <c r="C379" s="58"/>
      <c r="H379" s="59"/>
    </row>
    <row r="380" ht="15.75" customHeight="1">
      <c r="C380" s="58"/>
      <c r="H380" s="59"/>
    </row>
    <row r="381" ht="15.75" customHeight="1">
      <c r="C381" s="58"/>
      <c r="H381" s="59"/>
    </row>
    <row r="382" ht="15.75" customHeight="1">
      <c r="C382" s="58"/>
      <c r="H382" s="59"/>
    </row>
    <row r="383" ht="15.75" customHeight="1">
      <c r="C383" s="58"/>
      <c r="H383" s="59"/>
    </row>
    <row r="384" ht="15.75" customHeight="1">
      <c r="C384" s="58"/>
      <c r="H384" s="59"/>
    </row>
    <row r="385" ht="15.75" customHeight="1">
      <c r="C385" s="58"/>
      <c r="H385" s="59"/>
    </row>
    <row r="386" ht="15.75" customHeight="1">
      <c r="C386" s="58"/>
      <c r="H386" s="59"/>
    </row>
    <row r="387" ht="15.75" customHeight="1">
      <c r="C387" s="58"/>
      <c r="H387" s="59"/>
    </row>
    <row r="388" ht="15.75" customHeight="1">
      <c r="C388" s="58"/>
      <c r="H388" s="59"/>
    </row>
    <row r="389" ht="15.75" customHeight="1">
      <c r="C389" s="58"/>
      <c r="H389" s="59"/>
    </row>
    <row r="390" ht="15.75" customHeight="1">
      <c r="C390" s="58"/>
      <c r="H390" s="59"/>
    </row>
    <row r="391" ht="15.75" customHeight="1">
      <c r="C391" s="58"/>
      <c r="H391" s="59"/>
    </row>
    <row r="392" ht="15.75" customHeight="1">
      <c r="C392" s="58"/>
      <c r="H392" s="59"/>
    </row>
    <row r="393" ht="15.75" customHeight="1">
      <c r="C393" s="58"/>
      <c r="H393" s="59"/>
    </row>
    <row r="394" ht="15.75" customHeight="1">
      <c r="C394" s="58"/>
      <c r="H394" s="59"/>
    </row>
    <row r="395" ht="15.75" customHeight="1">
      <c r="C395" s="58"/>
      <c r="H395" s="59"/>
    </row>
    <row r="396" ht="15.75" customHeight="1">
      <c r="C396" s="58"/>
      <c r="H396" s="59"/>
    </row>
    <row r="397" ht="15.75" customHeight="1">
      <c r="C397" s="58"/>
      <c r="H397" s="59"/>
    </row>
    <row r="398" ht="15.75" customHeight="1">
      <c r="C398" s="58"/>
      <c r="H398" s="59"/>
    </row>
    <row r="399" ht="15.75" customHeight="1">
      <c r="C399" s="58"/>
      <c r="H399" s="59"/>
    </row>
    <row r="400" ht="15.75" customHeight="1">
      <c r="C400" s="58"/>
      <c r="H400" s="59"/>
    </row>
    <row r="401" ht="15.75" customHeight="1">
      <c r="C401" s="58"/>
      <c r="H401" s="59"/>
    </row>
    <row r="402" ht="15.75" customHeight="1">
      <c r="C402" s="58"/>
      <c r="H402" s="59"/>
    </row>
    <row r="403" ht="15.75" customHeight="1">
      <c r="C403" s="58"/>
      <c r="H403" s="59"/>
    </row>
    <row r="404" ht="15.75" customHeight="1">
      <c r="C404" s="58"/>
      <c r="H404" s="59"/>
    </row>
    <row r="405" ht="15.75" customHeight="1">
      <c r="C405" s="58"/>
      <c r="H405" s="59"/>
    </row>
    <row r="406" ht="15.75" customHeight="1">
      <c r="C406" s="58"/>
      <c r="H406" s="59"/>
    </row>
    <row r="407" ht="15.75" customHeight="1">
      <c r="C407" s="58"/>
      <c r="H407" s="59"/>
    </row>
    <row r="408" ht="15.75" customHeight="1">
      <c r="C408" s="58"/>
      <c r="H408" s="59"/>
    </row>
    <row r="409" ht="15.75" customHeight="1">
      <c r="C409" s="58"/>
      <c r="H409" s="59"/>
    </row>
    <row r="410" ht="15.75" customHeight="1">
      <c r="C410" s="58"/>
      <c r="H410" s="59"/>
    </row>
    <row r="411" ht="15.75" customHeight="1">
      <c r="C411" s="58"/>
      <c r="H411" s="59"/>
    </row>
    <row r="412" ht="15.75" customHeight="1">
      <c r="C412" s="58"/>
      <c r="H412" s="59"/>
    </row>
    <row r="413" ht="15.75" customHeight="1">
      <c r="C413" s="58"/>
      <c r="H413" s="59"/>
    </row>
    <row r="414" ht="15.75" customHeight="1">
      <c r="C414" s="58"/>
      <c r="H414" s="59"/>
    </row>
    <row r="415" ht="15.75" customHeight="1">
      <c r="C415" s="58"/>
      <c r="H415" s="59"/>
    </row>
    <row r="416" ht="15.75" customHeight="1">
      <c r="C416" s="58"/>
      <c r="H416" s="59"/>
    </row>
    <row r="417" ht="15.75" customHeight="1">
      <c r="C417" s="58"/>
      <c r="H417" s="59"/>
    </row>
    <row r="418" ht="15.75" customHeight="1">
      <c r="C418" s="58"/>
      <c r="H418" s="59"/>
    </row>
    <row r="419" ht="15.75" customHeight="1">
      <c r="C419" s="58"/>
      <c r="H419" s="59"/>
    </row>
    <row r="420" ht="15.75" customHeight="1">
      <c r="C420" s="58"/>
      <c r="H420" s="59"/>
    </row>
    <row r="421" ht="15.75" customHeight="1">
      <c r="C421" s="58"/>
      <c r="H421" s="59"/>
    </row>
    <row r="422" ht="15.75" customHeight="1">
      <c r="C422" s="58"/>
      <c r="H422" s="59"/>
    </row>
    <row r="423" ht="15.75" customHeight="1">
      <c r="C423" s="58"/>
      <c r="H423" s="59"/>
    </row>
    <row r="424" ht="15.75" customHeight="1">
      <c r="C424" s="58"/>
      <c r="H424" s="59"/>
    </row>
    <row r="425" ht="15.75" customHeight="1">
      <c r="C425" s="58"/>
      <c r="H425" s="59"/>
    </row>
    <row r="426" ht="15.75" customHeight="1">
      <c r="C426" s="58"/>
      <c r="H426" s="59"/>
    </row>
    <row r="427" ht="15.75" customHeight="1">
      <c r="C427" s="58"/>
      <c r="H427" s="59"/>
    </row>
    <row r="428" ht="15.75" customHeight="1">
      <c r="C428" s="58"/>
      <c r="H428" s="59"/>
    </row>
    <row r="429" ht="15.75" customHeight="1">
      <c r="C429" s="58"/>
      <c r="H429" s="59"/>
    </row>
    <row r="430" ht="15.75" customHeight="1">
      <c r="C430" s="58"/>
      <c r="H430" s="59"/>
    </row>
    <row r="431" ht="15.75" customHeight="1">
      <c r="C431" s="58"/>
      <c r="H431" s="59"/>
    </row>
    <row r="432" ht="15.75" customHeight="1">
      <c r="C432" s="58"/>
      <c r="H432" s="59"/>
    </row>
    <row r="433" ht="15.75" customHeight="1">
      <c r="C433" s="58"/>
      <c r="H433" s="59"/>
    </row>
    <row r="434" ht="15.75" customHeight="1">
      <c r="C434" s="58"/>
      <c r="H434" s="59"/>
    </row>
    <row r="435" ht="15.75" customHeight="1">
      <c r="C435" s="58"/>
      <c r="H435" s="59"/>
    </row>
    <row r="436" ht="15.75" customHeight="1">
      <c r="C436" s="58"/>
      <c r="H436" s="59"/>
    </row>
    <row r="437" ht="15.75" customHeight="1">
      <c r="C437" s="58"/>
      <c r="H437" s="59"/>
    </row>
    <row r="438" ht="15.75" customHeight="1">
      <c r="C438" s="58"/>
      <c r="H438" s="59"/>
    </row>
    <row r="439" ht="15.75" customHeight="1">
      <c r="C439" s="58"/>
      <c r="H439" s="59"/>
    </row>
    <row r="440" ht="15.75" customHeight="1">
      <c r="C440" s="58"/>
      <c r="H440" s="59"/>
    </row>
    <row r="441" ht="15.75" customHeight="1">
      <c r="C441" s="58"/>
      <c r="H441" s="59"/>
    </row>
    <row r="442" ht="15.75" customHeight="1">
      <c r="C442" s="58"/>
      <c r="H442" s="59"/>
    </row>
    <row r="443" ht="15.75" customHeight="1">
      <c r="C443" s="58"/>
      <c r="H443" s="59"/>
    </row>
    <row r="444" ht="15.75" customHeight="1">
      <c r="C444" s="58"/>
      <c r="H444" s="59"/>
    </row>
    <row r="445" ht="15.75" customHeight="1">
      <c r="C445" s="58"/>
      <c r="H445" s="59"/>
    </row>
    <row r="446" ht="15.75" customHeight="1">
      <c r="C446" s="58"/>
      <c r="H446" s="59"/>
    </row>
    <row r="447" ht="15.75" customHeight="1">
      <c r="C447" s="58"/>
      <c r="H447" s="59"/>
    </row>
    <row r="448" ht="15.75" customHeight="1">
      <c r="C448" s="58"/>
      <c r="H448" s="59"/>
    </row>
    <row r="449" ht="15.75" customHeight="1">
      <c r="C449" s="58"/>
      <c r="H449" s="59"/>
    </row>
    <row r="450" ht="15.75" customHeight="1">
      <c r="C450" s="58"/>
      <c r="H450" s="59"/>
    </row>
    <row r="451" ht="15.75" customHeight="1">
      <c r="C451" s="58"/>
      <c r="H451" s="59"/>
    </row>
    <row r="452" ht="15.75" customHeight="1">
      <c r="C452" s="58"/>
      <c r="H452" s="59"/>
    </row>
    <row r="453" ht="15.75" customHeight="1">
      <c r="C453" s="58"/>
      <c r="H453" s="59"/>
    </row>
    <row r="454" ht="15.75" customHeight="1">
      <c r="C454" s="58"/>
      <c r="H454" s="59"/>
    </row>
    <row r="455" ht="15.75" customHeight="1">
      <c r="C455" s="58"/>
      <c r="H455" s="59"/>
    </row>
    <row r="456" ht="15.75" customHeight="1">
      <c r="C456" s="58"/>
      <c r="H456" s="59"/>
    </row>
    <row r="457" ht="15.75" customHeight="1">
      <c r="C457" s="58"/>
      <c r="H457" s="59"/>
    </row>
    <row r="458" ht="15.75" customHeight="1">
      <c r="C458" s="58"/>
      <c r="H458" s="59"/>
    </row>
    <row r="459" ht="15.75" customHeight="1">
      <c r="C459" s="58"/>
      <c r="H459" s="59"/>
    </row>
    <row r="460" ht="15.75" customHeight="1">
      <c r="C460" s="58"/>
      <c r="H460" s="59"/>
    </row>
    <row r="461" ht="15.75" customHeight="1">
      <c r="C461" s="58"/>
      <c r="H461" s="59"/>
    </row>
    <row r="462" ht="15.75" customHeight="1">
      <c r="C462" s="58"/>
      <c r="H462" s="59"/>
    </row>
    <row r="463" ht="15.75" customHeight="1">
      <c r="C463" s="58"/>
      <c r="H463" s="59"/>
    </row>
    <row r="464" ht="15.75" customHeight="1">
      <c r="C464" s="58"/>
      <c r="H464" s="59"/>
    </row>
    <row r="465" ht="15.75" customHeight="1">
      <c r="C465" s="58"/>
      <c r="H465" s="59"/>
    </row>
    <row r="466" ht="15.75" customHeight="1">
      <c r="C466" s="58"/>
      <c r="H466" s="59"/>
    </row>
    <row r="467" ht="15.75" customHeight="1">
      <c r="C467" s="58"/>
      <c r="H467" s="59"/>
    </row>
    <row r="468" ht="15.75" customHeight="1">
      <c r="C468" s="58"/>
      <c r="H468" s="59"/>
    </row>
    <row r="469" ht="15.75" customHeight="1">
      <c r="C469" s="58"/>
      <c r="H469" s="59"/>
    </row>
    <row r="470" ht="15.75" customHeight="1">
      <c r="C470" s="58"/>
      <c r="H470" s="59"/>
    </row>
    <row r="471" ht="15.75" customHeight="1">
      <c r="C471" s="58"/>
      <c r="H471" s="59"/>
    </row>
    <row r="472" ht="15.75" customHeight="1">
      <c r="C472" s="58"/>
      <c r="H472" s="59"/>
    </row>
    <row r="473" ht="15.75" customHeight="1">
      <c r="C473" s="58"/>
      <c r="H473" s="59"/>
    </row>
    <row r="474" ht="15.75" customHeight="1">
      <c r="C474" s="58"/>
      <c r="H474" s="59"/>
    </row>
    <row r="475" ht="15.75" customHeight="1">
      <c r="C475" s="58"/>
      <c r="H475" s="59"/>
    </row>
    <row r="476" ht="15.75" customHeight="1">
      <c r="C476" s="58"/>
      <c r="H476" s="59"/>
    </row>
    <row r="477" ht="15.75" customHeight="1">
      <c r="C477" s="58"/>
      <c r="H477" s="59"/>
    </row>
    <row r="478" ht="15.75" customHeight="1">
      <c r="C478" s="58"/>
      <c r="H478" s="59"/>
    </row>
    <row r="479" ht="15.75" customHeight="1">
      <c r="C479" s="58"/>
      <c r="H479" s="59"/>
    </row>
    <row r="480" ht="15.75" customHeight="1">
      <c r="C480" s="58"/>
      <c r="H480" s="59"/>
    </row>
    <row r="481" ht="15.75" customHeight="1">
      <c r="C481" s="58"/>
      <c r="H481" s="59"/>
    </row>
    <row r="482" ht="15.75" customHeight="1">
      <c r="C482" s="58"/>
      <c r="H482" s="59"/>
    </row>
    <row r="483" ht="15.75" customHeight="1">
      <c r="C483" s="58"/>
      <c r="H483" s="59"/>
    </row>
    <row r="484" ht="15.75" customHeight="1">
      <c r="C484" s="58"/>
      <c r="H484" s="59"/>
    </row>
    <row r="485" ht="15.75" customHeight="1">
      <c r="C485" s="58"/>
      <c r="H485" s="59"/>
    </row>
    <row r="486" ht="15.75" customHeight="1">
      <c r="C486" s="58"/>
      <c r="H486" s="59"/>
    </row>
    <row r="487" ht="15.75" customHeight="1">
      <c r="C487" s="58"/>
      <c r="H487" s="59"/>
    </row>
    <row r="488" ht="15.75" customHeight="1">
      <c r="C488" s="58"/>
      <c r="H488" s="59"/>
    </row>
    <row r="489" ht="15.75" customHeight="1">
      <c r="C489" s="58"/>
      <c r="H489" s="59"/>
    </row>
    <row r="490" ht="15.75" customHeight="1">
      <c r="C490" s="58"/>
      <c r="H490" s="59"/>
    </row>
    <row r="491" ht="15.75" customHeight="1">
      <c r="C491" s="58"/>
      <c r="H491" s="59"/>
    </row>
    <row r="492" ht="15.75" customHeight="1">
      <c r="C492" s="58"/>
      <c r="H492" s="59"/>
    </row>
    <row r="493" ht="15.75" customHeight="1">
      <c r="C493" s="58"/>
      <c r="H493" s="59"/>
    </row>
    <row r="494" ht="15.75" customHeight="1">
      <c r="C494" s="58"/>
      <c r="H494" s="59"/>
    </row>
    <row r="495" ht="15.75" customHeight="1">
      <c r="C495" s="58"/>
      <c r="H495" s="59"/>
    </row>
    <row r="496" ht="15.75" customHeight="1">
      <c r="C496" s="58"/>
      <c r="H496" s="59"/>
    </row>
    <row r="497" ht="15.75" customHeight="1">
      <c r="C497" s="58"/>
      <c r="H497" s="59"/>
    </row>
    <row r="498" ht="15.75" customHeight="1">
      <c r="C498" s="58"/>
      <c r="H498" s="59"/>
    </row>
    <row r="499" ht="15.75" customHeight="1">
      <c r="C499" s="58"/>
      <c r="H499" s="59"/>
    </row>
    <row r="500" ht="15.75" customHeight="1">
      <c r="C500" s="58"/>
      <c r="H500" s="59"/>
    </row>
    <row r="501" ht="15.75" customHeight="1">
      <c r="C501" s="58"/>
      <c r="H501" s="59"/>
    </row>
    <row r="502" ht="15.75" customHeight="1">
      <c r="C502" s="58"/>
      <c r="H502" s="59"/>
    </row>
    <row r="503" ht="15.75" customHeight="1">
      <c r="C503" s="58"/>
      <c r="H503" s="59"/>
    </row>
    <row r="504" ht="15.75" customHeight="1">
      <c r="C504" s="58"/>
      <c r="H504" s="59"/>
    </row>
    <row r="505" ht="15.75" customHeight="1">
      <c r="C505" s="58"/>
      <c r="H505" s="59"/>
    </row>
    <row r="506" ht="15.75" customHeight="1">
      <c r="C506" s="58"/>
      <c r="H506" s="59"/>
    </row>
    <row r="507" ht="15.75" customHeight="1">
      <c r="C507" s="58"/>
      <c r="H507" s="59"/>
    </row>
    <row r="508" ht="15.75" customHeight="1">
      <c r="C508" s="58"/>
      <c r="H508" s="59"/>
    </row>
    <row r="509" ht="15.75" customHeight="1">
      <c r="C509" s="58"/>
      <c r="H509" s="59"/>
    </row>
    <row r="510" ht="15.75" customHeight="1">
      <c r="C510" s="58"/>
      <c r="H510" s="59"/>
    </row>
    <row r="511" ht="15.75" customHeight="1">
      <c r="C511" s="58"/>
      <c r="H511" s="59"/>
    </row>
    <row r="512" ht="15.75" customHeight="1">
      <c r="C512" s="58"/>
      <c r="H512" s="59"/>
    </row>
    <row r="513" ht="15.75" customHeight="1">
      <c r="C513" s="58"/>
      <c r="H513" s="59"/>
    </row>
    <row r="514" ht="15.75" customHeight="1">
      <c r="C514" s="58"/>
      <c r="H514" s="59"/>
    </row>
    <row r="515" ht="15.75" customHeight="1">
      <c r="C515" s="58"/>
      <c r="H515" s="59"/>
    </row>
    <row r="516" ht="15.75" customHeight="1">
      <c r="C516" s="58"/>
      <c r="H516" s="59"/>
    </row>
    <row r="517" ht="15.75" customHeight="1">
      <c r="C517" s="58"/>
      <c r="H517" s="59"/>
    </row>
    <row r="518" ht="15.75" customHeight="1">
      <c r="C518" s="58"/>
      <c r="H518" s="59"/>
    </row>
    <row r="519" ht="15.75" customHeight="1">
      <c r="C519" s="58"/>
      <c r="H519" s="59"/>
    </row>
    <row r="520" ht="15.75" customHeight="1">
      <c r="C520" s="58"/>
      <c r="H520" s="59"/>
    </row>
    <row r="521" ht="15.75" customHeight="1">
      <c r="C521" s="58"/>
      <c r="H521" s="59"/>
    </row>
    <row r="522" ht="15.75" customHeight="1">
      <c r="C522" s="58"/>
      <c r="H522" s="59"/>
    </row>
    <row r="523" ht="15.75" customHeight="1">
      <c r="C523" s="58"/>
      <c r="H523" s="59"/>
    </row>
    <row r="524" ht="15.75" customHeight="1">
      <c r="C524" s="58"/>
      <c r="H524" s="59"/>
    </row>
    <row r="525" ht="15.75" customHeight="1">
      <c r="C525" s="58"/>
      <c r="H525" s="59"/>
    </row>
    <row r="526" ht="15.75" customHeight="1">
      <c r="C526" s="58"/>
      <c r="H526" s="59"/>
    </row>
    <row r="527" ht="15.75" customHeight="1">
      <c r="C527" s="58"/>
      <c r="H527" s="59"/>
    </row>
    <row r="528" ht="15.75" customHeight="1">
      <c r="C528" s="58"/>
      <c r="H528" s="59"/>
    </row>
    <row r="529" ht="15.75" customHeight="1">
      <c r="C529" s="58"/>
      <c r="H529" s="59"/>
    </row>
    <row r="530" ht="15.75" customHeight="1">
      <c r="C530" s="58"/>
      <c r="H530" s="59"/>
    </row>
    <row r="531" ht="15.75" customHeight="1">
      <c r="C531" s="58"/>
      <c r="H531" s="59"/>
    </row>
    <row r="532" ht="15.75" customHeight="1">
      <c r="C532" s="58"/>
      <c r="H532" s="59"/>
    </row>
    <row r="533" ht="15.75" customHeight="1">
      <c r="C533" s="58"/>
      <c r="H533" s="59"/>
    </row>
    <row r="534" ht="15.75" customHeight="1">
      <c r="C534" s="58"/>
      <c r="H534" s="59"/>
    </row>
    <row r="535" ht="15.75" customHeight="1">
      <c r="C535" s="58"/>
      <c r="H535" s="59"/>
    </row>
    <row r="536" ht="15.75" customHeight="1">
      <c r="C536" s="58"/>
      <c r="H536" s="59"/>
    </row>
    <row r="537" ht="15.75" customHeight="1">
      <c r="C537" s="58"/>
      <c r="H537" s="59"/>
    </row>
    <row r="538" ht="15.75" customHeight="1">
      <c r="C538" s="58"/>
      <c r="H538" s="59"/>
    </row>
    <row r="539" ht="15.75" customHeight="1">
      <c r="C539" s="58"/>
      <c r="H539" s="59"/>
    </row>
    <row r="540" ht="15.75" customHeight="1">
      <c r="C540" s="58"/>
      <c r="H540" s="59"/>
    </row>
    <row r="541" ht="15.75" customHeight="1">
      <c r="C541" s="58"/>
      <c r="H541" s="59"/>
    </row>
    <row r="542" ht="15.75" customHeight="1">
      <c r="C542" s="58"/>
      <c r="H542" s="59"/>
    </row>
    <row r="543" ht="15.75" customHeight="1">
      <c r="C543" s="58"/>
      <c r="H543" s="59"/>
    </row>
    <row r="544" ht="15.75" customHeight="1">
      <c r="C544" s="58"/>
      <c r="H544" s="59"/>
    </row>
    <row r="545" ht="15.75" customHeight="1">
      <c r="C545" s="58"/>
      <c r="H545" s="59"/>
    </row>
    <row r="546" ht="15.75" customHeight="1">
      <c r="C546" s="58"/>
      <c r="H546" s="59"/>
    </row>
    <row r="547" ht="15.75" customHeight="1">
      <c r="C547" s="58"/>
      <c r="H547" s="59"/>
    </row>
    <row r="548" ht="15.75" customHeight="1">
      <c r="C548" s="58"/>
      <c r="H548" s="59"/>
    </row>
    <row r="549" ht="15.75" customHeight="1">
      <c r="C549" s="58"/>
      <c r="H549" s="59"/>
    </row>
    <row r="550" ht="15.75" customHeight="1">
      <c r="C550" s="58"/>
      <c r="H550" s="59"/>
    </row>
    <row r="551" ht="15.75" customHeight="1">
      <c r="C551" s="58"/>
      <c r="H551" s="59"/>
    </row>
    <row r="552" ht="15.75" customHeight="1">
      <c r="C552" s="58"/>
      <c r="H552" s="59"/>
    </row>
    <row r="553" ht="15.75" customHeight="1">
      <c r="C553" s="58"/>
      <c r="H553" s="59"/>
    </row>
    <row r="554" ht="15.75" customHeight="1">
      <c r="C554" s="58"/>
      <c r="H554" s="59"/>
    </row>
    <row r="555" ht="15.75" customHeight="1">
      <c r="C555" s="58"/>
      <c r="H555" s="59"/>
    </row>
    <row r="556" ht="15.75" customHeight="1">
      <c r="C556" s="58"/>
      <c r="H556" s="59"/>
    </row>
    <row r="557" ht="15.75" customHeight="1">
      <c r="C557" s="58"/>
      <c r="H557" s="59"/>
    </row>
    <row r="558" ht="15.75" customHeight="1">
      <c r="C558" s="58"/>
      <c r="H558" s="59"/>
    </row>
    <row r="559" ht="15.75" customHeight="1">
      <c r="C559" s="58"/>
      <c r="H559" s="59"/>
    </row>
    <row r="560" ht="15.75" customHeight="1">
      <c r="C560" s="58"/>
      <c r="H560" s="59"/>
    </row>
    <row r="561" ht="15.75" customHeight="1">
      <c r="C561" s="58"/>
      <c r="H561" s="59"/>
    </row>
    <row r="562" ht="15.75" customHeight="1">
      <c r="C562" s="58"/>
      <c r="H562" s="59"/>
    </row>
    <row r="563" ht="15.75" customHeight="1">
      <c r="C563" s="58"/>
      <c r="H563" s="59"/>
    </row>
    <row r="564" ht="15.75" customHeight="1">
      <c r="C564" s="58"/>
      <c r="H564" s="59"/>
    </row>
    <row r="565" ht="15.75" customHeight="1">
      <c r="C565" s="58"/>
      <c r="H565" s="59"/>
    </row>
    <row r="566" ht="15.75" customHeight="1">
      <c r="C566" s="58"/>
      <c r="H566" s="59"/>
    </row>
    <row r="567" ht="15.75" customHeight="1">
      <c r="C567" s="58"/>
      <c r="H567" s="59"/>
    </row>
    <row r="568" ht="15.75" customHeight="1">
      <c r="C568" s="58"/>
      <c r="H568" s="59"/>
    </row>
    <row r="569" ht="15.75" customHeight="1">
      <c r="C569" s="58"/>
      <c r="H569" s="59"/>
    </row>
    <row r="570" ht="15.75" customHeight="1">
      <c r="C570" s="58"/>
      <c r="H570" s="59"/>
    </row>
    <row r="571" ht="15.75" customHeight="1">
      <c r="C571" s="58"/>
      <c r="H571" s="59"/>
    </row>
    <row r="572" ht="15.75" customHeight="1">
      <c r="C572" s="58"/>
      <c r="H572" s="59"/>
    </row>
    <row r="573" ht="15.75" customHeight="1">
      <c r="C573" s="58"/>
      <c r="H573" s="59"/>
    </row>
    <row r="574" ht="15.75" customHeight="1">
      <c r="C574" s="58"/>
      <c r="H574" s="59"/>
    </row>
    <row r="575" ht="15.75" customHeight="1">
      <c r="C575" s="58"/>
      <c r="H575" s="59"/>
    </row>
    <row r="576" ht="15.75" customHeight="1">
      <c r="C576" s="58"/>
      <c r="H576" s="59"/>
    </row>
    <row r="577" ht="15.75" customHeight="1">
      <c r="C577" s="58"/>
      <c r="H577" s="59"/>
    </row>
    <row r="578" ht="15.75" customHeight="1">
      <c r="C578" s="58"/>
      <c r="H578" s="59"/>
    </row>
    <row r="579" ht="15.75" customHeight="1">
      <c r="C579" s="58"/>
      <c r="H579" s="59"/>
    </row>
    <row r="580" ht="15.75" customHeight="1">
      <c r="C580" s="58"/>
      <c r="H580" s="59"/>
    </row>
    <row r="581" ht="15.75" customHeight="1">
      <c r="C581" s="58"/>
      <c r="H581" s="59"/>
    </row>
    <row r="582" ht="15.75" customHeight="1">
      <c r="C582" s="58"/>
      <c r="H582" s="59"/>
    </row>
    <row r="583" ht="15.75" customHeight="1">
      <c r="C583" s="58"/>
      <c r="H583" s="59"/>
    </row>
    <row r="584" ht="15.75" customHeight="1">
      <c r="C584" s="58"/>
      <c r="H584" s="59"/>
    </row>
    <row r="585" ht="15.75" customHeight="1">
      <c r="C585" s="58"/>
      <c r="H585" s="59"/>
    </row>
    <row r="586" ht="15.75" customHeight="1">
      <c r="C586" s="58"/>
      <c r="H586" s="59"/>
    </row>
    <row r="587" ht="15.75" customHeight="1">
      <c r="C587" s="58"/>
      <c r="H587" s="59"/>
    </row>
    <row r="588" ht="15.75" customHeight="1">
      <c r="C588" s="58"/>
      <c r="H588" s="59"/>
    </row>
    <row r="589" ht="15.75" customHeight="1">
      <c r="C589" s="58"/>
      <c r="H589" s="59"/>
    </row>
    <row r="590" ht="15.75" customHeight="1">
      <c r="C590" s="58"/>
      <c r="H590" s="59"/>
    </row>
    <row r="591" ht="15.75" customHeight="1">
      <c r="C591" s="58"/>
      <c r="H591" s="59"/>
    </row>
    <row r="592" ht="15.75" customHeight="1">
      <c r="C592" s="58"/>
      <c r="H592" s="59"/>
    </row>
    <row r="593" ht="15.75" customHeight="1">
      <c r="C593" s="58"/>
      <c r="H593" s="59"/>
    </row>
    <row r="594" ht="15.75" customHeight="1">
      <c r="C594" s="58"/>
      <c r="H594" s="59"/>
    </row>
    <row r="595" ht="15.75" customHeight="1">
      <c r="C595" s="58"/>
      <c r="H595" s="59"/>
    </row>
    <row r="596" ht="15.75" customHeight="1">
      <c r="C596" s="58"/>
      <c r="H596" s="59"/>
    </row>
    <row r="597" ht="15.75" customHeight="1">
      <c r="C597" s="58"/>
      <c r="H597" s="59"/>
    </row>
    <row r="598" ht="15.75" customHeight="1">
      <c r="C598" s="58"/>
      <c r="H598" s="59"/>
    </row>
    <row r="599" ht="15.75" customHeight="1">
      <c r="C599" s="58"/>
      <c r="H599" s="59"/>
    </row>
    <row r="600" ht="15.75" customHeight="1">
      <c r="C600" s="58"/>
      <c r="H600" s="59"/>
    </row>
    <row r="601" ht="15.75" customHeight="1">
      <c r="C601" s="58"/>
      <c r="H601" s="59"/>
    </row>
    <row r="602" ht="15.75" customHeight="1">
      <c r="C602" s="58"/>
      <c r="H602" s="59"/>
    </row>
    <row r="603" ht="15.75" customHeight="1">
      <c r="C603" s="58"/>
      <c r="H603" s="59"/>
    </row>
    <row r="604" ht="15.75" customHeight="1">
      <c r="C604" s="58"/>
      <c r="H604" s="59"/>
    </row>
    <row r="605" ht="15.75" customHeight="1">
      <c r="C605" s="58"/>
      <c r="H605" s="59"/>
    </row>
    <row r="606" ht="15.75" customHeight="1">
      <c r="C606" s="58"/>
      <c r="H606" s="59"/>
    </row>
    <row r="607" ht="15.75" customHeight="1">
      <c r="C607" s="58"/>
      <c r="H607" s="59"/>
    </row>
    <row r="608" ht="15.75" customHeight="1">
      <c r="C608" s="58"/>
      <c r="H608" s="59"/>
    </row>
    <row r="609" ht="15.75" customHeight="1">
      <c r="C609" s="58"/>
      <c r="H609" s="59"/>
    </row>
    <row r="610" ht="15.75" customHeight="1">
      <c r="C610" s="58"/>
      <c r="H610" s="59"/>
    </row>
    <row r="611" ht="15.75" customHeight="1">
      <c r="C611" s="58"/>
      <c r="H611" s="59"/>
    </row>
    <row r="612" ht="15.75" customHeight="1">
      <c r="C612" s="58"/>
      <c r="H612" s="59"/>
    </row>
    <row r="613" ht="15.75" customHeight="1">
      <c r="C613" s="58"/>
      <c r="H613" s="59"/>
    </row>
    <row r="614" ht="15.75" customHeight="1">
      <c r="C614" s="58"/>
      <c r="H614" s="59"/>
    </row>
    <row r="615" ht="15.75" customHeight="1">
      <c r="C615" s="58"/>
      <c r="H615" s="59"/>
    </row>
    <row r="616" ht="15.75" customHeight="1">
      <c r="C616" s="58"/>
      <c r="H616" s="59"/>
    </row>
    <row r="617" ht="15.75" customHeight="1">
      <c r="C617" s="58"/>
      <c r="H617" s="59"/>
    </row>
    <row r="618" ht="15.75" customHeight="1">
      <c r="C618" s="58"/>
      <c r="H618" s="59"/>
    </row>
    <row r="619" ht="15.75" customHeight="1">
      <c r="C619" s="58"/>
      <c r="H619" s="59"/>
    </row>
    <row r="620" ht="15.75" customHeight="1">
      <c r="C620" s="58"/>
      <c r="H620" s="59"/>
    </row>
    <row r="621" ht="15.75" customHeight="1">
      <c r="C621" s="58"/>
      <c r="H621" s="59"/>
    </row>
    <row r="622" ht="15.75" customHeight="1">
      <c r="C622" s="58"/>
      <c r="H622" s="59"/>
    </row>
    <row r="623" ht="15.75" customHeight="1">
      <c r="C623" s="58"/>
      <c r="H623" s="59"/>
    </row>
    <row r="624" ht="15.75" customHeight="1">
      <c r="C624" s="58"/>
      <c r="H624" s="59"/>
    </row>
    <row r="625" ht="15.75" customHeight="1">
      <c r="C625" s="58"/>
      <c r="H625" s="59"/>
    </row>
    <row r="626" ht="15.75" customHeight="1">
      <c r="C626" s="58"/>
      <c r="H626" s="59"/>
    </row>
    <row r="627" ht="15.75" customHeight="1">
      <c r="C627" s="58"/>
      <c r="H627" s="59"/>
    </row>
    <row r="628" ht="15.75" customHeight="1">
      <c r="C628" s="58"/>
      <c r="H628" s="59"/>
    </row>
    <row r="629" ht="15.75" customHeight="1">
      <c r="C629" s="58"/>
      <c r="H629" s="59"/>
    </row>
    <row r="630" ht="15.75" customHeight="1">
      <c r="C630" s="58"/>
      <c r="H630" s="59"/>
    </row>
    <row r="631" ht="15.75" customHeight="1">
      <c r="C631" s="58"/>
      <c r="H631" s="59"/>
    </row>
    <row r="632" ht="15.75" customHeight="1">
      <c r="C632" s="58"/>
      <c r="H632" s="59"/>
    </row>
    <row r="633" ht="15.75" customHeight="1">
      <c r="C633" s="58"/>
      <c r="H633" s="59"/>
    </row>
    <row r="634" ht="15.75" customHeight="1">
      <c r="C634" s="58"/>
      <c r="H634" s="59"/>
    </row>
    <row r="635" ht="15.75" customHeight="1">
      <c r="C635" s="58"/>
      <c r="H635" s="59"/>
    </row>
    <row r="636" ht="15.75" customHeight="1">
      <c r="C636" s="58"/>
      <c r="H636" s="59"/>
    </row>
    <row r="637" ht="15.75" customHeight="1">
      <c r="C637" s="58"/>
      <c r="H637" s="59"/>
    </row>
    <row r="638" ht="15.75" customHeight="1">
      <c r="C638" s="58"/>
      <c r="H638" s="59"/>
    </row>
    <row r="639" ht="15.75" customHeight="1">
      <c r="C639" s="58"/>
      <c r="H639" s="59"/>
    </row>
    <row r="640" ht="15.75" customHeight="1">
      <c r="C640" s="58"/>
      <c r="H640" s="59"/>
    </row>
    <row r="641" ht="15.75" customHeight="1">
      <c r="C641" s="58"/>
      <c r="H641" s="59"/>
    </row>
    <row r="642" ht="15.75" customHeight="1">
      <c r="C642" s="58"/>
      <c r="H642" s="59"/>
    </row>
    <row r="643" ht="15.75" customHeight="1">
      <c r="C643" s="58"/>
      <c r="H643" s="59"/>
    </row>
    <row r="644" ht="15.75" customHeight="1">
      <c r="C644" s="58"/>
      <c r="H644" s="59"/>
    </row>
    <row r="645" ht="15.75" customHeight="1">
      <c r="C645" s="58"/>
      <c r="H645" s="59"/>
    </row>
    <row r="646" ht="15.75" customHeight="1">
      <c r="C646" s="58"/>
      <c r="H646" s="59"/>
    </row>
    <row r="647" ht="15.75" customHeight="1">
      <c r="C647" s="58"/>
      <c r="H647" s="59"/>
    </row>
    <row r="648" ht="15.75" customHeight="1">
      <c r="C648" s="58"/>
      <c r="H648" s="59"/>
    </row>
    <row r="649" ht="15.75" customHeight="1">
      <c r="C649" s="58"/>
      <c r="H649" s="59"/>
    </row>
    <row r="650" ht="15.75" customHeight="1">
      <c r="C650" s="58"/>
      <c r="H650" s="59"/>
    </row>
    <row r="651" ht="15.75" customHeight="1">
      <c r="C651" s="58"/>
      <c r="H651" s="59"/>
    </row>
    <row r="652" ht="15.75" customHeight="1">
      <c r="C652" s="58"/>
      <c r="H652" s="59"/>
    </row>
    <row r="653" ht="15.75" customHeight="1">
      <c r="C653" s="58"/>
      <c r="H653" s="59"/>
    </row>
    <row r="654" ht="15.75" customHeight="1">
      <c r="C654" s="58"/>
      <c r="H654" s="59"/>
    </row>
    <row r="655" ht="15.75" customHeight="1">
      <c r="C655" s="58"/>
      <c r="H655" s="59"/>
    </row>
    <row r="656" ht="15.75" customHeight="1">
      <c r="C656" s="58"/>
      <c r="H656" s="59"/>
    </row>
    <row r="657" ht="15.75" customHeight="1">
      <c r="C657" s="58"/>
      <c r="H657" s="59"/>
    </row>
    <row r="658" ht="15.75" customHeight="1">
      <c r="C658" s="58"/>
      <c r="H658" s="59"/>
    </row>
    <row r="659" ht="15.75" customHeight="1">
      <c r="C659" s="58"/>
      <c r="H659" s="59"/>
    </row>
    <row r="660" ht="15.75" customHeight="1">
      <c r="C660" s="58"/>
      <c r="H660" s="59"/>
    </row>
    <row r="661" ht="15.75" customHeight="1">
      <c r="C661" s="58"/>
      <c r="H661" s="59"/>
    </row>
    <row r="662" ht="15.75" customHeight="1">
      <c r="C662" s="58"/>
      <c r="H662" s="59"/>
    </row>
    <row r="663" ht="15.75" customHeight="1">
      <c r="C663" s="58"/>
      <c r="H663" s="59"/>
    </row>
    <row r="664" ht="15.75" customHeight="1">
      <c r="C664" s="58"/>
      <c r="H664" s="59"/>
    </row>
    <row r="665" ht="15.75" customHeight="1">
      <c r="C665" s="58"/>
      <c r="H665" s="59"/>
    </row>
    <row r="666" ht="15.75" customHeight="1">
      <c r="C666" s="58"/>
      <c r="H666" s="59"/>
    </row>
    <row r="667" ht="15.75" customHeight="1">
      <c r="C667" s="58"/>
      <c r="H667" s="59"/>
    </row>
    <row r="668" ht="15.75" customHeight="1">
      <c r="C668" s="58"/>
      <c r="H668" s="59"/>
    </row>
    <row r="669" ht="15.75" customHeight="1">
      <c r="C669" s="58"/>
      <c r="H669" s="59"/>
    </row>
    <row r="670" ht="15.75" customHeight="1">
      <c r="C670" s="58"/>
      <c r="H670" s="59"/>
    </row>
    <row r="671" ht="15.75" customHeight="1">
      <c r="C671" s="58"/>
      <c r="H671" s="59"/>
    </row>
    <row r="672" ht="15.75" customHeight="1">
      <c r="C672" s="58"/>
      <c r="H672" s="59"/>
    </row>
    <row r="673" ht="15.75" customHeight="1">
      <c r="C673" s="58"/>
      <c r="H673" s="59"/>
    </row>
    <row r="674" ht="15.75" customHeight="1">
      <c r="C674" s="58"/>
      <c r="H674" s="59"/>
    </row>
    <row r="675" ht="15.75" customHeight="1">
      <c r="C675" s="58"/>
      <c r="H675" s="59"/>
    </row>
    <row r="676" ht="15.75" customHeight="1">
      <c r="C676" s="58"/>
      <c r="H676" s="59"/>
    </row>
    <row r="677" ht="15.75" customHeight="1">
      <c r="C677" s="58"/>
      <c r="H677" s="59"/>
    </row>
    <row r="678" ht="15.75" customHeight="1">
      <c r="C678" s="58"/>
      <c r="H678" s="59"/>
    </row>
    <row r="679" ht="15.75" customHeight="1">
      <c r="C679" s="58"/>
      <c r="H679" s="59"/>
    </row>
    <row r="680" ht="15.75" customHeight="1">
      <c r="C680" s="58"/>
      <c r="H680" s="59"/>
    </row>
    <row r="681" ht="15.75" customHeight="1">
      <c r="C681" s="58"/>
      <c r="H681" s="59"/>
    </row>
    <row r="682" ht="15.75" customHeight="1">
      <c r="C682" s="58"/>
      <c r="H682" s="59"/>
    </row>
    <row r="683" ht="15.75" customHeight="1">
      <c r="C683" s="58"/>
      <c r="H683" s="59"/>
    </row>
    <row r="684" ht="15.75" customHeight="1">
      <c r="C684" s="58"/>
      <c r="H684" s="59"/>
    </row>
    <row r="685" ht="15.75" customHeight="1">
      <c r="C685" s="58"/>
      <c r="H685" s="59"/>
    </row>
    <row r="686" ht="15.75" customHeight="1">
      <c r="C686" s="58"/>
      <c r="H686" s="59"/>
    </row>
    <row r="687" ht="15.75" customHeight="1">
      <c r="C687" s="58"/>
      <c r="H687" s="59"/>
    </row>
    <row r="688" ht="15.75" customHeight="1">
      <c r="C688" s="58"/>
      <c r="H688" s="59"/>
    </row>
    <row r="689" ht="15.75" customHeight="1">
      <c r="C689" s="58"/>
      <c r="H689" s="59"/>
    </row>
    <row r="690" ht="15.75" customHeight="1">
      <c r="C690" s="58"/>
      <c r="H690" s="59"/>
    </row>
    <row r="691" ht="15.75" customHeight="1">
      <c r="C691" s="58"/>
      <c r="H691" s="59"/>
    </row>
    <row r="692" ht="15.75" customHeight="1">
      <c r="C692" s="58"/>
      <c r="H692" s="59"/>
    </row>
    <row r="693" ht="15.75" customHeight="1">
      <c r="C693" s="58"/>
      <c r="H693" s="59"/>
    </row>
    <row r="694" ht="15.75" customHeight="1">
      <c r="C694" s="58"/>
      <c r="H694" s="59"/>
    </row>
    <row r="695" ht="15.75" customHeight="1">
      <c r="C695" s="58"/>
      <c r="H695" s="59"/>
    </row>
    <row r="696" ht="15.75" customHeight="1">
      <c r="C696" s="58"/>
      <c r="H696" s="59"/>
    </row>
    <row r="697" ht="15.75" customHeight="1">
      <c r="C697" s="58"/>
      <c r="H697" s="59"/>
    </row>
    <row r="698" ht="15.75" customHeight="1">
      <c r="C698" s="58"/>
      <c r="H698" s="59"/>
    </row>
    <row r="699" ht="15.75" customHeight="1">
      <c r="C699" s="58"/>
      <c r="H699" s="59"/>
    </row>
    <row r="700" ht="15.75" customHeight="1">
      <c r="C700" s="58"/>
      <c r="H700" s="59"/>
    </row>
    <row r="701" ht="15.75" customHeight="1">
      <c r="C701" s="58"/>
      <c r="H701" s="59"/>
    </row>
    <row r="702" ht="15.75" customHeight="1">
      <c r="C702" s="58"/>
      <c r="H702" s="59"/>
    </row>
    <row r="703" ht="15.75" customHeight="1">
      <c r="C703" s="58"/>
      <c r="H703" s="59"/>
    </row>
    <row r="704" ht="15.75" customHeight="1">
      <c r="C704" s="58"/>
      <c r="H704" s="59"/>
    </row>
    <row r="705" ht="15.75" customHeight="1">
      <c r="C705" s="58"/>
      <c r="H705" s="59"/>
    </row>
    <row r="706" ht="15.75" customHeight="1">
      <c r="C706" s="58"/>
      <c r="H706" s="59"/>
    </row>
    <row r="707" ht="15.75" customHeight="1">
      <c r="C707" s="58"/>
      <c r="H707" s="59"/>
    </row>
    <row r="708" ht="15.75" customHeight="1">
      <c r="C708" s="58"/>
      <c r="H708" s="59"/>
    </row>
    <row r="709" ht="15.75" customHeight="1">
      <c r="C709" s="58"/>
      <c r="H709" s="59"/>
    </row>
    <row r="710" ht="15.75" customHeight="1">
      <c r="C710" s="58"/>
      <c r="H710" s="59"/>
    </row>
    <row r="711" ht="15.75" customHeight="1">
      <c r="C711" s="58"/>
      <c r="H711" s="59"/>
    </row>
    <row r="712" ht="15.75" customHeight="1">
      <c r="C712" s="58"/>
      <c r="H712" s="59"/>
    </row>
    <row r="713" ht="15.75" customHeight="1">
      <c r="C713" s="58"/>
      <c r="H713" s="59"/>
    </row>
    <row r="714" ht="15.75" customHeight="1">
      <c r="C714" s="58"/>
      <c r="H714" s="59"/>
    </row>
    <row r="715" ht="15.75" customHeight="1">
      <c r="C715" s="58"/>
      <c r="H715" s="59"/>
    </row>
    <row r="716" ht="15.75" customHeight="1">
      <c r="C716" s="58"/>
      <c r="H716" s="59"/>
    </row>
    <row r="717" ht="15.75" customHeight="1">
      <c r="C717" s="58"/>
      <c r="H717" s="59"/>
    </row>
    <row r="718" ht="15.75" customHeight="1">
      <c r="C718" s="58"/>
      <c r="H718" s="59"/>
    </row>
    <row r="719" ht="15.75" customHeight="1">
      <c r="C719" s="58"/>
      <c r="H719" s="59"/>
    </row>
    <row r="720" ht="15.75" customHeight="1">
      <c r="C720" s="58"/>
      <c r="H720" s="59"/>
    </row>
    <row r="721" ht="15.75" customHeight="1">
      <c r="C721" s="58"/>
      <c r="H721" s="59"/>
    </row>
    <row r="722" ht="15.75" customHeight="1">
      <c r="C722" s="58"/>
      <c r="H722" s="59"/>
    </row>
    <row r="723" ht="15.75" customHeight="1">
      <c r="C723" s="58"/>
      <c r="H723" s="59"/>
    </row>
    <row r="724" ht="15.75" customHeight="1">
      <c r="C724" s="58"/>
      <c r="H724" s="59"/>
    </row>
    <row r="725" ht="15.75" customHeight="1">
      <c r="C725" s="58"/>
      <c r="H725" s="59"/>
    </row>
    <row r="726" ht="15.75" customHeight="1">
      <c r="C726" s="58"/>
      <c r="H726" s="59"/>
    </row>
    <row r="727" ht="15.75" customHeight="1">
      <c r="C727" s="58"/>
      <c r="H727" s="59"/>
    </row>
    <row r="728" ht="15.75" customHeight="1">
      <c r="C728" s="58"/>
      <c r="H728" s="59"/>
    </row>
    <row r="729" ht="15.75" customHeight="1">
      <c r="C729" s="58"/>
      <c r="H729" s="59"/>
    </row>
    <row r="730" ht="15.75" customHeight="1">
      <c r="C730" s="58"/>
      <c r="H730" s="59"/>
    </row>
    <row r="731" ht="15.75" customHeight="1">
      <c r="C731" s="58"/>
      <c r="H731" s="59"/>
    </row>
    <row r="732" ht="15.75" customHeight="1">
      <c r="C732" s="58"/>
      <c r="H732" s="59"/>
    </row>
    <row r="733" ht="15.75" customHeight="1">
      <c r="C733" s="58"/>
      <c r="H733" s="59"/>
    </row>
    <row r="734" ht="15.75" customHeight="1">
      <c r="C734" s="58"/>
      <c r="H734" s="59"/>
    </row>
    <row r="735" ht="15.75" customHeight="1">
      <c r="C735" s="58"/>
      <c r="H735" s="59"/>
    </row>
    <row r="736" ht="15.75" customHeight="1">
      <c r="C736" s="58"/>
      <c r="H736" s="59"/>
    </row>
    <row r="737" ht="15.75" customHeight="1">
      <c r="C737" s="58"/>
      <c r="H737" s="59"/>
    </row>
    <row r="738" ht="15.75" customHeight="1">
      <c r="C738" s="58"/>
      <c r="H738" s="59"/>
    </row>
    <row r="739" ht="15.75" customHeight="1">
      <c r="C739" s="58"/>
      <c r="H739" s="59"/>
    </row>
    <row r="740" ht="15.75" customHeight="1">
      <c r="C740" s="58"/>
      <c r="H740" s="59"/>
    </row>
    <row r="741" ht="15.75" customHeight="1">
      <c r="C741" s="58"/>
      <c r="H741" s="59"/>
    </row>
    <row r="742" ht="15.75" customHeight="1">
      <c r="C742" s="58"/>
      <c r="H742" s="59"/>
    </row>
    <row r="743" ht="15.75" customHeight="1">
      <c r="C743" s="58"/>
      <c r="H743" s="59"/>
    </row>
    <row r="744" ht="15.75" customHeight="1">
      <c r="C744" s="58"/>
      <c r="H744" s="59"/>
    </row>
    <row r="745" ht="15.75" customHeight="1">
      <c r="C745" s="58"/>
      <c r="H745" s="59"/>
    </row>
    <row r="746" ht="15.75" customHeight="1">
      <c r="C746" s="58"/>
      <c r="H746" s="59"/>
    </row>
    <row r="747" ht="15.75" customHeight="1">
      <c r="C747" s="58"/>
      <c r="H747" s="59"/>
    </row>
    <row r="748" ht="15.75" customHeight="1">
      <c r="C748" s="58"/>
      <c r="H748" s="59"/>
    </row>
    <row r="749" ht="15.75" customHeight="1">
      <c r="C749" s="58"/>
      <c r="H749" s="59"/>
    </row>
    <row r="750" ht="15.75" customHeight="1">
      <c r="C750" s="58"/>
      <c r="H750" s="59"/>
    </row>
    <row r="751" ht="15.75" customHeight="1">
      <c r="C751" s="58"/>
      <c r="H751" s="59"/>
    </row>
    <row r="752" ht="15.75" customHeight="1">
      <c r="C752" s="58"/>
      <c r="H752" s="59"/>
    </row>
    <row r="753" ht="15.75" customHeight="1">
      <c r="C753" s="58"/>
      <c r="H753" s="59"/>
    </row>
    <row r="754" ht="15.75" customHeight="1">
      <c r="C754" s="58"/>
      <c r="H754" s="59"/>
    </row>
    <row r="755" ht="15.75" customHeight="1">
      <c r="C755" s="58"/>
      <c r="H755" s="59"/>
    </row>
    <row r="756" ht="15.75" customHeight="1">
      <c r="C756" s="58"/>
      <c r="H756" s="59"/>
    </row>
    <row r="757" ht="15.75" customHeight="1">
      <c r="C757" s="58"/>
      <c r="H757" s="59"/>
    </row>
    <row r="758" ht="15.75" customHeight="1">
      <c r="C758" s="58"/>
      <c r="H758" s="59"/>
    </row>
    <row r="759" ht="15.75" customHeight="1">
      <c r="C759" s="58"/>
      <c r="H759" s="59"/>
    </row>
    <row r="760" ht="15.75" customHeight="1">
      <c r="C760" s="58"/>
      <c r="H760" s="59"/>
    </row>
    <row r="761" ht="15.75" customHeight="1">
      <c r="C761" s="58"/>
      <c r="H761" s="59"/>
    </row>
    <row r="762" ht="15.75" customHeight="1">
      <c r="C762" s="58"/>
      <c r="H762" s="59"/>
    </row>
    <row r="763" ht="15.75" customHeight="1">
      <c r="C763" s="58"/>
      <c r="H763" s="59"/>
    </row>
    <row r="764" ht="15.75" customHeight="1">
      <c r="C764" s="58"/>
      <c r="H764" s="59"/>
    </row>
    <row r="765" ht="15.75" customHeight="1">
      <c r="C765" s="58"/>
      <c r="H765" s="59"/>
    </row>
    <row r="766" ht="15.75" customHeight="1">
      <c r="C766" s="58"/>
      <c r="H766" s="59"/>
    </row>
    <row r="767" ht="15.75" customHeight="1">
      <c r="C767" s="58"/>
      <c r="H767" s="59"/>
    </row>
    <row r="768" ht="15.75" customHeight="1">
      <c r="C768" s="58"/>
      <c r="H768" s="59"/>
    </row>
    <row r="769" ht="15.75" customHeight="1">
      <c r="C769" s="58"/>
      <c r="H769" s="59"/>
    </row>
    <row r="770" ht="15.75" customHeight="1">
      <c r="C770" s="58"/>
      <c r="H770" s="59"/>
    </row>
    <row r="771" ht="15.75" customHeight="1">
      <c r="C771" s="58"/>
      <c r="H771" s="59"/>
    </row>
    <row r="772" ht="15.75" customHeight="1">
      <c r="C772" s="58"/>
      <c r="H772" s="59"/>
    </row>
    <row r="773" ht="15.75" customHeight="1">
      <c r="C773" s="58"/>
      <c r="H773" s="59"/>
    </row>
    <row r="774" ht="15.75" customHeight="1">
      <c r="C774" s="58"/>
      <c r="H774" s="59"/>
    </row>
    <row r="775" ht="15.75" customHeight="1">
      <c r="C775" s="58"/>
      <c r="H775" s="59"/>
    </row>
    <row r="776" ht="15.75" customHeight="1">
      <c r="C776" s="58"/>
      <c r="H776" s="59"/>
    </row>
    <row r="777" ht="15.75" customHeight="1">
      <c r="C777" s="58"/>
      <c r="H777" s="59"/>
    </row>
    <row r="778" ht="15.75" customHeight="1">
      <c r="C778" s="58"/>
      <c r="H778" s="59"/>
    </row>
    <row r="779" ht="15.75" customHeight="1">
      <c r="C779" s="58"/>
      <c r="H779" s="59"/>
    </row>
    <row r="780" ht="15.75" customHeight="1">
      <c r="C780" s="58"/>
      <c r="H780" s="59"/>
    </row>
    <row r="781" ht="15.75" customHeight="1">
      <c r="C781" s="58"/>
      <c r="H781" s="59"/>
    </row>
    <row r="782" ht="15.75" customHeight="1">
      <c r="C782" s="58"/>
      <c r="H782" s="59"/>
    </row>
    <row r="783" ht="15.75" customHeight="1">
      <c r="C783" s="58"/>
      <c r="H783" s="59"/>
    </row>
    <row r="784" ht="15.75" customHeight="1">
      <c r="C784" s="58"/>
      <c r="H784" s="59"/>
    </row>
    <row r="785" ht="15.75" customHeight="1">
      <c r="C785" s="58"/>
      <c r="H785" s="59"/>
    </row>
    <row r="786" ht="15.75" customHeight="1">
      <c r="C786" s="58"/>
      <c r="H786" s="59"/>
    </row>
    <row r="787" ht="15.75" customHeight="1">
      <c r="C787" s="58"/>
      <c r="H787" s="59"/>
    </row>
    <row r="788" ht="15.75" customHeight="1">
      <c r="C788" s="58"/>
      <c r="H788" s="59"/>
    </row>
    <row r="789" ht="15.75" customHeight="1">
      <c r="C789" s="58"/>
      <c r="H789" s="59"/>
    </row>
    <row r="790" ht="15.75" customHeight="1">
      <c r="C790" s="58"/>
      <c r="H790" s="59"/>
    </row>
    <row r="791" ht="15.75" customHeight="1">
      <c r="C791" s="58"/>
      <c r="H791" s="59"/>
    </row>
    <row r="792" ht="15.75" customHeight="1">
      <c r="C792" s="58"/>
      <c r="H792" s="59"/>
    </row>
    <row r="793" ht="15.75" customHeight="1">
      <c r="C793" s="58"/>
      <c r="H793" s="59"/>
    </row>
    <row r="794" ht="15.75" customHeight="1">
      <c r="C794" s="58"/>
      <c r="H794" s="59"/>
    </row>
    <row r="795" ht="15.75" customHeight="1">
      <c r="C795" s="58"/>
      <c r="H795" s="59"/>
    </row>
    <row r="796" ht="15.75" customHeight="1">
      <c r="C796" s="58"/>
      <c r="H796" s="59"/>
    </row>
    <row r="797" ht="15.75" customHeight="1">
      <c r="C797" s="58"/>
      <c r="H797" s="59"/>
    </row>
    <row r="798" ht="15.75" customHeight="1">
      <c r="C798" s="58"/>
      <c r="H798" s="59"/>
    </row>
    <row r="799" ht="15.75" customHeight="1">
      <c r="C799" s="58"/>
      <c r="H799" s="59"/>
    </row>
    <row r="800" ht="15.75" customHeight="1">
      <c r="C800" s="58"/>
      <c r="H800" s="59"/>
    </row>
    <row r="801" ht="15.75" customHeight="1">
      <c r="C801" s="58"/>
      <c r="H801" s="59"/>
    </row>
    <row r="802" ht="15.75" customHeight="1">
      <c r="C802" s="58"/>
      <c r="H802" s="59"/>
    </row>
    <row r="803" ht="15.75" customHeight="1">
      <c r="C803" s="58"/>
      <c r="H803" s="59"/>
    </row>
    <row r="804" ht="15.75" customHeight="1">
      <c r="C804" s="58"/>
      <c r="H804" s="59"/>
    </row>
    <row r="805" ht="15.75" customHeight="1">
      <c r="C805" s="58"/>
      <c r="H805" s="59"/>
    </row>
    <row r="806" ht="15.75" customHeight="1">
      <c r="C806" s="58"/>
      <c r="H806" s="59"/>
    </row>
    <row r="807" ht="15.75" customHeight="1">
      <c r="C807" s="58"/>
      <c r="H807" s="59"/>
    </row>
    <row r="808" ht="15.75" customHeight="1">
      <c r="C808" s="58"/>
      <c r="H808" s="59"/>
    </row>
    <row r="809" ht="15.75" customHeight="1">
      <c r="C809" s="58"/>
      <c r="H809" s="59"/>
    </row>
    <row r="810" ht="15.75" customHeight="1">
      <c r="C810" s="58"/>
      <c r="H810" s="59"/>
    </row>
    <row r="811" ht="15.75" customHeight="1">
      <c r="C811" s="58"/>
      <c r="H811" s="59"/>
    </row>
    <row r="812" ht="15.75" customHeight="1">
      <c r="C812" s="58"/>
      <c r="H812" s="59"/>
    </row>
    <row r="813" ht="15.75" customHeight="1">
      <c r="C813" s="58"/>
      <c r="H813" s="59"/>
    </row>
    <row r="814" ht="15.75" customHeight="1">
      <c r="C814" s="58"/>
      <c r="H814" s="59"/>
    </row>
    <row r="815" ht="15.75" customHeight="1">
      <c r="C815" s="58"/>
      <c r="H815" s="59"/>
    </row>
    <row r="816" ht="15.75" customHeight="1">
      <c r="C816" s="58"/>
      <c r="H816" s="59"/>
    </row>
    <row r="817" ht="15.75" customHeight="1">
      <c r="C817" s="58"/>
      <c r="H817" s="59"/>
    </row>
    <row r="818" ht="15.75" customHeight="1">
      <c r="C818" s="58"/>
      <c r="H818" s="59"/>
    </row>
    <row r="819" ht="15.75" customHeight="1">
      <c r="C819" s="58"/>
      <c r="H819" s="59"/>
    </row>
    <row r="820" ht="15.75" customHeight="1">
      <c r="C820" s="58"/>
      <c r="H820" s="59"/>
    </row>
    <row r="821" ht="15.75" customHeight="1">
      <c r="C821" s="58"/>
      <c r="H821" s="59"/>
    </row>
    <row r="822" ht="15.75" customHeight="1">
      <c r="C822" s="58"/>
      <c r="H822" s="59"/>
    </row>
    <row r="823" ht="15.75" customHeight="1">
      <c r="C823" s="58"/>
      <c r="H823" s="59"/>
    </row>
    <row r="824" ht="15.75" customHeight="1">
      <c r="C824" s="58"/>
      <c r="H824" s="59"/>
    </row>
    <row r="825" ht="15.75" customHeight="1">
      <c r="C825" s="58"/>
      <c r="H825" s="59"/>
    </row>
    <row r="826" ht="15.75" customHeight="1">
      <c r="C826" s="58"/>
      <c r="H826" s="59"/>
    </row>
    <row r="827" ht="15.75" customHeight="1">
      <c r="C827" s="58"/>
      <c r="H827" s="59"/>
    </row>
    <row r="828" ht="15.75" customHeight="1">
      <c r="C828" s="58"/>
      <c r="H828" s="59"/>
    </row>
    <row r="829" ht="15.75" customHeight="1">
      <c r="C829" s="58"/>
      <c r="H829" s="59"/>
    </row>
    <row r="830" ht="15.75" customHeight="1">
      <c r="C830" s="58"/>
      <c r="H830" s="59"/>
    </row>
    <row r="831" ht="15.75" customHeight="1">
      <c r="C831" s="58"/>
      <c r="H831" s="59"/>
    </row>
    <row r="832" ht="15.75" customHeight="1">
      <c r="C832" s="58"/>
      <c r="H832" s="59"/>
    </row>
    <row r="833" ht="15.75" customHeight="1">
      <c r="C833" s="58"/>
      <c r="H833" s="59"/>
    </row>
    <row r="834" ht="15.75" customHeight="1">
      <c r="C834" s="58"/>
      <c r="H834" s="59"/>
    </row>
    <row r="835" ht="15.75" customHeight="1">
      <c r="C835" s="58"/>
      <c r="H835" s="59"/>
    </row>
    <row r="836" ht="15.75" customHeight="1">
      <c r="C836" s="58"/>
      <c r="H836" s="59"/>
    </row>
    <row r="837" ht="15.75" customHeight="1">
      <c r="C837" s="58"/>
      <c r="H837" s="59"/>
    </row>
    <row r="838" ht="15.75" customHeight="1">
      <c r="C838" s="58"/>
      <c r="H838" s="59"/>
    </row>
    <row r="839" ht="15.75" customHeight="1">
      <c r="C839" s="58"/>
      <c r="H839" s="59"/>
    </row>
    <row r="840" ht="15.75" customHeight="1">
      <c r="C840" s="58"/>
      <c r="H840" s="59"/>
    </row>
    <row r="841" ht="15.75" customHeight="1">
      <c r="C841" s="58"/>
      <c r="H841" s="59"/>
    </row>
    <row r="842" ht="15.75" customHeight="1">
      <c r="C842" s="58"/>
      <c r="H842" s="59"/>
    </row>
    <row r="843" ht="15.75" customHeight="1">
      <c r="C843" s="58"/>
      <c r="H843" s="59"/>
    </row>
    <row r="844" ht="15.75" customHeight="1">
      <c r="C844" s="58"/>
      <c r="H844" s="59"/>
    </row>
    <row r="845" ht="15.75" customHeight="1">
      <c r="C845" s="58"/>
      <c r="H845" s="59"/>
    </row>
    <row r="846" ht="15.75" customHeight="1">
      <c r="C846" s="58"/>
      <c r="H846" s="59"/>
    </row>
    <row r="847" ht="15.75" customHeight="1">
      <c r="C847" s="58"/>
      <c r="H847" s="59"/>
    </row>
    <row r="848" ht="15.75" customHeight="1">
      <c r="C848" s="58"/>
      <c r="H848" s="59"/>
    </row>
    <row r="849" ht="15.75" customHeight="1">
      <c r="C849" s="58"/>
      <c r="H849" s="59"/>
    </row>
    <row r="850" ht="15.75" customHeight="1">
      <c r="C850" s="58"/>
      <c r="H850" s="59"/>
    </row>
    <row r="851" ht="15.75" customHeight="1">
      <c r="C851" s="58"/>
      <c r="H851" s="59"/>
    </row>
    <row r="852" ht="15.75" customHeight="1">
      <c r="C852" s="58"/>
      <c r="H852" s="59"/>
    </row>
    <row r="853" ht="15.75" customHeight="1">
      <c r="C853" s="58"/>
      <c r="H853" s="59"/>
    </row>
    <row r="854" ht="15.75" customHeight="1">
      <c r="C854" s="58"/>
      <c r="H854" s="59"/>
    </row>
    <row r="855" ht="15.75" customHeight="1">
      <c r="C855" s="58"/>
      <c r="H855" s="59"/>
    </row>
    <row r="856" ht="15.75" customHeight="1">
      <c r="C856" s="58"/>
      <c r="H856" s="59"/>
    </row>
    <row r="857" ht="15.75" customHeight="1">
      <c r="C857" s="58"/>
      <c r="H857" s="59"/>
    </row>
    <row r="858" ht="15.75" customHeight="1">
      <c r="C858" s="58"/>
      <c r="H858" s="59"/>
    </row>
    <row r="859" ht="15.75" customHeight="1">
      <c r="C859" s="58"/>
      <c r="H859" s="59"/>
    </row>
    <row r="860" ht="15.75" customHeight="1">
      <c r="C860" s="58"/>
      <c r="H860" s="59"/>
    </row>
    <row r="861" ht="15.75" customHeight="1">
      <c r="C861" s="58"/>
      <c r="H861" s="59"/>
    </row>
    <row r="862" ht="15.75" customHeight="1">
      <c r="C862" s="58"/>
      <c r="H862" s="59"/>
    </row>
    <row r="863" ht="15.75" customHeight="1">
      <c r="C863" s="58"/>
      <c r="H863" s="59"/>
    </row>
    <row r="864" ht="15.75" customHeight="1">
      <c r="C864" s="58"/>
      <c r="H864" s="59"/>
    </row>
    <row r="865" ht="15.75" customHeight="1">
      <c r="C865" s="58"/>
      <c r="H865" s="59"/>
    </row>
    <row r="866" ht="15.75" customHeight="1">
      <c r="C866" s="58"/>
      <c r="H866" s="59"/>
    </row>
    <row r="867" ht="15.75" customHeight="1">
      <c r="C867" s="58"/>
      <c r="H867" s="59"/>
    </row>
    <row r="868" ht="15.75" customHeight="1">
      <c r="C868" s="58"/>
      <c r="H868" s="59"/>
    </row>
    <row r="869" ht="15.75" customHeight="1">
      <c r="C869" s="58"/>
      <c r="H869" s="59"/>
    </row>
    <row r="870" ht="15.75" customHeight="1">
      <c r="C870" s="58"/>
      <c r="H870" s="59"/>
    </row>
    <row r="871" ht="15.75" customHeight="1">
      <c r="C871" s="58"/>
      <c r="H871" s="59"/>
    </row>
    <row r="872" ht="15.75" customHeight="1">
      <c r="C872" s="58"/>
      <c r="H872" s="59"/>
    </row>
    <row r="873" ht="15.75" customHeight="1">
      <c r="C873" s="58"/>
      <c r="H873" s="59"/>
    </row>
    <row r="874" ht="15.75" customHeight="1">
      <c r="C874" s="58"/>
      <c r="H874" s="59"/>
    </row>
    <row r="875" ht="15.75" customHeight="1">
      <c r="C875" s="58"/>
      <c r="H875" s="59"/>
    </row>
    <row r="876" ht="15.75" customHeight="1">
      <c r="C876" s="58"/>
      <c r="H876" s="59"/>
    </row>
    <row r="877" ht="15.75" customHeight="1">
      <c r="C877" s="58"/>
      <c r="H877" s="59"/>
    </row>
    <row r="878" ht="15.75" customHeight="1">
      <c r="C878" s="58"/>
      <c r="H878" s="59"/>
    </row>
    <row r="879" ht="15.75" customHeight="1">
      <c r="C879" s="58"/>
      <c r="H879" s="59"/>
    </row>
    <row r="880" ht="15.75" customHeight="1">
      <c r="C880" s="58"/>
      <c r="H880" s="59"/>
    </row>
    <row r="881" ht="15.75" customHeight="1">
      <c r="C881" s="58"/>
      <c r="H881" s="59"/>
    </row>
    <row r="882" ht="15.75" customHeight="1">
      <c r="C882" s="58"/>
      <c r="H882" s="59"/>
    </row>
    <row r="883" ht="15.75" customHeight="1">
      <c r="C883" s="58"/>
      <c r="H883" s="59"/>
    </row>
    <row r="884" ht="15.75" customHeight="1">
      <c r="C884" s="58"/>
      <c r="H884" s="59"/>
    </row>
    <row r="885" ht="15.75" customHeight="1">
      <c r="C885" s="58"/>
      <c r="H885" s="59"/>
    </row>
    <row r="886" ht="15.75" customHeight="1">
      <c r="C886" s="58"/>
      <c r="H886" s="59"/>
    </row>
    <row r="887" ht="15.75" customHeight="1">
      <c r="C887" s="58"/>
      <c r="H887" s="59"/>
    </row>
    <row r="888" ht="15.75" customHeight="1">
      <c r="C888" s="58"/>
      <c r="H888" s="59"/>
    </row>
    <row r="889" ht="15.75" customHeight="1">
      <c r="C889" s="58"/>
      <c r="H889" s="59"/>
    </row>
    <row r="890" ht="15.75" customHeight="1">
      <c r="C890" s="58"/>
      <c r="H890" s="59"/>
    </row>
    <row r="891" ht="15.75" customHeight="1">
      <c r="C891" s="58"/>
      <c r="H891" s="59"/>
    </row>
    <row r="892" ht="15.75" customHeight="1">
      <c r="C892" s="58"/>
      <c r="H892" s="59"/>
    </row>
    <row r="893" ht="15.75" customHeight="1">
      <c r="C893" s="58"/>
      <c r="H893" s="59"/>
    </row>
    <row r="894" ht="15.75" customHeight="1">
      <c r="C894" s="58"/>
      <c r="H894" s="59"/>
    </row>
    <row r="895" ht="15.75" customHeight="1">
      <c r="C895" s="58"/>
      <c r="H895" s="59"/>
    </row>
    <row r="896" ht="15.75" customHeight="1">
      <c r="C896" s="58"/>
      <c r="H896" s="59"/>
    </row>
    <row r="897" ht="15.75" customHeight="1">
      <c r="C897" s="58"/>
      <c r="H897" s="59"/>
    </row>
    <row r="898" ht="15.75" customHeight="1">
      <c r="C898" s="58"/>
      <c r="H898" s="59"/>
    </row>
    <row r="899" ht="15.75" customHeight="1">
      <c r="C899" s="58"/>
      <c r="H899" s="59"/>
    </row>
    <row r="900" ht="15.75" customHeight="1">
      <c r="C900" s="58"/>
      <c r="H900" s="59"/>
    </row>
    <row r="901" ht="15.75" customHeight="1">
      <c r="C901" s="58"/>
      <c r="H901" s="59"/>
    </row>
    <row r="902" ht="15.75" customHeight="1">
      <c r="C902" s="58"/>
      <c r="H902" s="59"/>
    </row>
    <row r="903" ht="15.75" customHeight="1">
      <c r="C903" s="58"/>
      <c r="H903" s="59"/>
    </row>
    <row r="904" ht="15.75" customHeight="1">
      <c r="C904" s="58"/>
      <c r="H904" s="59"/>
    </row>
    <row r="905" ht="15.75" customHeight="1">
      <c r="C905" s="58"/>
      <c r="H905" s="59"/>
    </row>
    <row r="906" ht="15.75" customHeight="1">
      <c r="C906" s="58"/>
      <c r="H906" s="59"/>
    </row>
    <row r="907" ht="15.75" customHeight="1">
      <c r="C907" s="58"/>
      <c r="H907" s="59"/>
    </row>
    <row r="908" ht="15.75" customHeight="1">
      <c r="C908" s="58"/>
      <c r="H908" s="59"/>
    </row>
    <row r="909" ht="15.75" customHeight="1">
      <c r="C909" s="58"/>
      <c r="H909" s="59"/>
    </row>
    <row r="910" ht="15.75" customHeight="1">
      <c r="C910" s="58"/>
      <c r="H910" s="59"/>
    </row>
    <row r="911" ht="15.75" customHeight="1">
      <c r="C911" s="58"/>
      <c r="H911" s="59"/>
    </row>
    <row r="912" ht="15.75" customHeight="1">
      <c r="C912" s="58"/>
      <c r="H912" s="59"/>
    </row>
    <row r="913" ht="15.75" customHeight="1">
      <c r="C913" s="58"/>
      <c r="H913" s="59"/>
    </row>
    <row r="914" ht="15.75" customHeight="1">
      <c r="C914" s="58"/>
      <c r="H914" s="59"/>
    </row>
    <row r="915" ht="15.75" customHeight="1">
      <c r="C915" s="58"/>
      <c r="H915" s="59"/>
    </row>
    <row r="916" ht="15.75" customHeight="1">
      <c r="C916" s="58"/>
      <c r="H916" s="59"/>
    </row>
    <row r="917" ht="15.75" customHeight="1">
      <c r="C917" s="58"/>
      <c r="H917" s="59"/>
    </row>
    <row r="918" ht="15.75" customHeight="1">
      <c r="C918" s="58"/>
      <c r="H918" s="59"/>
    </row>
    <row r="919" ht="15.75" customHeight="1">
      <c r="C919" s="58"/>
      <c r="H919" s="59"/>
    </row>
    <row r="920" ht="15.75" customHeight="1">
      <c r="C920" s="58"/>
      <c r="H920" s="59"/>
    </row>
    <row r="921" ht="15.75" customHeight="1">
      <c r="C921" s="58"/>
      <c r="H921" s="59"/>
    </row>
    <row r="922" ht="15.75" customHeight="1">
      <c r="C922" s="58"/>
      <c r="H922" s="59"/>
    </row>
    <row r="923" ht="15.75" customHeight="1">
      <c r="C923" s="58"/>
      <c r="H923" s="59"/>
    </row>
    <row r="924" ht="15.75" customHeight="1">
      <c r="C924" s="58"/>
      <c r="H924" s="59"/>
    </row>
    <row r="925" ht="15.75" customHeight="1">
      <c r="C925" s="58"/>
      <c r="H925" s="59"/>
    </row>
    <row r="926" ht="15.75" customHeight="1">
      <c r="C926" s="58"/>
      <c r="H926" s="59"/>
    </row>
    <row r="927" ht="15.75" customHeight="1">
      <c r="C927" s="58"/>
      <c r="H927" s="59"/>
    </row>
    <row r="928" ht="15.75" customHeight="1">
      <c r="C928" s="58"/>
      <c r="H928" s="59"/>
    </row>
    <row r="929" ht="15.75" customHeight="1">
      <c r="C929" s="58"/>
      <c r="H929" s="59"/>
    </row>
    <row r="930" ht="15.75" customHeight="1">
      <c r="C930" s="58"/>
      <c r="H930" s="59"/>
    </row>
    <row r="931" ht="15.75" customHeight="1">
      <c r="C931" s="58"/>
      <c r="H931" s="59"/>
    </row>
    <row r="932" ht="15.75" customHeight="1">
      <c r="C932" s="58"/>
      <c r="H932" s="59"/>
    </row>
    <row r="933" ht="15.75" customHeight="1">
      <c r="C933" s="58"/>
      <c r="H933" s="59"/>
    </row>
    <row r="934" ht="15.75" customHeight="1">
      <c r="C934" s="58"/>
      <c r="H934" s="59"/>
    </row>
    <row r="935" ht="15.75" customHeight="1">
      <c r="C935" s="58"/>
      <c r="H935" s="59"/>
    </row>
    <row r="936" ht="15.75" customHeight="1">
      <c r="C936" s="58"/>
      <c r="H936" s="59"/>
    </row>
    <row r="937" ht="15.75" customHeight="1">
      <c r="C937" s="58"/>
      <c r="H937" s="59"/>
    </row>
    <row r="938" ht="15.75" customHeight="1">
      <c r="C938" s="58"/>
      <c r="H938" s="59"/>
    </row>
    <row r="939" ht="15.75" customHeight="1">
      <c r="C939" s="58"/>
      <c r="H939" s="59"/>
    </row>
    <row r="940" ht="15.75" customHeight="1">
      <c r="C940" s="58"/>
      <c r="H940" s="59"/>
    </row>
    <row r="941" ht="15.75" customHeight="1">
      <c r="C941" s="58"/>
      <c r="H941" s="59"/>
    </row>
    <row r="942" ht="15.75" customHeight="1">
      <c r="C942" s="58"/>
      <c r="H942" s="59"/>
    </row>
    <row r="943" ht="15.75" customHeight="1">
      <c r="C943" s="58"/>
      <c r="H943" s="59"/>
    </row>
    <row r="944" ht="15.75" customHeight="1">
      <c r="C944" s="58"/>
      <c r="H944" s="59"/>
    </row>
    <row r="945" ht="15.75" customHeight="1">
      <c r="C945" s="58"/>
      <c r="H945" s="59"/>
    </row>
    <row r="946" ht="15.75" customHeight="1">
      <c r="C946" s="58"/>
      <c r="H946" s="59"/>
    </row>
    <row r="947" ht="15.75" customHeight="1">
      <c r="C947" s="58"/>
      <c r="H947" s="59"/>
    </row>
    <row r="948" ht="15.75" customHeight="1">
      <c r="C948" s="58"/>
      <c r="H948" s="59"/>
    </row>
    <row r="949" ht="15.75" customHeight="1">
      <c r="C949" s="58"/>
      <c r="H949" s="59"/>
    </row>
    <row r="950" ht="15.75" customHeight="1">
      <c r="C950" s="58"/>
      <c r="H950" s="59"/>
    </row>
    <row r="951" ht="15.75" customHeight="1">
      <c r="C951" s="58"/>
      <c r="H951" s="59"/>
    </row>
    <row r="952" ht="15.75" customHeight="1">
      <c r="C952" s="58"/>
      <c r="H952" s="59"/>
    </row>
    <row r="953" ht="15.75" customHeight="1">
      <c r="C953" s="58"/>
      <c r="H953" s="59"/>
    </row>
    <row r="954" ht="15.75" customHeight="1">
      <c r="C954" s="58"/>
      <c r="H954" s="59"/>
    </row>
    <row r="955" ht="15.75" customHeight="1">
      <c r="C955" s="58"/>
      <c r="H955" s="59"/>
    </row>
    <row r="956" ht="15.75" customHeight="1">
      <c r="C956" s="58"/>
      <c r="H956" s="59"/>
    </row>
    <row r="957" ht="15.75" customHeight="1">
      <c r="C957" s="58"/>
      <c r="H957" s="59"/>
    </row>
    <row r="958" ht="15.75" customHeight="1">
      <c r="C958" s="58"/>
      <c r="H958" s="59"/>
    </row>
    <row r="959" ht="15.75" customHeight="1">
      <c r="C959" s="58"/>
      <c r="H959" s="59"/>
    </row>
    <row r="960" ht="15.75" customHeight="1">
      <c r="C960" s="58"/>
      <c r="H960" s="59"/>
    </row>
    <row r="961" ht="15.75" customHeight="1">
      <c r="C961" s="58"/>
      <c r="H961" s="59"/>
    </row>
    <row r="962" ht="15.75" customHeight="1">
      <c r="C962" s="58"/>
      <c r="H962" s="59"/>
    </row>
    <row r="963" ht="15.75" customHeight="1">
      <c r="C963" s="58"/>
      <c r="H963" s="59"/>
    </row>
    <row r="964" ht="15.75" customHeight="1">
      <c r="C964" s="58"/>
      <c r="H964" s="59"/>
    </row>
    <row r="965" ht="15.75" customHeight="1">
      <c r="C965" s="58"/>
      <c r="H965" s="59"/>
    </row>
    <row r="966" ht="15.75" customHeight="1">
      <c r="C966" s="58"/>
      <c r="H966" s="59"/>
    </row>
    <row r="967" ht="15.75" customHeight="1">
      <c r="C967" s="58"/>
      <c r="H967" s="59"/>
    </row>
    <row r="968" ht="15.75" customHeight="1">
      <c r="C968" s="58"/>
      <c r="H968" s="59"/>
    </row>
    <row r="969" ht="15.75" customHeight="1">
      <c r="C969" s="58"/>
      <c r="H969" s="59"/>
    </row>
    <row r="970" ht="15.75" customHeight="1">
      <c r="C970" s="58"/>
      <c r="H970" s="59"/>
    </row>
    <row r="971" ht="15.75" customHeight="1">
      <c r="C971" s="58"/>
      <c r="H971" s="59"/>
    </row>
    <row r="972" ht="15.75" customHeight="1">
      <c r="C972" s="58"/>
      <c r="H972" s="59"/>
    </row>
    <row r="973" ht="15.75" customHeight="1">
      <c r="C973" s="58"/>
      <c r="H973" s="59"/>
    </row>
    <row r="974" ht="15.75" customHeight="1">
      <c r="C974" s="58"/>
      <c r="H974" s="59"/>
    </row>
    <row r="975" ht="15.75" customHeight="1">
      <c r="C975" s="58"/>
      <c r="H975" s="59"/>
    </row>
    <row r="976" ht="15.75" customHeight="1">
      <c r="C976" s="58"/>
      <c r="H976" s="59"/>
    </row>
    <row r="977" ht="15.75" customHeight="1">
      <c r="C977" s="58"/>
      <c r="H977" s="59"/>
    </row>
    <row r="978" ht="15.75" customHeight="1">
      <c r="C978" s="58"/>
      <c r="H978" s="59"/>
    </row>
    <row r="979" ht="15.75" customHeight="1">
      <c r="C979" s="58"/>
      <c r="H979" s="59"/>
    </row>
    <row r="980" ht="15.75" customHeight="1">
      <c r="C980" s="58"/>
      <c r="H980" s="59"/>
    </row>
    <row r="981" ht="15.75" customHeight="1">
      <c r="C981" s="58"/>
      <c r="H981" s="59"/>
    </row>
    <row r="982" ht="15.75" customHeight="1">
      <c r="C982" s="58"/>
      <c r="H982" s="59"/>
    </row>
    <row r="983" ht="15.75" customHeight="1">
      <c r="C983" s="58"/>
      <c r="H983" s="59"/>
    </row>
    <row r="984" ht="15.75" customHeight="1">
      <c r="C984" s="58"/>
      <c r="H984" s="59"/>
    </row>
    <row r="985" ht="15.75" customHeight="1">
      <c r="C985" s="58"/>
      <c r="H985" s="59"/>
    </row>
    <row r="986" ht="15.75" customHeight="1">
      <c r="C986" s="58"/>
      <c r="H986" s="59"/>
    </row>
    <row r="987" ht="15.75" customHeight="1">
      <c r="C987" s="58"/>
      <c r="H987" s="59"/>
    </row>
    <row r="988" ht="15.75" customHeight="1">
      <c r="C988" s="58"/>
      <c r="H988" s="59"/>
    </row>
    <row r="989" ht="15.75" customHeight="1">
      <c r="C989" s="58"/>
      <c r="H989" s="59"/>
    </row>
    <row r="990" ht="15.75" customHeight="1">
      <c r="C990" s="58"/>
      <c r="H990" s="59"/>
    </row>
    <row r="991" ht="15.75" customHeight="1">
      <c r="C991" s="58"/>
      <c r="H991" s="59"/>
    </row>
    <row r="992" ht="15.75" customHeight="1">
      <c r="C992" s="58"/>
      <c r="H992" s="59"/>
    </row>
    <row r="993" ht="15.75" customHeight="1">
      <c r="C993" s="58"/>
      <c r="H993" s="59"/>
    </row>
    <row r="994" ht="15.75" customHeight="1">
      <c r="C994" s="58"/>
      <c r="H994" s="59"/>
    </row>
    <row r="995" ht="15.75" customHeight="1">
      <c r="C995" s="58"/>
      <c r="H995" s="59"/>
    </row>
    <row r="996" ht="15.75" customHeight="1">
      <c r="C996" s="58"/>
      <c r="H996" s="59"/>
    </row>
    <row r="997" ht="15.75" customHeight="1">
      <c r="C997" s="58"/>
      <c r="H997" s="59"/>
    </row>
    <row r="998" ht="15.75" customHeight="1">
      <c r="C998" s="58"/>
      <c r="H998" s="59"/>
    </row>
    <row r="999" ht="15.75" customHeight="1">
      <c r="C999" s="58"/>
      <c r="H999" s="59"/>
    </row>
    <row r="1000" ht="15.75" customHeight="1">
      <c r="C1000" s="58"/>
      <c r="H1000" s="59"/>
    </row>
    <row r="1001" ht="15.75" customHeight="1">
      <c r="C1001" s="58"/>
      <c r="H1001" s="59"/>
    </row>
    <row r="1002" ht="15.75" customHeight="1">
      <c r="C1002" s="58"/>
      <c r="H1002" s="59"/>
    </row>
    <row r="1003" ht="15.75" customHeight="1">
      <c r="C1003" s="58"/>
      <c r="H1003" s="59"/>
    </row>
    <row r="1004" ht="15.75" customHeight="1">
      <c r="C1004" s="58"/>
      <c r="H1004" s="59"/>
    </row>
    <row r="1005" ht="15.75" customHeight="1">
      <c r="C1005" s="58"/>
      <c r="H1005" s="59"/>
    </row>
    <row r="1006" ht="15.75" customHeight="1">
      <c r="C1006" s="58"/>
      <c r="H1006" s="59"/>
    </row>
    <row r="1007" ht="15.75" customHeight="1">
      <c r="C1007" s="58"/>
      <c r="H1007" s="59"/>
    </row>
    <row r="1008" ht="15.75" customHeight="1">
      <c r="C1008" s="58"/>
      <c r="H1008" s="59"/>
    </row>
    <row r="1009" ht="15.75" customHeight="1">
      <c r="C1009" s="58"/>
      <c r="H1009" s="59"/>
    </row>
    <row r="1010" ht="15.75" customHeight="1">
      <c r="C1010" s="58"/>
      <c r="H1010" s="59"/>
    </row>
    <row r="1011" ht="15.75" customHeight="1">
      <c r="C1011" s="58"/>
      <c r="H1011" s="59"/>
    </row>
    <row r="1012" ht="15.75" customHeight="1">
      <c r="C1012" s="58"/>
      <c r="H1012" s="59"/>
    </row>
    <row r="1013" ht="15.75" customHeight="1">
      <c r="C1013" s="58"/>
      <c r="H1013" s="59"/>
    </row>
    <row r="1014" ht="15.75" customHeight="1">
      <c r="C1014" s="58"/>
      <c r="H1014" s="59"/>
    </row>
    <row r="1015" ht="15.75" customHeight="1">
      <c r="C1015" s="58"/>
      <c r="H1015" s="59"/>
    </row>
    <row r="1016" ht="15.75" customHeight="1">
      <c r="C1016" s="58"/>
      <c r="H1016" s="59"/>
    </row>
    <row r="1017" ht="15.75" customHeight="1">
      <c r="C1017" s="58"/>
      <c r="H1017" s="59"/>
    </row>
    <row r="1018" ht="15.75" customHeight="1">
      <c r="C1018" s="58"/>
      <c r="H1018" s="59"/>
    </row>
    <row r="1019" ht="15.75" customHeight="1">
      <c r="C1019" s="58"/>
      <c r="H1019" s="59"/>
    </row>
    <row r="1020" ht="15.75" customHeight="1">
      <c r="C1020" s="58"/>
      <c r="H1020" s="59"/>
    </row>
    <row r="1021" ht="15.75" customHeight="1">
      <c r="C1021" s="58"/>
      <c r="H1021" s="59"/>
    </row>
    <row r="1022" ht="15.75" customHeight="1">
      <c r="C1022" s="58"/>
      <c r="H1022" s="59"/>
    </row>
    <row r="1023" ht="15.75" customHeight="1">
      <c r="C1023" s="58"/>
      <c r="H1023" s="59"/>
    </row>
    <row r="1024" ht="15.75" customHeight="1">
      <c r="C1024" s="58"/>
      <c r="H1024" s="59"/>
    </row>
  </sheetData>
  <mergeCells count="1">
    <mergeCell ref="B1:C1"/>
  </mergeCells>
  <conditionalFormatting sqref="F3:F34">
    <cfRule type="expression" dxfId="0" priority="1">
      <formula>AND($F3&lt;&gt;"OK",$F3&lt;&gt;"未設定")</formula>
    </cfRule>
  </conditionalFormatting>
  <hyperlinks>
    <hyperlink r:id="rId1" location="gid=1208661004" ref="D14"/>
    <hyperlink r:id="rId2" location="gid=1169211779" ref="D19"/>
    <hyperlink r:id="rId3" location="gid=1169211779" ref="D20"/>
    <hyperlink r:id="rId4" location="gid=1991733541" ref="D21"/>
    <hyperlink r:id="rId5" location="gid=1169211779" ref="D23"/>
    <hyperlink r:id="rId6" location="gid=1169211779" ref="D24"/>
    <hyperlink r:id="rId7" location="gid=1169211779" ref="D25"/>
    <hyperlink r:id="rId8" location="gid=1169211779" ref="D26"/>
  </hyperlinks>
  <printOptions/>
  <pageMargins bottom="1.0" footer="0.0" header="0.0" left="0.75" right="0.75" top="1.0"/>
  <pageSetup orientation="landscape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 outlineLevelCol="1"/>
  <cols>
    <col customWidth="1" min="1" max="1" width="2.0"/>
    <col customWidth="1" min="2" max="2" width="11.57"/>
    <col customWidth="1" min="3" max="4" width="10.0"/>
    <col customWidth="1" min="5" max="5" width="34.0"/>
    <col customWidth="1" min="6" max="20" width="10.0"/>
    <col customWidth="1" min="21" max="21" width="8.71"/>
    <col customWidth="1" min="22" max="33" width="13.0" outlineLevel="1"/>
    <col customWidth="1" min="34" max="35" width="8.71"/>
  </cols>
  <sheetData>
    <row r="1">
      <c r="B1" s="8"/>
      <c r="C1" s="8" t="s">
        <v>20</v>
      </c>
      <c r="D1" s="10"/>
      <c r="E1" s="10"/>
    </row>
    <row r="2">
      <c r="G2" s="14" t="s">
        <v>22</v>
      </c>
      <c r="H2" s="15"/>
      <c r="I2" s="15"/>
      <c r="J2" s="15"/>
      <c r="K2" s="15"/>
      <c r="L2" s="17"/>
      <c r="M2" s="14" t="s">
        <v>24</v>
      </c>
      <c r="N2" s="15"/>
      <c r="O2" s="15"/>
      <c r="P2" s="15"/>
      <c r="Q2" s="15"/>
      <c r="R2" s="17"/>
      <c r="S2" s="18"/>
      <c r="T2" s="18"/>
      <c r="V2" s="19" t="s">
        <v>25</v>
      </c>
      <c r="W2" s="15"/>
      <c r="X2" s="15"/>
      <c r="Y2" s="15"/>
      <c r="Z2" s="15"/>
      <c r="AA2" s="15"/>
      <c r="AB2" s="15"/>
      <c r="AC2" s="15"/>
      <c r="AD2" s="15"/>
      <c r="AE2" s="15"/>
      <c r="AF2" s="15"/>
      <c r="AG2" s="17"/>
    </row>
    <row r="3">
      <c r="B3" s="21" t="s">
        <v>15</v>
      </c>
      <c r="C3" s="22" t="s">
        <v>8</v>
      </c>
      <c r="D3" s="23" t="s">
        <v>26</v>
      </c>
      <c r="E3" s="23" t="s">
        <v>27</v>
      </c>
      <c r="F3" s="24" t="s">
        <v>28</v>
      </c>
      <c r="G3" s="26" t="s">
        <v>29</v>
      </c>
      <c r="H3" s="27" t="s">
        <v>31</v>
      </c>
      <c r="I3" s="28" t="s">
        <v>32</v>
      </c>
      <c r="J3" s="29" t="s">
        <v>33</v>
      </c>
      <c r="K3" s="30" t="s">
        <v>36</v>
      </c>
      <c r="L3" s="24" t="s">
        <v>38</v>
      </c>
      <c r="M3" s="26" t="s">
        <v>29</v>
      </c>
      <c r="N3" s="27" t="s">
        <v>31</v>
      </c>
      <c r="O3" s="28" t="s">
        <v>32</v>
      </c>
      <c r="P3" s="29" t="s">
        <v>33</v>
      </c>
      <c r="Q3" s="30" t="s">
        <v>36</v>
      </c>
      <c r="R3" s="24" t="s">
        <v>38</v>
      </c>
      <c r="S3" s="31" t="s">
        <v>39</v>
      </c>
      <c r="T3" s="31" t="s">
        <v>41</v>
      </c>
      <c r="U3" s="32" t="s">
        <v>42</v>
      </c>
      <c r="V3" s="33" t="s">
        <v>44</v>
      </c>
      <c r="W3" s="33" t="s">
        <v>45</v>
      </c>
      <c r="X3" s="33" t="s">
        <v>46</v>
      </c>
      <c r="Y3" s="33" t="s">
        <v>47</v>
      </c>
      <c r="Z3" s="33" t="s">
        <v>48</v>
      </c>
      <c r="AA3" s="33" t="s">
        <v>50</v>
      </c>
      <c r="AB3" s="33" t="s">
        <v>51</v>
      </c>
      <c r="AC3" s="33" t="s">
        <v>52</v>
      </c>
      <c r="AD3" s="33" t="s">
        <v>53</v>
      </c>
      <c r="AE3" s="33" t="s">
        <v>54</v>
      </c>
      <c r="AF3" s="33" t="s">
        <v>55</v>
      </c>
      <c r="AG3" s="33" t="s">
        <v>56</v>
      </c>
    </row>
    <row r="4">
      <c r="B4" s="35">
        <f>IFERROR(__xludf.DUMMYFUNCTION("IFERROR(LET(u,FILTER('各エリア_マスタURL貼付'!C3:E1024,'各エリア_マスタURL貼付'!D3:D1024&lt;&gt;""""),
d,REDUCE(MAKEARRAY(1,21,LAMBDA(r,c,"""")),SEQUENCE(ROWS(u)),LAMBDA(a,i,VSTACK(a,LET(
b,IFERROR(IMPORTRANGE(INDEX(u,i,2),""'""&amp;INDEX(u,i,3)&amp;""'!B6:U65""),MAKEARRAY(1,20,LAMBDA(r"&amp;",c,""""))),
HSTACK(MAKEARRAY(ROWS(b),1,LAMBDA(r,c,INDEX(u,i,1))),b))))),
CHOOSECOLS(FILTER(d,INDEX(d,0,3)&lt;&gt;""""),1,2,3,4,5,6,7,8,9,10,11,12,13,14,15,16,17,20,21)),"""")"),46296.0)</f>
        <v>46296</v>
      </c>
      <c r="C4" s="36" t="str">
        <f>IFERROR(__xludf.DUMMYFUNCTION("""COMPUTED_VALUE"""),"北海道")</f>
        <v>北海道</v>
      </c>
      <c r="D4" s="38">
        <f>IFERROR(__xludf.DUMMYFUNCTION("""COMPUTED_VALUE"""),8327.0)</f>
        <v>8327</v>
      </c>
      <c r="E4" s="38" t="str">
        <f>IFERROR(__xludf.DUMMYFUNCTION("""COMPUTED_VALUE"""),"ケーズデンキ 北見店")</f>
        <v>ケーズデンキ 北見店</v>
      </c>
      <c r="F4" s="40">
        <f>IFERROR(__xludf.DUMMYFUNCTION("""COMPUTED_VALUE"""),37.0)</f>
        <v>37</v>
      </c>
      <c r="G4" s="42">
        <f>IFERROR(__xludf.DUMMYFUNCTION("""COMPUTED_VALUE"""),0.0)</f>
        <v>0</v>
      </c>
      <c r="H4" s="42">
        <f>IFERROR(__xludf.DUMMYFUNCTION("""COMPUTED_VALUE"""),0.0)</f>
        <v>0</v>
      </c>
      <c r="I4" s="42">
        <f>IFERROR(__xludf.DUMMYFUNCTION("""COMPUTED_VALUE"""),0.0)</f>
        <v>0</v>
      </c>
      <c r="J4" s="42">
        <f>IFERROR(__xludf.DUMMYFUNCTION("""COMPUTED_VALUE"""),0.0)</f>
        <v>0</v>
      </c>
      <c r="K4" s="42">
        <f>IFERROR(__xludf.DUMMYFUNCTION("""COMPUTED_VALUE"""),0.0)</f>
        <v>0</v>
      </c>
      <c r="L4" s="42">
        <f>IFERROR(__xludf.DUMMYFUNCTION("""COMPUTED_VALUE"""),1.0)</f>
        <v>1</v>
      </c>
      <c r="M4" s="42">
        <f>IFERROR(__xludf.DUMMYFUNCTION("""COMPUTED_VALUE"""),0.0)</f>
        <v>0</v>
      </c>
      <c r="N4" s="42">
        <f>IFERROR(__xludf.DUMMYFUNCTION("""COMPUTED_VALUE"""),0.0)</f>
        <v>0</v>
      </c>
      <c r="O4" s="42">
        <f>IFERROR(__xludf.DUMMYFUNCTION("""COMPUTED_VALUE"""),0.0)</f>
        <v>0</v>
      </c>
      <c r="P4" s="42">
        <f>IFERROR(__xludf.DUMMYFUNCTION("""COMPUTED_VALUE"""),0.0)</f>
        <v>0</v>
      </c>
      <c r="Q4" s="42">
        <f>IFERROR(__xludf.DUMMYFUNCTION("""COMPUTED_VALUE"""),0.0)</f>
        <v>0</v>
      </c>
      <c r="R4" s="42">
        <f>IFERROR(__xludf.DUMMYFUNCTION("""COMPUTED_VALUE"""),1.0)</f>
        <v>1</v>
      </c>
      <c r="S4" s="40">
        <f>IFERROR(__xludf.DUMMYFUNCTION("""COMPUTED_VALUE"""),37.0)</f>
        <v>37</v>
      </c>
      <c r="T4" s="40">
        <f>IFERROR(__xludf.DUMMYFUNCTION("""COMPUTED_VALUE"""),37.0)</f>
        <v>37</v>
      </c>
      <c r="U4" s="46" t="str">
        <f t="array" ref="U4">IF($D4="","",IFERROR(_xlfn.XLOOKUP($D4,'TIR店舗一覧'!$D:$D,'TIR店舗一覧'!$E:$E,""),""))</f>
        <v>KS</v>
      </c>
      <c r="V4" s="54">
        <f t="array" ref="V4:AA6000">IF($D$4:$D$6000="","",IFERROR(G$4:L$6000*$S$4:$S$6000,0))</f>
        <v>0</v>
      </c>
      <c r="W4" s="54">
        <v>0.0</v>
      </c>
      <c r="X4" s="54">
        <v>0.0</v>
      </c>
      <c r="Y4" s="54">
        <v>0.0</v>
      </c>
      <c r="Z4" s="54">
        <v>0.0</v>
      </c>
      <c r="AA4" s="54">
        <v>37.0</v>
      </c>
      <c r="AB4" s="54">
        <f t="array" ref="AB4:AG6000">IF($D$4:$D$6000="","",IFERROR(M$4:R$6000*$T$4:$T$6000,0))</f>
        <v>0</v>
      </c>
      <c r="AC4" s="54">
        <v>0.0</v>
      </c>
      <c r="AD4" s="54">
        <v>0.0</v>
      </c>
      <c r="AE4" s="54">
        <v>0.0</v>
      </c>
      <c r="AF4" s="54">
        <v>0.0</v>
      </c>
      <c r="AG4" s="54">
        <v>37.0</v>
      </c>
    </row>
    <row r="5">
      <c r="B5" s="56">
        <f>IFERROR(__xludf.DUMMYFUNCTION("""COMPUTED_VALUE"""),46296.0)</f>
        <v>46296</v>
      </c>
      <c r="C5" s="38" t="str">
        <f>IFERROR(__xludf.DUMMYFUNCTION("""COMPUTED_VALUE"""),"北海道")</f>
        <v>北海道</v>
      </c>
      <c r="D5" s="38">
        <f>IFERROR(__xludf.DUMMYFUNCTION("""COMPUTED_VALUE"""),8359.0)</f>
        <v>8359</v>
      </c>
      <c r="E5" s="38" t="str">
        <f>IFERROR(__xludf.DUMMYFUNCTION("""COMPUTED_VALUE"""),"ケーズデンキ 平岸店")</f>
        <v>ケーズデンキ 平岸店</v>
      </c>
      <c r="F5" s="40">
        <f>IFERROR(__xludf.DUMMYFUNCTION("""COMPUTED_VALUE"""),41.0)</f>
        <v>41</v>
      </c>
      <c r="G5" s="42">
        <f>IFERROR(__xludf.DUMMYFUNCTION("""COMPUTED_VALUE"""),0.0)</f>
        <v>0</v>
      </c>
      <c r="H5" s="42">
        <f>IFERROR(__xludf.DUMMYFUNCTION("""COMPUTED_VALUE"""),0.0)</f>
        <v>0</v>
      </c>
      <c r="I5" s="42">
        <f>IFERROR(__xludf.DUMMYFUNCTION("""COMPUTED_VALUE"""),0.0)</f>
        <v>0</v>
      </c>
      <c r="J5" s="42">
        <f>IFERROR(__xludf.DUMMYFUNCTION("""COMPUTED_VALUE"""),0.0)</f>
        <v>0</v>
      </c>
      <c r="K5" s="42">
        <f>IFERROR(__xludf.DUMMYFUNCTION("""COMPUTED_VALUE"""),0.0)</f>
        <v>0</v>
      </c>
      <c r="L5" s="42">
        <f>IFERROR(__xludf.DUMMYFUNCTION("""COMPUTED_VALUE"""),1.0)</f>
        <v>1</v>
      </c>
      <c r="M5" s="42">
        <f>IFERROR(__xludf.DUMMYFUNCTION("""COMPUTED_VALUE"""),0.0)</f>
        <v>0</v>
      </c>
      <c r="N5" s="42">
        <f>IFERROR(__xludf.DUMMYFUNCTION("""COMPUTED_VALUE"""),0.0)</f>
        <v>0</v>
      </c>
      <c r="O5" s="42">
        <f>IFERROR(__xludf.DUMMYFUNCTION("""COMPUTED_VALUE"""),0.0)</f>
        <v>0</v>
      </c>
      <c r="P5" s="42">
        <f>IFERROR(__xludf.DUMMYFUNCTION("""COMPUTED_VALUE"""),0.0)</f>
        <v>0</v>
      </c>
      <c r="Q5" s="42">
        <f>IFERROR(__xludf.DUMMYFUNCTION("""COMPUTED_VALUE"""),0.0)</f>
        <v>0</v>
      </c>
      <c r="R5" s="42">
        <f>IFERROR(__xludf.DUMMYFUNCTION("""COMPUTED_VALUE"""),1.0)</f>
        <v>1</v>
      </c>
      <c r="S5" s="40">
        <f>IFERROR(__xludf.DUMMYFUNCTION("""COMPUTED_VALUE"""),41.0)</f>
        <v>41</v>
      </c>
      <c r="T5" s="40">
        <f>IFERROR(__xludf.DUMMYFUNCTION("""COMPUTED_VALUE"""),41.0)</f>
        <v>41</v>
      </c>
      <c r="U5" s="46" t="str">
        <f t="array" ref="U5">IF($D5="","",IFERROR(_xlfn.XLOOKUP($D5,'TIR店舗一覧'!$D:$D,'TIR店舗一覧'!$E:$E,""),""))</f>
        <v>KS</v>
      </c>
      <c r="V5" s="54">
        <v>0.0</v>
      </c>
      <c r="W5" s="54">
        <v>0.0</v>
      </c>
      <c r="X5" s="54">
        <v>0.0</v>
      </c>
      <c r="Y5" s="54">
        <v>0.0</v>
      </c>
      <c r="Z5" s="54">
        <v>0.0</v>
      </c>
      <c r="AA5" s="54">
        <v>41.0</v>
      </c>
      <c r="AB5" s="54">
        <v>0.0</v>
      </c>
      <c r="AC5" s="54">
        <v>0.0</v>
      </c>
      <c r="AD5" s="54">
        <v>0.0</v>
      </c>
      <c r="AE5" s="54">
        <v>0.0</v>
      </c>
      <c r="AF5" s="54">
        <v>0.0</v>
      </c>
      <c r="AG5" s="54">
        <v>41.0</v>
      </c>
    </row>
    <row r="6">
      <c r="B6" s="56">
        <f>IFERROR(__xludf.DUMMYFUNCTION("""COMPUTED_VALUE"""),46296.0)</f>
        <v>46296</v>
      </c>
      <c r="C6" s="38" t="str">
        <f>IFERROR(__xludf.DUMMYFUNCTION("""COMPUTED_VALUE"""),"北海道")</f>
        <v>北海道</v>
      </c>
      <c r="D6" s="38">
        <f>IFERROR(__xludf.DUMMYFUNCTION("""COMPUTED_VALUE"""),8358.0)</f>
        <v>8358</v>
      </c>
      <c r="E6" s="38" t="str">
        <f>IFERROR(__xludf.DUMMYFUNCTION("""COMPUTED_VALUE"""),"ケーズデンキ 発寒店")</f>
        <v>ケーズデンキ 発寒店</v>
      </c>
      <c r="F6" s="40">
        <f>IFERROR(__xludf.DUMMYFUNCTION("""COMPUTED_VALUE"""),53.0)</f>
        <v>53</v>
      </c>
      <c r="G6" s="42">
        <f>IFERROR(__xludf.DUMMYFUNCTION("""COMPUTED_VALUE"""),0.0)</f>
        <v>0</v>
      </c>
      <c r="H6" s="42">
        <f>IFERROR(__xludf.DUMMYFUNCTION("""COMPUTED_VALUE"""),0.0)</f>
        <v>0</v>
      </c>
      <c r="I6" s="42">
        <f>IFERROR(__xludf.DUMMYFUNCTION("""COMPUTED_VALUE"""),0.0)</f>
        <v>0</v>
      </c>
      <c r="J6" s="42">
        <f>IFERROR(__xludf.DUMMYFUNCTION("""COMPUTED_VALUE"""),0.0)</f>
        <v>0</v>
      </c>
      <c r="K6" s="42">
        <f>IFERROR(__xludf.DUMMYFUNCTION("""COMPUTED_VALUE"""),0.0)</f>
        <v>0</v>
      </c>
      <c r="L6" s="42">
        <f>IFERROR(__xludf.DUMMYFUNCTION("""COMPUTED_VALUE"""),1.0)</f>
        <v>1</v>
      </c>
      <c r="M6" s="42">
        <f>IFERROR(__xludf.DUMMYFUNCTION("""COMPUTED_VALUE"""),0.0)</f>
        <v>0</v>
      </c>
      <c r="N6" s="42">
        <f>IFERROR(__xludf.DUMMYFUNCTION("""COMPUTED_VALUE"""),0.0)</f>
        <v>0</v>
      </c>
      <c r="O6" s="42">
        <f>IFERROR(__xludf.DUMMYFUNCTION("""COMPUTED_VALUE"""),0.0)</f>
        <v>0</v>
      </c>
      <c r="P6" s="42">
        <f>IFERROR(__xludf.DUMMYFUNCTION("""COMPUTED_VALUE"""),0.0)</f>
        <v>0</v>
      </c>
      <c r="Q6" s="42">
        <f>IFERROR(__xludf.DUMMYFUNCTION("""COMPUTED_VALUE"""),0.0)</f>
        <v>0</v>
      </c>
      <c r="R6" s="42">
        <f>IFERROR(__xludf.DUMMYFUNCTION("""COMPUTED_VALUE"""),1.0)</f>
        <v>1</v>
      </c>
      <c r="S6" s="40">
        <f>IFERROR(__xludf.DUMMYFUNCTION("""COMPUTED_VALUE"""),53.0)</f>
        <v>53</v>
      </c>
      <c r="T6" s="40">
        <f>IFERROR(__xludf.DUMMYFUNCTION("""COMPUTED_VALUE"""),53.0)</f>
        <v>53</v>
      </c>
      <c r="U6" s="46" t="str">
        <f t="array" ref="U6">IF($D6="","",IFERROR(_xlfn.XLOOKUP($D6,'TIR店舗一覧'!$D:$D,'TIR店舗一覧'!$E:$E,""),""))</f>
        <v>KS</v>
      </c>
      <c r="V6" s="54">
        <v>0.0</v>
      </c>
      <c r="W6" s="54">
        <v>0.0</v>
      </c>
      <c r="X6" s="54">
        <v>0.0</v>
      </c>
      <c r="Y6" s="54">
        <v>0.0</v>
      </c>
      <c r="Z6" s="54">
        <v>0.0</v>
      </c>
      <c r="AA6" s="54">
        <v>53.0</v>
      </c>
      <c r="AB6" s="54">
        <v>0.0</v>
      </c>
      <c r="AC6" s="54">
        <v>0.0</v>
      </c>
      <c r="AD6" s="54">
        <v>0.0</v>
      </c>
      <c r="AE6" s="54">
        <v>0.0</v>
      </c>
      <c r="AF6" s="54">
        <v>0.0</v>
      </c>
      <c r="AG6" s="54">
        <v>53.0</v>
      </c>
    </row>
    <row r="7">
      <c r="B7" s="56">
        <f>IFERROR(__xludf.DUMMYFUNCTION("""COMPUTED_VALUE"""),46296.0)</f>
        <v>46296</v>
      </c>
      <c r="C7" s="38" t="str">
        <f>IFERROR(__xludf.DUMMYFUNCTION("""COMPUTED_VALUE"""),"北海道")</f>
        <v>北海道</v>
      </c>
      <c r="D7" s="38">
        <f>IFERROR(__xludf.DUMMYFUNCTION("""COMPUTED_VALUE"""),8363.0)</f>
        <v>8363</v>
      </c>
      <c r="E7" s="38" t="str">
        <f>IFERROR(__xludf.DUMMYFUNCTION("""COMPUTED_VALUE"""),"ケーズデンキ 室蘭モルエ店")</f>
        <v>ケーズデンキ 室蘭モルエ店</v>
      </c>
      <c r="F7" s="40">
        <f>IFERROR(__xludf.DUMMYFUNCTION("""COMPUTED_VALUE"""),25.0)</f>
        <v>25</v>
      </c>
      <c r="G7" s="42">
        <f>IFERROR(__xludf.DUMMYFUNCTION("""COMPUTED_VALUE"""),0.0)</f>
        <v>0</v>
      </c>
      <c r="H7" s="42">
        <f>IFERROR(__xludf.DUMMYFUNCTION("""COMPUTED_VALUE"""),0.0)</f>
        <v>0</v>
      </c>
      <c r="I7" s="42">
        <f>IFERROR(__xludf.DUMMYFUNCTION("""COMPUTED_VALUE"""),0.0)</f>
        <v>0</v>
      </c>
      <c r="J7" s="42">
        <f>IFERROR(__xludf.DUMMYFUNCTION("""COMPUTED_VALUE"""),0.0)</f>
        <v>0</v>
      </c>
      <c r="K7" s="42">
        <f>IFERROR(__xludf.DUMMYFUNCTION("""COMPUTED_VALUE"""),0.0)</f>
        <v>0</v>
      </c>
      <c r="L7" s="42">
        <f>IFERROR(__xludf.DUMMYFUNCTION("""COMPUTED_VALUE"""),1.0)</f>
        <v>1</v>
      </c>
      <c r="M7" s="42">
        <f>IFERROR(__xludf.DUMMYFUNCTION("""COMPUTED_VALUE"""),0.0)</f>
        <v>0</v>
      </c>
      <c r="N7" s="42">
        <f>IFERROR(__xludf.DUMMYFUNCTION("""COMPUTED_VALUE"""),0.0)</f>
        <v>0</v>
      </c>
      <c r="O7" s="42">
        <f>IFERROR(__xludf.DUMMYFUNCTION("""COMPUTED_VALUE"""),0.0)</f>
        <v>0</v>
      </c>
      <c r="P7" s="42">
        <f>IFERROR(__xludf.DUMMYFUNCTION("""COMPUTED_VALUE"""),0.0)</f>
        <v>0</v>
      </c>
      <c r="Q7" s="42">
        <f>IFERROR(__xludf.DUMMYFUNCTION("""COMPUTED_VALUE"""),0.0)</f>
        <v>0</v>
      </c>
      <c r="R7" s="42">
        <f>IFERROR(__xludf.DUMMYFUNCTION("""COMPUTED_VALUE"""),1.0)</f>
        <v>1</v>
      </c>
      <c r="S7" s="40">
        <f>IFERROR(__xludf.DUMMYFUNCTION("""COMPUTED_VALUE"""),25.0)</f>
        <v>25</v>
      </c>
      <c r="T7" s="40">
        <f>IFERROR(__xludf.DUMMYFUNCTION("""COMPUTED_VALUE"""),25.0)</f>
        <v>25</v>
      </c>
      <c r="U7" s="46" t="str">
        <f t="array" ref="U7">IF($D7="","",IFERROR(_xlfn.XLOOKUP($D7,'TIR店舗一覧'!$D:$D,'TIR店舗一覧'!$E:$E,""),""))</f>
        <v>KS</v>
      </c>
      <c r="V7" s="54">
        <v>0.0</v>
      </c>
      <c r="W7" s="54">
        <v>0.0</v>
      </c>
      <c r="X7" s="54">
        <v>0.0</v>
      </c>
      <c r="Y7" s="54">
        <v>0.0</v>
      </c>
      <c r="Z7" s="54">
        <v>0.0</v>
      </c>
      <c r="AA7" s="54">
        <v>25.0</v>
      </c>
      <c r="AB7" s="54">
        <v>0.0</v>
      </c>
      <c r="AC7" s="54">
        <v>0.0</v>
      </c>
      <c r="AD7" s="54">
        <v>0.0</v>
      </c>
      <c r="AE7" s="54">
        <v>0.0</v>
      </c>
      <c r="AF7" s="54">
        <v>0.0</v>
      </c>
      <c r="AG7" s="54">
        <v>25.0</v>
      </c>
    </row>
    <row r="8">
      <c r="B8" s="56">
        <f>IFERROR(__xludf.DUMMYFUNCTION("""COMPUTED_VALUE"""),46296.0)</f>
        <v>46296</v>
      </c>
      <c r="C8" s="38" t="str">
        <f>IFERROR(__xludf.DUMMYFUNCTION("""COMPUTED_VALUE"""),"北海道")</f>
        <v>北海道</v>
      </c>
      <c r="D8" s="38">
        <f>IFERROR(__xludf.DUMMYFUNCTION("""COMPUTED_VALUE"""),8326.0)</f>
        <v>8326</v>
      </c>
      <c r="E8" s="38" t="str">
        <f>IFERROR(__xludf.DUMMYFUNCTION("""COMPUTED_VALUE"""),"ケーズデンキ 釧路本店")</f>
        <v>ケーズデンキ 釧路本店</v>
      </c>
      <c r="F8" s="40">
        <f>IFERROR(__xludf.DUMMYFUNCTION("""COMPUTED_VALUE"""),21.0)</f>
        <v>21</v>
      </c>
      <c r="G8" s="42">
        <f>IFERROR(__xludf.DUMMYFUNCTION("""COMPUTED_VALUE"""),0.0)</f>
        <v>0</v>
      </c>
      <c r="H8" s="42">
        <f>IFERROR(__xludf.DUMMYFUNCTION("""COMPUTED_VALUE"""),0.0)</f>
        <v>0</v>
      </c>
      <c r="I8" s="42">
        <f>IFERROR(__xludf.DUMMYFUNCTION("""COMPUTED_VALUE"""),0.0)</f>
        <v>0</v>
      </c>
      <c r="J8" s="42">
        <f>IFERROR(__xludf.DUMMYFUNCTION("""COMPUTED_VALUE"""),0.0)</f>
        <v>0</v>
      </c>
      <c r="K8" s="42">
        <f>IFERROR(__xludf.DUMMYFUNCTION("""COMPUTED_VALUE"""),0.0)</f>
        <v>0</v>
      </c>
      <c r="L8" s="42">
        <f>IFERROR(__xludf.DUMMYFUNCTION("""COMPUTED_VALUE"""),1.0)</f>
        <v>1</v>
      </c>
      <c r="M8" s="42">
        <f>IFERROR(__xludf.DUMMYFUNCTION("""COMPUTED_VALUE"""),0.0)</f>
        <v>0</v>
      </c>
      <c r="N8" s="42">
        <f>IFERROR(__xludf.DUMMYFUNCTION("""COMPUTED_VALUE"""),0.0)</f>
        <v>0</v>
      </c>
      <c r="O8" s="42">
        <f>IFERROR(__xludf.DUMMYFUNCTION("""COMPUTED_VALUE"""),0.0)</f>
        <v>0</v>
      </c>
      <c r="P8" s="42">
        <f>IFERROR(__xludf.DUMMYFUNCTION("""COMPUTED_VALUE"""),0.0)</f>
        <v>0</v>
      </c>
      <c r="Q8" s="42">
        <f>IFERROR(__xludf.DUMMYFUNCTION("""COMPUTED_VALUE"""),0.0)</f>
        <v>0</v>
      </c>
      <c r="R8" s="42">
        <f>IFERROR(__xludf.DUMMYFUNCTION("""COMPUTED_VALUE"""),1.0)</f>
        <v>1</v>
      </c>
      <c r="S8" s="40">
        <f>IFERROR(__xludf.DUMMYFUNCTION("""COMPUTED_VALUE"""),21.0)</f>
        <v>21</v>
      </c>
      <c r="T8" s="40">
        <f>IFERROR(__xludf.DUMMYFUNCTION("""COMPUTED_VALUE"""),21.0)</f>
        <v>21</v>
      </c>
      <c r="U8" s="46" t="str">
        <f t="array" ref="U8">IF($D8="","",IFERROR(_xlfn.XLOOKUP($D8,'TIR店舗一覧'!$D:$D,'TIR店舗一覧'!$E:$E,""),""))</f>
        <v>KS</v>
      </c>
      <c r="V8" s="54">
        <v>0.0</v>
      </c>
      <c r="W8" s="54">
        <v>0.0</v>
      </c>
      <c r="X8" s="54">
        <v>0.0</v>
      </c>
      <c r="Y8" s="54">
        <v>0.0</v>
      </c>
      <c r="Z8" s="54">
        <v>0.0</v>
      </c>
      <c r="AA8" s="54">
        <v>21.0</v>
      </c>
      <c r="AB8" s="54">
        <v>0.0</v>
      </c>
      <c r="AC8" s="54">
        <v>0.0</v>
      </c>
      <c r="AD8" s="54">
        <v>0.0</v>
      </c>
      <c r="AE8" s="54">
        <v>0.0</v>
      </c>
      <c r="AF8" s="54">
        <v>0.0</v>
      </c>
      <c r="AG8" s="54">
        <v>21.0</v>
      </c>
    </row>
    <row r="9">
      <c r="B9" s="56">
        <f>IFERROR(__xludf.DUMMYFUNCTION("""COMPUTED_VALUE"""),46296.0)</f>
        <v>46296</v>
      </c>
      <c r="C9" s="38" t="str">
        <f>IFERROR(__xludf.DUMMYFUNCTION("""COMPUTED_VALUE"""),"北海道")</f>
        <v>北海道</v>
      </c>
      <c r="D9" s="38">
        <f>IFERROR(__xludf.DUMMYFUNCTION("""COMPUTED_VALUE"""),7071.0)</f>
        <v>7071</v>
      </c>
      <c r="E9" s="38" t="str">
        <f>IFERROR(__xludf.DUMMYFUNCTION("""COMPUTED_VALUE"""),"ケーズデンキ インターヴィレッジ大曲店")</f>
        <v>ケーズデンキ インターヴィレッジ大曲店</v>
      </c>
      <c r="F9" s="40">
        <f>IFERROR(__xludf.DUMMYFUNCTION("""COMPUTED_VALUE"""),23.0)</f>
        <v>23</v>
      </c>
      <c r="G9" s="42">
        <f>IFERROR(__xludf.DUMMYFUNCTION("""COMPUTED_VALUE"""),0.0)</f>
        <v>0</v>
      </c>
      <c r="H9" s="42">
        <f>IFERROR(__xludf.DUMMYFUNCTION("""COMPUTED_VALUE"""),0.0)</f>
        <v>0</v>
      </c>
      <c r="I9" s="42">
        <f>IFERROR(__xludf.DUMMYFUNCTION("""COMPUTED_VALUE"""),0.0)</f>
        <v>0</v>
      </c>
      <c r="J9" s="42">
        <f>IFERROR(__xludf.DUMMYFUNCTION("""COMPUTED_VALUE"""),0.0)</f>
        <v>0</v>
      </c>
      <c r="K9" s="42">
        <f>IFERROR(__xludf.DUMMYFUNCTION("""COMPUTED_VALUE"""),0.0)</f>
        <v>0</v>
      </c>
      <c r="L9" s="42">
        <f>IFERROR(__xludf.DUMMYFUNCTION("""COMPUTED_VALUE"""),1.0)</f>
        <v>1</v>
      </c>
      <c r="M9" s="42">
        <f>IFERROR(__xludf.DUMMYFUNCTION("""COMPUTED_VALUE"""),0.0)</f>
        <v>0</v>
      </c>
      <c r="N9" s="42">
        <f>IFERROR(__xludf.DUMMYFUNCTION("""COMPUTED_VALUE"""),0.0)</f>
        <v>0</v>
      </c>
      <c r="O9" s="42">
        <f>IFERROR(__xludf.DUMMYFUNCTION("""COMPUTED_VALUE"""),0.0)</f>
        <v>0</v>
      </c>
      <c r="P9" s="42">
        <f>IFERROR(__xludf.DUMMYFUNCTION("""COMPUTED_VALUE"""),0.0)</f>
        <v>0</v>
      </c>
      <c r="Q9" s="42">
        <f>IFERROR(__xludf.DUMMYFUNCTION("""COMPUTED_VALUE"""),0.0)</f>
        <v>0</v>
      </c>
      <c r="R9" s="42">
        <f>IFERROR(__xludf.DUMMYFUNCTION("""COMPUTED_VALUE"""),1.0)</f>
        <v>1</v>
      </c>
      <c r="S9" s="40">
        <f>IFERROR(__xludf.DUMMYFUNCTION("""COMPUTED_VALUE"""),23.0)</f>
        <v>23</v>
      </c>
      <c r="T9" s="40">
        <f>IFERROR(__xludf.DUMMYFUNCTION("""COMPUTED_VALUE"""),23.0)</f>
        <v>23</v>
      </c>
      <c r="U9" s="46" t="str">
        <f t="array" ref="U9">IF($D9="","",IFERROR(_xlfn.XLOOKUP($D9,'TIR店舗一覧'!$D:$D,'TIR店舗一覧'!$E:$E,""),""))</f>
        <v>KS</v>
      </c>
      <c r="V9" s="54">
        <v>0.0</v>
      </c>
      <c r="W9" s="54">
        <v>0.0</v>
      </c>
      <c r="X9" s="54">
        <v>0.0</v>
      </c>
      <c r="Y9" s="54">
        <v>0.0</v>
      </c>
      <c r="Z9" s="54">
        <v>0.0</v>
      </c>
      <c r="AA9" s="54">
        <v>23.0</v>
      </c>
      <c r="AB9" s="54">
        <v>0.0</v>
      </c>
      <c r="AC9" s="54">
        <v>0.0</v>
      </c>
      <c r="AD9" s="54">
        <v>0.0</v>
      </c>
      <c r="AE9" s="54">
        <v>0.0</v>
      </c>
      <c r="AF9" s="54">
        <v>0.0</v>
      </c>
      <c r="AG9" s="54">
        <v>23.0</v>
      </c>
    </row>
    <row r="10">
      <c r="B10" s="56">
        <f>IFERROR(__xludf.DUMMYFUNCTION("""COMPUTED_VALUE"""),46296.0)</f>
        <v>46296</v>
      </c>
      <c r="C10" s="38" t="str">
        <f>IFERROR(__xludf.DUMMYFUNCTION("""COMPUTED_VALUE"""),"北海道")</f>
        <v>北海道</v>
      </c>
      <c r="D10" s="38">
        <f>IFERROR(__xludf.DUMMYFUNCTION("""COMPUTED_VALUE"""),8903.0)</f>
        <v>8903</v>
      </c>
      <c r="E10" s="38" t="str">
        <f>IFERROR(__xludf.DUMMYFUNCTION("""COMPUTED_VALUE"""),"エディオン 旭川豊岡店")</f>
        <v>エディオン 旭川豊岡店</v>
      </c>
      <c r="F10" s="40">
        <f>IFERROR(__xludf.DUMMYFUNCTION("""COMPUTED_VALUE"""),23.0)</f>
        <v>23</v>
      </c>
      <c r="G10" s="42">
        <f>IFERROR(__xludf.DUMMYFUNCTION("""COMPUTED_VALUE"""),0.0)</f>
        <v>0</v>
      </c>
      <c r="H10" s="42">
        <f>IFERROR(__xludf.DUMMYFUNCTION("""COMPUTED_VALUE"""),0.0)</f>
        <v>0</v>
      </c>
      <c r="I10" s="42">
        <f>IFERROR(__xludf.DUMMYFUNCTION("""COMPUTED_VALUE"""),0.0)</f>
        <v>0</v>
      </c>
      <c r="J10" s="42">
        <f>IFERROR(__xludf.DUMMYFUNCTION("""COMPUTED_VALUE"""),0.0)</f>
        <v>0</v>
      </c>
      <c r="K10" s="42">
        <f>IFERROR(__xludf.DUMMYFUNCTION("""COMPUTED_VALUE"""),0.0)</f>
        <v>0</v>
      </c>
      <c r="L10" s="42">
        <f>IFERROR(__xludf.DUMMYFUNCTION("""COMPUTED_VALUE"""),1.0)</f>
        <v>1</v>
      </c>
      <c r="M10" s="42">
        <f>IFERROR(__xludf.DUMMYFUNCTION("""COMPUTED_VALUE"""),0.0)</f>
        <v>0</v>
      </c>
      <c r="N10" s="42">
        <f>IFERROR(__xludf.DUMMYFUNCTION("""COMPUTED_VALUE"""),0.0)</f>
        <v>0</v>
      </c>
      <c r="O10" s="42">
        <f>IFERROR(__xludf.DUMMYFUNCTION("""COMPUTED_VALUE"""),0.0)</f>
        <v>0</v>
      </c>
      <c r="P10" s="42">
        <f>IFERROR(__xludf.DUMMYFUNCTION("""COMPUTED_VALUE"""),0.0)</f>
        <v>0</v>
      </c>
      <c r="Q10" s="42">
        <f>IFERROR(__xludf.DUMMYFUNCTION("""COMPUTED_VALUE"""),0.0)</f>
        <v>0</v>
      </c>
      <c r="R10" s="42">
        <f>IFERROR(__xludf.DUMMYFUNCTION("""COMPUTED_VALUE"""),1.0)</f>
        <v>1</v>
      </c>
      <c r="S10" s="40">
        <f>IFERROR(__xludf.DUMMYFUNCTION("""COMPUTED_VALUE"""),23.0)</f>
        <v>23</v>
      </c>
      <c r="T10" s="40">
        <f>IFERROR(__xludf.DUMMYFUNCTION("""COMPUTED_VALUE"""),23.0)</f>
        <v>23</v>
      </c>
      <c r="U10" s="46" t="str">
        <f t="array" ref="U10">IF($D10="","",IFERROR(_xlfn.XLOOKUP($D10,'TIR店舗一覧'!$D:$D,'TIR店舗一覧'!$E:$E,""),""))</f>
        <v>ED</v>
      </c>
      <c r="V10" s="54">
        <v>0.0</v>
      </c>
      <c r="W10" s="54">
        <v>0.0</v>
      </c>
      <c r="X10" s="54">
        <v>0.0</v>
      </c>
      <c r="Y10" s="54">
        <v>0.0</v>
      </c>
      <c r="Z10" s="54">
        <v>0.0</v>
      </c>
      <c r="AA10" s="54">
        <v>23.0</v>
      </c>
      <c r="AB10" s="54">
        <v>0.0</v>
      </c>
      <c r="AC10" s="54">
        <v>0.0</v>
      </c>
      <c r="AD10" s="54">
        <v>0.0</v>
      </c>
      <c r="AE10" s="54">
        <v>0.0</v>
      </c>
      <c r="AF10" s="54">
        <v>0.0</v>
      </c>
      <c r="AG10" s="54">
        <v>23.0</v>
      </c>
    </row>
    <row r="11">
      <c r="B11" s="56">
        <f>IFERROR(__xludf.DUMMYFUNCTION("""COMPUTED_VALUE"""),46296.0)</f>
        <v>46296</v>
      </c>
      <c r="C11" s="38" t="str">
        <f>IFERROR(__xludf.DUMMYFUNCTION("""COMPUTED_VALUE"""),"関東")</f>
        <v>関東</v>
      </c>
      <c r="D11" s="38">
        <f>IFERROR(__xludf.DUMMYFUNCTION("""COMPUTED_VALUE"""),8991.0)</f>
        <v>8991</v>
      </c>
      <c r="E11" s="38" t="str">
        <f>IFERROR(__xludf.DUMMYFUNCTION("""COMPUTED_VALUE"""),"ヤマダファミリーショップ ヤオ秩父店")</f>
        <v>ヤマダファミリーショップ ヤオ秩父店</v>
      </c>
      <c r="F11" s="40">
        <f>IFERROR(__xludf.DUMMYFUNCTION("""COMPUTED_VALUE"""),40.0)</f>
        <v>40</v>
      </c>
      <c r="G11" s="42">
        <f>IFERROR(__xludf.DUMMYFUNCTION("""COMPUTED_VALUE"""),0.0)</f>
        <v>0</v>
      </c>
      <c r="H11" s="42">
        <f>IFERROR(__xludf.DUMMYFUNCTION("""COMPUTED_VALUE"""),0.0)</f>
        <v>0</v>
      </c>
      <c r="I11" s="42">
        <f>IFERROR(__xludf.DUMMYFUNCTION("""COMPUTED_VALUE"""),0.0)</f>
        <v>0</v>
      </c>
      <c r="J11" s="42">
        <f>IFERROR(__xludf.DUMMYFUNCTION("""COMPUTED_VALUE"""),0.0)</f>
        <v>0</v>
      </c>
      <c r="K11" s="42">
        <f>IFERROR(__xludf.DUMMYFUNCTION("""COMPUTED_VALUE"""),0.0)</f>
        <v>0</v>
      </c>
      <c r="L11" s="42">
        <f>IFERROR(__xludf.DUMMYFUNCTION("""COMPUTED_VALUE"""),1.0)</f>
        <v>1</v>
      </c>
      <c r="M11" s="42">
        <f>IFERROR(__xludf.DUMMYFUNCTION("""COMPUTED_VALUE"""),0.0)</f>
        <v>0</v>
      </c>
      <c r="N11" s="42">
        <f>IFERROR(__xludf.DUMMYFUNCTION("""COMPUTED_VALUE"""),0.0)</f>
        <v>0</v>
      </c>
      <c r="O11" s="42">
        <f>IFERROR(__xludf.DUMMYFUNCTION("""COMPUTED_VALUE"""),0.0)</f>
        <v>0</v>
      </c>
      <c r="P11" s="42">
        <f>IFERROR(__xludf.DUMMYFUNCTION("""COMPUTED_VALUE"""),0.0)</f>
        <v>0</v>
      </c>
      <c r="Q11" s="42">
        <f>IFERROR(__xludf.DUMMYFUNCTION("""COMPUTED_VALUE"""),0.0)</f>
        <v>0</v>
      </c>
      <c r="R11" s="42">
        <f>IFERROR(__xludf.DUMMYFUNCTION("""COMPUTED_VALUE"""),1.0)</f>
        <v>1</v>
      </c>
      <c r="S11" s="40">
        <f>IFERROR(__xludf.DUMMYFUNCTION("""COMPUTED_VALUE"""),40.0)</f>
        <v>40</v>
      </c>
      <c r="T11" s="40">
        <f>IFERROR(__xludf.DUMMYFUNCTION("""COMPUTED_VALUE"""),40.0)</f>
        <v>40</v>
      </c>
      <c r="U11" s="46" t="str">
        <f t="array" ref="U11">IF($D11="","",IFERROR(_xlfn.XLOOKUP($D11,'TIR店舗一覧'!$D:$D,'TIR店舗一覧'!$E:$E,""),""))</f>
        <v>YD</v>
      </c>
      <c r="V11" s="54">
        <v>0.0</v>
      </c>
      <c r="W11" s="54">
        <v>0.0</v>
      </c>
      <c r="X11" s="54">
        <v>0.0</v>
      </c>
      <c r="Y11" s="54">
        <v>0.0</v>
      </c>
      <c r="Z11" s="54">
        <v>0.0</v>
      </c>
      <c r="AA11" s="54">
        <v>40.0</v>
      </c>
      <c r="AB11" s="54">
        <v>0.0</v>
      </c>
      <c r="AC11" s="54">
        <v>0.0</v>
      </c>
      <c r="AD11" s="54">
        <v>0.0</v>
      </c>
      <c r="AE11" s="54">
        <v>0.0</v>
      </c>
      <c r="AF11" s="54">
        <v>0.0</v>
      </c>
      <c r="AG11" s="54">
        <v>40.0</v>
      </c>
    </row>
    <row r="12">
      <c r="B12" s="56">
        <f>IFERROR(__xludf.DUMMYFUNCTION("""COMPUTED_VALUE"""),46296.0)</f>
        <v>46296</v>
      </c>
      <c r="C12" s="38" t="str">
        <f>IFERROR(__xludf.DUMMYFUNCTION("""COMPUTED_VALUE"""),"関東")</f>
        <v>関東</v>
      </c>
      <c r="D12" s="38">
        <f>IFERROR(__xludf.DUMMYFUNCTION("""COMPUTED_VALUE"""),8655.0)</f>
        <v>8655</v>
      </c>
      <c r="E12" s="38" t="str">
        <f>IFERROR(__xludf.DUMMYFUNCTION("""COMPUTED_VALUE"""),"テックランド厚木店")</f>
        <v>テックランド厚木店</v>
      </c>
      <c r="F12" s="40">
        <f>IFERROR(__xludf.DUMMYFUNCTION("""COMPUTED_VALUE"""),19.0)</f>
        <v>19</v>
      </c>
      <c r="G12" s="42">
        <f>IFERROR(__xludf.DUMMYFUNCTION("""COMPUTED_VALUE"""),0.0)</f>
        <v>0</v>
      </c>
      <c r="H12" s="42">
        <f>IFERROR(__xludf.DUMMYFUNCTION("""COMPUTED_VALUE"""),0.0)</f>
        <v>0</v>
      </c>
      <c r="I12" s="42">
        <f>IFERROR(__xludf.DUMMYFUNCTION("""COMPUTED_VALUE"""),0.0)</f>
        <v>0</v>
      </c>
      <c r="J12" s="42">
        <f>IFERROR(__xludf.DUMMYFUNCTION("""COMPUTED_VALUE"""),0.0)</f>
        <v>0</v>
      </c>
      <c r="K12" s="42">
        <f>IFERROR(__xludf.DUMMYFUNCTION("""COMPUTED_VALUE"""),0.0)</f>
        <v>0</v>
      </c>
      <c r="L12" s="42">
        <f>IFERROR(__xludf.DUMMYFUNCTION("""COMPUTED_VALUE"""),1.0)</f>
        <v>1</v>
      </c>
      <c r="M12" s="42">
        <f>IFERROR(__xludf.DUMMYFUNCTION("""COMPUTED_VALUE"""),0.0)</f>
        <v>0</v>
      </c>
      <c r="N12" s="42">
        <f>IFERROR(__xludf.DUMMYFUNCTION("""COMPUTED_VALUE"""),0.0)</f>
        <v>0</v>
      </c>
      <c r="O12" s="42">
        <f>IFERROR(__xludf.DUMMYFUNCTION("""COMPUTED_VALUE"""),0.0)</f>
        <v>0</v>
      </c>
      <c r="P12" s="42">
        <f>IFERROR(__xludf.DUMMYFUNCTION("""COMPUTED_VALUE"""),0.0)</f>
        <v>0</v>
      </c>
      <c r="Q12" s="42">
        <f>IFERROR(__xludf.DUMMYFUNCTION("""COMPUTED_VALUE"""),0.0)</f>
        <v>0</v>
      </c>
      <c r="R12" s="42">
        <f>IFERROR(__xludf.DUMMYFUNCTION("""COMPUTED_VALUE"""),1.0)</f>
        <v>1</v>
      </c>
      <c r="S12" s="40">
        <f>IFERROR(__xludf.DUMMYFUNCTION("""COMPUTED_VALUE"""),19.0)</f>
        <v>19</v>
      </c>
      <c r="T12" s="40">
        <f>IFERROR(__xludf.DUMMYFUNCTION("""COMPUTED_VALUE"""),19.0)</f>
        <v>19</v>
      </c>
      <c r="U12" s="46" t="str">
        <f t="array" ref="U12">IF($D12="","",IFERROR(_xlfn.XLOOKUP($D12,'TIR店舗一覧'!$D:$D,'TIR店舗一覧'!$E:$E,""),""))</f>
        <v>YD</v>
      </c>
      <c r="V12" s="54">
        <v>0.0</v>
      </c>
      <c r="W12" s="54">
        <v>0.0</v>
      </c>
      <c r="X12" s="54">
        <v>0.0</v>
      </c>
      <c r="Y12" s="54">
        <v>0.0</v>
      </c>
      <c r="Z12" s="54">
        <v>0.0</v>
      </c>
      <c r="AA12" s="54">
        <v>19.0</v>
      </c>
      <c r="AB12" s="54">
        <v>0.0</v>
      </c>
      <c r="AC12" s="54">
        <v>0.0</v>
      </c>
      <c r="AD12" s="54">
        <v>0.0</v>
      </c>
      <c r="AE12" s="54">
        <v>0.0</v>
      </c>
      <c r="AF12" s="54">
        <v>0.0</v>
      </c>
      <c r="AG12" s="54">
        <v>19.0</v>
      </c>
    </row>
    <row r="13">
      <c r="B13" s="56">
        <f>IFERROR(__xludf.DUMMYFUNCTION("""COMPUTED_VALUE"""),46296.0)</f>
        <v>46296</v>
      </c>
      <c r="C13" s="38" t="str">
        <f>IFERROR(__xludf.DUMMYFUNCTION("""COMPUTED_VALUE"""),"関東")</f>
        <v>関東</v>
      </c>
      <c r="D13" s="38">
        <f>IFERROR(__xludf.DUMMYFUNCTION("""COMPUTED_VALUE"""),8861.0)</f>
        <v>8861</v>
      </c>
      <c r="E13" s="38" t="str">
        <f>IFERROR(__xludf.DUMMYFUNCTION("""COMPUTED_VALUE"""),"テックランド古河店")</f>
        <v>テックランド古河店</v>
      </c>
      <c r="F13" s="40">
        <f>IFERROR(__xludf.DUMMYFUNCTION("""COMPUTED_VALUE"""),18.0)</f>
        <v>18</v>
      </c>
      <c r="G13" s="42">
        <f>IFERROR(__xludf.DUMMYFUNCTION("""COMPUTED_VALUE"""),0.0)</f>
        <v>0</v>
      </c>
      <c r="H13" s="42">
        <f>IFERROR(__xludf.DUMMYFUNCTION("""COMPUTED_VALUE"""),0.0)</f>
        <v>0</v>
      </c>
      <c r="I13" s="42">
        <f>IFERROR(__xludf.DUMMYFUNCTION("""COMPUTED_VALUE"""),0.0)</f>
        <v>0</v>
      </c>
      <c r="J13" s="42">
        <f>IFERROR(__xludf.DUMMYFUNCTION("""COMPUTED_VALUE"""),0.0)</f>
        <v>0</v>
      </c>
      <c r="K13" s="42">
        <f>IFERROR(__xludf.DUMMYFUNCTION("""COMPUTED_VALUE"""),0.0)</f>
        <v>0</v>
      </c>
      <c r="L13" s="42">
        <f>IFERROR(__xludf.DUMMYFUNCTION("""COMPUTED_VALUE"""),1.0)</f>
        <v>1</v>
      </c>
      <c r="M13" s="42">
        <f>IFERROR(__xludf.DUMMYFUNCTION("""COMPUTED_VALUE"""),0.0)</f>
        <v>0</v>
      </c>
      <c r="N13" s="42">
        <f>IFERROR(__xludf.DUMMYFUNCTION("""COMPUTED_VALUE"""),0.0)</f>
        <v>0</v>
      </c>
      <c r="O13" s="42">
        <f>IFERROR(__xludf.DUMMYFUNCTION("""COMPUTED_VALUE"""),0.0)</f>
        <v>0</v>
      </c>
      <c r="P13" s="42">
        <f>IFERROR(__xludf.DUMMYFUNCTION("""COMPUTED_VALUE"""),0.0)</f>
        <v>0</v>
      </c>
      <c r="Q13" s="42">
        <f>IFERROR(__xludf.DUMMYFUNCTION("""COMPUTED_VALUE"""),0.0)</f>
        <v>0</v>
      </c>
      <c r="R13" s="42">
        <f>IFERROR(__xludf.DUMMYFUNCTION("""COMPUTED_VALUE"""),1.0)</f>
        <v>1</v>
      </c>
      <c r="S13" s="40">
        <f>IFERROR(__xludf.DUMMYFUNCTION("""COMPUTED_VALUE"""),18.0)</f>
        <v>18</v>
      </c>
      <c r="T13" s="40">
        <f>IFERROR(__xludf.DUMMYFUNCTION("""COMPUTED_VALUE"""),18.0)</f>
        <v>18</v>
      </c>
      <c r="U13" s="46" t="str">
        <f t="array" ref="U13">IF($D13="","",IFERROR(_xlfn.XLOOKUP($D13,'TIR店舗一覧'!$D:$D,'TIR店舗一覧'!$E:$E,""),""))</f>
        <v>YD</v>
      </c>
      <c r="V13" s="54">
        <v>0.0</v>
      </c>
      <c r="W13" s="54">
        <v>0.0</v>
      </c>
      <c r="X13" s="54">
        <v>0.0</v>
      </c>
      <c r="Y13" s="54">
        <v>0.0</v>
      </c>
      <c r="Z13" s="54">
        <v>0.0</v>
      </c>
      <c r="AA13" s="54">
        <v>18.0</v>
      </c>
      <c r="AB13" s="54">
        <v>0.0</v>
      </c>
      <c r="AC13" s="54">
        <v>0.0</v>
      </c>
      <c r="AD13" s="54">
        <v>0.0</v>
      </c>
      <c r="AE13" s="54">
        <v>0.0</v>
      </c>
      <c r="AF13" s="54">
        <v>0.0</v>
      </c>
      <c r="AG13" s="54">
        <v>18.0</v>
      </c>
    </row>
    <row r="14">
      <c r="B14" s="56">
        <f>IFERROR(__xludf.DUMMYFUNCTION("""COMPUTED_VALUE"""),46296.0)</f>
        <v>46296</v>
      </c>
      <c r="C14" s="38" t="str">
        <f>IFERROR(__xludf.DUMMYFUNCTION("""COMPUTED_VALUE"""),"関東")</f>
        <v>関東</v>
      </c>
      <c r="D14" s="38">
        <f>IFERROR(__xludf.DUMMYFUNCTION("""COMPUTED_VALUE"""),7691.0)</f>
        <v>7691</v>
      </c>
      <c r="E14" s="38" t="str">
        <f>IFERROR(__xludf.DUMMYFUNCTION("""COMPUTED_VALUE"""),"テックランド横浜泉店")</f>
        <v>テックランド横浜泉店</v>
      </c>
      <c r="F14" s="40">
        <f>IFERROR(__xludf.DUMMYFUNCTION("""COMPUTED_VALUE"""),11.0)</f>
        <v>11</v>
      </c>
      <c r="G14" s="42">
        <f>IFERROR(__xludf.DUMMYFUNCTION("""COMPUTED_VALUE"""),0.0)</f>
        <v>0</v>
      </c>
      <c r="H14" s="42">
        <f>IFERROR(__xludf.DUMMYFUNCTION("""COMPUTED_VALUE"""),0.0)</f>
        <v>0</v>
      </c>
      <c r="I14" s="42">
        <f>IFERROR(__xludf.DUMMYFUNCTION("""COMPUTED_VALUE"""),0.0)</f>
        <v>0</v>
      </c>
      <c r="J14" s="42">
        <f>IFERROR(__xludf.DUMMYFUNCTION("""COMPUTED_VALUE"""),0.0)</f>
        <v>0</v>
      </c>
      <c r="K14" s="42">
        <f>IFERROR(__xludf.DUMMYFUNCTION("""COMPUTED_VALUE"""),0.0)</f>
        <v>0</v>
      </c>
      <c r="L14" s="42">
        <f>IFERROR(__xludf.DUMMYFUNCTION("""COMPUTED_VALUE"""),1.0)</f>
        <v>1</v>
      </c>
      <c r="M14" s="42">
        <f>IFERROR(__xludf.DUMMYFUNCTION("""COMPUTED_VALUE"""),0.0)</f>
        <v>0</v>
      </c>
      <c r="N14" s="42">
        <f>IFERROR(__xludf.DUMMYFUNCTION("""COMPUTED_VALUE"""),0.0)</f>
        <v>0</v>
      </c>
      <c r="O14" s="42">
        <f>IFERROR(__xludf.DUMMYFUNCTION("""COMPUTED_VALUE"""),0.0)</f>
        <v>0</v>
      </c>
      <c r="P14" s="42">
        <f>IFERROR(__xludf.DUMMYFUNCTION("""COMPUTED_VALUE"""),0.0)</f>
        <v>0</v>
      </c>
      <c r="Q14" s="42">
        <f>IFERROR(__xludf.DUMMYFUNCTION("""COMPUTED_VALUE"""),0.0)</f>
        <v>0</v>
      </c>
      <c r="R14" s="42">
        <f>IFERROR(__xludf.DUMMYFUNCTION("""COMPUTED_VALUE"""),1.0)</f>
        <v>1</v>
      </c>
      <c r="S14" s="40">
        <f>IFERROR(__xludf.DUMMYFUNCTION("""COMPUTED_VALUE"""),11.0)</f>
        <v>11</v>
      </c>
      <c r="T14" s="40">
        <f>IFERROR(__xludf.DUMMYFUNCTION("""COMPUTED_VALUE"""),11.0)</f>
        <v>11</v>
      </c>
      <c r="U14" s="46" t="str">
        <f t="array" ref="U14">IF($D14="","",IFERROR(_xlfn.XLOOKUP($D14,'TIR店舗一覧'!$D:$D,'TIR店舗一覧'!$E:$E,""),""))</f>
        <v>YD</v>
      </c>
      <c r="V14" s="54">
        <v>0.0</v>
      </c>
      <c r="W14" s="54">
        <v>0.0</v>
      </c>
      <c r="X14" s="54">
        <v>0.0</v>
      </c>
      <c r="Y14" s="54">
        <v>0.0</v>
      </c>
      <c r="Z14" s="54">
        <v>0.0</v>
      </c>
      <c r="AA14" s="54">
        <v>11.0</v>
      </c>
      <c r="AB14" s="54">
        <v>0.0</v>
      </c>
      <c r="AC14" s="54">
        <v>0.0</v>
      </c>
      <c r="AD14" s="54">
        <v>0.0</v>
      </c>
      <c r="AE14" s="54">
        <v>0.0</v>
      </c>
      <c r="AF14" s="54">
        <v>0.0</v>
      </c>
      <c r="AG14" s="54">
        <v>11.0</v>
      </c>
    </row>
    <row r="15">
      <c r="B15" s="56">
        <f>IFERROR(__xludf.DUMMYFUNCTION("""COMPUTED_VALUE"""),46296.0)</f>
        <v>46296</v>
      </c>
      <c r="C15" s="38" t="str">
        <f>IFERROR(__xludf.DUMMYFUNCTION("""COMPUTED_VALUE"""),"関東")</f>
        <v>関東</v>
      </c>
      <c r="D15" s="38">
        <f>IFERROR(__xludf.DUMMYFUNCTION("""COMPUTED_VALUE"""),1026.0)</f>
        <v>1026</v>
      </c>
      <c r="E15" s="38" t="str">
        <f>IFERROR(__xludf.DUMMYFUNCTION("""COMPUTED_VALUE"""),"テックランドイオンモール小山店")</f>
        <v>テックランドイオンモール小山店</v>
      </c>
      <c r="F15" s="40">
        <f>IFERROR(__xludf.DUMMYFUNCTION("""COMPUTED_VALUE"""),0.0)</f>
        <v>0</v>
      </c>
      <c r="G15" s="42" t="str">
        <f>IFERROR(__xludf.DUMMYFUNCTION("""COMPUTED_VALUE"""),"-")</f>
        <v>-</v>
      </c>
      <c r="H15" s="42" t="str">
        <f>IFERROR(__xludf.DUMMYFUNCTION("""COMPUTED_VALUE"""),"-")</f>
        <v>-</v>
      </c>
      <c r="I15" s="42" t="str">
        <f>IFERROR(__xludf.DUMMYFUNCTION("""COMPUTED_VALUE"""),"-")</f>
        <v>-</v>
      </c>
      <c r="J15" s="42" t="str">
        <f>IFERROR(__xludf.DUMMYFUNCTION("""COMPUTED_VALUE"""),"-")</f>
        <v>-</v>
      </c>
      <c r="K15" s="42" t="str">
        <f>IFERROR(__xludf.DUMMYFUNCTION("""COMPUTED_VALUE"""),"-")</f>
        <v>-</v>
      </c>
      <c r="L15" s="42" t="str">
        <f>IFERROR(__xludf.DUMMYFUNCTION("""COMPUTED_VALUE"""),"-")</f>
        <v>-</v>
      </c>
      <c r="M15" s="42" t="str">
        <f>IFERROR(__xludf.DUMMYFUNCTION("""COMPUTED_VALUE"""),"-")</f>
        <v>-</v>
      </c>
      <c r="N15" s="42" t="str">
        <f>IFERROR(__xludf.DUMMYFUNCTION("""COMPUTED_VALUE"""),"-")</f>
        <v>-</v>
      </c>
      <c r="O15" s="42" t="str">
        <f>IFERROR(__xludf.DUMMYFUNCTION("""COMPUTED_VALUE"""),"-")</f>
        <v>-</v>
      </c>
      <c r="P15" s="42" t="str">
        <f>IFERROR(__xludf.DUMMYFUNCTION("""COMPUTED_VALUE"""),"-")</f>
        <v>-</v>
      </c>
      <c r="Q15" s="42" t="str">
        <f>IFERROR(__xludf.DUMMYFUNCTION("""COMPUTED_VALUE"""),"-")</f>
        <v>-</v>
      </c>
      <c r="R15" s="42" t="str">
        <f>IFERROR(__xludf.DUMMYFUNCTION("""COMPUTED_VALUE"""),"-")</f>
        <v>-</v>
      </c>
      <c r="S15" s="40">
        <f>IFERROR(__xludf.DUMMYFUNCTION("""COMPUTED_VALUE"""),0.0)</f>
        <v>0</v>
      </c>
      <c r="T15" s="40">
        <f>IFERROR(__xludf.DUMMYFUNCTION("""COMPUTED_VALUE"""),0.0)</f>
        <v>0</v>
      </c>
      <c r="U15" s="46" t="str">
        <f t="array" ref="U15">IF($D15="","",IFERROR(_xlfn.XLOOKUP($D15,'TIR店舗一覧'!$D:$D,'TIR店舗一覧'!$E:$E,""),""))</f>
        <v>YD</v>
      </c>
      <c r="V15" s="54">
        <v>0.0</v>
      </c>
      <c r="W15" s="54">
        <v>0.0</v>
      </c>
      <c r="X15" s="54">
        <v>0.0</v>
      </c>
      <c r="Y15" s="54">
        <v>0.0</v>
      </c>
      <c r="Z15" s="54">
        <v>0.0</v>
      </c>
      <c r="AA15" s="54">
        <v>0.0</v>
      </c>
      <c r="AB15" s="54">
        <v>0.0</v>
      </c>
      <c r="AC15" s="54">
        <v>0.0</v>
      </c>
      <c r="AD15" s="54">
        <v>0.0</v>
      </c>
      <c r="AE15" s="54">
        <v>0.0</v>
      </c>
      <c r="AF15" s="54">
        <v>0.0</v>
      </c>
      <c r="AG15" s="54">
        <v>0.0</v>
      </c>
    </row>
    <row r="16">
      <c r="B16" s="56">
        <f>IFERROR(__xludf.DUMMYFUNCTION("""COMPUTED_VALUE"""),46296.0)</f>
        <v>46296</v>
      </c>
      <c r="C16" s="38" t="str">
        <f>IFERROR(__xludf.DUMMYFUNCTION("""COMPUTED_VALUE"""),"関東")</f>
        <v>関東</v>
      </c>
      <c r="D16" s="38">
        <f>IFERROR(__xludf.DUMMYFUNCTION("""COMPUTED_VALUE"""),8626.0)</f>
        <v>8626</v>
      </c>
      <c r="E16" s="38" t="str">
        <f>IFERROR(__xludf.DUMMYFUNCTION("""COMPUTED_VALUE"""),"テックランド 横須賀店")</f>
        <v>テックランド 横須賀店</v>
      </c>
      <c r="F16" s="40">
        <f>IFERROR(__xludf.DUMMYFUNCTION("""COMPUTED_VALUE"""),17.0)</f>
        <v>17</v>
      </c>
      <c r="G16" s="42">
        <f>IFERROR(__xludf.DUMMYFUNCTION("""COMPUTED_VALUE"""),0.0)</f>
        <v>0</v>
      </c>
      <c r="H16" s="42">
        <f>IFERROR(__xludf.DUMMYFUNCTION("""COMPUTED_VALUE"""),0.0)</f>
        <v>0</v>
      </c>
      <c r="I16" s="42">
        <f>IFERROR(__xludf.DUMMYFUNCTION("""COMPUTED_VALUE"""),0.0)</f>
        <v>0</v>
      </c>
      <c r="J16" s="42">
        <f>IFERROR(__xludf.DUMMYFUNCTION("""COMPUTED_VALUE"""),0.0)</f>
        <v>0</v>
      </c>
      <c r="K16" s="42">
        <f>IFERROR(__xludf.DUMMYFUNCTION("""COMPUTED_VALUE"""),0.0)</f>
        <v>0</v>
      </c>
      <c r="L16" s="42">
        <f>IFERROR(__xludf.DUMMYFUNCTION("""COMPUTED_VALUE"""),1.0)</f>
        <v>1</v>
      </c>
      <c r="M16" s="42">
        <f>IFERROR(__xludf.DUMMYFUNCTION("""COMPUTED_VALUE"""),0.0)</f>
        <v>0</v>
      </c>
      <c r="N16" s="42">
        <f>IFERROR(__xludf.DUMMYFUNCTION("""COMPUTED_VALUE"""),0.0)</f>
        <v>0</v>
      </c>
      <c r="O16" s="42">
        <f>IFERROR(__xludf.DUMMYFUNCTION("""COMPUTED_VALUE"""),0.0)</f>
        <v>0</v>
      </c>
      <c r="P16" s="42">
        <f>IFERROR(__xludf.DUMMYFUNCTION("""COMPUTED_VALUE"""),0.0)</f>
        <v>0</v>
      </c>
      <c r="Q16" s="42">
        <f>IFERROR(__xludf.DUMMYFUNCTION("""COMPUTED_VALUE"""),0.0)</f>
        <v>0</v>
      </c>
      <c r="R16" s="42">
        <f>IFERROR(__xludf.DUMMYFUNCTION("""COMPUTED_VALUE"""),1.0)</f>
        <v>1</v>
      </c>
      <c r="S16" s="40">
        <f>IFERROR(__xludf.DUMMYFUNCTION("""COMPUTED_VALUE"""),17.0)</f>
        <v>17</v>
      </c>
      <c r="T16" s="40">
        <f>IFERROR(__xludf.DUMMYFUNCTION("""COMPUTED_VALUE"""),17.0)</f>
        <v>17</v>
      </c>
      <c r="U16" s="46" t="str">
        <f t="array" ref="U16">IF($D16="","",IFERROR(_xlfn.XLOOKUP($D16,'TIR店舗一覧'!$D:$D,'TIR店舗一覧'!$E:$E,""),""))</f>
        <v>YD</v>
      </c>
      <c r="V16" s="54">
        <v>0.0</v>
      </c>
      <c r="W16" s="54">
        <v>0.0</v>
      </c>
      <c r="X16" s="54">
        <v>0.0</v>
      </c>
      <c r="Y16" s="54">
        <v>0.0</v>
      </c>
      <c r="Z16" s="54">
        <v>0.0</v>
      </c>
      <c r="AA16" s="54">
        <v>17.0</v>
      </c>
      <c r="AB16" s="54">
        <v>0.0</v>
      </c>
      <c r="AC16" s="54">
        <v>0.0</v>
      </c>
      <c r="AD16" s="54">
        <v>0.0</v>
      </c>
      <c r="AE16" s="54">
        <v>0.0</v>
      </c>
      <c r="AF16" s="54">
        <v>0.0</v>
      </c>
      <c r="AG16" s="54">
        <v>17.0</v>
      </c>
    </row>
    <row r="17">
      <c r="B17" s="56">
        <f>IFERROR(__xludf.DUMMYFUNCTION("""COMPUTED_VALUE"""),46296.0)</f>
        <v>46296</v>
      </c>
      <c r="C17" s="38" t="str">
        <f>IFERROR(__xludf.DUMMYFUNCTION("""COMPUTED_VALUE"""),"関東")</f>
        <v>関東</v>
      </c>
      <c r="D17" s="38">
        <f>IFERROR(__xludf.DUMMYFUNCTION("""COMPUTED_VALUE"""),8855.0)</f>
        <v>8855</v>
      </c>
      <c r="E17" s="38" t="str">
        <f>IFERROR(__xludf.DUMMYFUNCTION("""COMPUTED_VALUE"""),"テックランド 宇都宮インターパーク店")</f>
        <v>テックランド 宇都宮インターパーク店</v>
      </c>
      <c r="F17" s="40">
        <f>IFERROR(__xludf.DUMMYFUNCTION("""COMPUTED_VALUE"""),11.0)</f>
        <v>11</v>
      </c>
      <c r="G17" s="42">
        <f>IFERROR(__xludf.DUMMYFUNCTION("""COMPUTED_VALUE"""),0.0)</f>
        <v>0</v>
      </c>
      <c r="H17" s="42">
        <f>IFERROR(__xludf.DUMMYFUNCTION("""COMPUTED_VALUE"""),0.0)</f>
        <v>0</v>
      </c>
      <c r="I17" s="42">
        <f>IFERROR(__xludf.DUMMYFUNCTION("""COMPUTED_VALUE"""),0.0)</f>
        <v>0</v>
      </c>
      <c r="J17" s="42">
        <f>IFERROR(__xludf.DUMMYFUNCTION("""COMPUTED_VALUE"""),0.0)</f>
        <v>0</v>
      </c>
      <c r="K17" s="42">
        <f>IFERROR(__xludf.DUMMYFUNCTION("""COMPUTED_VALUE"""),0.0)</f>
        <v>0</v>
      </c>
      <c r="L17" s="42">
        <f>IFERROR(__xludf.DUMMYFUNCTION("""COMPUTED_VALUE"""),1.0)</f>
        <v>1</v>
      </c>
      <c r="M17" s="42">
        <f>IFERROR(__xludf.DUMMYFUNCTION("""COMPUTED_VALUE"""),0.0)</f>
        <v>0</v>
      </c>
      <c r="N17" s="42">
        <f>IFERROR(__xludf.DUMMYFUNCTION("""COMPUTED_VALUE"""),0.0)</f>
        <v>0</v>
      </c>
      <c r="O17" s="42">
        <f>IFERROR(__xludf.DUMMYFUNCTION("""COMPUTED_VALUE"""),0.0)</f>
        <v>0</v>
      </c>
      <c r="P17" s="42">
        <f>IFERROR(__xludf.DUMMYFUNCTION("""COMPUTED_VALUE"""),0.0)</f>
        <v>0</v>
      </c>
      <c r="Q17" s="42">
        <f>IFERROR(__xludf.DUMMYFUNCTION("""COMPUTED_VALUE"""),0.0)</f>
        <v>0</v>
      </c>
      <c r="R17" s="42">
        <f>IFERROR(__xludf.DUMMYFUNCTION("""COMPUTED_VALUE"""),1.0)</f>
        <v>1</v>
      </c>
      <c r="S17" s="40">
        <f>IFERROR(__xludf.DUMMYFUNCTION("""COMPUTED_VALUE"""),11.0)</f>
        <v>11</v>
      </c>
      <c r="T17" s="40">
        <f>IFERROR(__xludf.DUMMYFUNCTION("""COMPUTED_VALUE"""),11.0)</f>
        <v>11</v>
      </c>
      <c r="U17" s="46" t="str">
        <f t="array" ref="U17">IF($D17="","",IFERROR(_xlfn.XLOOKUP($D17,'TIR店舗一覧'!$D:$D,'TIR店舗一覧'!$E:$E,""),""))</f>
        <v>YD</v>
      </c>
      <c r="V17" s="54">
        <v>0.0</v>
      </c>
      <c r="W17" s="54">
        <v>0.0</v>
      </c>
      <c r="X17" s="54">
        <v>0.0</v>
      </c>
      <c r="Y17" s="54">
        <v>0.0</v>
      </c>
      <c r="Z17" s="54">
        <v>0.0</v>
      </c>
      <c r="AA17" s="54">
        <v>11.0</v>
      </c>
      <c r="AB17" s="54">
        <v>0.0</v>
      </c>
      <c r="AC17" s="54">
        <v>0.0</v>
      </c>
      <c r="AD17" s="54">
        <v>0.0</v>
      </c>
      <c r="AE17" s="54">
        <v>0.0</v>
      </c>
      <c r="AF17" s="54">
        <v>0.0</v>
      </c>
      <c r="AG17" s="54">
        <v>11.0</v>
      </c>
    </row>
    <row r="18">
      <c r="B18" s="56">
        <f>IFERROR(__xludf.DUMMYFUNCTION("""COMPUTED_VALUE"""),46296.0)</f>
        <v>46296</v>
      </c>
      <c r="C18" s="38" t="str">
        <f>IFERROR(__xludf.DUMMYFUNCTION("""COMPUTED_VALUE"""),"関東")</f>
        <v>関東</v>
      </c>
      <c r="D18" s="38">
        <f>IFERROR(__xludf.DUMMYFUNCTION("""COMPUTED_VALUE"""),8956.0)</f>
        <v>8956</v>
      </c>
      <c r="E18" s="38" t="str">
        <f>IFERROR(__xludf.DUMMYFUNCTION("""COMPUTED_VALUE"""),"ケーズデンキ 君津店")</f>
        <v>ケーズデンキ 君津店</v>
      </c>
      <c r="F18" s="40">
        <f>IFERROR(__xludf.DUMMYFUNCTION("""COMPUTED_VALUE"""),6.0)</f>
        <v>6</v>
      </c>
      <c r="G18" s="42">
        <f>IFERROR(__xludf.DUMMYFUNCTION("""COMPUTED_VALUE"""),0.0)</f>
        <v>0</v>
      </c>
      <c r="H18" s="42">
        <f>IFERROR(__xludf.DUMMYFUNCTION("""COMPUTED_VALUE"""),0.0)</f>
        <v>0</v>
      </c>
      <c r="I18" s="42">
        <f>IFERROR(__xludf.DUMMYFUNCTION("""COMPUTED_VALUE"""),0.0)</f>
        <v>0</v>
      </c>
      <c r="J18" s="42">
        <f>IFERROR(__xludf.DUMMYFUNCTION("""COMPUTED_VALUE"""),0.0)</f>
        <v>0</v>
      </c>
      <c r="K18" s="42">
        <f>IFERROR(__xludf.DUMMYFUNCTION("""COMPUTED_VALUE"""),0.0)</f>
        <v>0</v>
      </c>
      <c r="L18" s="42">
        <f>IFERROR(__xludf.DUMMYFUNCTION("""COMPUTED_VALUE"""),1.0)</f>
        <v>1</v>
      </c>
      <c r="M18" s="42">
        <f>IFERROR(__xludf.DUMMYFUNCTION("""COMPUTED_VALUE"""),0.0)</f>
        <v>0</v>
      </c>
      <c r="N18" s="42">
        <f>IFERROR(__xludf.DUMMYFUNCTION("""COMPUTED_VALUE"""),0.0)</f>
        <v>0</v>
      </c>
      <c r="O18" s="42">
        <f>IFERROR(__xludf.DUMMYFUNCTION("""COMPUTED_VALUE"""),0.0)</f>
        <v>0</v>
      </c>
      <c r="P18" s="42">
        <f>IFERROR(__xludf.DUMMYFUNCTION("""COMPUTED_VALUE"""),0.0)</f>
        <v>0</v>
      </c>
      <c r="Q18" s="42">
        <f>IFERROR(__xludf.DUMMYFUNCTION("""COMPUTED_VALUE"""),0.0)</f>
        <v>0</v>
      </c>
      <c r="R18" s="42">
        <f>IFERROR(__xludf.DUMMYFUNCTION("""COMPUTED_VALUE"""),1.0)</f>
        <v>1</v>
      </c>
      <c r="S18" s="40">
        <f>IFERROR(__xludf.DUMMYFUNCTION("""COMPUTED_VALUE"""),6.0)</f>
        <v>6</v>
      </c>
      <c r="T18" s="40">
        <f>IFERROR(__xludf.DUMMYFUNCTION("""COMPUTED_VALUE"""),6.0)</f>
        <v>6</v>
      </c>
      <c r="U18" s="46" t="str">
        <f t="array" ref="U18">IF($D18="","",IFERROR(_xlfn.XLOOKUP($D18,'TIR店舗一覧'!$D:$D,'TIR店舗一覧'!$E:$E,""),""))</f>
        <v>KS</v>
      </c>
      <c r="V18" s="54">
        <v>0.0</v>
      </c>
      <c r="W18" s="54">
        <v>0.0</v>
      </c>
      <c r="X18" s="54">
        <v>0.0</v>
      </c>
      <c r="Y18" s="54">
        <v>0.0</v>
      </c>
      <c r="Z18" s="54">
        <v>0.0</v>
      </c>
      <c r="AA18" s="54">
        <v>6.0</v>
      </c>
      <c r="AB18" s="54">
        <v>0.0</v>
      </c>
      <c r="AC18" s="54">
        <v>0.0</v>
      </c>
      <c r="AD18" s="54">
        <v>0.0</v>
      </c>
      <c r="AE18" s="54">
        <v>0.0</v>
      </c>
      <c r="AF18" s="54">
        <v>0.0</v>
      </c>
      <c r="AG18" s="54">
        <v>6.0</v>
      </c>
    </row>
    <row r="19">
      <c r="B19" s="56">
        <f>IFERROR(__xludf.DUMMYFUNCTION("""COMPUTED_VALUE"""),46296.0)</f>
        <v>46296</v>
      </c>
      <c r="C19" s="38" t="str">
        <f>IFERROR(__xludf.DUMMYFUNCTION("""COMPUTED_VALUE"""),"関東")</f>
        <v>関東</v>
      </c>
      <c r="D19" s="38">
        <f>IFERROR(__xludf.DUMMYFUNCTION("""COMPUTED_VALUE"""),7671.0)</f>
        <v>7671</v>
      </c>
      <c r="E19" s="38" t="str">
        <f>IFERROR(__xludf.DUMMYFUNCTION("""COMPUTED_VALUE"""),"Tecc LIFE SELECT 港北センター店")</f>
        <v>Tecc LIFE SELECT 港北センター店</v>
      </c>
      <c r="F19" s="40">
        <f>IFERROR(__xludf.DUMMYFUNCTION("""COMPUTED_VALUE"""),15.0)</f>
        <v>15</v>
      </c>
      <c r="G19" s="42">
        <f>IFERROR(__xludf.DUMMYFUNCTION("""COMPUTED_VALUE"""),0.0)</f>
        <v>0</v>
      </c>
      <c r="H19" s="42">
        <f>IFERROR(__xludf.DUMMYFUNCTION("""COMPUTED_VALUE"""),0.0)</f>
        <v>0</v>
      </c>
      <c r="I19" s="42">
        <f>IFERROR(__xludf.DUMMYFUNCTION("""COMPUTED_VALUE"""),0.0)</f>
        <v>0</v>
      </c>
      <c r="J19" s="42">
        <f>IFERROR(__xludf.DUMMYFUNCTION("""COMPUTED_VALUE"""),0.0)</f>
        <v>0</v>
      </c>
      <c r="K19" s="42">
        <f>IFERROR(__xludf.DUMMYFUNCTION("""COMPUTED_VALUE"""),0.0)</f>
        <v>0</v>
      </c>
      <c r="L19" s="42">
        <f>IFERROR(__xludf.DUMMYFUNCTION("""COMPUTED_VALUE"""),1.0)</f>
        <v>1</v>
      </c>
      <c r="M19" s="42">
        <f>IFERROR(__xludf.DUMMYFUNCTION("""COMPUTED_VALUE"""),0.0)</f>
        <v>0</v>
      </c>
      <c r="N19" s="42">
        <f>IFERROR(__xludf.DUMMYFUNCTION("""COMPUTED_VALUE"""),0.0)</f>
        <v>0</v>
      </c>
      <c r="O19" s="42">
        <f>IFERROR(__xludf.DUMMYFUNCTION("""COMPUTED_VALUE"""),0.0)</f>
        <v>0</v>
      </c>
      <c r="P19" s="42">
        <f>IFERROR(__xludf.DUMMYFUNCTION("""COMPUTED_VALUE"""),0.0)</f>
        <v>0</v>
      </c>
      <c r="Q19" s="42">
        <f>IFERROR(__xludf.DUMMYFUNCTION("""COMPUTED_VALUE"""),0.0)</f>
        <v>0</v>
      </c>
      <c r="R19" s="42">
        <f>IFERROR(__xludf.DUMMYFUNCTION("""COMPUTED_VALUE"""),1.0)</f>
        <v>1</v>
      </c>
      <c r="S19" s="40">
        <f>IFERROR(__xludf.DUMMYFUNCTION("""COMPUTED_VALUE"""),15.0)</f>
        <v>15</v>
      </c>
      <c r="T19" s="40">
        <f>IFERROR(__xludf.DUMMYFUNCTION("""COMPUTED_VALUE"""),15.0)</f>
        <v>15</v>
      </c>
      <c r="U19" s="46" t="str">
        <f t="array" ref="U19">IF($D19="","",IFERROR(_xlfn.XLOOKUP($D19,'TIR店舗一覧'!$D:$D,'TIR店舗一覧'!$E:$E,""),""))</f>
        <v>YD</v>
      </c>
      <c r="V19" s="54">
        <v>0.0</v>
      </c>
      <c r="W19" s="54">
        <v>0.0</v>
      </c>
      <c r="X19" s="54">
        <v>0.0</v>
      </c>
      <c r="Y19" s="54">
        <v>0.0</v>
      </c>
      <c r="Z19" s="54">
        <v>0.0</v>
      </c>
      <c r="AA19" s="54">
        <v>15.0</v>
      </c>
      <c r="AB19" s="54">
        <v>0.0</v>
      </c>
      <c r="AC19" s="54">
        <v>0.0</v>
      </c>
      <c r="AD19" s="54">
        <v>0.0</v>
      </c>
      <c r="AE19" s="54">
        <v>0.0</v>
      </c>
      <c r="AF19" s="54">
        <v>0.0</v>
      </c>
      <c r="AG19" s="54">
        <v>15.0</v>
      </c>
    </row>
    <row r="20">
      <c r="B20" s="56">
        <f>IFERROR(__xludf.DUMMYFUNCTION("""COMPUTED_VALUE"""),46296.0)</f>
        <v>46296</v>
      </c>
      <c r="C20" s="38" t="str">
        <f>IFERROR(__xludf.DUMMYFUNCTION("""COMPUTED_VALUE"""),"関東")</f>
        <v>関東</v>
      </c>
      <c r="D20" s="38">
        <f>IFERROR(__xludf.DUMMYFUNCTION("""COMPUTED_VALUE"""),8848.0)</f>
        <v>8848</v>
      </c>
      <c r="E20" s="38" t="str">
        <f>IFERROR(__xludf.DUMMYFUNCTION("""COMPUTED_VALUE"""),"Tecc LIFE SELECT ムサシ久喜菖蒲店")</f>
        <v>Tecc LIFE SELECT ムサシ久喜菖蒲店</v>
      </c>
      <c r="F20" s="40">
        <f>IFERROR(__xludf.DUMMYFUNCTION("""COMPUTED_VALUE"""),5.0)</f>
        <v>5</v>
      </c>
      <c r="G20" s="42">
        <f>IFERROR(__xludf.DUMMYFUNCTION("""COMPUTED_VALUE"""),0.0)</f>
        <v>0</v>
      </c>
      <c r="H20" s="42">
        <f>IFERROR(__xludf.DUMMYFUNCTION("""COMPUTED_VALUE"""),0.0)</f>
        <v>0</v>
      </c>
      <c r="I20" s="42">
        <f>IFERROR(__xludf.DUMMYFUNCTION("""COMPUTED_VALUE"""),0.0)</f>
        <v>0</v>
      </c>
      <c r="J20" s="42">
        <f>IFERROR(__xludf.DUMMYFUNCTION("""COMPUTED_VALUE"""),0.0)</f>
        <v>0</v>
      </c>
      <c r="K20" s="42">
        <f>IFERROR(__xludf.DUMMYFUNCTION("""COMPUTED_VALUE"""),0.0)</f>
        <v>0</v>
      </c>
      <c r="L20" s="42">
        <f>IFERROR(__xludf.DUMMYFUNCTION("""COMPUTED_VALUE"""),1.0)</f>
        <v>1</v>
      </c>
      <c r="M20" s="42">
        <f>IFERROR(__xludf.DUMMYFUNCTION("""COMPUTED_VALUE"""),0.0)</f>
        <v>0</v>
      </c>
      <c r="N20" s="42">
        <f>IFERROR(__xludf.DUMMYFUNCTION("""COMPUTED_VALUE"""),0.0)</f>
        <v>0</v>
      </c>
      <c r="O20" s="42">
        <f>IFERROR(__xludf.DUMMYFUNCTION("""COMPUTED_VALUE"""),0.0)</f>
        <v>0</v>
      </c>
      <c r="P20" s="42">
        <f>IFERROR(__xludf.DUMMYFUNCTION("""COMPUTED_VALUE"""),0.0)</f>
        <v>0</v>
      </c>
      <c r="Q20" s="42">
        <f>IFERROR(__xludf.DUMMYFUNCTION("""COMPUTED_VALUE"""),0.0)</f>
        <v>0</v>
      </c>
      <c r="R20" s="42">
        <f>IFERROR(__xludf.DUMMYFUNCTION("""COMPUTED_VALUE"""),1.0)</f>
        <v>1</v>
      </c>
      <c r="S20" s="40">
        <f>IFERROR(__xludf.DUMMYFUNCTION("""COMPUTED_VALUE"""),5.0)</f>
        <v>5</v>
      </c>
      <c r="T20" s="40">
        <f>IFERROR(__xludf.DUMMYFUNCTION("""COMPUTED_VALUE"""),5.0)</f>
        <v>5</v>
      </c>
      <c r="U20" s="46" t="str">
        <f t="array" ref="U20">IF($D20="","",IFERROR(_xlfn.XLOOKUP($D20,'TIR店舗一覧'!$D:$D,'TIR店舗一覧'!$E:$E,""),""))</f>
        <v>YD</v>
      </c>
      <c r="V20" s="54">
        <v>0.0</v>
      </c>
      <c r="W20" s="54">
        <v>0.0</v>
      </c>
      <c r="X20" s="54">
        <v>0.0</v>
      </c>
      <c r="Y20" s="54">
        <v>0.0</v>
      </c>
      <c r="Z20" s="54">
        <v>0.0</v>
      </c>
      <c r="AA20" s="54">
        <v>5.0</v>
      </c>
      <c r="AB20" s="54">
        <v>0.0</v>
      </c>
      <c r="AC20" s="54">
        <v>0.0</v>
      </c>
      <c r="AD20" s="54">
        <v>0.0</v>
      </c>
      <c r="AE20" s="54">
        <v>0.0</v>
      </c>
      <c r="AF20" s="54">
        <v>0.0</v>
      </c>
      <c r="AG20" s="54">
        <v>5.0</v>
      </c>
    </row>
    <row r="21" ht="15.75" customHeight="1">
      <c r="B21" s="56">
        <f>IFERROR(__xludf.DUMMYFUNCTION("""COMPUTED_VALUE"""),46296.0)</f>
        <v>46296</v>
      </c>
      <c r="C21" s="38" t="str">
        <f>IFERROR(__xludf.DUMMYFUNCTION("""COMPUTED_VALUE"""),"信越")</f>
        <v>信越</v>
      </c>
      <c r="D21" s="38">
        <f>IFERROR(__xludf.DUMMYFUNCTION("""COMPUTED_VALUE"""),8424.0)</f>
        <v>8424</v>
      </c>
      <c r="E21" s="38" t="str">
        <f>IFERROR(__xludf.DUMMYFUNCTION("""COMPUTED_VALUE"""),"テックランド 新潟錦町本店")</f>
        <v>テックランド 新潟錦町本店</v>
      </c>
      <c r="F21" s="40">
        <f>IFERROR(__xludf.DUMMYFUNCTION("""COMPUTED_VALUE"""),14.0)</f>
        <v>14</v>
      </c>
      <c r="G21" s="42">
        <f>IFERROR(__xludf.DUMMYFUNCTION("""COMPUTED_VALUE"""),0.0)</f>
        <v>0</v>
      </c>
      <c r="H21" s="42">
        <f>IFERROR(__xludf.DUMMYFUNCTION("""COMPUTED_VALUE"""),0.0)</f>
        <v>0</v>
      </c>
      <c r="I21" s="42">
        <f>IFERROR(__xludf.DUMMYFUNCTION("""COMPUTED_VALUE"""),0.0)</f>
        <v>0</v>
      </c>
      <c r="J21" s="42">
        <f>IFERROR(__xludf.DUMMYFUNCTION("""COMPUTED_VALUE"""),0.0)</f>
        <v>0</v>
      </c>
      <c r="K21" s="42">
        <f>IFERROR(__xludf.DUMMYFUNCTION("""COMPUTED_VALUE"""),0.0)</f>
        <v>0</v>
      </c>
      <c r="L21" s="42">
        <f>IFERROR(__xludf.DUMMYFUNCTION("""COMPUTED_VALUE"""),1.0)</f>
        <v>1</v>
      </c>
      <c r="M21" s="42">
        <f>IFERROR(__xludf.DUMMYFUNCTION("""COMPUTED_VALUE"""),0.0)</f>
        <v>0</v>
      </c>
      <c r="N21" s="42">
        <f>IFERROR(__xludf.DUMMYFUNCTION("""COMPUTED_VALUE"""),0.0)</f>
        <v>0</v>
      </c>
      <c r="O21" s="42">
        <f>IFERROR(__xludf.DUMMYFUNCTION("""COMPUTED_VALUE"""),0.0)</f>
        <v>0</v>
      </c>
      <c r="P21" s="42">
        <f>IFERROR(__xludf.DUMMYFUNCTION("""COMPUTED_VALUE"""),0.0)</f>
        <v>0</v>
      </c>
      <c r="Q21" s="42">
        <f>IFERROR(__xludf.DUMMYFUNCTION("""COMPUTED_VALUE"""),0.0)</f>
        <v>0</v>
      </c>
      <c r="R21" s="42">
        <f>IFERROR(__xludf.DUMMYFUNCTION("""COMPUTED_VALUE"""),1.0)</f>
        <v>1</v>
      </c>
      <c r="S21" s="40">
        <f>IFERROR(__xludf.DUMMYFUNCTION("""COMPUTED_VALUE"""),14.0)</f>
        <v>14</v>
      </c>
      <c r="T21" s="40">
        <f>IFERROR(__xludf.DUMMYFUNCTION("""COMPUTED_VALUE"""),14.0)</f>
        <v>14</v>
      </c>
      <c r="U21" s="46" t="str">
        <f t="array" ref="U21">IF($D21="","",IFERROR(_xlfn.XLOOKUP($D21,'TIR店舗一覧'!$D:$D,'TIR店舗一覧'!$E:$E,""),""))</f>
        <v>YD</v>
      </c>
      <c r="V21" s="54">
        <v>0.0</v>
      </c>
      <c r="W21" s="54">
        <v>0.0</v>
      </c>
      <c r="X21" s="54">
        <v>0.0</v>
      </c>
      <c r="Y21" s="54">
        <v>0.0</v>
      </c>
      <c r="Z21" s="54">
        <v>0.0</v>
      </c>
      <c r="AA21" s="54">
        <v>14.0</v>
      </c>
      <c r="AB21" s="54">
        <v>0.0</v>
      </c>
      <c r="AC21" s="54">
        <v>0.0</v>
      </c>
      <c r="AD21" s="54">
        <v>0.0</v>
      </c>
      <c r="AE21" s="54">
        <v>0.0</v>
      </c>
      <c r="AF21" s="54">
        <v>0.0</v>
      </c>
      <c r="AG21" s="54">
        <v>14.0</v>
      </c>
    </row>
    <row r="22" ht="15.75" customHeight="1">
      <c r="B22" s="56">
        <f>IFERROR(__xludf.DUMMYFUNCTION("""COMPUTED_VALUE"""),46296.0)</f>
        <v>46296</v>
      </c>
      <c r="C22" s="38" t="str">
        <f>IFERROR(__xludf.DUMMYFUNCTION("""COMPUTED_VALUE"""),"信越")</f>
        <v>信越</v>
      </c>
      <c r="D22" s="38">
        <f>IFERROR(__xludf.DUMMYFUNCTION("""COMPUTED_VALUE"""),8453.0)</f>
        <v>8453</v>
      </c>
      <c r="E22" s="38" t="str">
        <f>IFERROR(__xludf.DUMMYFUNCTION("""COMPUTED_VALUE"""),"テックランド 亀田店")</f>
        <v>テックランド 亀田店</v>
      </c>
      <c r="F22" s="40">
        <f>IFERROR(__xludf.DUMMYFUNCTION("""COMPUTED_VALUE"""),23.0)</f>
        <v>23</v>
      </c>
      <c r="G22" s="42">
        <f>IFERROR(__xludf.DUMMYFUNCTION("""COMPUTED_VALUE"""),0.0)</f>
        <v>0</v>
      </c>
      <c r="H22" s="42">
        <f>IFERROR(__xludf.DUMMYFUNCTION("""COMPUTED_VALUE"""),0.0)</f>
        <v>0</v>
      </c>
      <c r="I22" s="42">
        <f>IFERROR(__xludf.DUMMYFUNCTION("""COMPUTED_VALUE"""),0.0)</f>
        <v>0</v>
      </c>
      <c r="J22" s="42">
        <f>IFERROR(__xludf.DUMMYFUNCTION("""COMPUTED_VALUE"""),0.0)</f>
        <v>0</v>
      </c>
      <c r="K22" s="42">
        <f>IFERROR(__xludf.DUMMYFUNCTION("""COMPUTED_VALUE"""),0.0)</f>
        <v>0</v>
      </c>
      <c r="L22" s="42">
        <f>IFERROR(__xludf.DUMMYFUNCTION("""COMPUTED_VALUE"""),1.0)</f>
        <v>1</v>
      </c>
      <c r="M22" s="42">
        <f>IFERROR(__xludf.DUMMYFUNCTION("""COMPUTED_VALUE"""),0.0)</f>
        <v>0</v>
      </c>
      <c r="N22" s="42">
        <f>IFERROR(__xludf.DUMMYFUNCTION("""COMPUTED_VALUE"""),0.0)</f>
        <v>0</v>
      </c>
      <c r="O22" s="42">
        <f>IFERROR(__xludf.DUMMYFUNCTION("""COMPUTED_VALUE"""),0.0)</f>
        <v>0</v>
      </c>
      <c r="P22" s="42">
        <f>IFERROR(__xludf.DUMMYFUNCTION("""COMPUTED_VALUE"""),0.0)</f>
        <v>0</v>
      </c>
      <c r="Q22" s="42">
        <f>IFERROR(__xludf.DUMMYFUNCTION("""COMPUTED_VALUE"""),0.0)</f>
        <v>0</v>
      </c>
      <c r="R22" s="42">
        <f>IFERROR(__xludf.DUMMYFUNCTION("""COMPUTED_VALUE"""),1.0)</f>
        <v>1</v>
      </c>
      <c r="S22" s="40">
        <f>IFERROR(__xludf.DUMMYFUNCTION("""COMPUTED_VALUE"""),23.0)</f>
        <v>23</v>
      </c>
      <c r="T22" s="40">
        <f>IFERROR(__xludf.DUMMYFUNCTION("""COMPUTED_VALUE"""),23.0)</f>
        <v>23</v>
      </c>
      <c r="U22" s="46" t="str">
        <f t="array" ref="U22">IF($D22="","",IFERROR(_xlfn.XLOOKUP($D22,'TIR店舗一覧'!$D:$D,'TIR店舗一覧'!$E:$E,""),""))</f>
        <v>YD</v>
      </c>
      <c r="V22" s="54">
        <v>0.0</v>
      </c>
      <c r="W22" s="54">
        <v>0.0</v>
      </c>
      <c r="X22" s="54">
        <v>0.0</v>
      </c>
      <c r="Y22" s="54">
        <v>0.0</v>
      </c>
      <c r="Z22" s="54">
        <v>0.0</v>
      </c>
      <c r="AA22" s="54">
        <v>23.0</v>
      </c>
      <c r="AB22" s="54">
        <v>0.0</v>
      </c>
      <c r="AC22" s="54">
        <v>0.0</v>
      </c>
      <c r="AD22" s="54">
        <v>0.0</v>
      </c>
      <c r="AE22" s="54">
        <v>0.0</v>
      </c>
      <c r="AF22" s="54">
        <v>0.0</v>
      </c>
      <c r="AG22" s="54">
        <v>23.0</v>
      </c>
    </row>
    <row r="23" ht="15.75" customHeight="1">
      <c r="B23" s="56">
        <f>IFERROR(__xludf.DUMMYFUNCTION("""COMPUTED_VALUE"""),46296.0)</f>
        <v>46296</v>
      </c>
      <c r="C23" s="38" t="str">
        <f>IFERROR(__xludf.DUMMYFUNCTION("""COMPUTED_VALUE"""),"信越")</f>
        <v>信越</v>
      </c>
      <c r="D23" s="38">
        <f>IFERROR(__xludf.DUMMYFUNCTION("""COMPUTED_VALUE"""),8924.0)</f>
        <v>8924</v>
      </c>
      <c r="E23" s="38" t="str">
        <f>IFERROR(__xludf.DUMMYFUNCTION("""COMPUTED_VALUE"""),"テックランド そよら三条須頃店")</f>
        <v>テックランド そよら三条須頃店</v>
      </c>
      <c r="F23" s="40">
        <f>IFERROR(__xludf.DUMMYFUNCTION("""COMPUTED_VALUE"""),15.0)</f>
        <v>15</v>
      </c>
      <c r="G23" s="42">
        <f>IFERROR(__xludf.DUMMYFUNCTION("""COMPUTED_VALUE"""),0.40569395017793597)</f>
        <v>0.4056939502</v>
      </c>
      <c r="H23" s="42">
        <f>IFERROR(__xludf.DUMMYFUNCTION("""COMPUTED_VALUE"""),0.1103202846975089)</f>
        <v>0.1103202847</v>
      </c>
      <c r="I23" s="42">
        <f>IFERROR(__xludf.DUMMYFUNCTION("""COMPUTED_VALUE"""),0.13167259786476868)</f>
        <v>0.1316725979</v>
      </c>
      <c r="J23" s="42">
        <f>IFERROR(__xludf.DUMMYFUNCTION("""COMPUTED_VALUE"""),0.1708185053380783)</f>
        <v>0.1708185053</v>
      </c>
      <c r="K23" s="42">
        <f>IFERROR(__xludf.DUMMYFUNCTION("""COMPUTED_VALUE"""),0.12811387900355872)</f>
        <v>0.128113879</v>
      </c>
      <c r="L23" s="42">
        <f>IFERROR(__xludf.DUMMYFUNCTION("""COMPUTED_VALUE"""),0.05338078291814947)</f>
        <v>0.05338078292</v>
      </c>
      <c r="M23" s="42">
        <f>IFERROR(__xludf.DUMMYFUNCTION("""COMPUTED_VALUE"""),0.3855421686746988)</f>
        <v>0.3855421687</v>
      </c>
      <c r="N23" s="42">
        <f>IFERROR(__xludf.DUMMYFUNCTION("""COMPUTED_VALUE"""),0.10843373493975904)</f>
        <v>0.1084337349</v>
      </c>
      <c r="O23" s="42">
        <f>IFERROR(__xludf.DUMMYFUNCTION("""COMPUTED_VALUE"""),0.11646586345381527)</f>
        <v>0.1164658635</v>
      </c>
      <c r="P23" s="42">
        <f>IFERROR(__xludf.DUMMYFUNCTION("""COMPUTED_VALUE"""),0.1927710843373494)</f>
        <v>0.1927710843</v>
      </c>
      <c r="Q23" s="42">
        <f>IFERROR(__xludf.DUMMYFUNCTION("""COMPUTED_VALUE"""),0.13654618473895583)</f>
        <v>0.1365461847</v>
      </c>
      <c r="R23" s="42">
        <f>IFERROR(__xludf.DUMMYFUNCTION("""COMPUTED_VALUE"""),0.060240963855421686)</f>
        <v>0.06024096386</v>
      </c>
      <c r="S23" s="40">
        <f>IFERROR(__xludf.DUMMYFUNCTION("""COMPUTED_VALUE"""),281.0)</f>
        <v>281</v>
      </c>
      <c r="T23" s="40">
        <f>IFERROR(__xludf.DUMMYFUNCTION("""COMPUTED_VALUE"""),249.0)</f>
        <v>249</v>
      </c>
      <c r="U23" s="46" t="str">
        <f t="array" ref="U23">IF($D23="","",IFERROR(_xlfn.XLOOKUP($D23,'TIR店舗一覧'!$D:$D,'TIR店舗一覧'!$E:$E,""),""))</f>
        <v>YD</v>
      </c>
      <c r="V23" s="54">
        <v>114.00000000000001</v>
      </c>
      <c r="W23" s="54">
        <v>31.0</v>
      </c>
      <c r="X23" s="54">
        <v>37.0</v>
      </c>
      <c r="Y23" s="54">
        <v>48.0</v>
      </c>
      <c r="Z23" s="54">
        <v>36.0</v>
      </c>
      <c r="AA23" s="54">
        <v>15.0</v>
      </c>
      <c r="AB23" s="54">
        <v>96.0</v>
      </c>
      <c r="AC23" s="54">
        <v>27.0</v>
      </c>
      <c r="AD23" s="54">
        <v>29.0</v>
      </c>
      <c r="AE23" s="54">
        <v>48.0</v>
      </c>
      <c r="AF23" s="54">
        <v>34.0</v>
      </c>
      <c r="AG23" s="54">
        <v>15.0</v>
      </c>
    </row>
    <row r="24" ht="15.75" customHeight="1">
      <c r="B24" s="56">
        <f>IFERROR(__xludf.DUMMYFUNCTION("""COMPUTED_VALUE"""),46296.0)</f>
        <v>46296</v>
      </c>
      <c r="C24" s="38" t="str">
        <f>IFERROR(__xludf.DUMMYFUNCTION("""COMPUTED_VALUE"""),"信越")</f>
        <v>信越</v>
      </c>
      <c r="D24" s="38">
        <f>IFERROR(__xludf.DUMMYFUNCTION("""COMPUTED_VALUE"""),3721.0)</f>
        <v>3721</v>
      </c>
      <c r="E24" s="38" t="str">
        <f>IFERROR(__xludf.DUMMYFUNCTION("""COMPUTED_VALUE"""),"ジョーシン 長岡愛宕店")</f>
        <v>ジョーシン 長岡愛宕店</v>
      </c>
      <c r="F24" s="40">
        <f>IFERROR(__xludf.DUMMYFUNCTION("""COMPUTED_VALUE"""),19.0)</f>
        <v>19</v>
      </c>
      <c r="G24" s="42">
        <f>IFERROR(__xludf.DUMMYFUNCTION("""COMPUTED_VALUE"""),0.4576271186440678)</f>
        <v>0.4576271186</v>
      </c>
      <c r="H24" s="42">
        <f>IFERROR(__xludf.DUMMYFUNCTION("""COMPUTED_VALUE"""),0.14124293785310735)</f>
        <v>0.1412429379</v>
      </c>
      <c r="I24" s="42">
        <f>IFERROR(__xludf.DUMMYFUNCTION("""COMPUTED_VALUE"""),0.04519774011299435)</f>
        <v>0.04519774011</v>
      </c>
      <c r="J24" s="42">
        <f>IFERROR(__xludf.DUMMYFUNCTION("""COMPUTED_VALUE"""),0.1638418079096045)</f>
        <v>0.1638418079</v>
      </c>
      <c r="K24" s="42">
        <f>IFERROR(__xludf.DUMMYFUNCTION("""COMPUTED_VALUE"""),0.0847457627118644)</f>
        <v>0.08474576271</v>
      </c>
      <c r="L24" s="42">
        <f>IFERROR(__xludf.DUMMYFUNCTION("""COMPUTED_VALUE"""),0.10734463276836158)</f>
        <v>0.1073446328</v>
      </c>
      <c r="M24" s="42">
        <f>IFERROR(__xludf.DUMMYFUNCTION("""COMPUTED_VALUE"""),0.28703703703703703)</f>
        <v>0.287037037</v>
      </c>
      <c r="N24" s="42">
        <f>IFERROR(__xludf.DUMMYFUNCTION("""COMPUTED_VALUE"""),0.12037037037037036)</f>
        <v>0.1203703704</v>
      </c>
      <c r="O24" s="42">
        <f>IFERROR(__xludf.DUMMYFUNCTION("""COMPUTED_VALUE"""),0.05555555555555555)</f>
        <v>0.05555555556</v>
      </c>
      <c r="P24" s="42">
        <f>IFERROR(__xludf.DUMMYFUNCTION("""COMPUTED_VALUE"""),0.23148148148148148)</f>
        <v>0.2314814815</v>
      </c>
      <c r="Q24" s="42">
        <f>IFERROR(__xludf.DUMMYFUNCTION("""COMPUTED_VALUE"""),0.12962962962962962)</f>
        <v>0.1296296296</v>
      </c>
      <c r="R24" s="42">
        <f>IFERROR(__xludf.DUMMYFUNCTION("""COMPUTED_VALUE"""),0.17592592592592593)</f>
        <v>0.1759259259</v>
      </c>
      <c r="S24" s="40">
        <f>IFERROR(__xludf.DUMMYFUNCTION("""COMPUTED_VALUE"""),177.0)</f>
        <v>177</v>
      </c>
      <c r="T24" s="40">
        <f>IFERROR(__xludf.DUMMYFUNCTION("""COMPUTED_VALUE"""),108.0)</f>
        <v>108</v>
      </c>
      <c r="U24" s="46" t="str">
        <f t="array" ref="U24">IF($D24="","",IFERROR(_xlfn.XLOOKUP($D24,'TIR店舗一覧'!$D:$D,'TIR店舗一覧'!$E:$E,""),""))</f>
        <v>JO</v>
      </c>
      <c r="V24" s="54">
        <v>81.0</v>
      </c>
      <c r="W24" s="54">
        <v>25.0</v>
      </c>
      <c r="X24" s="54">
        <v>8.0</v>
      </c>
      <c r="Y24" s="54">
        <v>28.999999999999996</v>
      </c>
      <c r="Z24" s="54">
        <v>15.0</v>
      </c>
      <c r="AA24" s="54">
        <v>19.0</v>
      </c>
      <c r="AB24" s="54">
        <v>31.0</v>
      </c>
      <c r="AC24" s="54">
        <v>13.0</v>
      </c>
      <c r="AD24" s="54">
        <v>6.0</v>
      </c>
      <c r="AE24" s="54">
        <v>25.0</v>
      </c>
      <c r="AF24" s="54">
        <v>14.0</v>
      </c>
      <c r="AG24" s="54">
        <v>19.0</v>
      </c>
    </row>
    <row r="25" ht="15.75" customHeight="1">
      <c r="B25" s="56">
        <f>IFERROR(__xludf.DUMMYFUNCTION("""COMPUTED_VALUE"""),46296.0)</f>
        <v>46296</v>
      </c>
      <c r="C25" s="38" t="str">
        <f>IFERROR(__xludf.DUMMYFUNCTION("""COMPUTED_VALUE"""),"信越")</f>
        <v>信越</v>
      </c>
      <c r="D25" s="38">
        <f>IFERROR(__xludf.DUMMYFUNCTION("""COMPUTED_VALUE"""),2471.0)</f>
        <v>2471</v>
      </c>
      <c r="E25" s="38" t="str">
        <f>IFERROR(__xludf.DUMMYFUNCTION("""COMPUTED_VALUE"""),"ジョーシン 上越店")</f>
        <v>ジョーシン 上越店</v>
      </c>
      <c r="F25" s="40">
        <f>IFERROR(__xludf.DUMMYFUNCTION("""COMPUTED_VALUE"""),23.0)</f>
        <v>23</v>
      </c>
      <c r="G25" s="42">
        <f>IFERROR(__xludf.DUMMYFUNCTION("""COMPUTED_VALUE"""),0.47023809523809523)</f>
        <v>0.4702380952</v>
      </c>
      <c r="H25" s="42">
        <f>IFERROR(__xludf.DUMMYFUNCTION("""COMPUTED_VALUE"""),0.08928571428571429)</f>
        <v>0.08928571429</v>
      </c>
      <c r="I25" s="42">
        <f>IFERROR(__xludf.DUMMYFUNCTION("""COMPUTED_VALUE"""),0.041666666666666664)</f>
        <v>0.04166666667</v>
      </c>
      <c r="J25" s="42">
        <f>IFERROR(__xludf.DUMMYFUNCTION("""COMPUTED_VALUE"""),0.13690476190476192)</f>
        <v>0.1369047619</v>
      </c>
      <c r="K25" s="42">
        <f>IFERROR(__xludf.DUMMYFUNCTION("""COMPUTED_VALUE"""),0.125)</f>
        <v>0.125</v>
      </c>
      <c r="L25" s="42">
        <f>IFERROR(__xludf.DUMMYFUNCTION("""COMPUTED_VALUE"""),0.13690476190476192)</f>
        <v>0.1369047619</v>
      </c>
      <c r="M25" s="42">
        <f>IFERROR(__xludf.DUMMYFUNCTION("""COMPUTED_VALUE"""),0.2916666666666667)</f>
        <v>0.2916666667</v>
      </c>
      <c r="N25" s="42">
        <f>IFERROR(__xludf.DUMMYFUNCTION("""COMPUTED_VALUE"""),0.09166666666666666)</f>
        <v>0.09166666667</v>
      </c>
      <c r="O25" s="42">
        <f>IFERROR(__xludf.DUMMYFUNCTION("""COMPUTED_VALUE"""),0.058333333333333334)</f>
        <v>0.05833333333</v>
      </c>
      <c r="P25" s="42">
        <f>IFERROR(__xludf.DUMMYFUNCTION("""COMPUTED_VALUE"""),0.19166666666666668)</f>
        <v>0.1916666667</v>
      </c>
      <c r="Q25" s="42">
        <f>IFERROR(__xludf.DUMMYFUNCTION("""COMPUTED_VALUE"""),0.175)</f>
        <v>0.175</v>
      </c>
      <c r="R25" s="42">
        <f>IFERROR(__xludf.DUMMYFUNCTION("""COMPUTED_VALUE"""),0.19166666666666668)</f>
        <v>0.1916666667</v>
      </c>
      <c r="S25" s="40">
        <f>IFERROR(__xludf.DUMMYFUNCTION("""COMPUTED_VALUE"""),168.0)</f>
        <v>168</v>
      </c>
      <c r="T25" s="40">
        <f>IFERROR(__xludf.DUMMYFUNCTION("""COMPUTED_VALUE"""),120.0)</f>
        <v>120</v>
      </c>
      <c r="U25" s="46" t="str">
        <f t="array" ref="U25">IF($D25="","",IFERROR(_xlfn.XLOOKUP($D25,'TIR店舗一覧'!$D:$D,'TIR店舗一覧'!$E:$E,""),""))</f>
        <v>JO</v>
      </c>
      <c r="V25" s="54">
        <v>79.0</v>
      </c>
      <c r="W25" s="54">
        <v>15.0</v>
      </c>
      <c r="X25" s="54">
        <v>7.0</v>
      </c>
      <c r="Y25" s="54">
        <v>23.000000000000004</v>
      </c>
      <c r="Z25" s="54">
        <v>21.0</v>
      </c>
      <c r="AA25" s="54">
        <v>23.000000000000004</v>
      </c>
      <c r="AB25" s="54">
        <v>35.0</v>
      </c>
      <c r="AC25" s="54">
        <v>11.0</v>
      </c>
      <c r="AD25" s="54">
        <v>7.0</v>
      </c>
      <c r="AE25" s="54">
        <v>23.0</v>
      </c>
      <c r="AF25" s="54">
        <v>21.0</v>
      </c>
      <c r="AG25" s="54">
        <v>23.0</v>
      </c>
    </row>
    <row r="26" ht="15.75" customHeight="1">
      <c r="B26" s="56">
        <f>IFERROR(__xludf.DUMMYFUNCTION("""COMPUTED_VALUE"""),46296.0)</f>
        <v>46296</v>
      </c>
      <c r="C26" s="38" t="str">
        <f>IFERROR(__xludf.DUMMYFUNCTION("""COMPUTED_VALUE"""),"信越")</f>
        <v>信越</v>
      </c>
      <c r="D26" s="38">
        <f>IFERROR(__xludf.DUMMYFUNCTION("""COMPUTED_VALUE"""),1611.0)</f>
        <v>1611</v>
      </c>
      <c r="E26" s="38" t="str">
        <f>IFERROR(__xludf.DUMMYFUNCTION("""COMPUTED_VALUE"""),"ジョーシン 亀貝店")</f>
        <v>ジョーシン 亀貝店</v>
      </c>
      <c r="F26" s="40">
        <f>IFERROR(__xludf.DUMMYFUNCTION("""COMPUTED_VALUE"""),36.0)</f>
        <v>36</v>
      </c>
      <c r="G26" s="42">
        <f>IFERROR(__xludf.DUMMYFUNCTION("""COMPUTED_VALUE"""),0.3891625615763547)</f>
        <v>0.3891625616</v>
      </c>
      <c r="H26" s="42">
        <f>IFERROR(__xludf.DUMMYFUNCTION("""COMPUTED_VALUE"""),0.0960591133004926)</f>
        <v>0.0960591133</v>
      </c>
      <c r="I26" s="42">
        <f>IFERROR(__xludf.DUMMYFUNCTION("""COMPUTED_VALUE"""),0.059113300492610835)</f>
        <v>0.05911330049</v>
      </c>
      <c r="J26" s="42">
        <f>IFERROR(__xludf.DUMMYFUNCTION("""COMPUTED_VALUE"""),0.1625615763546798)</f>
        <v>0.1625615764</v>
      </c>
      <c r="K26" s="42">
        <f>IFERROR(__xludf.DUMMYFUNCTION("""COMPUTED_VALUE"""),0.2044334975369458)</f>
        <v>0.2044334975</v>
      </c>
      <c r="L26" s="42">
        <f>IFERROR(__xludf.DUMMYFUNCTION("""COMPUTED_VALUE"""),0.08866995073891626)</f>
        <v>0.08866995074</v>
      </c>
      <c r="M26" s="42">
        <f>IFERROR(__xludf.DUMMYFUNCTION("""COMPUTED_VALUE"""),0.3241590214067278)</f>
        <v>0.3241590214</v>
      </c>
      <c r="N26" s="42">
        <f>IFERROR(__xludf.DUMMYFUNCTION("""COMPUTED_VALUE"""),0.07339449541284404)</f>
        <v>0.07339449541</v>
      </c>
      <c r="O26" s="42">
        <f>IFERROR(__xludf.DUMMYFUNCTION("""COMPUTED_VALUE"""),0.06422018348623854)</f>
        <v>0.06422018349</v>
      </c>
      <c r="P26" s="42">
        <f>IFERROR(__xludf.DUMMYFUNCTION("""COMPUTED_VALUE"""),0.19877675840978593)</f>
        <v>0.1987767584</v>
      </c>
      <c r="Q26" s="42">
        <f>IFERROR(__xludf.DUMMYFUNCTION("""COMPUTED_VALUE"""),0.22935779816513763)</f>
        <v>0.2293577982</v>
      </c>
      <c r="R26" s="42">
        <f>IFERROR(__xludf.DUMMYFUNCTION("""COMPUTED_VALUE"""),0.11009174311926606)</f>
        <v>0.1100917431</v>
      </c>
      <c r="S26" s="40">
        <f>IFERROR(__xludf.DUMMYFUNCTION("""COMPUTED_VALUE"""),406.0)</f>
        <v>406</v>
      </c>
      <c r="T26" s="40">
        <f>IFERROR(__xludf.DUMMYFUNCTION("""COMPUTED_VALUE"""),327.0)</f>
        <v>327</v>
      </c>
      <c r="U26" s="46" t="str">
        <f t="array" ref="U26">IF($D26="","",IFERROR(_xlfn.XLOOKUP($D26,'TIR店舗一覧'!$D:$D,'TIR店舗一覧'!$E:$E,""),""))</f>
        <v>JO</v>
      </c>
      <c r="V26" s="54">
        <v>158.0</v>
      </c>
      <c r="W26" s="54">
        <v>39.0</v>
      </c>
      <c r="X26" s="54">
        <v>24.0</v>
      </c>
      <c r="Y26" s="54">
        <v>66.0</v>
      </c>
      <c r="Z26" s="54">
        <v>83.0</v>
      </c>
      <c r="AA26" s="54">
        <v>36.0</v>
      </c>
      <c r="AB26" s="54">
        <v>106.0</v>
      </c>
      <c r="AC26" s="54">
        <v>24.0</v>
      </c>
      <c r="AD26" s="54">
        <v>21.0</v>
      </c>
      <c r="AE26" s="54">
        <v>65.0</v>
      </c>
      <c r="AF26" s="54">
        <v>75.0</v>
      </c>
      <c r="AG26" s="54">
        <v>36.0</v>
      </c>
    </row>
    <row r="27" ht="15.75" customHeight="1">
      <c r="B27" s="56">
        <f>IFERROR(__xludf.DUMMYFUNCTION("""COMPUTED_VALUE"""),46296.0)</f>
        <v>46296</v>
      </c>
      <c r="C27" s="38" t="str">
        <f>IFERROR(__xludf.DUMMYFUNCTION("""COMPUTED_VALUE"""),"信越")</f>
        <v>信越</v>
      </c>
      <c r="D27" s="38">
        <f>IFERROR(__xludf.DUMMYFUNCTION("""COMPUTED_VALUE"""),3221.0)</f>
        <v>3221</v>
      </c>
      <c r="E27" s="38" t="str">
        <f>IFERROR(__xludf.DUMMYFUNCTION("""COMPUTED_VALUE"""),"ジョーシン 燕三条店")</f>
        <v>ジョーシン 燕三条店</v>
      </c>
      <c r="F27" s="40">
        <f>IFERROR(__xludf.DUMMYFUNCTION("""COMPUTED_VALUE"""),20.0)</f>
        <v>20</v>
      </c>
      <c r="G27" s="42">
        <f>IFERROR(__xludf.DUMMYFUNCTION("""COMPUTED_VALUE"""),0.4578313253012048)</f>
        <v>0.4578313253</v>
      </c>
      <c r="H27" s="42">
        <f>IFERROR(__xludf.DUMMYFUNCTION("""COMPUTED_VALUE"""),0.03614457831325301)</f>
        <v>0.03614457831</v>
      </c>
      <c r="I27" s="42">
        <f>IFERROR(__xludf.DUMMYFUNCTION("""COMPUTED_VALUE"""),0.0)</f>
        <v>0</v>
      </c>
      <c r="J27" s="42">
        <f>IFERROR(__xludf.DUMMYFUNCTION("""COMPUTED_VALUE"""),0.08433734939759036)</f>
        <v>0.0843373494</v>
      </c>
      <c r="K27" s="42">
        <f>IFERROR(__xludf.DUMMYFUNCTION("""COMPUTED_VALUE"""),0.18072289156626506)</f>
        <v>0.1807228916</v>
      </c>
      <c r="L27" s="42">
        <f>IFERROR(__xludf.DUMMYFUNCTION("""COMPUTED_VALUE"""),0.24096385542168675)</f>
        <v>0.2409638554</v>
      </c>
      <c r="M27" s="42">
        <f>IFERROR(__xludf.DUMMYFUNCTION("""COMPUTED_VALUE"""),0.36363636363636365)</f>
        <v>0.3636363636</v>
      </c>
      <c r="N27" s="42">
        <f>IFERROR(__xludf.DUMMYFUNCTION("""COMPUTED_VALUE"""),0.045454545454545456)</f>
        <v>0.04545454545</v>
      </c>
      <c r="O27" s="42">
        <f>IFERROR(__xludf.DUMMYFUNCTION("""COMPUTED_VALUE"""),0.0)</f>
        <v>0</v>
      </c>
      <c r="P27" s="42">
        <f>IFERROR(__xludf.DUMMYFUNCTION("""COMPUTED_VALUE"""),0.10606060606060606)</f>
        <v>0.1060606061</v>
      </c>
      <c r="Q27" s="42">
        <f>IFERROR(__xludf.DUMMYFUNCTION("""COMPUTED_VALUE"""),0.18181818181818182)</f>
        <v>0.1818181818</v>
      </c>
      <c r="R27" s="42">
        <f>IFERROR(__xludf.DUMMYFUNCTION("""COMPUTED_VALUE"""),0.30303030303030304)</f>
        <v>0.303030303</v>
      </c>
      <c r="S27" s="40">
        <f>IFERROR(__xludf.DUMMYFUNCTION("""COMPUTED_VALUE"""),83.0)</f>
        <v>83</v>
      </c>
      <c r="T27" s="40">
        <f>IFERROR(__xludf.DUMMYFUNCTION("""COMPUTED_VALUE"""),66.0)</f>
        <v>66</v>
      </c>
      <c r="U27" s="46" t="str">
        <f t="array" ref="U27">IF($D27="","",IFERROR(_xlfn.XLOOKUP($D27,'TIR店舗一覧'!$D:$D,'TIR店舗一覧'!$E:$E,""),""))</f>
        <v>JO</v>
      </c>
      <c r="V27" s="54">
        <v>38.0</v>
      </c>
      <c r="W27" s="54">
        <v>3.0</v>
      </c>
      <c r="X27" s="54">
        <v>0.0</v>
      </c>
      <c r="Y27" s="54">
        <v>6.999999999999999</v>
      </c>
      <c r="Z27" s="54">
        <v>15.0</v>
      </c>
      <c r="AA27" s="54">
        <v>20.0</v>
      </c>
      <c r="AB27" s="54">
        <v>24.0</v>
      </c>
      <c r="AC27" s="54">
        <v>3.0</v>
      </c>
      <c r="AD27" s="54">
        <v>0.0</v>
      </c>
      <c r="AE27" s="54">
        <v>7.0</v>
      </c>
      <c r="AF27" s="54">
        <v>12.0</v>
      </c>
      <c r="AG27" s="54">
        <v>20.0</v>
      </c>
    </row>
    <row r="28" ht="15.75" customHeight="1">
      <c r="B28" s="56">
        <f>IFERROR(__xludf.DUMMYFUNCTION("""COMPUTED_VALUE"""),46296.0)</f>
        <v>46296</v>
      </c>
      <c r="C28" s="38" t="str">
        <f>IFERROR(__xludf.DUMMYFUNCTION("""COMPUTED_VALUE"""),"信越")</f>
        <v>信越</v>
      </c>
      <c r="D28" s="38">
        <f>IFERROR(__xludf.DUMMYFUNCTION("""COMPUTED_VALUE"""),1238.0)</f>
        <v>1238</v>
      </c>
      <c r="E28" s="38" t="str">
        <f>IFERROR(__xludf.DUMMYFUNCTION("""COMPUTED_VALUE"""),"ケーズデンキ 上越インター店")</f>
        <v>ケーズデンキ 上越インター店</v>
      </c>
      <c r="F28" s="40">
        <f>IFERROR(__xludf.DUMMYFUNCTION("""COMPUTED_VALUE"""),20.0)</f>
        <v>20</v>
      </c>
      <c r="G28" s="42">
        <f>IFERROR(__xludf.DUMMYFUNCTION("""COMPUTED_VALUE"""),0.0)</f>
        <v>0</v>
      </c>
      <c r="H28" s="42">
        <f>IFERROR(__xludf.DUMMYFUNCTION("""COMPUTED_VALUE"""),0.0)</f>
        <v>0</v>
      </c>
      <c r="I28" s="42">
        <f>IFERROR(__xludf.DUMMYFUNCTION("""COMPUTED_VALUE"""),0.0)</f>
        <v>0</v>
      </c>
      <c r="J28" s="42">
        <f>IFERROR(__xludf.DUMMYFUNCTION("""COMPUTED_VALUE"""),0.0)</f>
        <v>0</v>
      </c>
      <c r="K28" s="42">
        <f>IFERROR(__xludf.DUMMYFUNCTION("""COMPUTED_VALUE"""),0.0)</f>
        <v>0</v>
      </c>
      <c r="L28" s="42">
        <f>IFERROR(__xludf.DUMMYFUNCTION("""COMPUTED_VALUE"""),1.0)</f>
        <v>1</v>
      </c>
      <c r="M28" s="42">
        <f>IFERROR(__xludf.DUMMYFUNCTION("""COMPUTED_VALUE"""),0.0)</f>
        <v>0</v>
      </c>
      <c r="N28" s="42">
        <f>IFERROR(__xludf.DUMMYFUNCTION("""COMPUTED_VALUE"""),0.0)</f>
        <v>0</v>
      </c>
      <c r="O28" s="42">
        <f>IFERROR(__xludf.DUMMYFUNCTION("""COMPUTED_VALUE"""),0.0)</f>
        <v>0</v>
      </c>
      <c r="P28" s="42">
        <f>IFERROR(__xludf.DUMMYFUNCTION("""COMPUTED_VALUE"""),0.0)</f>
        <v>0</v>
      </c>
      <c r="Q28" s="42">
        <f>IFERROR(__xludf.DUMMYFUNCTION("""COMPUTED_VALUE"""),0.0)</f>
        <v>0</v>
      </c>
      <c r="R28" s="42">
        <f>IFERROR(__xludf.DUMMYFUNCTION("""COMPUTED_VALUE"""),1.0)</f>
        <v>1</v>
      </c>
      <c r="S28" s="40">
        <f>IFERROR(__xludf.DUMMYFUNCTION("""COMPUTED_VALUE"""),20.0)</f>
        <v>20</v>
      </c>
      <c r="T28" s="40">
        <f>IFERROR(__xludf.DUMMYFUNCTION("""COMPUTED_VALUE"""),20.0)</f>
        <v>20</v>
      </c>
      <c r="U28" s="46" t="str">
        <f t="array" ref="U28">IF($D28="","",IFERROR(_xlfn.XLOOKUP($D28,'TIR店舗一覧'!$D:$D,'TIR店舗一覧'!$E:$E,""),""))</f>
        <v>KS</v>
      </c>
      <c r="V28" s="54">
        <v>0.0</v>
      </c>
      <c r="W28" s="54">
        <v>0.0</v>
      </c>
      <c r="X28" s="54">
        <v>0.0</v>
      </c>
      <c r="Y28" s="54">
        <v>0.0</v>
      </c>
      <c r="Z28" s="54">
        <v>0.0</v>
      </c>
      <c r="AA28" s="54">
        <v>20.0</v>
      </c>
      <c r="AB28" s="54">
        <v>0.0</v>
      </c>
      <c r="AC28" s="54">
        <v>0.0</v>
      </c>
      <c r="AD28" s="54">
        <v>0.0</v>
      </c>
      <c r="AE28" s="54">
        <v>0.0</v>
      </c>
      <c r="AF28" s="54">
        <v>0.0</v>
      </c>
      <c r="AG28" s="54">
        <v>20.0</v>
      </c>
    </row>
    <row r="29" ht="15.75" customHeight="1">
      <c r="B29" s="56">
        <f>IFERROR(__xludf.DUMMYFUNCTION("""COMPUTED_VALUE"""),46296.0)</f>
        <v>46296</v>
      </c>
      <c r="C29" s="38" t="str">
        <f>IFERROR(__xludf.DUMMYFUNCTION("""COMPUTED_VALUE"""),"信越")</f>
        <v>信越</v>
      </c>
      <c r="D29" s="38">
        <f>IFERROR(__xludf.DUMMYFUNCTION("""COMPUTED_VALUE"""),1505.0)</f>
        <v>1505</v>
      </c>
      <c r="E29" s="38" t="str">
        <f>IFERROR(__xludf.DUMMYFUNCTION("""COMPUTED_VALUE"""),"ケーズデンキ 女池インター本店")</f>
        <v>ケーズデンキ 女池インター本店</v>
      </c>
      <c r="F29" s="40">
        <f>IFERROR(__xludf.DUMMYFUNCTION("""COMPUTED_VALUE"""),32.0)</f>
        <v>32</v>
      </c>
      <c r="G29" s="42">
        <f>IFERROR(__xludf.DUMMYFUNCTION("""COMPUTED_VALUE"""),0.0)</f>
        <v>0</v>
      </c>
      <c r="H29" s="42">
        <f>IFERROR(__xludf.DUMMYFUNCTION("""COMPUTED_VALUE"""),0.0)</f>
        <v>0</v>
      </c>
      <c r="I29" s="42">
        <f>IFERROR(__xludf.DUMMYFUNCTION("""COMPUTED_VALUE"""),0.0)</f>
        <v>0</v>
      </c>
      <c r="J29" s="42">
        <f>IFERROR(__xludf.DUMMYFUNCTION("""COMPUTED_VALUE"""),0.0)</f>
        <v>0</v>
      </c>
      <c r="K29" s="42">
        <f>IFERROR(__xludf.DUMMYFUNCTION("""COMPUTED_VALUE"""),0.0)</f>
        <v>0</v>
      </c>
      <c r="L29" s="42">
        <f>IFERROR(__xludf.DUMMYFUNCTION("""COMPUTED_VALUE"""),1.0)</f>
        <v>1</v>
      </c>
      <c r="M29" s="42">
        <f>IFERROR(__xludf.DUMMYFUNCTION("""COMPUTED_VALUE"""),0.0)</f>
        <v>0</v>
      </c>
      <c r="N29" s="42">
        <f>IFERROR(__xludf.DUMMYFUNCTION("""COMPUTED_VALUE"""),0.0)</f>
        <v>0</v>
      </c>
      <c r="O29" s="42">
        <f>IFERROR(__xludf.DUMMYFUNCTION("""COMPUTED_VALUE"""),0.0)</f>
        <v>0</v>
      </c>
      <c r="P29" s="42">
        <f>IFERROR(__xludf.DUMMYFUNCTION("""COMPUTED_VALUE"""),0.0)</f>
        <v>0</v>
      </c>
      <c r="Q29" s="42">
        <f>IFERROR(__xludf.DUMMYFUNCTION("""COMPUTED_VALUE"""),0.0)</f>
        <v>0</v>
      </c>
      <c r="R29" s="42">
        <f>IFERROR(__xludf.DUMMYFUNCTION("""COMPUTED_VALUE"""),1.0)</f>
        <v>1</v>
      </c>
      <c r="S29" s="40">
        <f>IFERROR(__xludf.DUMMYFUNCTION("""COMPUTED_VALUE"""),32.0)</f>
        <v>32</v>
      </c>
      <c r="T29" s="40">
        <f>IFERROR(__xludf.DUMMYFUNCTION("""COMPUTED_VALUE"""),32.0)</f>
        <v>32</v>
      </c>
      <c r="U29" s="46" t="str">
        <f t="array" ref="U29">IF($D29="","",IFERROR(_xlfn.XLOOKUP($D29,'TIR店舗一覧'!$D:$D,'TIR店舗一覧'!$E:$E,""),""))</f>
        <v>KS</v>
      </c>
      <c r="V29" s="54">
        <v>0.0</v>
      </c>
      <c r="W29" s="54">
        <v>0.0</v>
      </c>
      <c r="X29" s="54">
        <v>0.0</v>
      </c>
      <c r="Y29" s="54">
        <v>0.0</v>
      </c>
      <c r="Z29" s="54">
        <v>0.0</v>
      </c>
      <c r="AA29" s="54">
        <v>32.0</v>
      </c>
      <c r="AB29" s="54">
        <v>0.0</v>
      </c>
      <c r="AC29" s="54">
        <v>0.0</v>
      </c>
      <c r="AD29" s="54">
        <v>0.0</v>
      </c>
      <c r="AE29" s="54">
        <v>0.0</v>
      </c>
      <c r="AF29" s="54">
        <v>0.0</v>
      </c>
      <c r="AG29" s="54">
        <v>32.0</v>
      </c>
    </row>
    <row r="30" ht="15.75" customHeight="1">
      <c r="B30" s="56">
        <f>IFERROR(__xludf.DUMMYFUNCTION("""COMPUTED_VALUE"""),46296.0)</f>
        <v>46296</v>
      </c>
      <c r="C30" s="38" t="str">
        <f>IFERROR(__xludf.DUMMYFUNCTION("""COMPUTED_VALUE"""),"信越")</f>
        <v>信越</v>
      </c>
      <c r="D30" s="38">
        <f>IFERROR(__xludf.DUMMYFUNCTION("""COMPUTED_VALUE"""),1036.0)</f>
        <v>1036</v>
      </c>
      <c r="E30" s="38" t="str">
        <f>IFERROR(__xludf.DUMMYFUNCTION("""COMPUTED_VALUE"""),"エディオン 塩尻店")</f>
        <v>エディオン 塩尻店</v>
      </c>
      <c r="F30" s="40">
        <f>IFERROR(__xludf.DUMMYFUNCTION("""COMPUTED_VALUE"""),24.0)</f>
        <v>24</v>
      </c>
      <c r="G30" s="42">
        <f>IFERROR(__xludf.DUMMYFUNCTION("""COMPUTED_VALUE"""),0.0)</f>
        <v>0</v>
      </c>
      <c r="H30" s="42">
        <f>IFERROR(__xludf.DUMMYFUNCTION("""COMPUTED_VALUE"""),0.0)</f>
        <v>0</v>
      </c>
      <c r="I30" s="42">
        <f>IFERROR(__xludf.DUMMYFUNCTION("""COMPUTED_VALUE"""),0.0)</f>
        <v>0</v>
      </c>
      <c r="J30" s="42">
        <f>IFERROR(__xludf.DUMMYFUNCTION("""COMPUTED_VALUE"""),0.0)</f>
        <v>0</v>
      </c>
      <c r="K30" s="42">
        <f>IFERROR(__xludf.DUMMYFUNCTION("""COMPUTED_VALUE"""),0.0)</f>
        <v>0</v>
      </c>
      <c r="L30" s="42">
        <f>IFERROR(__xludf.DUMMYFUNCTION("""COMPUTED_VALUE"""),1.0)</f>
        <v>1</v>
      </c>
      <c r="M30" s="42">
        <f>IFERROR(__xludf.DUMMYFUNCTION("""COMPUTED_VALUE"""),0.0)</f>
        <v>0</v>
      </c>
      <c r="N30" s="42">
        <f>IFERROR(__xludf.DUMMYFUNCTION("""COMPUTED_VALUE"""),0.0)</f>
        <v>0</v>
      </c>
      <c r="O30" s="42">
        <f>IFERROR(__xludf.DUMMYFUNCTION("""COMPUTED_VALUE"""),0.0)</f>
        <v>0</v>
      </c>
      <c r="P30" s="42">
        <f>IFERROR(__xludf.DUMMYFUNCTION("""COMPUTED_VALUE"""),0.0)</f>
        <v>0</v>
      </c>
      <c r="Q30" s="42">
        <f>IFERROR(__xludf.DUMMYFUNCTION("""COMPUTED_VALUE"""),0.0)</f>
        <v>0</v>
      </c>
      <c r="R30" s="42">
        <f>IFERROR(__xludf.DUMMYFUNCTION("""COMPUTED_VALUE"""),1.0)</f>
        <v>1</v>
      </c>
      <c r="S30" s="40">
        <f>IFERROR(__xludf.DUMMYFUNCTION("""COMPUTED_VALUE"""),24.0)</f>
        <v>24</v>
      </c>
      <c r="T30" s="40">
        <f>IFERROR(__xludf.DUMMYFUNCTION("""COMPUTED_VALUE"""),24.0)</f>
        <v>24</v>
      </c>
      <c r="U30" s="46" t="str">
        <f t="array" ref="U30">IF($D30="","",IFERROR(_xlfn.XLOOKUP($D30,'TIR店舗一覧'!$D:$D,'TIR店舗一覧'!$E:$E,""),""))</f>
        <v>ED</v>
      </c>
      <c r="V30" s="54">
        <v>0.0</v>
      </c>
      <c r="W30" s="54">
        <v>0.0</v>
      </c>
      <c r="X30" s="54">
        <v>0.0</v>
      </c>
      <c r="Y30" s="54">
        <v>0.0</v>
      </c>
      <c r="Z30" s="54">
        <v>0.0</v>
      </c>
      <c r="AA30" s="54">
        <v>24.0</v>
      </c>
      <c r="AB30" s="54">
        <v>0.0</v>
      </c>
      <c r="AC30" s="54">
        <v>0.0</v>
      </c>
      <c r="AD30" s="54">
        <v>0.0</v>
      </c>
      <c r="AE30" s="54">
        <v>0.0</v>
      </c>
      <c r="AF30" s="54">
        <v>0.0</v>
      </c>
      <c r="AG30" s="54">
        <v>24.0</v>
      </c>
    </row>
    <row r="31" ht="15.75" customHeight="1">
      <c r="B31" s="56">
        <f>IFERROR(__xludf.DUMMYFUNCTION("""COMPUTED_VALUE"""),46296.0)</f>
        <v>46296</v>
      </c>
      <c r="C31" s="38" t="str">
        <f>IFERROR(__xludf.DUMMYFUNCTION("""COMPUTED_VALUE"""),"信越")</f>
        <v>信越</v>
      </c>
      <c r="D31" s="38">
        <f>IFERROR(__xludf.DUMMYFUNCTION("""COMPUTED_VALUE"""),7850.0)</f>
        <v>7850</v>
      </c>
      <c r="E31" s="38" t="str">
        <f>IFERROR(__xludf.DUMMYFUNCTION("""COMPUTED_VALUE"""),"YAMADA web.com 長岡店")</f>
        <v>YAMADA web.com 長岡店</v>
      </c>
      <c r="F31" s="40">
        <f>IFERROR(__xludf.DUMMYFUNCTION("""COMPUTED_VALUE"""),31.0)</f>
        <v>31</v>
      </c>
      <c r="G31" s="42">
        <f>IFERROR(__xludf.DUMMYFUNCTION("""COMPUTED_VALUE"""),0.2623762376237624)</f>
        <v>0.2623762376</v>
      </c>
      <c r="H31" s="42">
        <f>IFERROR(__xludf.DUMMYFUNCTION("""COMPUTED_VALUE"""),0.0594059405940594)</f>
        <v>0.05940594059</v>
      </c>
      <c r="I31" s="42">
        <f>IFERROR(__xludf.DUMMYFUNCTION("""COMPUTED_VALUE"""),0.12871287128712872)</f>
        <v>0.1287128713</v>
      </c>
      <c r="J31" s="42">
        <f>IFERROR(__xludf.DUMMYFUNCTION("""COMPUTED_VALUE"""),0.1188118811881188)</f>
        <v>0.1188118812</v>
      </c>
      <c r="K31" s="42">
        <f>IFERROR(__xludf.DUMMYFUNCTION("""COMPUTED_VALUE"""),0.27722772277227725)</f>
        <v>0.2772277228</v>
      </c>
      <c r="L31" s="42">
        <f>IFERROR(__xludf.DUMMYFUNCTION("""COMPUTED_VALUE"""),0.15346534653465346)</f>
        <v>0.1534653465</v>
      </c>
      <c r="M31" s="42">
        <f>IFERROR(__xludf.DUMMYFUNCTION("""COMPUTED_VALUE"""),0.2303370786516854)</f>
        <v>0.2303370787</v>
      </c>
      <c r="N31" s="42">
        <f>IFERROR(__xludf.DUMMYFUNCTION("""COMPUTED_VALUE"""),0.06179775280898876)</f>
        <v>0.06179775281</v>
      </c>
      <c r="O31" s="42">
        <f>IFERROR(__xludf.DUMMYFUNCTION("""COMPUTED_VALUE"""),0.10674157303370786)</f>
        <v>0.106741573</v>
      </c>
      <c r="P31" s="42">
        <f>IFERROR(__xludf.DUMMYFUNCTION("""COMPUTED_VALUE"""),0.12359550561797752)</f>
        <v>0.1235955056</v>
      </c>
      <c r="Q31" s="42">
        <f>IFERROR(__xludf.DUMMYFUNCTION("""COMPUTED_VALUE"""),0.30337078651685395)</f>
        <v>0.3033707865</v>
      </c>
      <c r="R31" s="42">
        <f>IFERROR(__xludf.DUMMYFUNCTION("""COMPUTED_VALUE"""),0.17415730337078653)</f>
        <v>0.1741573034</v>
      </c>
      <c r="S31" s="40">
        <f>IFERROR(__xludf.DUMMYFUNCTION("""COMPUTED_VALUE"""),202.0)</f>
        <v>202</v>
      </c>
      <c r="T31" s="40">
        <f>IFERROR(__xludf.DUMMYFUNCTION("""COMPUTED_VALUE"""),178.0)</f>
        <v>178</v>
      </c>
      <c r="U31" s="46" t="str">
        <f t="array" ref="U31">IF($D31="","",IFERROR(_xlfn.XLOOKUP($D31,'TIR店舗一覧'!$D:$D,'TIR店舗一覧'!$E:$E,""),""))</f>
        <v>YD</v>
      </c>
      <c r="V31" s="54">
        <v>53.0</v>
      </c>
      <c r="W31" s="54">
        <v>12.0</v>
      </c>
      <c r="X31" s="54">
        <v>26.0</v>
      </c>
      <c r="Y31" s="54">
        <v>24.0</v>
      </c>
      <c r="Z31" s="54">
        <v>56.00000000000001</v>
      </c>
      <c r="AA31" s="54">
        <v>31.0</v>
      </c>
      <c r="AB31" s="54">
        <v>41.0</v>
      </c>
      <c r="AC31" s="54">
        <v>11.0</v>
      </c>
      <c r="AD31" s="54">
        <v>19.0</v>
      </c>
      <c r="AE31" s="54">
        <v>22.0</v>
      </c>
      <c r="AF31" s="54">
        <v>54.0</v>
      </c>
      <c r="AG31" s="54">
        <v>31.0</v>
      </c>
    </row>
    <row r="32" ht="15.75" customHeight="1">
      <c r="B32" s="56">
        <f>IFERROR(__xludf.DUMMYFUNCTION("""COMPUTED_VALUE"""),46296.0)</f>
        <v>46296</v>
      </c>
      <c r="C32" s="38" t="str">
        <f>IFERROR(__xludf.DUMMYFUNCTION("""COMPUTED_VALUE"""),"信越")</f>
        <v>信越</v>
      </c>
      <c r="D32" s="38">
        <f>IFERROR(__xludf.DUMMYFUNCTION("""COMPUTED_VALUE"""),7822.0)</f>
        <v>7822</v>
      </c>
      <c r="E32" s="38" t="str">
        <f>IFERROR(__xludf.DUMMYFUNCTION("""COMPUTED_VALUE"""),"Tecc LIFE SELECT 長野SBC通り店")</f>
        <v>Tecc LIFE SELECT 長野SBC通り店</v>
      </c>
      <c r="F32" s="40">
        <f>IFERROR(__xludf.DUMMYFUNCTION("""COMPUTED_VALUE"""),27.0)</f>
        <v>27</v>
      </c>
      <c r="G32" s="42">
        <f>IFERROR(__xludf.DUMMYFUNCTION("""COMPUTED_VALUE"""),0.21727019498607242)</f>
        <v>0.217270195</v>
      </c>
      <c r="H32" s="42">
        <f>IFERROR(__xludf.DUMMYFUNCTION("""COMPUTED_VALUE"""),0.10584958217270195)</f>
        <v>0.1058495822</v>
      </c>
      <c r="I32" s="42">
        <f>IFERROR(__xludf.DUMMYFUNCTION("""COMPUTED_VALUE"""),0.2618384401114206)</f>
        <v>0.2618384401</v>
      </c>
      <c r="J32" s="42">
        <f>IFERROR(__xludf.DUMMYFUNCTION("""COMPUTED_VALUE"""),0.11977715877437325)</f>
        <v>0.1197771588</v>
      </c>
      <c r="K32" s="42">
        <f>IFERROR(__xludf.DUMMYFUNCTION("""COMPUTED_VALUE"""),0.2200557103064067)</f>
        <v>0.2200557103</v>
      </c>
      <c r="L32" s="42">
        <f>IFERROR(__xludf.DUMMYFUNCTION("""COMPUTED_VALUE"""),0.07520891364902507)</f>
        <v>0.07520891365</v>
      </c>
      <c r="M32" s="42">
        <f>IFERROR(__xludf.DUMMYFUNCTION("""COMPUTED_VALUE"""),0.17846153846153845)</f>
        <v>0.1784615385</v>
      </c>
      <c r="N32" s="42">
        <f>IFERROR(__xludf.DUMMYFUNCTION("""COMPUTED_VALUE"""),0.11384615384615385)</f>
        <v>0.1138461538</v>
      </c>
      <c r="O32" s="42">
        <f>IFERROR(__xludf.DUMMYFUNCTION("""COMPUTED_VALUE"""),0.24923076923076923)</f>
        <v>0.2492307692</v>
      </c>
      <c r="P32" s="42">
        <f>IFERROR(__xludf.DUMMYFUNCTION("""COMPUTED_VALUE"""),0.13230769230769232)</f>
        <v>0.1323076923</v>
      </c>
      <c r="Q32" s="42">
        <f>IFERROR(__xludf.DUMMYFUNCTION("""COMPUTED_VALUE"""),0.24307692307692308)</f>
        <v>0.2430769231</v>
      </c>
      <c r="R32" s="42">
        <f>IFERROR(__xludf.DUMMYFUNCTION("""COMPUTED_VALUE"""),0.08307692307692308)</f>
        <v>0.08307692308</v>
      </c>
      <c r="S32" s="40">
        <f>IFERROR(__xludf.DUMMYFUNCTION("""COMPUTED_VALUE"""),359.0)</f>
        <v>359</v>
      </c>
      <c r="T32" s="40">
        <f>IFERROR(__xludf.DUMMYFUNCTION("""COMPUTED_VALUE"""),325.0)</f>
        <v>325</v>
      </c>
      <c r="U32" s="46" t="str">
        <f t="array" ref="U32">IF($D32="","",IFERROR(_xlfn.XLOOKUP($D32,'TIR店舗一覧'!$D:$D,'TIR店舗一覧'!$E:$E,""),""))</f>
        <v>YD</v>
      </c>
      <c r="V32" s="54">
        <v>78.0</v>
      </c>
      <c r="W32" s="54">
        <v>38.0</v>
      </c>
      <c r="X32" s="54">
        <v>94.0</v>
      </c>
      <c r="Y32" s="54">
        <v>43.0</v>
      </c>
      <c r="Z32" s="54">
        <v>79.0</v>
      </c>
      <c r="AA32" s="54">
        <v>27.0</v>
      </c>
      <c r="AB32" s="54">
        <v>57.99999999999999</v>
      </c>
      <c r="AC32" s="54">
        <v>37.0</v>
      </c>
      <c r="AD32" s="54">
        <v>81.0</v>
      </c>
      <c r="AE32" s="54">
        <v>43.00000000000001</v>
      </c>
      <c r="AF32" s="54">
        <v>79.0</v>
      </c>
      <c r="AG32" s="54">
        <v>27.0</v>
      </c>
    </row>
    <row r="33" ht="15.75" customHeight="1">
      <c r="B33" s="56">
        <f>IFERROR(__xludf.DUMMYFUNCTION("""COMPUTED_VALUE"""),46296.0)</f>
        <v>46296</v>
      </c>
      <c r="C33" s="38" t="str">
        <f>IFERROR(__xludf.DUMMYFUNCTION("""COMPUTED_VALUE"""),"信越")</f>
        <v>信越</v>
      </c>
      <c r="D33" s="38">
        <f>IFERROR(__xludf.DUMMYFUNCTION("""COMPUTED_VALUE"""),8633.0)</f>
        <v>8633</v>
      </c>
      <c r="E33" s="38" t="str">
        <f>IFERROR(__xludf.DUMMYFUNCTION("""COMPUTED_VALUE"""),"Tecc LIFE SELECT 須坂店")</f>
        <v>Tecc LIFE SELECT 須坂店</v>
      </c>
      <c r="F33" s="40" t="str">
        <f>IFERROR(__xludf.DUMMYFUNCTION("""COMPUTED_VALUE"""),"-")</f>
        <v>-</v>
      </c>
      <c r="G33" s="42" t="str">
        <f>IFERROR(__xludf.DUMMYFUNCTION("""COMPUTED_VALUE"""),"-")</f>
        <v>-</v>
      </c>
      <c r="H33" s="42" t="str">
        <f>IFERROR(__xludf.DUMMYFUNCTION("""COMPUTED_VALUE"""),"-")</f>
        <v>-</v>
      </c>
      <c r="I33" s="42" t="str">
        <f>IFERROR(__xludf.DUMMYFUNCTION("""COMPUTED_VALUE"""),"-")</f>
        <v>-</v>
      </c>
      <c r="J33" s="42" t="str">
        <f>IFERROR(__xludf.DUMMYFUNCTION("""COMPUTED_VALUE"""),"-")</f>
        <v>-</v>
      </c>
      <c r="K33" s="42" t="str">
        <f>IFERROR(__xludf.DUMMYFUNCTION("""COMPUTED_VALUE"""),"-")</f>
        <v>-</v>
      </c>
      <c r="L33" s="42" t="str">
        <f>IFERROR(__xludf.DUMMYFUNCTION("""COMPUTED_VALUE"""),"-")</f>
        <v>-</v>
      </c>
      <c r="M33" s="42" t="str">
        <f>IFERROR(__xludf.DUMMYFUNCTION("""COMPUTED_VALUE"""),"-")</f>
        <v>-</v>
      </c>
      <c r="N33" s="42" t="str">
        <f>IFERROR(__xludf.DUMMYFUNCTION("""COMPUTED_VALUE"""),"-")</f>
        <v>-</v>
      </c>
      <c r="O33" s="42" t="str">
        <f>IFERROR(__xludf.DUMMYFUNCTION("""COMPUTED_VALUE"""),"-")</f>
        <v>-</v>
      </c>
      <c r="P33" s="42" t="str">
        <f>IFERROR(__xludf.DUMMYFUNCTION("""COMPUTED_VALUE"""),"-")</f>
        <v>-</v>
      </c>
      <c r="Q33" s="42" t="str">
        <f>IFERROR(__xludf.DUMMYFUNCTION("""COMPUTED_VALUE"""),"-")</f>
        <v>-</v>
      </c>
      <c r="R33" s="42" t="str">
        <f>IFERROR(__xludf.DUMMYFUNCTION("""COMPUTED_VALUE"""),"-")</f>
        <v>-</v>
      </c>
      <c r="S33" s="40" t="str">
        <f>IFERROR(__xludf.DUMMYFUNCTION("""COMPUTED_VALUE"""),"-")</f>
        <v>-</v>
      </c>
      <c r="T33" s="40" t="str">
        <f>IFERROR(__xludf.DUMMYFUNCTION("""COMPUTED_VALUE"""),"-")</f>
        <v>-</v>
      </c>
      <c r="U33" s="46" t="str">
        <f t="array" ref="U33">IF($D33="","",IFERROR(_xlfn.XLOOKUP($D33,'TIR店舗一覧'!$D:$D,'TIR店舗一覧'!$E:$E,""),""))</f>
        <v>YD</v>
      </c>
      <c r="V33" s="54">
        <v>0.0</v>
      </c>
      <c r="W33" s="54">
        <v>0.0</v>
      </c>
      <c r="X33" s="54">
        <v>0.0</v>
      </c>
      <c r="Y33" s="54">
        <v>0.0</v>
      </c>
      <c r="Z33" s="54">
        <v>0.0</v>
      </c>
      <c r="AA33" s="54">
        <v>0.0</v>
      </c>
      <c r="AB33" s="54">
        <v>0.0</v>
      </c>
      <c r="AC33" s="54">
        <v>0.0</v>
      </c>
      <c r="AD33" s="54">
        <v>0.0</v>
      </c>
      <c r="AE33" s="54">
        <v>0.0</v>
      </c>
      <c r="AF33" s="54">
        <v>0.0</v>
      </c>
      <c r="AG33" s="54">
        <v>0.0</v>
      </c>
    </row>
    <row r="34" ht="15.75" customHeight="1">
      <c r="B34" s="56">
        <f>IFERROR(__xludf.DUMMYFUNCTION("""COMPUTED_VALUE"""),46296.0)</f>
        <v>46296</v>
      </c>
      <c r="C34" s="38" t="str">
        <f>IFERROR(__xludf.DUMMYFUNCTION("""COMPUTED_VALUE"""),"信越")</f>
        <v>信越</v>
      </c>
      <c r="D34" s="38">
        <f>IFERROR(__xludf.DUMMYFUNCTION("""COMPUTED_VALUE"""),8371.0)</f>
        <v>8371</v>
      </c>
      <c r="E34" s="38" t="str">
        <f>IFERROR(__xludf.DUMMYFUNCTION("""COMPUTED_VALUE"""),"Tecc LIFE SELECT 松本本店")</f>
        <v>Tecc LIFE SELECT 松本本店</v>
      </c>
      <c r="F34" s="40">
        <f>IFERROR(__xludf.DUMMYFUNCTION("""COMPUTED_VALUE"""),0.0)</f>
        <v>0</v>
      </c>
      <c r="G34" s="42" t="str">
        <f>IFERROR(__xludf.DUMMYFUNCTION("""COMPUTED_VALUE"""),"-")</f>
        <v>-</v>
      </c>
      <c r="H34" s="42" t="str">
        <f>IFERROR(__xludf.DUMMYFUNCTION("""COMPUTED_VALUE"""),"-")</f>
        <v>-</v>
      </c>
      <c r="I34" s="42" t="str">
        <f>IFERROR(__xludf.DUMMYFUNCTION("""COMPUTED_VALUE"""),"-")</f>
        <v>-</v>
      </c>
      <c r="J34" s="42" t="str">
        <f>IFERROR(__xludf.DUMMYFUNCTION("""COMPUTED_VALUE"""),"-")</f>
        <v>-</v>
      </c>
      <c r="K34" s="42" t="str">
        <f>IFERROR(__xludf.DUMMYFUNCTION("""COMPUTED_VALUE"""),"-")</f>
        <v>-</v>
      </c>
      <c r="L34" s="42" t="str">
        <f>IFERROR(__xludf.DUMMYFUNCTION("""COMPUTED_VALUE"""),"-")</f>
        <v>-</v>
      </c>
      <c r="M34" s="42" t="str">
        <f>IFERROR(__xludf.DUMMYFUNCTION("""COMPUTED_VALUE"""),"-")</f>
        <v>-</v>
      </c>
      <c r="N34" s="42" t="str">
        <f>IFERROR(__xludf.DUMMYFUNCTION("""COMPUTED_VALUE"""),"-")</f>
        <v>-</v>
      </c>
      <c r="O34" s="42" t="str">
        <f>IFERROR(__xludf.DUMMYFUNCTION("""COMPUTED_VALUE"""),"-")</f>
        <v>-</v>
      </c>
      <c r="P34" s="42" t="str">
        <f>IFERROR(__xludf.DUMMYFUNCTION("""COMPUTED_VALUE"""),"-")</f>
        <v>-</v>
      </c>
      <c r="Q34" s="42" t="str">
        <f>IFERROR(__xludf.DUMMYFUNCTION("""COMPUTED_VALUE"""),"-")</f>
        <v>-</v>
      </c>
      <c r="R34" s="42" t="str">
        <f>IFERROR(__xludf.DUMMYFUNCTION("""COMPUTED_VALUE"""),"-")</f>
        <v>-</v>
      </c>
      <c r="S34" s="40">
        <f>IFERROR(__xludf.DUMMYFUNCTION("""COMPUTED_VALUE"""),0.0)</f>
        <v>0</v>
      </c>
      <c r="T34" s="40">
        <f>IFERROR(__xludf.DUMMYFUNCTION("""COMPUTED_VALUE"""),0.0)</f>
        <v>0</v>
      </c>
      <c r="U34" s="46" t="str">
        <f t="array" ref="U34">IF($D34="","",IFERROR(_xlfn.XLOOKUP($D34,'TIR店舗一覧'!$D:$D,'TIR店舗一覧'!$E:$E,""),""))</f>
        <v>YD</v>
      </c>
      <c r="V34" s="54">
        <v>0.0</v>
      </c>
      <c r="W34" s="54">
        <v>0.0</v>
      </c>
      <c r="X34" s="54">
        <v>0.0</v>
      </c>
      <c r="Y34" s="54">
        <v>0.0</v>
      </c>
      <c r="Z34" s="54">
        <v>0.0</v>
      </c>
      <c r="AA34" s="54">
        <v>0.0</v>
      </c>
      <c r="AB34" s="54">
        <v>0.0</v>
      </c>
      <c r="AC34" s="54">
        <v>0.0</v>
      </c>
      <c r="AD34" s="54">
        <v>0.0</v>
      </c>
      <c r="AE34" s="54">
        <v>0.0</v>
      </c>
      <c r="AF34" s="54">
        <v>0.0</v>
      </c>
      <c r="AG34" s="54">
        <v>0.0</v>
      </c>
    </row>
    <row r="35" ht="15.75" customHeight="1">
      <c r="B35" s="56">
        <f>IFERROR(__xludf.DUMMYFUNCTION("""COMPUTED_VALUE"""),46327.0)</f>
        <v>46327</v>
      </c>
      <c r="C35" s="38" t="str">
        <f>IFERROR(__xludf.DUMMYFUNCTION("""COMPUTED_VALUE"""),"北海道")</f>
        <v>北海道</v>
      </c>
      <c r="D35" s="38">
        <f>IFERROR(__xludf.DUMMYFUNCTION("""COMPUTED_VALUE"""),8327.0)</f>
        <v>8327</v>
      </c>
      <c r="E35" s="38" t="str">
        <f>IFERROR(__xludf.DUMMYFUNCTION("""COMPUTED_VALUE"""),"ケーズデンキ 北見店")</f>
        <v>ケーズデンキ 北見店</v>
      </c>
      <c r="F35" s="40">
        <f>IFERROR(__xludf.DUMMYFUNCTION("""COMPUTED_VALUE"""),37.0)</f>
        <v>37</v>
      </c>
      <c r="G35" s="42">
        <f>IFERROR(__xludf.DUMMYFUNCTION("""COMPUTED_VALUE"""),0.0)</f>
        <v>0</v>
      </c>
      <c r="H35" s="42">
        <f>IFERROR(__xludf.DUMMYFUNCTION("""COMPUTED_VALUE"""),0.0)</f>
        <v>0</v>
      </c>
      <c r="I35" s="42">
        <f>IFERROR(__xludf.DUMMYFUNCTION("""COMPUTED_VALUE"""),0.0)</f>
        <v>0</v>
      </c>
      <c r="J35" s="42">
        <f>IFERROR(__xludf.DUMMYFUNCTION("""COMPUTED_VALUE"""),0.0)</f>
        <v>0</v>
      </c>
      <c r="K35" s="42">
        <f>IFERROR(__xludf.DUMMYFUNCTION("""COMPUTED_VALUE"""),0.0)</f>
        <v>0</v>
      </c>
      <c r="L35" s="42">
        <f>IFERROR(__xludf.DUMMYFUNCTION("""COMPUTED_VALUE"""),1.0)</f>
        <v>1</v>
      </c>
      <c r="M35" s="42">
        <f>IFERROR(__xludf.DUMMYFUNCTION("""COMPUTED_VALUE"""),0.0)</f>
        <v>0</v>
      </c>
      <c r="N35" s="42">
        <f>IFERROR(__xludf.DUMMYFUNCTION("""COMPUTED_VALUE"""),0.0)</f>
        <v>0</v>
      </c>
      <c r="O35" s="42">
        <f>IFERROR(__xludf.DUMMYFUNCTION("""COMPUTED_VALUE"""),0.0)</f>
        <v>0</v>
      </c>
      <c r="P35" s="42">
        <f>IFERROR(__xludf.DUMMYFUNCTION("""COMPUTED_VALUE"""),0.0)</f>
        <v>0</v>
      </c>
      <c r="Q35" s="42">
        <f>IFERROR(__xludf.DUMMYFUNCTION("""COMPUTED_VALUE"""),0.0)</f>
        <v>0</v>
      </c>
      <c r="R35" s="42">
        <f>IFERROR(__xludf.DUMMYFUNCTION("""COMPUTED_VALUE"""),1.0)</f>
        <v>1</v>
      </c>
      <c r="S35" s="40">
        <f>IFERROR(__xludf.DUMMYFUNCTION("""COMPUTED_VALUE"""),37.0)</f>
        <v>37</v>
      </c>
      <c r="T35" s="40">
        <f>IFERROR(__xludf.DUMMYFUNCTION("""COMPUTED_VALUE"""),37.0)</f>
        <v>37</v>
      </c>
      <c r="U35" s="46" t="str">
        <f t="array" ref="U35">IF($D35="","",IFERROR(_xlfn.XLOOKUP($D35,'TIR店舗一覧'!$D:$D,'TIR店舗一覧'!$E:$E,""),""))</f>
        <v>KS</v>
      </c>
      <c r="V35" s="54">
        <v>0.0</v>
      </c>
      <c r="W35" s="54">
        <v>0.0</v>
      </c>
      <c r="X35" s="54">
        <v>0.0</v>
      </c>
      <c r="Y35" s="54">
        <v>0.0</v>
      </c>
      <c r="Z35" s="54">
        <v>0.0</v>
      </c>
      <c r="AA35" s="54">
        <v>37.0</v>
      </c>
      <c r="AB35" s="54">
        <v>0.0</v>
      </c>
      <c r="AC35" s="54">
        <v>0.0</v>
      </c>
      <c r="AD35" s="54">
        <v>0.0</v>
      </c>
      <c r="AE35" s="54">
        <v>0.0</v>
      </c>
      <c r="AF35" s="54">
        <v>0.0</v>
      </c>
      <c r="AG35" s="54">
        <v>37.0</v>
      </c>
    </row>
    <row r="36" ht="15.75" customHeight="1">
      <c r="B36" s="56">
        <f>IFERROR(__xludf.DUMMYFUNCTION("""COMPUTED_VALUE"""),46327.0)</f>
        <v>46327</v>
      </c>
      <c r="C36" s="38" t="str">
        <f>IFERROR(__xludf.DUMMYFUNCTION("""COMPUTED_VALUE"""),"北海道")</f>
        <v>北海道</v>
      </c>
      <c r="D36" s="38">
        <f>IFERROR(__xludf.DUMMYFUNCTION("""COMPUTED_VALUE"""),8359.0)</f>
        <v>8359</v>
      </c>
      <c r="E36" s="38" t="str">
        <f>IFERROR(__xludf.DUMMYFUNCTION("""COMPUTED_VALUE"""),"ケーズデンキ 平岸店")</f>
        <v>ケーズデンキ 平岸店</v>
      </c>
      <c r="F36" s="40">
        <f>IFERROR(__xludf.DUMMYFUNCTION("""COMPUTED_VALUE"""),41.0)</f>
        <v>41</v>
      </c>
      <c r="G36" s="42">
        <f>IFERROR(__xludf.DUMMYFUNCTION("""COMPUTED_VALUE"""),0.0)</f>
        <v>0</v>
      </c>
      <c r="H36" s="42">
        <f>IFERROR(__xludf.DUMMYFUNCTION("""COMPUTED_VALUE"""),0.0)</f>
        <v>0</v>
      </c>
      <c r="I36" s="42">
        <f>IFERROR(__xludf.DUMMYFUNCTION("""COMPUTED_VALUE"""),0.0)</f>
        <v>0</v>
      </c>
      <c r="J36" s="42">
        <f>IFERROR(__xludf.DUMMYFUNCTION("""COMPUTED_VALUE"""),0.0)</f>
        <v>0</v>
      </c>
      <c r="K36" s="42">
        <f>IFERROR(__xludf.DUMMYFUNCTION("""COMPUTED_VALUE"""),0.0)</f>
        <v>0</v>
      </c>
      <c r="L36" s="42">
        <f>IFERROR(__xludf.DUMMYFUNCTION("""COMPUTED_VALUE"""),1.0)</f>
        <v>1</v>
      </c>
      <c r="M36" s="42">
        <f>IFERROR(__xludf.DUMMYFUNCTION("""COMPUTED_VALUE"""),0.0)</f>
        <v>0</v>
      </c>
      <c r="N36" s="42">
        <f>IFERROR(__xludf.DUMMYFUNCTION("""COMPUTED_VALUE"""),0.0)</f>
        <v>0</v>
      </c>
      <c r="O36" s="42">
        <f>IFERROR(__xludf.DUMMYFUNCTION("""COMPUTED_VALUE"""),0.0)</f>
        <v>0</v>
      </c>
      <c r="P36" s="42">
        <f>IFERROR(__xludf.DUMMYFUNCTION("""COMPUTED_VALUE"""),0.0)</f>
        <v>0</v>
      </c>
      <c r="Q36" s="42">
        <f>IFERROR(__xludf.DUMMYFUNCTION("""COMPUTED_VALUE"""),0.0)</f>
        <v>0</v>
      </c>
      <c r="R36" s="42">
        <f>IFERROR(__xludf.DUMMYFUNCTION("""COMPUTED_VALUE"""),1.0)</f>
        <v>1</v>
      </c>
      <c r="S36" s="40">
        <f>IFERROR(__xludf.DUMMYFUNCTION("""COMPUTED_VALUE"""),41.0)</f>
        <v>41</v>
      </c>
      <c r="T36" s="40">
        <f>IFERROR(__xludf.DUMMYFUNCTION("""COMPUTED_VALUE"""),41.0)</f>
        <v>41</v>
      </c>
      <c r="U36" s="46" t="str">
        <f t="array" ref="U36">IF($D36="","",IFERROR(_xlfn.XLOOKUP($D36,'TIR店舗一覧'!$D:$D,'TIR店舗一覧'!$E:$E,""),""))</f>
        <v>KS</v>
      </c>
      <c r="V36" s="54">
        <v>0.0</v>
      </c>
      <c r="W36" s="54">
        <v>0.0</v>
      </c>
      <c r="X36" s="54">
        <v>0.0</v>
      </c>
      <c r="Y36" s="54">
        <v>0.0</v>
      </c>
      <c r="Z36" s="54">
        <v>0.0</v>
      </c>
      <c r="AA36" s="54">
        <v>41.0</v>
      </c>
      <c r="AB36" s="54">
        <v>0.0</v>
      </c>
      <c r="AC36" s="54">
        <v>0.0</v>
      </c>
      <c r="AD36" s="54">
        <v>0.0</v>
      </c>
      <c r="AE36" s="54">
        <v>0.0</v>
      </c>
      <c r="AF36" s="54">
        <v>0.0</v>
      </c>
      <c r="AG36" s="54">
        <v>41.0</v>
      </c>
    </row>
    <row r="37" ht="15.75" customHeight="1">
      <c r="B37" s="56">
        <f>IFERROR(__xludf.DUMMYFUNCTION("""COMPUTED_VALUE"""),46327.0)</f>
        <v>46327</v>
      </c>
      <c r="C37" s="38" t="str">
        <f>IFERROR(__xludf.DUMMYFUNCTION("""COMPUTED_VALUE"""),"北海道")</f>
        <v>北海道</v>
      </c>
      <c r="D37" s="38">
        <f>IFERROR(__xludf.DUMMYFUNCTION("""COMPUTED_VALUE"""),8358.0)</f>
        <v>8358</v>
      </c>
      <c r="E37" s="38" t="str">
        <f>IFERROR(__xludf.DUMMYFUNCTION("""COMPUTED_VALUE"""),"ケーズデンキ 発寒店")</f>
        <v>ケーズデンキ 発寒店</v>
      </c>
      <c r="F37" s="40">
        <f>IFERROR(__xludf.DUMMYFUNCTION("""COMPUTED_VALUE"""),53.0)</f>
        <v>53</v>
      </c>
      <c r="G37" s="42">
        <f>IFERROR(__xludf.DUMMYFUNCTION("""COMPUTED_VALUE"""),0.0)</f>
        <v>0</v>
      </c>
      <c r="H37" s="42">
        <f>IFERROR(__xludf.DUMMYFUNCTION("""COMPUTED_VALUE"""),0.0)</f>
        <v>0</v>
      </c>
      <c r="I37" s="42">
        <f>IFERROR(__xludf.DUMMYFUNCTION("""COMPUTED_VALUE"""),0.0)</f>
        <v>0</v>
      </c>
      <c r="J37" s="42">
        <f>IFERROR(__xludf.DUMMYFUNCTION("""COMPUTED_VALUE"""),0.0)</f>
        <v>0</v>
      </c>
      <c r="K37" s="42">
        <f>IFERROR(__xludf.DUMMYFUNCTION("""COMPUTED_VALUE"""),0.0)</f>
        <v>0</v>
      </c>
      <c r="L37" s="42">
        <f>IFERROR(__xludf.DUMMYFUNCTION("""COMPUTED_VALUE"""),1.0)</f>
        <v>1</v>
      </c>
      <c r="M37" s="42">
        <f>IFERROR(__xludf.DUMMYFUNCTION("""COMPUTED_VALUE"""),0.0)</f>
        <v>0</v>
      </c>
      <c r="N37" s="42">
        <f>IFERROR(__xludf.DUMMYFUNCTION("""COMPUTED_VALUE"""),0.0)</f>
        <v>0</v>
      </c>
      <c r="O37" s="42">
        <f>IFERROR(__xludf.DUMMYFUNCTION("""COMPUTED_VALUE"""),0.0)</f>
        <v>0</v>
      </c>
      <c r="P37" s="42">
        <f>IFERROR(__xludf.DUMMYFUNCTION("""COMPUTED_VALUE"""),0.0)</f>
        <v>0</v>
      </c>
      <c r="Q37" s="42">
        <f>IFERROR(__xludf.DUMMYFUNCTION("""COMPUTED_VALUE"""),0.0)</f>
        <v>0</v>
      </c>
      <c r="R37" s="42">
        <f>IFERROR(__xludf.DUMMYFUNCTION("""COMPUTED_VALUE"""),1.0)</f>
        <v>1</v>
      </c>
      <c r="S37" s="40">
        <f>IFERROR(__xludf.DUMMYFUNCTION("""COMPUTED_VALUE"""),53.0)</f>
        <v>53</v>
      </c>
      <c r="T37" s="40">
        <f>IFERROR(__xludf.DUMMYFUNCTION("""COMPUTED_VALUE"""),53.0)</f>
        <v>53</v>
      </c>
      <c r="U37" s="46" t="str">
        <f t="array" ref="U37">IF($D37="","",IFERROR(_xlfn.XLOOKUP($D37,'TIR店舗一覧'!$D:$D,'TIR店舗一覧'!$E:$E,""),""))</f>
        <v>KS</v>
      </c>
      <c r="V37" s="54">
        <v>0.0</v>
      </c>
      <c r="W37" s="54">
        <v>0.0</v>
      </c>
      <c r="X37" s="54">
        <v>0.0</v>
      </c>
      <c r="Y37" s="54">
        <v>0.0</v>
      </c>
      <c r="Z37" s="54">
        <v>0.0</v>
      </c>
      <c r="AA37" s="54">
        <v>53.0</v>
      </c>
      <c r="AB37" s="54">
        <v>0.0</v>
      </c>
      <c r="AC37" s="54">
        <v>0.0</v>
      </c>
      <c r="AD37" s="54">
        <v>0.0</v>
      </c>
      <c r="AE37" s="54">
        <v>0.0</v>
      </c>
      <c r="AF37" s="54">
        <v>0.0</v>
      </c>
      <c r="AG37" s="54">
        <v>53.0</v>
      </c>
    </row>
    <row r="38" ht="15.75" customHeight="1">
      <c r="B38" s="56">
        <f>IFERROR(__xludf.DUMMYFUNCTION("""COMPUTED_VALUE"""),46327.0)</f>
        <v>46327</v>
      </c>
      <c r="C38" s="38" t="str">
        <f>IFERROR(__xludf.DUMMYFUNCTION("""COMPUTED_VALUE"""),"北海道")</f>
        <v>北海道</v>
      </c>
      <c r="D38" s="38">
        <f>IFERROR(__xludf.DUMMYFUNCTION("""COMPUTED_VALUE"""),8363.0)</f>
        <v>8363</v>
      </c>
      <c r="E38" s="38" t="str">
        <f>IFERROR(__xludf.DUMMYFUNCTION("""COMPUTED_VALUE"""),"ケーズデンキ 室蘭モルエ店")</f>
        <v>ケーズデンキ 室蘭モルエ店</v>
      </c>
      <c r="F38" s="40">
        <f>IFERROR(__xludf.DUMMYFUNCTION("""COMPUTED_VALUE"""),25.0)</f>
        <v>25</v>
      </c>
      <c r="G38" s="42">
        <f>IFERROR(__xludf.DUMMYFUNCTION("""COMPUTED_VALUE"""),0.0)</f>
        <v>0</v>
      </c>
      <c r="H38" s="42">
        <f>IFERROR(__xludf.DUMMYFUNCTION("""COMPUTED_VALUE"""),0.0)</f>
        <v>0</v>
      </c>
      <c r="I38" s="42">
        <f>IFERROR(__xludf.DUMMYFUNCTION("""COMPUTED_VALUE"""),0.0)</f>
        <v>0</v>
      </c>
      <c r="J38" s="42">
        <f>IFERROR(__xludf.DUMMYFUNCTION("""COMPUTED_VALUE"""),0.0)</f>
        <v>0</v>
      </c>
      <c r="K38" s="42">
        <f>IFERROR(__xludf.DUMMYFUNCTION("""COMPUTED_VALUE"""),0.0)</f>
        <v>0</v>
      </c>
      <c r="L38" s="42">
        <f>IFERROR(__xludf.DUMMYFUNCTION("""COMPUTED_VALUE"""),1.0)</f>
        <v>1</v>
      </c>
      <c r="M38" s="42">
        <f>IFERROR(__xludf.DUMMYFUNCTION("""COMPUTED_VALUE"""),0.0)</f>
        <v>0</v>
      </c>
      <c r="N38" s="42">
        <f>IFERROR(__xludf.DUMMYFUNCTION("""COMPUTED_VALUE"""),0.0)</f>
        <v>0</v>
      </c>
      <c r="O38" s="42">
        <f>IFERROR(__xludf.DUMMYFUNCTION("""COMPUTED_VALUE"""),0.0)</f>
        <v>0</v>
      </c>
      <c r="P38" s="42">
        <f>IFERROR(__xludf.DUMMYFUNCTION("""COMPUTED_VALUE"""),0.0)</f>
        <v>0</v>
      </c>
      <c r="Q38" s="42">
        <f>IFERROR(__xludf.DUMMYFUNCTION("""COMPUTED_VALUE"""),0.0)</f>
        <v>0</v>
      </c>
      <c r="R38" s="42">
        <f>IFERROR(__xludf.DUMMYFUNCTION("""COMPUTED_VALUE"""),1.0)</f>
        <v>1</v>
      </c>
      <c r="S38" s="40">
        <f>IFERROR(__xludf.DUMMYFUNCTION("""COMPUTED_VALUE"""),25.0)</f>
        <v>25</v>
      </c>
      <c r="T38" s="40">
        <f>IFERROR(__xludf.DUMMYFUNCTION("""COMPUTED_VALUE"""),25.0)</f>
        <v>25</v>
      </c>
      <c r="U38" s="46" t="str">
        <f t="array" ref="U38">IF($D38="","",IFERROR(_xlfn.XLOOKUP($D38,'TIR店舗一覧'!$D:$D,'TIR店舗一覧'!$E:$E,""),""))</f>
        <v>KS</v>
      </c>
      <c r="V38" s="54">
        <v>0.0</v>
      </c>
      <c r="W38" s="54">
        <v>0.0</v>
      </c>
      <c r="X38" s="54">
        <v>0.0</v>
      </c>
      <c r="Y38" s="54">
        <v>0.0</v>
      </c>
      <c r="Z38" s="54">
        <v>0.0</v>
      </c>
      <c r="AA38" s="54">
        <v>25.0</v>
      </c>
      <c r="AB38" s="54">
        <v>0.0</v>
      </c>
      <c r="AC38" s="54">
        <v>0.0</v>
      </c>
      <c r="AD38" s="54">
        <v>0.0</v>
      </c>
      <c r="AE38" s="54">
        <v>0.0</v>
      </c>
      <c r="AF38" s="54">
        <v>0.0</v>
      </c>
      <c r="AG38" s="54">
        <v>25.0</v>
      </c>
    </row>
    <row r="39" ht="15.75" customHeight="1">
      <c r="B39" s="56">
        <f>IFERROR(__xludf.DUMMYFUNCTION("""COMPUTED_VALUE"""),46327.0)</f>
        <v>46327</v>
      </c>
      <c r="C39" s="38" t="str">
        <f>IFERROR(__xludf.DUMMYFUNCTION("""COMPUTED_VALUE"""),"北海道")</f>
        <v>北海道</v>
      </c>
      <c r="D39" s="38">
        <f>IFERROR(__xludf.DUMMYFUNCTION("""COMPUTED_VALUE"""),8326.0)</f>
        <v>8326</v>
      </c>
      <c r="E39" s="38" t="str">
        <f>IFERROR(__xludf.DUMMYFUNCTION("""COMPUTED_VALUE"""),"ケーズデンキ 釧路本店")</f>
        <v>ケーズデンキ 釧路本店</v>
      </c>
      <c r="F39" s="40">
        <f>IFERROR(__xludf.DUMMYFUNCTION("""COMPUTED_VALUE"""),21.0)</f>
        <v>21</v>
      </c>
      <c r="G39" s="42">
        <f>IFERROR(__xludf.DUMMYFUNCTION("""COMPUTED_VALUE"""),0.0)</f>
        <v>0</v>
      </c>
      <c r="H39" s="42">
        <f>IFERROR(__xludf.DUMMYFUNCTION("""COMPUTED_VALUE"""),0.0)</f>
        <v>0</v>
      </c>
      <c r="I39" s="42">
        <f>IFERROR(__xludf.DUMMYFUNCTION("""COMPUTED_VALUE"""),0.0)</f>
        <v>0</v>
      </c>
      <c r="J39" s="42">
        <f>IFERROR(__xludf.DUMMYFUNCTION("""COMPUTED_VALUE"""),0.0)</f>
        <v>0</v>
      </c>
      <c r="K39" s="42">
        <f>IFERROR(__xludf.DUMMYFUNCTION("""COMPUTED_VALUE"""),0.0)</f>
        <v>0</v>
      </c>
      <c r="L39" s="42">
        <f>IFERROR(__xludf.DUMMYFUNCTION("""COMPUTED_VALUE"""),1.0)</f>
        <v>1</v>
      </c>
      <c r="M39" s="42">
        <f>IFERROR(__xludf.DUMMYFUNCTION("""COMPUTED_VALUE"""),0.0)</f>
        <v>0</v>
      </c>
      <c r="N39" s="42">
        <f>IFERROR(__xludf.DUMMYFUNCTION("""COMPUTED_VALUE"""),0.0)</f>
        <v>0</v>
      </c>
      <c r="O39" s="42">
        <f>IFERROR(__xludf.DUMMYFUNCTION("""COMPUTED_VALUE"""),0.0)</f>
        <v>0</v>
      </c>
      <c r="P39" s="42">
        <f>IFERROR(__xludf.DUMMYFUNCTION("""COMPUTED_VALUE"""),0.0)</f>
        <v>0</v>
      </c>
      <c r="Q39" s="42">
        <f>IFERROR(__xludf.DUMMYFUNCTION("""COMPUTED_VALUE"""),0.0)</f>
        <v>0</v>
      </c>
      <c r="R39" s="42">
        <f>IFERROR(__xludf.DUMMYFUNCTION("""COMPUTED_VALUE"""),1.0)</f>
        <v>1</v>
      </c>
      <c r="S39" s="40">
        <f>IFERROR(__xludf.DUMMYFUNCTION("""COMPUTED_VALUE"""),21.0)</f>
        <v>21</v>
      </c>
      <c r="T39" s="40">
        <f>IFERROR(__xludf.DUMMYFUNCTION("""COMPUTED_VALUE"""),21.0)</f>
        <v>21</v>
      </c>
      <c r="U39" s="46" t="str">
        <f t="array" ref="U39">IF($D39="","",IFERROR(_xlfn.XLOOKUP($D39,'TIR店舗一覧'!$D:$D,'TIR店舗一覧'!$E:$E,""),""))</f>
        <v>KS</v>
      </c>
      <c r="V39" s="54">
        <v>0.0</v>
      </c>
      <c r="W39" s="54">
        <v>0.0</v>
      </c>
      <c r="X39" s="54">
        <v>0.0</v>
      </c>
      <c r="Y39" s="54">
        <v>0.0</v>
      </c>
      <c r="Z39" s="54">
        <v>0.0</v>
      </c>
      <c r="AA39" s="54">
        <v>21.0</v>
      </c>
      <c r="AB39" s="54">
        <v>0.0</v>
      </c>
      <c r="AC39" s="54">
        <v>0.0</v>
      </c>
      <c r="AD39" s="54">
        <v>0.0</v>
      </c>
      <c r="AE39" s="54">
        <v>0.0</v>
      </c>
      <c r="AF39" s="54">
        <v>0.0</v>
      </c>
      <c r="AG39" s="54">
        <v>21.0</v>
      </c>
    </row>
    <row r="40" ht="15.75" customHeight="1">
      <c r="B40" s="56">
        <f>IFERROR(__xludf.DUMMYFUNCTION("""COMPUTED_VALUE"""),46327.0)</f>
        <v>46327</v>
      </c>
      <c r="C40" s="38" t="str">
        <f>IFERROR(__xludf.DUMMYFUNCTION("""COMPUTED_VALUE"""),"北海道")</f>
        <v>北海道</v>
      </c>
      <c r="D40" s="38">
        <f>IFERROR(__xludf.DUMMYFUNCTION("""COMPUTED_VALUE"""),7071.0)</f>
        <v>7071</v>
      </c>
      <c r="E40" s="38" t="str">
        <f>IFERROR(__xludf.DUMMYFUNCTION("""COMPUTED_VALUE"""),"ケーズデンキ インターヴィレッジ大曲店")</f>
        <v>ケーズデンキ インターヴィレッジ大曲店</v>
      </c>
      <c r="F40" s="40">
        <f>IFERROR(__xludf.DUMMYFUNCTION("""COMPUTED_VALUE"""),23.0)</f>
        <v>23</v>
      </c>
      <c r="G40" s="42">
        <f>IFERROR(__xludf.DUMMYFUNCTION("""COMPUTED_VALUE"""),0.0)</f>
        <v>0</v>
      </c>
      <c r="H40" s="42">
        <f>IFERROR(__xludf.DUMMYFUNCTION("""COMPUTED_VALUE"""),0.0)</f>
        <v>0</v>
      </c>
      <c r="I40" s="42">
        <f>IFERROR(__xludf.DUMMYFUNCTION("""COMPUTED_VALUE"""),0.0)</f>
        <v>0</v>
      </c>
      <c r="J40" s="42">
        <f>IFERROR(__xludf.DUMMYFUNCTION("""COMPUTED_VALUE"""),0.0)</f>
        <v>0</v>
      </c>
      <c r="K40" s="42">
        <f>IFERROR(__xludf.DUMMYFUNCTION("""COMPUTED_VALUE"""),0.0)</f>
        <v>0</v>
      </c>
      <c r="L40" s="42">
        <f>IFERROR(__xludf.DUMMYFUNCTION("""COMPUTED_VALUE"""),1.0)</f>
        <v>1</v>
      </c>
      <c r="M40" s="42">
        <f>IFERROR(__xludf.DUMMYFUNCTION("""COMPUTED_VALUE"""),0.0)</f>
        <v>0</v>
      </c>
      <c r="N40" s="42">
        <f>IFERROR(__xludf.DUMMYFUNCTION("""COMPUTED_VALUE"""),0.0)</f>
        <v>0</v>
      </c>
      <c r="O40" s="42">
        <f>IFERROR(__xludf.DUMMYFUNCTION("""COMPUTED_VALUE"""),0.0)</f>
        <v>0</v>
      </c>
      <c r="P40" s="42">
        <f>IFERROR(__xludf.DUMMYFUNCTION("""COMPUTED_VALUE"""),0.0)</f>
        <v>0</v>
      </c>
      <c r="Q40" s="42">
        <f>IFERROR(__xludf.DUMMYFUNCTION("""COMPUTED_VALUE"""),0.0)</f>
        <v>0</v>
      </c>
      <c r="R40" s="42">
        <f>IFERROR(__xludf.DUMMYFUNCTION("""COMPUTED_VALUE"""),1.0)</f>
        <v>1</v>
      </c>
      <c r="S40" s="40">
        <f>IFERROR(__xludf.DUMMYFUNCTION("""COMPUTED_VALUE"""),23.0)</f>
        <v>23</v>
      </c>
      <c r="T40" s="40">
        <f>IFERROR(__xludf.DUMMYFUNCTION("""COMPUTED_VALUE"""),23.0)</f>
        <v>23</v>
      </c>
      <c r="U40" s="46" t="str">
        <f t="array" ref="U40">IF($D40="","",IFERROR(_xlfn.XLOOKUP($D40,'TIR店舗一覧'!$D:$D,'TIR店舗一覧'!$E:$E,""),""))</f>
        <v>KS</v>
      </c>
      <c r="V40" s="54">
        <v>0.0</v>
      </c>
      <c r="W40" s="54">
        <v>0.0</v>
      </c>
      <c r="X40" s="54">
        <v>0.0</v>
      </c>
      <c r="Y40" s="54">
        <v>0.0</v>
      </c>
      <c r="Z40" s="54">
        <v>0.0</v>
      </c>
      <c r="AA40" s="54">
        <v>23.0</v>
      </c>
      <c r="AB40" s="54">
        <v>0.0</v>
      </c>
      <c r="AC40" s="54">
        <v>0.0</v>
      </c>
      <c r="AD40" s="54">
        <v>0.0</v>
      </c>
      <c r="AE40" s="54">
        <v>0.0</v>
      </c>
      <c r="AF40" s="54">
        <v>0.0</v>
      </c>
      <c r="AG40" s="54">
        <v>23.0</v>
      </c>
    </row>
    <row r="41" ht="15.75" customHeight="1">
      <c r="B41" s="56">
        <f>IFERROR(__xludf.DUMMYFUNCTION("""COMPUTED_VALUE"""),46327.0)</f>
        <v>46327</v>
      </c>
      <c r="C41" s="38" t="str">
        <f>IFERROR(__xludf.DUMMYFUNCTION("""COMPUTED_VALUE"""),"北海道")</f>
        <v>北海道</v>
      </c>
      <c r="D41" s="38">
        <f>IFERROR(__xludf.DUMMYFUNCTION("""COMPUTED_VALUE"""),8903.0)</f>
        <v>8903</v>
      </c>
      <c r="E41" s="38" t="str">
        <f>IFERROR(__xludf.DUMMYFUNCTION("""COMPUTED_VALUE"""),"エディオン 旭川豊岡店")</f>
        <v>エディオン 旭川豊岡店</v>
      </c>
      <c r="F41" s="40">
        <f>IFERROR(__xludf.DUMMYFUNCTION("""COMPUTED_VALUE"""),23.0)</f>
        <v>23</v>
      </c>
      <c r="G41" s="42">
        <f>IFERROR(__xludf.DUMMYFUNCTION("""COMPUTED_VALUE"""),0.0)</f>
        <v>0</v>
      </c>
      <c r="H41" s="42">
        <f>IFERROR(__xludf.DUMMYFUNCTION("""COMPUTED_VALUE"""),0.0)</f>
        <v>0</v>
      </c>
      <c r="I41" s="42">
        <f>IFERROR(__xludf.DUMMYFUNCTION("""COMPUTED_VALUE"""),0.0)</f>
        <v>0</v>
      </c>
      <c r="J41" s="42">
        <f>IFERROR(__xludf.DUMMYFUNCTION("""COMPUTED_VALUE"""),0.0)</f>
        <v>0</v>
      </c>
      <c r="K41" s="42">
        <f>IFERROR(__xludf.DUMMYFUNCTION("""COMPUTED_VALUE"""),0.0)</f>
        <v>0</v>
      </c>
      <c r="L41" s="42">
        <f>IFERROR(__xludf.DUMMYFUNCTION("""COMPUTED_VALUE"""),1.0)</f>
        <v>1</v>
      </c>
      <c r="M41" s="42">
        <f>IFERROR(__xludf.DUMMYFUNCTION("""COMPUTED_VALUE"""),0.0)</f>
        <v>0</v>
      </c>
      <c r="N41" s="42">
        <f>IFERROR(__xludf.DUMMYFUNCTION("""COMPUTED_VALUE"""),0.0)</f>
        <v>0</v>
      </c>
      <c r="O41" s="42">
        <f>IFERROR(__xludf.DUMMYFUNCTION("""COMPUTED_VALUE"""),0.0)</f>
        <v>0</v>
      </c>
      <c r="P41" s="42">
        <f>IFERROR(__xludf.DUMMYFUNCTION("""COMPUTED_VALUE"""),0.0)</f>
        <v>0</v>
      </c>
      <c r="Q41" s="42">
        <f>IFERROR(__xludf.DUMMYFUNCTION("""COMPUTED_VALUE"""),0.0)</f>
        <v>0</v>
      </c>
      <c r="R41" s="42">
        <f>IFERROR(__xludf.DUMMYFUNCTION("""COMPUTED_VALUE"""),1.0)</f>
        <v>1</v>
      </c>
      <c r="S41" s="40">
        <f>IFERROR(__xludf.DUMMYFUNCTION("""COMPUTED_VALUE"""),23.0)</f>
        <v>23</v>
      </c>
      <c r="T41" s="40">
        <f>IFERROR(__xludf.DUMMYFUNCTION("""COMPUTED_VALUE"""),23.0)</f>
        <v>23</v>
      </c>
      <c r="U41" s="46" t="str">
        <f t="array" ref="U41">IF($D41="","",IFERROR(_xlfn.XLOOKUP($D41,'TIR店舗一覧'!$D:$D,'TIR店舗一覧'!$E:$E,""),""))</f>
        <v>ED</v>
      </c>
      <c r="V41" s="54">
        <v>0.0</v>
      </c>
      <c r="W41" s="54">
        <v>0.0</v>
      </c>
      <c r="X41" s="54">
        <v>0.0</v>
      </c>
      <c r="Y41" s="54">
        <v>0.0</v>
      </c>
      <c r="Z41" s="54">
        <v>0.0</v>
      </c>
      <c r="AA41" s="54">
        <v>23.0</v>
      </c>
      <c r="AB41" s="54">
        <v>0.0</v>
      </c>
      <c r="AC41" s="54">
        <v>0.0</v>
      </c>
      <c r="AD41" s="54">
        <v>0.0</v>
      </c>
      <c r="AE41" s="54">
        <v>0.0</v>
      </c>
      <c r="AF41" s="54">
        <v>0.0</v>
      </c>
      <c r="AG41" s="54">
        <v>23.0</v>
      </c>
    </row>
    <row r="42" ht="15.75" customHeight="1">
      <c r="B42" s="56">
        <f>IFERROR(__xludf.DUMMYFUNCTION("""COMPUTED_VALUE"""),46327.0)</f>
        <v>46327</v>
      </c>
      <c r="C42" s="38" t="str">
        <f>IFERROR(__xludf.DUMMYFUNCTION("""COMPUTED_VALUE"""),"東北")</f>
        <v>東北</v>
      </c>
      <c r="D42" s="38">
        <f>IFERROR(__xludf.DUMMYFUNCTION("""COMPUTED_VALUE"""),1058.0)</f>
        <v>1058</v>
      </c>
      <c r="E42" s="38" t="str">
        <f>IFERROR(__xludf.DUMMYFUNCTION("""COMPUTED_VALUE"""),"ケーズデンキ 利府店")</f>
        <v>ケーズデンキ 利府店</v>
      </c>
      <c r="F42" s="40">
        <f>IFERROR(__xludf.DUMMYFUNCTION("""COMPUTED_VALUE"""),21.0)</f>
        <v>21</v>
      </c>
      <c r="G42" s="42">
        <f>IFERROR(__xludf.DUMMYFUNCTION("""COMPUTED_VALUE"""),0.0)</f>
        <v>0</v>
      </c>
      <c r="H42" s="42">
        <f>IFERROR(__xludf.DUMMYFUNCTION("""COMPUTED_VALUE"""),0.0)</f>
        <v>0</v>
      </c>
      <c r="I42" s="42">
        <f>IFERROR(__xludf.DUMMYFUNCTION("""COMPUTED_VALUE"""),0.0)</f>
        <v>0</v>
      </c>
      <c r="J42" s="42">
        <f>IFERROR(__xludf.DUMMYFUNCTION("""COMPUTED_VALUE"""),0.0)</f>
        <v>0</v>
      </c>
      <c r="K42" s="42">
        <f>IFERROR(__xludf.DUMMYFUNCTION("""COMPUTED_VALUE"""),0.0)</f>
        <v>0</v>
      </c>
      <c r="L42" s="42">
        <f>IFERROR(__xludf.DUMMYFUNCTION("""COMPUTED_VALUE"""),1.0)</f>
        <v>1</v>
      </c>
      <c r="M42" s="42">
        <f>IFERROR(__xludf.DUMMYFUNCTION("""COMPUTED_VALUE"""),0.0)</f>
        <v>0</v>
      </c>
      <c r="N42" s="42">
        <f>IFERROR(__xludf.DUMMYFUNCTION("""COMPUTED_VALUE"""),0.0)</f>
        <v>0</v>
      </c>
      <c r="O42" s="42">
        <f>IFERROR(__xludf.DUMMYFUNCTION("""COMPUTED_VALUE"""),0.0)</f>
        <v>0</v>
      </c>
      <c r="P42" s="42">
        <f>IFERROR(__xludf.DUMMYFUNCTION("""COMPUTED_VALUE"""),0.0)</f>
        <v>0</v>
      </c>
      <c r="Q42" s="42">
        <f>IFERROR(__xludf.DUMMYFUNCTION("""COMPUTED_VALUE"""),0.0)</f>
        <v>0</v>
      </c>
      <c r="R42" s="42">
        <f>IFERROR(__xludf.DUMMYFUNCTION("""COMPUTED_VALUE"""),1.0)</f>
        <v>1</v>
      </c>
      <c r="S42" s="40">
        <f>IFERROR(__xludf.DUMMYFUNCTION("""COMPUTED_VALUE"""),21.0)</f>
        <v>21</v>
      </c>
      <c r="T42" s="40">
        <f>IFERROR(__xludf.DUMMYFUNCTION("""COMPUTED_VALUE"""),21.0)</f>
        <v>21</v>
      </c>
      <c r="U42" s="46" t="str">
        <f t="array" ref="U42">IF($D42="","",IFERROR(_xlfn.XLOOKUP($D42,'TIR店舗一覧'!$D:$D,'TIR店舗一覧'!$E:$E,""),""))</f>
        <v>KS</v>
      </c>
      <c r="V42" s="54">
        <v>0.0</v>
      </c>
      <c r="W42" s="54">
        <v>0.0</v>
      </c>
      <c r="X42" s="54">
        <v>0.0</v>
      </c>
      <c r="Y42" s="54">
        <v>0.0</v>
      </c>
      <c r="Z42" s="54">
        <v>0.0</v>
      </c>
      <c r="AA42" s="54">
        <v>21.0</v>
      </c>
      <c r="AB42" s="54">
        <v>0.0</v>
      </c>
      <c r="AC42" s="54">
        <v>0.0</v>
      </c>
      <c r="AD42" s="54">
        <v>0.0</v>
      </c>
      <c r="AE42" s="54">
        <v>0.0</v>
      </c>
      <c r="AF42" s="54">
        <v>0.0</v>
      </c>
      <c r="AG42" s="54">
        <v>21.0</v>
      </c>
    </row>
    <row r="43" ht="15.75" customHeight="1">
      <c r="B43" s="56">
        <f>IFERROR(__xludf.DUMMYFUNCTION("""COMPUTED_VALUE"""),46327.0)</f>
        <v>46327</v>
      </c>
      <c r="C43" s="38" t="str">
        <f>IFERROR(__xludf.DUMMYFUNCTION("""COMPUTED_VALUE"""),"東北")</f>
        <v>東北</v>
      </c>
      <c r="D43" s="38">
        <f>IFERROR(__xludf.DUMMYFUNCTION("""COMPUTED_VALUE"""),1226.0)</f>
        <v>1226</v>
      </c>
      <c r="E43" s="38" t="str">
        <f>IFERROR(__xludf.DUMMYFUNCTION("""COMPUTED_VALUE"""),"ケーズデンキ 米沢店")</f>
        <v>ケーズデンキ 米沢店</v>
      </c>
      <c r="F43" s="40">
        <f>IFERROR(__xludf.DUMMYFUNCTION("""COMPUTED_VALUE"""),36.0)</f>
        <v>36</v>
      </c>
      <c r="G43" s="42">
        <f>IFERROR(__xludf.DUMMYFUNCTION("""COMPUTED_VALUE"""),0.0)</f>
        <v>0</v>
      </c>
      <c r="H43" s="42">
        <f>IFERROR(__xludf.DUMMYFUNCTION("""COMPUTED_VALUE"""),0.0)</f>
        <v>0</v>
      </c>
      <c r="I43" s="42">
        <f>IFERROR(__xludf.DUMMYFUNCTION("""COMPUTED_VALUE"""),0.0)</f>
        <v>0</v>
      </c>
      <c r="J43" s="42">
        <f>IFERROR(__xludf.DUMMYFUNCTION("""COMPUTED_VALUE"""),0.0)</f>
        <v>0</v>
      </c>
      <c r="K43" s="42">
        <f>IFERROR(__xludf.DUMMYFUNCTION("""COMPUTED_VALUE"""),0.0)</f>
        <v>0</v>
      </c>
      <c r="L43" s="42">
        <f>IFERROR(__xludf.DUMMYFUNCTION("""COMPUTED_VALUE"""),1.0)</f>
        <v>1</v>
      </c>
      <c r="M43" s="42">
        <f>IFERROR(__xludf.DUMMYFUNCTION("""COMPUTED_VALUE"""),0.0)</f>
        <v>0</v>
      </c>
      <c r="N43" s="42">
        <f>IFERROR(__xludf.DUMMYFUNCTION("""COMPUTED_VALUE"""),0.0)</f>
        <v>0</v>
      </c>
      <c r="O43" s="42">
        <f>IFERROR(__xludf.DUMMYFUNCTION("""COMPUTED_VALUE"""),0.0)</f>
        <v>0</v>
      </c>
      <c r="P43" s="42">
        <f>IFERROR(__xludf.DUMMYFUNCTION("""COMPUTED_VALUE"""),0.0)</f>
        <v>0</v>
      </c>
      <c r="Q43" s="42">
        <f>IFERROR(__xludf.DUMMYFUNCTION("""COMPUTED_VALUE"""),0.0)</f>
        <v>0</v>
      </c>
      <c r="R43" s="42">
        <f>IFERROR(__xludf.DUMMYFUNCTION("""COMPUTED_VALUE"""),1.0)</f>
        <v>1</v>
      </c>
      <c r="S43" s="40">
        <f>IFERROR(__xludf.DUMMYFUNCTION("""COMPUTED_VALUE"""),36.0)</f>
        <v>36</v>
      </c>
      <c r="T43" s="40">
        <f>IFERROR(__xludf.DUMMYFUNCTION("""COMPUTED_VALUE"""),36.0)</f>
        <v>36</v>
      </c>
      <c r="U43" s="46" t="str">
        <f t="array" ref="U43">IF($D43="","",IFERROR(_xlfn.XLOOKUP($D43,'TIR店舗一覧'!$D:$D,'TIR店舗一覧'!$E:$E,""),""))</f>
        <v>KS</v>
      </c>
      <c r="V43" s="54">
        <v>0.0</v>
      </c>
      <c r="W43" s="54">
        <v>0.0</v>
      </c>
      <c r="X43" s="54">
        <v>0.0</v>
      </c>
      <c r="Y43" s="54">
        <v>0.0</v>
      </c>
      <c r="Z43" s="54">
        <v>0.0</v>
      </c>
      <c r="AA43" s="54">
        <v>36.0</v>
      </c>
      <c r="AB43" s="54">
        <v>0.0</v>
      </c>
      <c r="AC43" s="54">
        <v>0.0</v>
      </c>
      <c r="AD43" s="54">
        <v>0.0</v>
      </c>
      <c r="AE43" s="54">
        <v>0.0</v>
      </c>
      <c r="AF43" s="54">
        <v>0.0</v>
      </c>
      <c r="AG43" s="54">
        <v>36.0</v>
      </c>
    </row>
    <row r="44" ht="15.75" customHeight="1">
      <c r="B44" s="56">
        <f>IFERROR(__xludf.DUMMYFUNCTION("""COMPUTED_VALUE"""),46327.0)</f>
        <v>46327</v>
      </c>
      <c r="C44" s="38" t="str">
        <f>IFERROR(__xludf.DUMMYFUNCTION("""COMPUTED_VALUE"""),"東北")</f>
        <v>東北</v>
      </c>
      <c r="D44" s="38">
        <f>IFERROR(__xludf.DUMMYFUNCTION("""COMPUTED_VALUE"""),4221.0)</f>
        <v>4221</v>
      </c>
      <c r="E44" s="38" t="str">
        <f>IFERROR(__xludf.DUMMYFUNCTION("""COMPUTED_VALUE"""),"ケーズデンキ 福島南本店")</f>
        <v>ケーズデンキ 福島南本店</v>
      </c>
      <c r="F44" s="40">
        <f>IFERROR(__xludf.DUMMYFUNCTION("""COMPUTED_VALUE"""),30.0)</f>
        <v>30</v>
      </c>
      <c r="G44" s="42">
        <f>IFERROR(__xludf.DUMMYFUNCTION("""COMPUTED_VALUE"""),0.0)</f>
        <v>0</v>
      </c>
      <c r="H44" s="42">
        <f>IFERROR(__xludf.DUMMYFUNCTION("""COMPUTED_VALUE"""),0.0)</f>
        <v>0</v>
      </c>
      <c r="I44" s="42">
        <f>IFERROR(__xludf.DUMMYFUNCTION("""COMPUTED_VALUE"""),0.0)</f>
        <v>0</v>
      </c>
      <c r="J44" s="42">
        <f>IFERROR(__xludf.DUMMYFUNCTION("""COMPUTED_VALUE"""),0.0)</f>
        <v>0</v>
      </c>
      <c r="K44" s="42">
        <f>IFERROR(__xludf.DUMMYFUNCTION("""COMPUTED_VALUE"""),0.0)</f>
        <v>0</v>
      </c>
      <c r="L44" s="42">
        <f>IFERROR(__xludf.DUMMYFUNCTION("""COMPUTED_VALUE"""),1.0)</f>
        <v>1</v>
      </c>
      <c r="M44" s="42">
        <f>IFERROR(__xludf.DUMMYFUNCTION("""COMPUTED_VALUE"""),0.0)</f>
        <v>0</v>
      </c>
      <c r="N44" s="42">
        <f>IFERROR(__xludf.DUMMYFUNCTION("""COMPUTED_VALUE"""),0.0)</f>
        <v>0</v>
      </c>
      <c r="O44" s="42">
        <f>IFERROR(__xludf.DUMMYFUNCTION("""COMPUTED_VALUE"""),0.0)</f>
        <v>0</v>
      </c>
      <c r="P44" s="42">
        <f>IFERROR(__xludf.DUMMYFUNCTION("""COMPUTED_VALUE"""),0.0)</f>
        <v>0</v>
      </c>
      <c r="Q44" s="42">
        <f>IFERROR(__xludf.DUMMYFUNCTION("""COMPUTED_VALUE"""),0.0)</f>
        <v>0</v>
      </c>
      <c r="R44" s="42">
        <f>IFERROR(__xludf.DUMMYFUNCTION("""COMPUTED_VALUE"""),1.0)</f>
        <v>1</v>
      </c>
      <c r="S44" s="40">
        <f>IFERROR(__xludf.DUMMYFUNCTION("""COMPUTED_VALUE"""),30.0)</f>
        <v>30</v>
      </c>
      <c r="T44" s="40">
        <f>IFERROR(__xludf.DUMMYFUNCTION("""COMPUTED_VALUE"""),30.0)</f>
        <v>30</v>
      </c>
      <c r="U44" s="46" t="str">
        <f t="array" ref="U44">IF($D44="","",IFERROR(_xlfn.XLOOKUP($D44,'TIR店舗一覧'!$D:$D,'TIR店舗一覧'!$E:$E,""),""))</f>
        <v>KS</v>
      </c>
      <c r="V44" s="54">
        <v>0.0</v>
      </c>
      <c r="W44" s="54">
        <v>0.0</v>
      </c>
      <c r="X44" s="54">
        <v>0.0</v>
      </c>
      <c r="Y44" s="54">
        <v>0.0</v>
      </c>
      <c r="Z44" s="54">
        <v>0.0</v>
      </c>
      <c r="AA44" s="54">
        <v>30.0</v>
      </c>
      <c r="AB44" s="54">
        <v>0.0</v>
      </c>
      <c r="AC44" s="54">
        <v>0.0</v>
      </c>
      <c r="AD44" s="54">
        <v>0.0</v>
      </c>
      <c r="AE44" s="54">
        <v>0.0</v>
      </c>
      <c r="AF44" s="54">
        <v>0.0</v>
      </c>
      <c r="AG44" s="54">
        <v>30.0</v>
      </c>
    </row>
    <row r="45" ht="15.75" customHeight="1">
      <c r="B45" s="56">
        <f>IFERROR(__xludf.DUMMYFUNCTION("""COMPUTED_VALUE"""),46327.0)</f>
        <v>46327</v>
      </c>
      <c r="C45" s="38" t="str">
        <f>IFERROR(__xludf.DUMMYFUNCTION("""COMPUTED_VALUE"""),"東北")</f>
        <v>東北</v>
      </c>
      <c r="D45" s="38">
        <f>IFERROR(__xludf.DUMMYFUNCTION("""COMPUTED_VALUE"""),1224.0)</f>
        <v>1224</v>
      </c>
      <c r="E45" s="38" t="str">
        <f>IFERROR(__xludf.DUMMYFUNCTION("""COMPUTED_VALUE"""),"ケーズデンキ 白河店")</f>
        <v>ケーズデンキ 白河店</v>
      </c>
      <c r="F45" s="40">
        <f>IFERROR(__xludf.DUMMYFUNCTION("""COMPUTED_VALUE"""),15.0)</f>
        <v>15</v>
      </c>
      <c r="G45" s="42">
        <f>IFERROR(__xludf.DUMMYFUNCTION("""COMPUTED_VALUE"""),0.0)</f>
        <v>0</v>
      </c>
      <c r="H45" s="42">
        <f>IFERROR(__xludf.DUMMYFUNCTION("""COMPUTED_VALUE"""),0.0)</f>
        <v>0</v>
      </c>
      <c r="I45" s="42">
        <f>IFERROR(__xludf.DUMMYFUNCTION("""COMPUTED_VALUE"""),0.0)</f>
        <v>0</v>
      </c>
      <c r="J45" s="42">
        <f>IFERROR(__xludf.DUMMYFUNCTION("""COMPUTED_VALUE"""),0.0)</f>
        <v>0</v>
      </c>
      <c r="K45" s="42">
        <f>IFERROR(__xludf.DUMMYFUNCTION("""COMPUTED_VALUE"""),0.0)</f>
        <v>0</v>
      </c>
      <c r="L45" s="42">
        <f>IFERROR(__xludf.DUMMYFUNCTION("""COMPUTED_VALUE"""),1.0)</f>
        <v>1</v>
      </c>
      <c r="M45" s="42">
        <f>IFERROR(__xludf.DUMMYFUNCTION("""COMPUTED_VALUE"""),0.0)</f>
        <v>0</v>
      </c>
      <c r="N45" s="42">
        <f>IFERROR(__xludf.DUMMYFUNCTION("""COMPUTED_VALUE"""),0.0)</f>
        <v>0</v>
      </c>
      <c r="O45" s="42">
        <f>IFERROR(__xludf.DUMMYFUNCTION("""COMPUTED_VALUE"""),0.0)</f>
        <v>0</v>
      </c>
      <c r="P45" s="42">
        <f>IFERROR(__xludf.DUMMYFUNCTION("""COMPUTED_VALUE"""),0.0)</f>
        <v>0</v>
      </c>
      <c r="Q45" s="42">
        <f>IFERROR(__xludf.DUMMYFUNCTION("""COMPUTED_VALUE"""),0.0)</f>
        <v>0</v>
      </c>
      <c r="R45" s="42">
        <f>IFERROR(__xludf.DUMMYFUNCTION("""COMPUTED_VALUE"""),1.0)</f>
        <v>1</v>
      </c>
      <c r="S45" s="40">
        <f>IFERROR(__xludf.DUMMYFUNCTION("""COMPUTED_VALUE"""),15.0)</f>
        <v>15</v>
      </c>
      <c r="T45" s="40">
        <f>IFERROR(__xludf.DUMMYFUNCTION("""COMPUTED_VALUE"""),15.0)</f>
        <v>15</v>
      </c>
      <c r="U45" s="46" t="str">
        <f t="array" ref="U45">IF($D45="","",IFERROR(_xlfn.XLOOKUP($D45,'TIR店舗一覧'!$D:$D,'TIR店舗一覧'!$E:$E,""),""))</f>
        <v>KS</v>
      </c>
      <c r="V45" s="54">
        <v>0.0</v>
      </c>
      <c r="W45" s="54">
        <v>0.0</v>
      </c>
      <c r="X45" s="54">
        <v>0.0</v>
      </c>
      <c r="Y45" s="54">
        <v>0.0</v>
      </c>
      <c r="Z45" s="54">
        <v>0.0</v>
      </c>
      <c r="AA45" s="54">
        <v>15.0</v>
      </c>
      <c r="AB45" s="54">
        <v>0.0</v>
      </c>
      <c r="AC45" s="54">
        <v>0.0</v>
      </c>
      <c r="AD45" s="54">
        <v>0.0</v>
      </c>
      <c r="AE45" s="54">
        <v>0.0</v>
      </c>
      <c r="AF45" s="54">
        <v>0.0</v>
      </c>
      <c r="AG45" s="54">
        <v>15.0</v>
      </c>
    </row>
    <row r="46" ht="15.75" customHeight="1">
      <c r="B46" s="56">
        <f>IFERROR(__xludf.DUMMYFUNCTION("""COMPUTED_VALUE"""),46327.0)</f>
        <v>46327</v>
      </c>
      <c r="C46" s="38" t="str">
        <f>IFERROR(__xludf.DUMMYFUNCTION("""COMPUTED_VALUE"""),"東北")</f>
        <v>東北</v>
      </c>
      <c r="D46" s="38">
        <f>IFERROR(__xludf.DUMMYFUNCTION("""COMPUTED_VALUE"""),3991.0)</f>
        <v>3991</v>
      </c>
      <c r="E46" s="38" t="str">
        <f>IFERROR(__xludf.DUMMYFUNCTION("""COMPUTED_VALUE"""),"ケーズデンキ 東仙台店")</f>
        <v>ケーズデンキ 東仙台店</v>
      </c>
      <c r="F46" s="40">
        <f>IFERROR(__xludf.DUMMYFUNCTION("""COMPUTED_VALUE"""),38.0)</f>
        <v>38</v>
      </c>
      <c r="G46" s="42">
        <f>IFERROR(__xludf.DUMMYFUNCTION("""COMPUTED_VALUE"""),0.0)</f>
        <v>0</v>
      </c>
      <c r="H46" s="42">
        <f>IFERROR(__xludf.DUMMYFUNCTION("""COMPUTED_VALUE"""),0.0)</f>
        <v>0</v>
      </c>
      <c r="I46" s="42">
        <f>IFERROR(__xludf.DUMMYFUNCTION("""COMPUTED_VALUE"""),0.0)</f>
        <v>0</v>
      </c>
      <c r="J46" s="42">
        <f>IFERROR(__xludf.DUMMYFUNCTION("""COMPUTED_VALUE"""),0.0)</f>
        <v>0</v>
      </c>
      <c r="K46" s="42">
        <f>IFERROR(__xludf.DUMMYFUNCTION("""COMPUTED_VALUE"""),0.0)</f>
        <v>0</v>
      </c>
      <c r="L46" s="42">
        <f>IFERROR(__xludf.DUMMYFUNCTION("""COMPUTED_VALUE"""),1.0)</f>
        <v>1</v>
      </c>
      <c r="M46" s="42">
        <f>IFERROR(__xludf.DUMMYFUNCTION("""COMPUTED_VALUE"""),0.0)</f>
        <v>0</v>
      </c>
      <c r="N46" s="42">
        <f>IFERROR(__xludf.DUMMYFUNCTION("""COMPUTED_VALUE"""),0.0)</f>
        <v>0</v>
      </c>
      <c r="O46" s="42">
        <f>IFERROR(__xludf.DUMMYFUNCTION("""COMPUTED_VALUE"""),0.0)</f>
        <v>0</v>
      </c>
      <c r="P46" s="42">
        <f>IFERROR(__xludf.DUMMYFUNCTION("""COMPUTED_VALUE"""),0.0)</f>
        <v>0</v>
      </c>
      <c r="Q46" s="42">
        <f>IFERROR(__xludf.DUMMYFUNCTION("""COMPUTED_VALUE"""),0.0)</f>
        <v>0</v>
      </c>
      <c r="R46" s="42">
        <f>IFERROR(__xludf.DUMMYFUNCTION("""COMPUTED_VALUE"""),1.0)</f>
        <v>1</v>
      </c>
      <c r="S46" s="40">
        <f>IFERROR(__xludf.DUMMYFUNCTION("""COMPUTED_VALUE"""),38.0)</f>
        <v>38</v>
      </c>
      <c r="T46" s="40">
        <f>IFERROR(__xludf.DUMMYFUNCTION("""COMPUTED_VALUE"""),38.0)</f>
        <v>38</v>
      </c>
      <c r="U46" s="46" t="str">
        <f t="array" ref="U46">IF($D46="","",IFERROR(_xlfn.XLOOKUP($D46,'TIR店舗一覧'!$D:$D,'TIR店舗一覧'!$E:$E,""),""))</f>
        <v>KS</v>
      </c>
      <c r="V46" s="54">
        <v>0.0</v>
      </c>
      <c r="W46" s="54">
        <v>0.0</v>
      </c>
      <c r="X46" s="54">
        <v>0.0</v>
      </c>
      <c r="Y46" s="54">
        <v>0.0</v>
      </c>
      <c r="Z46" s="54">
        <v>0.0</v>
      </c>
      <c r="AA46" s="54">
        <v>38.0</v>
      </c>
      <c r="AB46" s="54">
        <v>0.0</v>
      </c>
      <c r="AC46" s="54">
        <v>0.0</v>
      </c>
      <c r="AD46" s="54">
        <v>0.0</v>
      </c>
      <c r="AE46" s="54">
        <v>0.0</v>
      </c>
      <c r="AF46" s="54">
        <v>0.0</v>
      </c>
      <c r="AG46" s="54">
        <v>38.0</v>
      </c>
    </row>
    <row r="47" ht="15.75" customHeight="1">
      <c r="B47" s="56">
        <f>IFERROR(__xludf.DUMMYFUNCTION("""COMPUTED_VALUE"""),46327.0)</f>
        <v>46327</v>
      </c>
      <c r="C47" s="38" t="str">
        <f>IFERROR(__xludf.DUMMYFUNCTION("""COMPUTED_VALUE"""),"東北")</f>
        <v>東北</v>
      </c>
      <c r="D47" s="38">
        <f>IFERROR(__xludf.DUMMYFUNCTION("""COMPUTED_VALUE"""),1015.0)</f>
        <v>1015</v>
      </c>
      <c r="E47" s="38" t="str">
        <f>IFERROR(__xludf.DUMMYFUNCTION("""COMPUTED_VALUE"""),"ケーズデンキ 鶴岡店")</f>
        <v>ケーズデンキ 鶴岡店</v>
      </c>
      <c r="F47" s="40">
        <f>IFERROR(__xludf.DUMMYFUNCTION("""COMPUTED_VALUE"""),53.0)</f>
        <v>53</v>
      </c>
      <c r="G47" s="42">
        <f>IFERROR(__xludf.DUMMYFUNCTION("""COMPUTED_VALUE"""),0.0)</f>
        <v>0</v>
      </c>
      <c r="H47" s="42">
        <f>IFERROR(__xludf.DUMMYFUNCTION("""COMPUTED_VALUE"""),0.0)</f>
        <v>0</v>
      </c>
      <c r="I47" s="42">
        <f>IFERROR(__xludf.DUMMYFUNCTION("""COMPUTED_VALUE"""),0.0)</f>
        <v>0</v>
      </c>
      <c r="J47" s="42">
        <f>IFERROR(__xludf.DUMMYFUNCTION("""COMPUTED_VALUE"""),0.0)</f>
        <v>0</v>
      </c>
      <c r="K47" s="42">
        <f>IFERROR(__xludf.DUMMYFUNCTION("""COMPUTED_VALUE"""),0.0)</f>
        <v>0</v>
      </c>
      <c r="L47" s="42">
        <f>IFERROR(__xludf.DUMMYFUNCTION("""COMPUTED_VALUE"""),1.0)</f>
        <v>1</v>
      </c>
      <c r="M47" s="42">
        <f>IFERROR(__xludf.DUMMYFUNCTION("""COMPUTED_VALUE"""),0.0)</f>
        <v>0</v>
      </c>
      <c r="N47" s="42">
        <f>IFERROR(__xludf.DUMMYFUNCTION("""COMPUTED_VALUE"""),0.0)</f>
        <v>0</v>
      </c>
      <c r="O47" s="42">
        <f>IFERROR(__xludf.DUMMYFUNCTION("""COMPUTED_VALUE"""),0.0)</f>
        <v>0</v>
      </c>
      <c r="P47" s="42">
        <f>IFERROR(__xludf.DUMMYFUNCTION("""COMPUTED_VALUE"""),0.0)</f>
        <v>0</v>
      </c>
      <c r="Q47" s="42">
        <f>IFERROR(__xludf.DUMMYFUNCTION("""COMPUTED_VALUE"""),0.0)</f>
        <v>0</v>
      </c>
      <c r="R47" s="42">
        <f>IFERROR(__xludf.DUMMYFUNCTION("""COMPUTED_VALUE"""),1.0)</f>
        <v>1</v>
      </c>
      <c r="S47" s="40">
        <f>IFERROR(__xludf.DUMMYFUNCTION("""COMPUTED_VALUE"""),53.0)</f>
        <v>53</v>
      </c>
      <c r="T47" s="40">
        <f>IFERROR(__xludf.DUMMYFUNCTION("""COMPUTED_VALUE"""),53.0)</f>
        <v>53</v>
      </c>
      <c r="U47" s="46" t="str">
        <f t="array" ref="U47">IF($D47="","",IFERROR(_xlfn.XLOOKUP($D47,'TIR店舗一覧'!$D:$D,'TIR店舗一覧'!$E:$E,""),""))</f>
        <v>KS</v>
      </c>
      <c r="V47" s="54">
        <v>0.0</v>
      </c>
      <c r="W47" s="54">
        <v>0.0</v>
      </c>
      <c r="X47" s="54">
        <v>0.0</v>
      </c>
      <c r="Y47" s="54">
        <v>0.0</v>
      </c>
      <c r="Z47" s="54">
        <v>0.0</v>
      </c>
      <c r="AA47" s="54">
        <v>53.0</v>
      </c>
      <c r="AB47" s="54">
        <v>0.0</v>
      </c>
      <c r="AC47" s="54">
        <v>0.0</v>
      </c>
      <c r="AD47" s="54">
        <v>0.0</v>
      </c>
      <c r="AE47" s="54">
        <v>0.0</v>
      </c>
      <c r="AF47" s="54">
        <v>0.0</v>
      </c>
      <c r="AG47" s="54">
        <v>53.0</v>
      </c>
    </row>
    <row r="48" ht="15.75" customHeight="1">
      <c r="B48" s="56">
        <f>IFERROR(__xludf.DUMMYFUNCTION("""COMPUTED_VALUE"""),46327.0)</f>
        <v>46327</v>
      </c>
      <c r="C48" s="38" t="str">
        <f>IFERROR(__xludf.DUMMYFUNCTION("""COMPUTED_VALUE"""),"東北")</f>
        <v>東北</v>
      </c>
      <c r="D48" s="38">
        <f>IFERROR(__xludf.DUMMYFUNCTION("""COMPUTED_VALUE"""),1018.0)</f>
        <v>1018</v>
      </c>
      <c r="E48" s="38" t="str">
        <f>IFERROR(__xludf.DUMMYFUNCTION("""COMPUTED_VALUE"""),"ケーズデンキ 大仙店")</f>
        <v>ケーズデンキ 大仙店</v>
      </c>
      <c r="F48" s="40">
        <f>IFERROR(__xludf.DUMMYFUNCTION("""COMPUTED_VALUE"""),9.0)</f>
        <v>9</v>
      </c>
      <c r="G48" s="42">
        <f>IFERROR(__xludf.DUMMYFUNCTION("""COMPUTED_VALUE"""),0.0)</f>
        <v>0</v>
      </c>
      <c r="H48" s="42">
        <f>IFERROR(__xludf.DUMMYFUNCTION("""COMPUTED_VALUE"""),0.0)</f>
        <v>0</v>
      </c>
      <c r="I48" s="42">
        <f>IFERROR(__xludf.DUMMYFUNCTION("""COMPUTED_VALUE"""),0.0)</f>
        <v>0</v>
      </c>
      <c r="J48" s="42">
        <f>IFERROR(__xludf.DUMMYFUNCTION("""COMPUTED_VALUE"""),0.0)</f>
        <v>0</v>
      </c>
      <c r="K48" s="42">
        <f>IFERROR(__xludf.DUMMYFUNCTION("""COMPUTED_VALUE"""),0.0)</f>
        <v>0</v>
      </c>
      <c r="L48" s="42">
        <f>IFERROR(__xludf.DUMMYFUNCTION("""COMPUTED_VALUE"""),1.0)</f>
        <v>1</v>
      </c>
      <c r="M48" s="42">
        <f>IFERROR(__xludf.DUMMYFUNCTION("""COMPUTED_VALUE"""),0.0)</f>
        <v>0</v>
      </c>
      <c r="N48" s="42">
        <f>IFERROR(__xludf.DUMMYFUNCTION("""COMPUTED_VALUE"""),0.0)</f>
        <v>0</v>
      </c>
      <c r="O48" s="42">
        <f>IFERROR(__xludf.DUMMYFUNCTION("""COMPUTED_VALUE"""),0.0)</f>
        <v>0</v>
      </c>
      <c r="P48" s="42">
        <f>IFERROR(__xludf.DUMMYFUNCTION("""COMPUTED_VALUE"""),0.0)</f>
        <v>0</v>
      </c>
      <c r="Q48" s="42">
        <f>IFERROR(__xludf.DUMMYFUNCTION("""COMPUTED_VALUE"""),0.0)</f>
        <v>0</v>
      </c>
      <c r="R48" s="42">
        <f>IFERROR(__xludf.DUMMYFUNCTION("""COMPUTED_VALUE"""),1.0)</f>
        <v>1</v>
      </c>
      <c r="S48" s="40">
        <f>IFERROR(__xludf.DUMMYFUNCTION("""COMPUTED_VALUE"""),9.0)</f>
        <v>9</v>
      </c>
      <c r="T48" s="40">
        <f>IFERROR(__xludf.DUMMYFUNCTION("""COMPUTED_VALUE"""),9.0)</f>
        <v>9</v>
      </c>
      <c r="U48" s="46" t="str">
        <f t="array" ref="U48">IF($D48="","",IFERROR(_xlfn.XLOOKUP($D48,'TIR店舗一覧'!$D:$D,'TIR店舗一覧'!$E:$E,""),""))</f>
        <v>KS</v>
      </c>
      <c r="V48" s="54">
        <v>0.0</v>
      </c>
      <c r="W48" s="54">
        <v>0.0</v>
      </c>
      <c r="X48" s="54">
        <v>0.0</v>
      </c>
      <c r="Y48" s="54">
        <v>0.0</v>
      </c>
      <c r="Z48" s="54">
        <v>0.0</v>
      </c>
      <c r="AA48" s="54">
        <v>9.0</v>
      </c>
      <c r="AB48" s="54">
        <v>0.0</v>
      </c>
      <c r="AC48" s="54">
        <v>0.0</v>
      </c>
      <c r="AD48" s="54">
        <v>0.0</v>
      </c>
      <c r="AE48" s="54">
        <v>0.0</v>
      </c>
      <c r="AF48" s="54">
        <v>0.0</v>
      </c>
      <c r="AG48" s="54">
        <v>9.0</v>
      </c>
    </row>
    <row r="49" ht="15.75" customHeight="1">
      <c r="B49" s="56">
        <f>IFERROR(__xludf.DUMMYFUNCTION("""COMPUTED_VALUE"""),46327.0)</f>
        <v>46327</v>
      </c>
      <c r="C49" s="38" t="str">
        <f>IFERROR(__xludf.DUMMYFUNCTION("""COMPUTED_VALUE"""),"東北")</f>
        <v>東北</v>
      </c>
      <c r="D49" s="38">
        <f>IFERROR(__xludf.DUMMYFUNCTION("""COMPUTED_VALUE"""),4001.0)</f>
        <v>4001</v>
      </c>
      <c r="E49" s="38" t="str">
        <f>IFERROR(__xludf.DUMMYFUNCTION("""COMPUTED_VALUE"""),"ケーズデンキ大崎古川本店")</f>
        <v>ケーズデンキ大崎古川本店</v>
      </c>
      <c r="F49" s="40">
        <f>IFERROR(__xludf.DUMMYFUNCTION("""COMPUTED_VALUE"""),29.0)</f>
        <v>29</v>
      </c>
      <c r="G49" s="42">
        <f>IFERROR(__xludf.DUMMYFUNCTION("""COMPUTED_VALUE"""),0.0)</f>
        <v>0</v>
      </c>
      <c r="H49" s="42">
        <f>IFERROR(__xludf.DUMMYFUNCTION("""COMPUTED_VALUE"""),0.0)</f>
        <v>0</v>
      </c>
      <c r="I49" s="42">
        <f>IFERROR(__xludf.DUMMYFUNCTION("""COMPUTED_VALUE"""),0.0)</f>
        <v>0</v>
      </c>
      <c r="J49" s="42">
        <f>IFERROR(__xludf.DUMMYFUNCTION("""COMPUTED_VALUE"""),0.0)</f>
        <v>0</v>
      </c>
      <c r="K49" s="42">
        <f>IFERROR(__xludf.DUMMYFUNCTION("""COMPUTED_VALUE"""),0.0)</f>
        <v>0</v>
      </c>
      <c r="L49" s="42">
        <f>IFERROR(__xludf.DUMMYFUNCTION("""COMPUTED_VALUE"""),1.0)</f>
        <v>1</v>
      </c>
      <c r="M49" s="42">
        <f>IFERROR(__xludf.DUMMYFUNCTION("""COMPUTED_VALUE"""),0.0)</f>
        <v>0</v>
      </c>
      <c r="N49" s="42">
        <f>IFERROR(__xludf.DUMMYFUNCTION("""COMPUTED_VALUE"""),0.0)</f>
        <v>0</v>
      </c>
      <c r="O49" s="42">
        <f>IFERROR(__xludf.DUMMYFUNCTION("""COMPUTED_VALUE"""),0.0)</f>
        <v>0</v>
      </c>
      <c r="P49" s="42">
        <f>IFERROR(__xludf.DUMMYFUNCTION("""COMPUTED_VALUE"""),0.0)</f>
        <v>0</v>
      </c>
      <c r="Q49" s="42">
        <f>IFERROR(__xludf.DUMMYFUNCTION("""COMPUTED_VALUE"""),0.0)</f>
        <v>0</v>
      </c>
      <c r="R49" s="42">
        <f>IFERROR(__xludf.DUMMYFUNCTION("""COMPUTED_VALUE"""),1.0)</f>
        <v>1</v>
      </c>
      <c r="S49" s="40">
        <f>IFERROR(__xludf.DUMMYFUNCTION("""COMPUTED_VALUE"""),29.0)</f>
        <v>29</v>
      </c>
      <c r="T49" s="40">
        <f>IFERROR(__xludf.DUMMYFUNCTION("""COMPUTED_VALUE"""),29.0)</f>
        <v>29</v>
      </c>
      <c r="U49" s="46" t="str">
        <f t="array" ref="U49">IF($D49="","",IFERROR(_xlfn.XLOOKUP($D49,'TIR店舗一覧'!$D:$D,'TIR店舗一覧'!$E:$E,""),""))</f>
        <v>KS</v>
      </c>
      <c r="V49" s="54">
        <v>0.0</v>
      </c>
      <c r="W49" s="54">
        <v>0.0</v>
      </c>
      <c r="X49" s="54">
        <v>0.0</v>
      </c>
      <c r="Y49" s="54">
        <v>0.0</v>
      </c>
      <c r="Z49" s="54">
        <v>0.0</v>
      </c>
      <c r="AA49" s="54">
        <v>29.0</v>
      </c>
      <c r="AB49" s="54">
        <v>0.0</v>
      </c>
      <c r="AC49" s="54">
        <v>0.0</v>
      </c>
      <c r="AD49" s="54">
        <v>0.0</v>
      </c>
      <c r="AE49" s="54">
        <v>0.0</v>
      </c>
      <c r="AF49" s="54">
        <v>0.0</v>
      </c>
      <c r="AG49" s="54">
        <v>29.0</v>
      </c>
    </row>
    <row r="50" ht="15.75" customHeight="1">
      <c r="B50" s="56">
        <f>IFERROR(__xludf.DUMMYFUNCTION("""COMPUTED_VALUE"""),46327.0)</f>
        <v>46327</v>
      </c>
      <c r="C50" s="38" t="str">
        <f>IFERROR(__xludf.DUMMYFUNCTION("""COMPUTED_VALUE"""),"東北")</f>
        <v>東北</v>
      </c>
      <c r="D50" s="38">
        <f>IFERROR(__xludf.DUMMYFUNCTION("""COMPUTED_VALUE"""),1475.0)</f>
        <v>1475</v>
      </c>
      <c r="E50" s="38" t="str">
        <f>IFERROR(__xludf.DUMMYFUNCTION("""COMPUTED_VALUE"""),"ケーズデンキ 大館店")</f>
        <v>ケーズデンキ 大館店</v>
      </c>
      <c r="F50" s="40">
        <f>IFERROR(__xludf.DUMMYFUNCTION("""COMPUTED_VALUE"""),16.0)</f>
        <v>16</v>
      </c>
      <c r="G50" s="42">
        <f>IFERROR(__xludf.DUMMYFUNCTION("""COMPUTED_VALUE"""),0.0)</f>
        <v>0</v>
      </c>
      <c r="H50" s="42">
        <f>IFERROR(__xludf.DUMMYFUNCTION("""COMPUTED_VALUE"""),0.0)</f>
        <v>0</v>
      </c>
      <c r="I50" s="42">
        <f>IFERROR(__xludf.DUMMYFUNCTION("""COMPUTED_VALUE"""),0.0)</f>
        <v>0</v>
      </c>
      <c r="J50" s="42">
        <f>IFERROR(__xludf.DUMMYFUNCTION("""COMPUTED_VALUE"""),0.0)</f>
        <v>0</v>
      </c>
      <c r="K50" s="42">
        <f>IFERROR(__xludf.DUMMYFUNCTION("""COMPUTED_VALUE"""),0.0)</f>
        <v>0</v>
      </c>
      <c r="L50" s="42">
        <f>IFERROR(__xludf.DUMMYFUNCTION("""COMPUTED_VALUE"""),1.0)</f>
        <v>1</v>
      </c>
      <c r="M50" s="42">
        <f>IFERROR(__xludf.DUMMYFUNCTION("""COMPUTED_VALUE"""),0.0)</f>
        <v>0</v>
      </c>
      <c r="N50" s="42">
        <f>IFERROR(__xludf.DUMMYFUNCTION("""COMPUTED_VALUE"""),0.0)</f>
        <v>0</v>
      </c>
      <c r="O50" s="42">
        <f>IFERROR(__xludf.DUMMYFUNCTION("""COMPUTED_VALUE"""),0.0)</f>
        <v>0</v>
      </c>
      <c r="P50" s="42">
        <f>IFERROR(__xludf.DUMMYFUNCTION("""COMPUTED_VALUE"""),0.0)</f>
        <v>0</v>
      </c>
      <c r="Q50" s="42">
        <f>IFERROR(__xludf.DUMMYFUNCTION("""COMPUTED_VALUE"""),0.0)</f>
        <v>0</v>
      </c>
      <c r="R50" s="42">
        <f>IFERROR(__xludf.DUMMYFUNCTION("""COMPUTED_VALUE"""),1.0)</f>
        <v>1</v>
      </c>
      <c r="S50" s="40">
        <f>IFERROR(__xludf.DUMMYFUNCTION("""COMPUTED_VALUE"""),16.0)</f>
        <v>16</v>
      </c>
      <c r="T50" s="40">
        <f>IFERROR(__xludf.DUMMYFUNCTION("""COMPUTED_VALUE"""),16.0)</f>
        <v>16</v>
      </c>
      <c r="U50" s="46" t="str">
        <f t="array" ref="U50">IF($D50="","",IFERROR(_xlfn.XLOOKUP($D50,'TIR店舗一覧'!$D:$D,'TIR店舗一覧'!$E:$E,""),""))</f>
        <v>KS</v>
      </c>
      <c r="V50" s="54">
        <v>0.0</v>
      </c>
      <c r="W50" s="54">
        <v>0.0</v>
      </c>
      <c r="X50" s="54">
        <v>0.0</v>
      </c>
      <c r="Y50" s="54">
        <v>0.0</v>
      </c>
      <c r="Z50" s="54">
        <v>0.0</v>
      </c>
      <c r="AA50" s="54">
        <v>16.0</v>
      </c>
      <c r="AB50" s="54">
        <v>0.0</v>
      </c>
      <c r="AC50" s="54">
        <v>0.0</v>
      </c>
      <c r="AD50" s="54">
        <v>0.0</v>
      </c>
      <c r="AE50" s="54">
        <v>0.0</v>
      </c>
      <c r="AF50" s="54">
        <v>0.0</v>
      </c>
      <c r="AG50" s="54">
        <v>16.0</v>
      </c>
    </row>
    <row r="51" ht="15.75" customHeight="1">
      <c r="B51" s="56">
        <f>IFERROR(__xludf.DUMMYFUNCTION("""COMPUTED_VALUE"""),46327.0)</f>
        <v>46327</v>
      </c>
      <c r="C51" s="38" t="str">
        <f>IFERROR(__xludf.DUMMYFUNCTION("""COMPUTED_VALUE"""),"東北")</f>
        <v>東北</v>
      </c>
      <c r="D51" s="38">
        <f>IFERROR(__xludf.DUMMYFUNCTION("""COMPUTED_VALUE"""),8356.0)</f>
        <v>8356</v>
      </c>
      <c r="E51" s="38" t="str">
        <f>IFERROR(__xludf.DUMMYFUNCTION("""COMPUTED_VALUE"""),"ケーズデンキ 大河原店")</f>
        <v>ケーズデンキ 大河原店</v>
      </c>
      <c r="F51" s="40">
        <f>IFERROR(__xludf.DUMMYFUNCTION("""COMPUTED_VALUE"""),17.0)</f>
        <v>17</v>
      </c>
      <c r="G51" s="42">
        <f>IFERROR(__xludf.DUMMYFUNCTION("""COMPUTED_VALUE"""),0.0)</f>
        <v>0</v>
      </c>
      <c r="H51" s="42">
        <f>IFERROR(__xludf.DUMMYFUNCTION("""COMPUTED_VALUE"""),0.0)</f>
        <v>0</v>
      </c>
      <c r="I51" s="42">
        <f>IFERROR(__xludf.DUMMYFUNCTION("""COMPUTED_VALUE"""),0.0)</f>
        <v>0</v>
      </c>
      <c r="J51" s="42">
        <f>IFERROR(__xludf.DUMMYFUNCTION("""COMPUTED_VALUE"""),0.0)</f>
        <v>0</v>
      </c>
      <c r="K51" s="42">
        <f>IFERROR(__xludf.DUMMYFUNCTION("""COMPUTED_VALUE"""),0.0)</f>
        <v>0</v>
      </c>
      <c r="L51" s="42">
        <f>IFERROR(__xludf.DUMMYFUNCTION("""COMPUTED_VALUE"""),1.0)</f>
        <v>1</v>
      </c>
      <c r="M51" s="42">
        <f>IFERROR(__xludf.DUMMYFUNCTION("""COMPUTED_VALUE"""),0.0)</f>
        <v>0</v>
      </c>
      <c r="N51" s="42">
        <f>IFERROR(__xludf.DUMMYFUNCTION("""COMPUTED_VALUE"""),0.0)</f>
        <v>0</v>
      </c>
      <c r="O51" s="42">
        <f>IFERROR(__xludf.DUMMYFUNCTION("""COMPUTED_VALUE"""),0.0)</f>
        <v>0</v>
      </c>
      <c r="P51" s="42">
        <f>IFERROR(__xludf.DUMMYFUNCTION("""COMPUTED_VALUE"""),0.0)</f>
        <v>0</v>
      </c>
      <c r="Q51" s="42">
        <f>IFERROR(__xludf.DUMMYFUNCTION("""COMPUTED_VALUE"""),0.0)</f>
        <v>0</v>
      </c>
      <c r="R51" s="42">
        <f>IFERROR(__xludf.DUMMYFUNCTION("""COMPUTED_VALUE"""),1.0)</f>
        <v>1</v>
      </c>
      <c r="S51" s="40">
        <f>IFERROR(__xludf.DUMMYFUNCTION("""COMPUTED_VALUE"""),17.0)</f>
        <v>17</v>
      </c>
      <c r="T51" s="40">
        <f>IFERROR(__xludf.DUMMYFUNCTION("""COMPUTED_VALUE"""),17.0)</f>
        <v>17</v>
      </c>
      <c r="U51" s="46" t="str">
        <f t="array" ref="U51">IF($D51="","",IFERROR(_xlfn.XLOOKUP($D51,'TIR店舗一覧'!$D:$D,'TIR店舗一覧'!$E:$E,""),""))</f>
        <v>KS</v>
      </c>
      <c r="V51" s="54">
        <v>0.0</v>
      </c>
      <c r="W51" s="54">
        <v>0.0</v>
      </c>
      <c r="X51" s="54">
        <v>0.0</v>
      </c>
      <c r="Y51" s="54">
        <v>0.0</v>
      </c>
      <c r="Z51" s="54">
        <v>0.0</v>
      </c>
      <c r="AA51" s="54">
        <v>17.0</v>
      </c>
      <c r="AB51" s="54">
        <v>0.0</v>
      </c>
      <c r="AC51" s="54">
        <v>0.0</v>
      </c>
      <c r="AD51" s="54">
        <v>0.0</v>
      </c>
      <c r="AE51" s="54">
        <v>0.0</v>
      </c>
      <c r="AF51" s="54">
        <v>0.0</v>
      </c>
      <c r="AG51" s="54">
        <v>17.0</v>
      </c>
    </row>
    <row r="52" ht="15.75" customHeight="1">
      <c r="B52" s="56">
        <f>IFERROR(__xludf.DUMMYFUNCTION("""COMPUTED_VALUE"""),46327.0)</f>
        <v>46327</v>
      </c>
      <c r="C52" s="38" t="str">
        <f>IFERROR(__xludf.DUMMYFUNCTION("""COMPUTED_VALUE"""),"東北")</f>
        <v>東北</v>
      </c>
      <c r="D52" s="38">
        <f>IFERROR(__xludf.DUMMYFUNCTION("""COMPUTED_VALUE"""),8324.0)</f>
        <v>8324</v>
      </c>
      <c r="E52" s="38" t="str">
        <f>IFERROR(__xludf.DUMMYFUNCTION("""COMPUTED_VALUE"""),"ケーズデンキ 仙台西店")</f>
        <v>ケーズデンキ 仙台西店</v>
      </c>
      <c r="F52" s="40">
        <f>IFERROR(__xludf.DUMMYFUNCTION("""COMPUTED_VALUE"""),25.0)</f>
        <v>25</v>
      </c>
      <c r="G52" s="42">
        <f>IFERROR(__xludf.DUMMYFUNCTION("""COMPUTED_VALUE"""),0.0)</f>
        <v>0</v>
      </c>
      <c r="H52" s="42">
        <f>IFERROR(__xludf.DUMMYFUNCTION("""COMPUTED_VALUE"""),0.0)</f>
        <v>0</v>
      </c>
      <c r="I52" s="42">
        <f>IFERROR(__xludf.DUMMYFUNCTION("""COMPUTED_VALUE"""),0.0)</f>
        <v>0</v>
      </c>
      <c r="J52" s="42">
        <f>IFERROR(__xludf.DUMMYFUNCTION("""COMPUTED_VALUE"""),0.0)</f>
        <v>0</v>
      </c>
      <c r="K52" s="42">
        <f>IFERROR(__xludf.DUMMYFUNCTION("""COMPUTED_VALUE"""),0.0)</f>
        <v>0</v>
      </c>
      <c r="L52" s="42">
        <f>IFERROR(__xludf.DUMMYFUNCTION("""COMPUTED_VALUE"""),1.0)</f>
        <v>1</v>
      </c>
      <c r="M52" s="42">
        <f>IFERROR(__xludf.DUMMYFUNCTION("""COMPUTED_VALUE"""),0.0)</f>
        <v>0</v>
      </c>
      <c r="N52" s="42">
        <f>IFERROR(__xludf.DUMMYFUNCTION("""COMPUTED_VALUE"""),0.0)</f>
        <v>0</v>
      </c>
      <c r="O52" s="42">
        <f>IFERROR(__xludf.DUMMYFUNCTION("""COMPUTED_VALUE"""),0.0)</f>
        <v>0</v>
      </c>
      <c r="P52" s="42">
        <f>IFERROR(__xludf.DUMMYFUNCTION("""COMPUTED_VALUE"""),0.0)</f>
        <v>0</v>
      </c>
      <c r="Q52" s="42">
        <f>IFERROR(__xludf.DUMMYFUNCTION("""COMPUTED_VALUE"""),0.0)</f>
        <v>0</v>
      </c>
      <c r="R52" s="42">
        <f>IFERROR(__xludf.DUMMYFUNCTION("""COMPUTED_VALUE"""),1.0)</f>
        <v>1</v>
      </c>
      <c r="S52" s="40">
        <f>IFERROR(__xludf.DUMMYFUNCTION("""COMPUTED_VALUE"""),25.0)</f>
        <v>25</v>
      </c>
      <c r="T52" s="40">
        <f>IFERROR(__xludf.DUMMYFUNCTION("""COMPUTED_VALUE"""),25.0)</f>
        <v>25</v>
      </c>
      <c r="U52" s="46" t="str">
        <f t="array" ref="U52">IF($D52="","",IFERROR(_xlfn.XLOOKUP($D52,'TIR店舗一覧'!$D:$D,'TIR店舗一覧'!$E:$E,""),""))</f>
        <v>KS</v>
      </c>
      <c r="V52" s="54">
        <v>0.0</v>
      </c>
      <c r="W52" s="54">
        <v>0.0</v>
      </c>
      <c r="X52" s="54">
        <v>0.0</v>
      </c>
      <c r="Y52" s="54">
        <v>0.0</v>
      </c>
      <c r="Z52" s="54">
        <v>0.0</v>
      </c>
      <c r="AA52" s="54">
        <v>25.0</v>
      </c>
      <c r="AB52" s="54">
        <v>0.0</v>
      </c>
      <c r="AC52" s="54">
        <v>0.0</v>
      </c>
      <c r="AD52" s="54">
        <v>0.0</v>
      </c>
      <c r="AE52" s="54">
        <v>0.0</v>
      </c>
      <c r="AF52" s="54">
        <v>0.0</v>
      </c>
      <c r="AG52" s="54">
        <v>25.0</v>
      </c>
    </row>
    <row r="53" ht="15.75" customHeight="1">
      <c r="B53" s="56">
        <f>IFERROR(__xludf.DUMMYFUNCTION("""COMPUTED_VALUE"""),46327.0)</f>
        <v>46327</v>
      </c>
      <c r="C53" s="38" t="str">
        <f>IFERROR(__xludf.DUMMYFUNCTION("""COMPUTED_VALUE"""),"東北")</f>
        <v>東北</v>
      </c>
      <c r="D53" s="38">
        <f>IFERROR(__xludf.DUMMYFUNCTION("""COMPUTED_VALUE"""),8420.0)</f>
        <v>8420</v>
      </c>
      <c r="E53" s="38" t="str">
        <f>IFERROR(__xludf.DUMMYFUNCTION("""COMPUTED_VALUE"""),"ケーズデンキ 仙台荒井店")</f>
        <v>ケーズデンキ 仙台荒井店</v>
      </c>
      <c r="F53" s="40">
        <f>IFERROR(__xludf.DUMMYFUNCTION("""COMPUTED_VALUE"""),17.0)</f>
        <v>17</v>
      </c>
      <c r="G53" s="42">
        <f>IFERROR(__xludf.DUMMYFUNCTION("""COMPUTED_VALUE"""),0.0)</f>
        <v>0</v>
      </c>
      <c r="H53" s="42">
        <f>IFERROR(__xludf.DUMMYFUNCTION("""COMPUTED_VALUE"""),0.0)</f>
        <v>0</v>
      </c>
      <c r="I53" s="42">
        <f>IFERROR(__xludf.DUMMYFUNCTION("""COMPUTED_VALUE"""),0.0)</f>
        <v>0</v>
      </c>
      <c r="J53" s="42">
        <f>IFERROR(__xludf.DUMMYFUNCTION("""COMPUTED_VALUE"""),0.0)</f>
        <v>0</v>
      </c>
      <c r="K53" s="42">
        <f>IFERROR(__xludf.DUMMYFUNCTION("""COMPUTED_VALUE"""),0.0)</f>
        <v>0</v>
      </c>
      <c r="L53" s="42">
        <f>IFERROR(__xludf.DUMMYFUNCTION("""COMPUTED_VALUE"""),1.0)</f>
        <v>1</v>
      </c>
      <c r="M53" s="42">
        <f>IFERROR(__xludf.DUMMYFUNCTION("""COMPUTED_VALUE"""),0.0)</f>
        <v>0</v>
      </c>
      <c r="N53" s="42">
        <f>IFERROR(__xludf.DUMMYFUNCTION("""COMPUTED_VALUE"""),0.0)</f>
        <v>0</v>
      </c>
      <c r="O53" s="42">
        <f>IFERROR(__xludf.DUMMYFUNCTION("""COMPUTED_VALUE"""),0.0)</f>
        <v>0</v>
      </c>
      <c r="P53" s="42">
        <f>IFERROR(__xludf.DUMMYFUNCTION("""COMPUTED_VALUE"""),0.0)</f>
        <v>0</v>
      </c>
      <c r="Q53" s="42">
        <f>IFERROR(__xludf.DUMMYFUNCTION("""COMPUTED_VALUE"""),0.0)</f>
        <v>0</v>
      </c>
      <c r="R53" s="42">
        <f>IFERROR(__xludf.DUMMYFUNCTION("""COMPUTED_VALUE"""),1.0)</f>
        <v>1</v>
      </c>
      <c r="S53" s="40">
        <f>IFERROR(__xludf.DUMMYFUNCTION("""COMPUTED_VALUE"""),17.0)</f>
        <v>17</v>
      </c>
      <c r="T53" s="40">
        <f>IFERROR(__xludf.DUMMYFUNCTION("""COMPUTED_VALUE"""),17.0)</f>
        <v>17</v>
      </c>
      <c r="U53" s="46" t="str">
        <f t="array" ref="U53">IF($D53="","",IFERROR(_xlfn.XLOOKUP($D53,'TIR店舗一覧'!$D:$D,'TIR店舗一覧'!$E:$E,""),""))</f>
        <v>KS</v>
      </c>
      <c r="V53" s="54">
        <v>0.0</v>
      </c>
      <c r="W53" s="54">
        <v>0.0</v>
      </c>
      <c r="X53" s="54">
        <v>0.0</v>
      </c>
      <c r="Y53" s="54">
        <v>0.0</v>
      </c>
      <c r="Z53" s="54">
        <v>0.0</v>
      </c>
      <c r="AA53" s="54">
        <v>17.0</v>
      </c>
      <c r="AB53" s="54">
        <v>0.0</v>
      </c>
      <c r="AC53" s="54">
        <v>0.0</v>
      </c>
      <c r="AD53" s="54">
        <v>0.0</v>
      </c>
      <c r="AE53" s="54">
        <v>0.0</v>
      </c>
      <c r="AF53" s="54">
        <v>0.0</v>
      </c>
      <c r="AG53" s="54">
        <v>17.0</v>
      </c>
    </row>
    <row r="54" ht="15.75" customHeight="1">
      <c r="B54" s="56">
        <f>IFERROR(__xludf.DUMMYFUNCTION("""COMPUTED_VALUE"""),46327.0)</f>
        <v>46327</v>
      </c>
      <c r="C54" s="38" t="str">
        <f>IFERROR(__xludf.DUMMYFUNCTION("""COMPUTED_VALUE"""),"関東")</f>
        <v>関東</v>
      </c>
      <c r="D54" s="38">
        <f>IFERROR(__xludf.DUMMYFUNCTION("""COMPUTED_VALUE"""),8991.0)</f>
        <v>8991</v>
      </c>
      <c r="E54" s="38" t="str">
        <f>IFERROR(__xludf.DUMMYFUNCTION("""COMPUTED_VALUE"""),"ヤマダファミリーショップ ヤオ秩父店")</f>
        <v>ヤマダファミリーショップ ヤオ秩父店</v>
      </c>
      <c r="F54" s="40">
        <f>IFERROR(__xludf.DUMMYFUNCTION("""COMPUTED_VALUE"""),0.0)</f>
        <v>0</v>
      </c>
      <c r="G54" s="42" t="str">
        <f>IFERROR(__xludf.DUMMYFUNCTION("""COMPUTED_VALUE"""),"-")</f>
        <v>-</v>
      </c>
      <c r="H54" s="42" t="str">
        <f>IFERROR(__xludf.DUMMYFUNCTION("""COMPUTED_VALUE"""),"-")</f>
        <v>-</v>
      </c>
      <c r="I54" s="42" t="str">
        <f>IFERROR(__xludf.DUMMYFUNCTION("""COMPUTED_VALUE"""),"-")</f>
        <v>-</v>
      </c>
      <c r="J54" s="42" t="str">
        <f>IFERROR(__xludf.DUMMYFUNCTION("""COMPUTED_VALUE"""),"-")</f>
        <v>-</v>
      </c>
      <c r="K54" s="42" t="str">
        <f>IFERROR(__xludf.DUMMYFUNCTION("""COMPUTED_VALUE"""),"-")</f>
        <v>-</v>
      </c>
      <c r="L54" s="42" t="str">
        <f>IFERROR(__xludf.DUMMYFUNCTION("""COMPUTED_VALUE"""),"-")</f>
        <v>-</v>
      </c>
      <c r="M54" s="42" t="str">
        <f>IFERROR(__xludf.DUMMYFUNCTION("""COMPUTED_VALUE"""),"-")</f>
        <v>-</v>
      </c>
      <c r="N54" s="42" t="str">
        <f>IFERROR(__xludf.DUMMYFUNCTION("""COMPUTED_VALUE"""),"-")</f>
        <v>-</v>
      </c>
      <c r="O54" s="42" t="str">
        <f>IFERROR(__xludf.DUMMYFUNCTION("""COMPUTED_VALUE"""),"-")</f>
        <v>-</v>
      </c>
      <c r="P54" s="42" t="str">
        <f>IFERROR(__xludf.DUMMYFUNCTION("""COMPUTED_VALUE"""),"-")</f>
        <v>-</v>
      </c>
      <c r="Q54" s="42" t="str">
        <f>IFERROR(__xludf.DUMMYFUNCTION("""COMPUTED_VALUE"""),"-")</f>
        <v>-</v>
      </c>
      <c r="R54" s="42" t="str">
        <f>IFERROR(__xludf.DUMMYFUNCTION("""COMPUTED_VALUE"""),"-")</f>
        <v>-</v>
      </c>
      <c r="S54" s="40">
        <f>IFERROR(__xludf.DUMMYFUNCTION("""COMPUTED_VALUE"""),0.0)</f>
        <v>0</v>
      </c>
      <c r="T54" s="40">
        <f>IFERROR(__xludf.DUMMYFUNCTION("""COMPUTED_VALUE"""),0.0)</f>
        <v>0</v>
      </c>
      <c r="U54" s="46" t="str">
        <f t="array" ref="U54">IF($D54="","",IFERROR(_xlfn.XLOOKUP($D54,'TIR店舗一覧'!$D:$D,'TIR店舗一覧'!$E:$E,""),""))</f>
        <v>YD</v>
      </c>
      <c r="V54" s="54">
        <v>0.0</v>
      </c>
      <c r="W54" s="54">
        <v>0.0</v>
      </c>
      <c r="X54" s="54">
        <v>0.0</v>
      </c>
      <c r="Y54" s="54">
        <v>0.0</v>
      </c>
      <c r="Z54" s="54">
        <v>0.0</v>
      </c>
      <c r="AA54" s="54">
        <v>0.0</v>
      </c>
      <c r="AB54" s="54">
        <v>0.0</v>
      </c>
      <c r="AC54" s="54">
        <v>0.0</v>
      </c>
      <c r="AD54" s="54">
        <v>0.0</v>
      </c>
      <c r="AE54" s="54">
        <v>0.0</v>
      </c>
      <c r="AF54" s="54">
        <v>0.0</v>
      </c>
      <c r="AG54" s="54">
        <v>0.0</v>
      </c>
    </row>
    <row r="55" ht="15.75" customHeight="1">
      <c r="B55" s="56">
        <f>IFERROR(__xludf.DUMMYFUNCTION("""COMPUTED_VALUE"""),46327.0)</f>
        <v>46327</v>
      </c>
      <c r="C55" s="38" t="str">
        <f>IFERROR(__xludf.DUMMYFUNCTION("""COMPUTED_VALUE"""),"関東")</f>
        <v>関東</v>
      </c>
      <c r="D55" s="38">
        <f>IFERROR(__xludf.DUMMYFUNCTION("""COMPUTED_VALUE"""),8655.0)</f>
        <v>8655</v>
      </c>
      <c r="E55" s="38" t="str">
        <f>IFERROR(__xludf.DUMMYFUNCTION("""COMPUTED_VALUE"""),"テックランド厚木店")</f>
        <v>テックランド厚木店</v>
      </c>
      <c r="F55" s="40">
        <f>IFERROR(__xludf.DUMMYFUNCTION("""COMPUTED_VALUE"""),0.0)</f>
        <v>0</v>
      </c>
      <c r="G55" s="42" t="str">
        <f>IFERROR(__xludf.DUMMYFUNCTION("""COMPUTED_VALUE"""),"-")</f>
        <v>-</v>
      </c>
      <c r="H55" s="42" t="str">
        <f>IFERROR(__xludf.DUMMYFUNCTION("""COMPUTED_VALUE"""),"-")</f>
        <v>-</v>
      </c>
      <c r="I55" s="42" t="str">
        <f>IFERROR(__xludf.DUMMYFUNCTION("""COMPUTED_VALUE"""),"-")</f>
        <v>-</v>
      </c>
      <c r="J55" s="42" t="str">
        <f>IFERROR(__xludf.DUMMYFUNCTION("""COMPUTED_VALUE"""),"-")</f>
        <v>-</v>
      </c>
      <c r="K55" s="42" t="str">
        <f>IFERROR(__xludf.DUMMYFUNCTION("""COMPUTED_VALUE"""),"-")</f>
        <v>-</v>
      </c>
      <c r="L55" s="42" t="str">
        <f>IFERROR(__xludf.DUMMYFUNCTION("""COMPUTED_VALUE"""),"-")</f>
        <v>-</v>
      </c>
      <c r="M55" s="42" t="str">
        <f>IFERROR(__xludf.DUMMYFUNCTION("""COMPUTED_VALUE"""),"-")</f>
        <v>-</v>
      </c>
      <c r="N55" s="42" t="str">
        <f>IFERROR(__xludf.DUMMYFUNCTION("""COMPUTED_VALUE"""),"-")</f>
        <v>-</v>
      </c>
      <c r="O55" s="42" t="str">
        <f>IFERROR(__xludf.DUMMYFUNCTION("""COMPUTED_VALUE"""),"-")</f>
        <v>-</v>
      </c>
      <c r="P55" s="42" t="str">
        <f>IFERROR(__xludf.DUMMYFUNCTION("""COMPUTED_VALUE"""),"-")</f>
        <v>-</v>
      </c>
      <c r="Q55" s="42" t="str">
        <f>IFERROR(__xludf.DUMMYFUNCTION("""COMPUTED_VALUE"""),"-")</f>
        <v>-</v>
      </c>
      <c r="R55" s="42" t="str">
        <f>IFERROR(__xludf.DUMMYFUNCTION("""COMPUTED_VALUE"""),"-")</f>
        <v>-</v>
      </c>
      <c r="S55" s="40">
        <f>IFERROR(__xludf.DUMMYFUNCTION("""COMPUTED_VALUE"""),0.0)</f>
        <v>0</v>
      </c>
      <c r="T55" s="40">
        <f>IFERROR(__xludf.DUMMYFUNCTION("""COMPUTED_VALUE"""),0.0)</f>
        <v>0</v>
      </c>
      <c r="U55" s="46" t="str">
        <f t="array" ref="U55">IF($D55="","",IFERROR(_xlfn.XLOOKUP($D55,'TIR店舗一覧'!$D:$D,'TIR店舗一覧'!$E:$E,""),""))</f>
        <v>YD</v>
      </c>
      <c r="V55" s="54">
        <v>0.0</v>
      </c>
      <c r="W55" s="54">
        <v>0.0</v>
      </c>
      <c r="X55" s="54">
        <v>0.0</v>
      </c>
      <c r="Y55" s="54">
        <v>0.0</v>
      </c>
      <c r="Z55" s="54">
        <v>0.0</v>
      </c>
      <c r="AA55" s="54">
        <v>0.0</v>
      </c>
      <c r="AB55" s="54">
        <v>0.0</v>
      </c>
      <c r="AC55" s="54">
        <v>0.0</v>
      </c>
      <c r="AD55" s="54">
        <v>0.0</v>
      </c>
      <c r="AE55" s="54">
        <v>0.0</v>
      </c>
      <c r="AF55" s="54">
        <v>0.0</v>
      </c>
      <c r="AG55" s="54">
        <v>0.0</v>
      </c>
    </row>
    <row r="56" ht="15.75" customHeight="1">
      <c r="B56" s="56">
        <f>IFERROR(__xludf.DUMMYFUNCTION("""COMPUTED_VALUE"""),46327.0)</f>
        <v>46327</v>
      </c>
      <c r="C56" s="38" t="str">
        <f>IFERROR(__xludf.DUMMYFUNCTION("""COMPUTED_VALUE"""),"関東")</f>
        <v>関東</v>
      </c>
      <c r="D56" s="38">
        <f>IFERROR(__xludf.DUMMYFUNCTION("""COMPUTED_VALUE"""),8861.0)</f>
        <v>8861</v>
      </c>
      <c r="E56" s="38" t="str">
        <f>IFERROR(__xludf.DUMMYFUNCTION("""COMPUTED_VALUE"""),"テックランド古河店")</f>
        <v>テックランド古河店</v>
      </c>
      <c r="F56" s="40">
        <f>IFERROR(__xludf.DUMMYFUNCTION("""COMPUTED_VALUE"""),0.0)</f>
        <v>0</v>
      </c>
      <c r="G56" s="42" t="str">
        <f>IFERROR(__xludf.DUMMYFUNCTION("""COMPUTED_VALUE"""),"-")</f>
        <v>-</v>
      </c>
      <c r="H56" s="42" t="str">
        <f>IFERROR(__xludf.DUMMYFUNCTION("""COMPUTED_VALUE"""),"-")</f>
        <v>-</v>
      </c>
      <c r="I56" s="42" t="str">
        <f>IFERROR(__xludf.DUMMYFUNCTION("""COMPUTED_VALUE"""),"-")</f>
        <v>-</v>
      </c>
      <c r="J56" s="42" t="str">
        <f>IFERROR(__xludf.DUMMYFUNCTION("""COMPUTED_VALUE"""),"-")</f>
        <v>-</v>
      </c>
      <c r="K56" s="42" t="str">
        <f>IFERROR(__xludf.DUMMYFUNCTION("""COMPUTED_VALUE"""),"-")</f>
        <v>-</v>
      </c>
      <c r="L56" s="42" t="str">
        <f>IFERROR(__xludf.DUMMYFUNCTION("""COMPUTED_VALUE"""),"-")</f>
        <v>-</v>
      </c>
      <c r="M56" s="42" t="str">
        <f>IFERROR(__xludf.DUMMYFUNCTION("""COMPUTED_VALUE"""),"-")</f>
        <v>-</v>
      </c>
      <c r="N56" s="42" t="str">
        <f>IFERROR(__xludf.DUMMYFUNCTION("""COMPUTED_VALUE"""),"-")</f>
        <v>-</v>
      </c>
      <c r="O56" s="42" t="str">
        <f>IFERROR(__xludf.DUMMYFUNCTION("""COMPUTED_VALUE"""),"-")</f>
        <v>-</v>
      </c>
      <c r="P56" s="42" t="str">
        <f>IFERROR(__xludf.DUMMYFUNCTION("""COMPUTED_VALUE"""),"-")</f>
        <v>-</v>
      </c>
      <c r="Q56" s="42" t="str">
        <f>IFERROR(__xludf.DUMMYFUNCTION("""COMPUTED_VALUE"""),"-")</f>
        <v>-</v>
      </c>
      <c r="R56" s="42" t="str">
        <f>IFERROR(__xludf.DUMMYFUNCTION("""COMPUTED_VALUE"""),"-")</f>
        <v>-</v>
      </c>
      <c r="S56" s="40">
        <f>IFERROR(__xludf.DUMMYFUNCTION("""COMPUTED_VALUE"""),0.0)</f>
        <v>0</v>
      </c>
      <c r="T56" s="40">
        <f>IFERROR(__xludf.DUMMYFUNCTION("""COMPUTED_VALUE"""),0.0)</f>
        <v>0</v>
      </c>
      <c r="U56" s="46" t="str">
        <f t="array" ref="U56">IF($D56="","",IFERROR(_xlfn.XLOOKUP($D56,'TIR店舗一覧'!$D:$D,'TIR店舗一覧'!$E:$E,""),""))</f>
        <v>YD</v>
      </c>
      <c r="V56" s="54">
        <v>0.0</v>
      </c>
      <c r="W56" s="54">
        <v>0.0</v>
      </c>
      <c r="X56" s="54">
        <v>0.0</v>
      </c>
      <c r="Y56" s="54">
        <v>0.0</v>
      </c>
      <c r="Z56" s="54">
        <v>0.0</v>
      </c>
      <c r="AA56" s="54">
        <v>0.0</v>
      </c>
      <c r="AB56" s="54">
        <v>0.0</v>
      </c>
      <c r="AC56" s="54">
        <v>0.0</v>
      </c>
      <c r="AD56" s="54">
        <v>0.0</v>
      </c>
      <c r="AE56" s="54">
        <v>0.0</v>
      </c>
      <c r="AF56" s="54">
        <v>0.0</v>
      </c>
      <c r="AG56" s="54">
        <v>0.0</v>
      </c>
    </row>
    <row r="57" ht="15.75" customHeight="1">
      <c r="B57" s="56">
        <f>IFERROR(__xludf.DUMMYFUNCTION("""COMPUTED_VALUE"""),46327.0)</f>
        <v>46327</v>
      </c>
      <c r="C57" s="38" t="str">
        <f>IFERROR(__xludf.DUMMYFUNCTION("""COMPUTED_VALUE"""),"関東")</f>
        <v>関東</v>
      </c>
      <c r="D57" s="38">
        <f>IFERROR(__xludf.DUMMYFUNCTION("""COMPUTED_VALUE"""),7691.0)</f>
        <v>7691</v>
      </c>
      <c r="E57" s="38" t="str">
        <f>IFERROR(__xludf.DUMMYFUNCTION("""COMPUTED_VALUE"""),"テックランド横浜泉店")</f>
        <v>テックランド横浜泉店</v>
      </c>
      <c r="F57" s="40">
        <f>IFERROR(__xludf.DUMMYFUNCTION("""COMPUTED_VALUE"""),0.0)</f>
        <v>0</v>
      </c>
      <c r="G57" s="42" t="str">
        <f>IFERROR(__xludf.DUMMYFUNCTION("""COMPUTED_VALUE"""),"-")</f>
        <v>-</v>
      </c>
      <c r="H57" s="42" t="str">
        <f>IFERROR(__xludf.DUMMYFUNCTION("""COMPUTED_VALUE"""),"-")</f>
        <v>-</v>
      </c>
      <c r="I57" s="42" t="str">
        <f>IFERROR(__xludf.DUMMYFUNCTION("""COMPUTED_VALUE"""),"-")</f>
        <v>-</v>
      </c>
      <c r="J57" s="42" t="str">
        <f>IFERROR(__xludf.DUMMYFUNCTION("""COMPUTED_VALUE"""),"-")</f>
        <v>-</v>
      </c>
      <c r="K57" s="42" t="str">
        <f>IFERROR(__xludf.DUMMYFUNCTION("""COMPUTED_VALUE"""),"-")</f>
        <v>-</v>
      </c>
      <c r="L57" s="42" t="str">
        <f>IFERROR(__xludf.DUMMYFUNCTION("""COMPUTED_VALUE"""),"-")</f>
        <v>-</v>
      </c>
      <c r="M57" s="42" t="str">
        <f>IFERROR(__xludf.DUMMYFUNCTION("""COMPUTED_VALUE"""),"-")</f>
        <v>-</v>
      </c>
      <c r="N57" s="42" t="str">
        <f>IFERROR(__xludf.DUMMYFUNCTION("""COMPUTED_VALUE"""),"-")</f>
        <v>-</v>
      </c>
      <c r="O57" s="42" t="str">
        <f>IFERROR(__xludf.DUMMYFUNCTION("""COMPUTED_VALUE"""),"-")</f>
        <v>-</v>
      </c>
      <c r="P57" s="42" t="str">
        <f>IFERROR(__xludf.DUMMYFUNCTION("""COMPUTED_VALUE"""),"-")</f>
        <v>-</v>
      </c>
      <c r="Q57" s="42" t="str">
        <f>IFERROR(__xludf.DUMMYFUNCTION("""COMPUTED_VALUE"""),"-")</f>
        <v>-</v>
      </c>
      <c r="R57" s="42" t="str">
        <f>IFERROR(__xludf.DUMMYFUNCTION("""COMPUTED_VALUE"""),"-")</f>
        <v>-</v>
      </c>
      <c r="S57" s="40">
        <f>IFERROR(__xludf.DUMMYFUNCTION("""COMPUTED_VALUE"""),0.0)</f>
        <v>0</v>
      </c>
      <c r="T57" s="40">
        <f>IFERROR(__xludf.DUMMYFUNCTION("""COMPUTED_VALUE"""),0.0)</f>
        <v>0</v>
      </c>
      <c r="U57" s="46" t="str">
        <f t="array" ref="U57">IF($D57="","",IFERROR(_xlfn.XLOOKUP($D57,'TIR店舗一覧'!$D:$D,'TIR店舗一覧'!$E:$E,""),""))</f>
        <v>YD</v>
      </c>
      <c r="V57" s="54">
        <v>0.0</v>
      </c>
      <c r="W57" s="54">
        <v>0.0</v>
      </c>
      <c r="X57" s="54">
        <v>0.0</v>
      </c>
      <c r="Y57" s="54">
        <v>0.0</v>
      </c>
      <c r="Z57" s="54">
        <v>0.0</v>
      </c>
      <c r="AA57" s="54">
        <v>0.0</v>
      </c>
      <c r="AB57" s="54">
        <v>0.0</v>
      </c>
      <c r="AC57" s="54">
        <v>0.0</v>
      </c>
      <c r="AD57" s="54">
        <v>0.0</v>
      </c>
      <c r="AE57" s="54">
        <v>0.0</v>
      </c>
      <c r="AF57" s="54">
        <v>0.0</v>
      </c>
      <c r="AG57" s="54">
        <v>0.0</v>
      </c>
    </row>
    <row r="58" ht="15.75" customHeight="1">
      <c r="B58" s="56">
        <f>IFERROR(__xludf.DUMMYFUNCTION("""COMPUTED_VALUE"""),46327.0)</f>
        <v>46327</v>
      </c>
      <c r="C58" s="38" t="str">
        <f>IFERROR(__xludf.DUMMYFUNCTION("""COMPUTED_VALUE"""),"関東")</f>
        <v>関東</v>
      </c>
      <c r="D58" s="38">
        <f>IFERROR(__xludf.DUMMYFUNCTION("""COMPUTED_VALUE"""),8626.0)</f>
        <v>8626</v>
      </c>
      <c r="E58" s="38" t="str">
        <f>IFERROR(__xludf.DUMMYFUNCTION("""COMPUTED_VALUE"""),"テックランド 横須賀店")</f>
        <v>テックランド 横須賀店</v>
      </c>
      <c r="F58" s="40">
        <f>IFERROR(__xludf.DUMMYFUNCTION("""COMPUTED_VALUE"""),0.0)</f>
        <v>0</v>
      </c>
      <c r="G58" s="42" t="str">
        <f>IFERROR(__xludf.DUMMYFUNCTION("""COMPUTED_VALUE"""),"-")</f>
        <v>-</v>
      </c>
      <c r="H58" s="42" t="str">
        <f>IFERROR(__xludf.DUMMYFUNCTION("""COMPUTED_VALUE"""),"-")</f>
        <v>-</v>
      </c>
      <c r="I58" s="42" t="str">
        <f>IFERROR(__xludf.DUMMYFUNCTION("""COMPUTED_VALUE"""),"-")</f>
        <v>-</v>
      </c>
      <c r="J58" s="42" t="str">
        <f>IFERROR(__xludf.DUMMYFUNCTION("""COMPUTED_VALUE"""),"-")</f>
        <v>-</v>
      </c>
      <c r="K58" s="42" t="str">
        <f>IFERROR(__xludf.DUMMYFUNCTION("""COMPUTED_VALUE"""),"-")</f>
        <v>-</v>
      </c>
      <c r="L58" s="42" t="str">
        <f>IFERROR(__xludf.DUMMYFUNCTION("""COMPUTED_VALUE"""),"-")</f>
        <v>-</v>
      </c>
      <c r="M58" s="42" t="str">
        <f>IFERROR(__xludf.DUMMYFUNCTION("""COMPUTED_VALUE"""),"-")</f>
        <v>-</v>
      </c>
      <c r="N58" s="42" t="str">
        <f>IFERROR(__xludf.DUMMYFUNCTION("""COMPUTED_VALUE"""),"-")</f>
        <v>-</v>
      </c>
      <c r="O58" s="42" t="str">
        <f>IFERROR(__xludf.DUMMYFUNCTION("""COMPUTED_VALUE"""),"-")</f>
        <v>-</v>
      </c>
      <c r="P58" s="42" t="str">
        <f>IFERROR(__xludf.DUMMYFUNCTION("""COMPUTED_VALUE"""),"-")</f>
        <v>-</v>
      </c>
      <c r="Q58" s="42" t="str">
        <f>IFERROR(__xludf.DUMMYFUNCTION("""COMPUTED_VALUE"""),"-")</f>
        <v>-</v>
      </c>
      <c r="R58" s="42" t="str">
        <f>IFERROR(__xludf.DUMMYFUNCTION("""COMPUTED_VALUE"""),"-")</f>
        <v>-</v>
      </c>
      <c r="S58" s="40">
        <f>IFERROR(__xludf.DUMMYFUNCTION("""COMPUTED_VALUE"""),0.0)</f>
        <v>0</v>
      </c>
      <c r="T58" s="40">
        <f>IFERROR(__xludf.DUMMYFUNCTION("""COMPUTED_VALUE"""),0.0)</f>
        <v>0</v>
      </c>
      <c r="U58" s="46" t="str">
        <f t="array" ref="U58">IF($D58="","",IFERROR(_xlfn.XLOOKUP($D58,'TIR店舗一覧'!$D:$D,'TIR店舗一覧'!$E:$E,""),""))</f>
        <v>YD</v>
      </c>
      <c r="V58" s="54">
        <v>0.0</v>
      </c>
      <c r="W58" s="54">
        <v>0.0</v>
      </c>
      <c r="X58" s="54">
        <v>0.0</v>
      </c>
      <c r="Y58" s="54">
        <v>0.0</v>
      </c>
      <c r="Z58" s="54">
        <v>0.0</v>
      </c>
      <c r="AA58" s="54">
        <v>0.0</v>
      </c>
      <c r="AB58" s="54">
        <v>0.0</v>
      </c>
      <c r="AC58" s="54">
        <v>0.0</v>
      </c>
      <c r="AD58" s="54">
        <v>0.0</v>
      </c>
      <c r="AE58" s="54">
        <v>0.0</v>
      </c>
      <c r="AF58" s="54">
        <v>0.0</v>
      </c>
      <c r="AG58" s="54">
        <v>0.0</v>
      </c>
    </row>
    <row r="59" ht="15.75" customHeight="1">
      <c r="B59" s="56">
        <f>IFERROR(__xludf.DUMMYFUNCTION("""COMPUTED_VALUE"""),46327.0)</f>
        <v>46327</v>
      </c>
      <c r="C59" s="38" t="str">
        <f>IFERROR(__xludf.DUMMYFUNCTION("""COMPUTED_VALUE"""),"関東")</f>
        <v>関東</v>
      </c>
      <c r="D59" s="38">
        <f>IFERROR(__xludf.DUMMYFUNCTION("""COMPUTED_VALUE"""),8956.0)</f>
        <v>8956</v>
      </c>
      <c r="E59" s="38" t="str">
        <f>IFERROR(__xludf.DUMMYFUNCTION("""COMPUTED_VALUE"""),"ケーズデンキ 君津店")</f>
        <v>ケーズデンキ 君津店</v>
      </c>
      <c r="F59" s="40">
        <f>IFERROR(__xludf.DUMMYFUNCTION("""COMPUTED_VALUE"""),0.0)</f>
        <v>0</v>
      </c>
      <c r="G59" s="42" t="str">
        <f>IFERROR(__xludf.DUMMYFUNCTION("""COMPUTED_VALUE"""),"-")</f>
        <v>-</v>
      </c>
      <c r="H59" s="42" t="str">
        <f>IFERROR(__xludf.DUMMYFUNCTION("""COMPUTED_VALUE"""),"-")</f>
        <v>-</v>
      </c>
      <c r="I59" s="42" t="str">
        <f>IFERROR(__xludf.DUMMYFUNCTION("""COMPUTED_VALUE"""),"-")</f>
        <v>-</v>
      </c>
      <c r="J59" s="42" t="str">
        <f>IFERROR(__xludf.DUMMYFUNCTION("""COMPUTED_VALUE"""),"-")</f>
        <v>-</v>
      </c>
      <c r="K59" s="42" t="str">
        <f>IFERROR(__xludf.DUMMYFUNCTION("""COMPUTED_VALUE"""),"-")</f>
        <v>-</v>
      </c>
      <c r="L59" s="42" t="str">
        <f>IFERROR(__xludf.DUMMYFUNCTION("""COMPUTED_VALUE"""),"-")</f>
        <v>-</v>
      </c>
      <c r="M59" s="42" t="str">
        <f>IFERROR(__xludf.DUMMYFUNCTION("""COMPUTED_VALUE"""),"-")</f>
        <v>-</v>
      </c>
      <c r="N59" s="42" t="str">
        <f>IFERROR(__xludf.DUMMYFUNCTION("""COMPUTED_VALUE"""),"-")</f>
        <v>-</v>
      </c>
      <c r="O59" s="42" t="str">
        <f>IFERROR(__xludf.DUMMYFUNCTION("""COMPUTED_VALUE"""),"-")</f>
        <v>-</v>
      </c>
      <c r="P59" s="42" t="str">
        <f>IFERROR(__xludf.DUMMYFUNCTION("""COMPUTED_VALUE"""),"-")</f>
        <v>-</v>
      </c>
      <c r="Q59" s="42" t="str">
        <f>IFERROR(__xludf.DUMMYFUNCTION("""COMPUTED_VALUE"""),"-")</f>
        <v>-</v>
      </c>
      <c r="R59" s="42" t="str">
        <f>IFERROR(__xludf.DUMMYFUNCTION("""COMPUTED_VALUE"""),"-")</f>
        <v>-</v>
      </c>
      <c r="S59" s="40">
        <f>IFERROR(__xludf.DUMMYFUNCTION("""COMPUTED_VALUE"""),0.0)</f>
        <v>0</v>
      </c>
      <c r="T59" s="40">
        <f>IFERROR(__xludf.DUMMYFUNCTION("""COMPUTED_VALUE"""),0.0)</f>
        <v>0</v>
      </c>
      <c r="U59" s="46" t="str">
        <f t="array" ref="U59">IF($D59="","",IFERROR(_xlfn.XLOOKUP($D59,'TIR店舗一覧'!$D:$D,'TIR店舗一覧'!$E:$E,""),""))</f>
        <v>KS</v>
      </c>
      <c r="V59" s="54">
        <v>0.0</v>
      </c>
      <c r="W59" s="54">
        <v>0.0</v>
      </c>
      <c r="X59" s="54">
        <v>0.0</v>
      </c>
      <c r="Y59" s="54">
        <v>0.0</v>
      </c>
      <c r="Z59" s="54">
        <v>0.0</v>
      </c>
      <c r="AA59" s="54">
        <v>0.0</v>
      </c>
      <c r="AB59" s="54">
        <v>0.0</v>
      </c>
      <c r="AC59" s="54">
        <v>0.0</v>
      </c>
      <c r="AD59" s="54">
        <v>0.0</v>
      </c>
      <c r="AE59" s="54">
        <v>0.0</v>
      </c>
      <c r="AF59" s="54">
        <v>0.0</v>
      </c>
      <c r="AG59" s="54">
        <v>0.0</v>
      </c>
    </row>
    <row r="60" ht="15.75" customHeight="1">
      <c r="B60" s="56">
        <f>IFERROR(__xludf.DUMMYFUNCTION("""COMPUTED_VALUE"""),46327.0)</f>
        <v>46327</v>
      </c>
      <c r="C60" s="38" t="str">
        <f>IFERROR(__xludf.DUMMYFUNCTION("""COMPUTED_VALUE"""),"関東")</f>
        <v>関東</v>
      </c>
      <c r="D60" s="38">
        <f>IFERROR(__xludf.DUMMYFUNCTION("""COMPUTED_VALUE"""),7671.0)</f>
        <v>7671</v>
      </c>
      <c r="E60" s="38" t="str">
        <f>IFERROR(__xludf.DUMMYFUNCTION("""COMPUTED_VALUE"""),"Tecc LIFE SELECT 港北センター店")</f>
        <v>Tecc LIFE SELECT 港北センター店</v>
      </c>
      <c r="F60" s="40">
        <f>IFERROR(__xludf.DUMMYFUNCTION("""COMPUTED_VALUE"""),0.0)</f>
        <v>0</v>
      </c>
      <c r="G60" s="42" t="str">
        <f>IFERROR(__xludf.DUMMYFUNCTION("""COMPUTED_VALUE"""),"-")</f>
        <v>-</v>
      </c>
      <c r="H60" s="42" t="str">
        <f>IFERROR(__xludf.DUMMYFUNCTION("""COMPUTED_VALUE"""),"-")</f>
        <v>-</v>
      </c>
      <c r="I60" s="42" t="str">
        <f>IFERROR(__xludf.DUMMYFUNCTION("""COMPUTED_VALUE"""),"-")</f>
        <v>-</v>
      </c>
      <c r="J60" s="42" t="str">
        <f>IFERROR(__xludf.DUMMYFUNCTION("""COMPUTED_VALUE"""),"-")</f>
        <v>-</v>
      </c>
      <c r="K60" s="42" t="str">
        <f>IFERROR(__xludf.DUMMYFUNCTION("""COMPUTED_VALUE"""),"-")</f>
        <v>-</v>
      </c>
      <c r="L60" s="42" t="str">
        <f>IFERROR(__xludf.DUMMYFUNCTION("""COMPUTED_VALUE"""),"-")</f>
        <v>-</v>
      </c>
      <c r="M60" s="42" t="str">
        <f>IFERROR(__xludf.DUMMYFUNCTION("""COMPUTED_VALUE"""),"-")</f>
        <v>-</v>
      </c>
      <c r="N60" s="42" t="str">
        <f>IFERROR(__xludf.DUMMYFUNCTION("""COMPUTED_VALUE"""),"-")</f>
        <v>-</v>
      </c>
      <c r="O60" s="42" t="str">
        <f>IFERROR(__xludf.DUMMYFUNCTION("""COMPUTED_VALUE"""),"-")</f>
        <v>-</v>
      </c>
      <c r="P60" s="42" t="str">
        <f>IFERROR(__xludf.DUMMYFUNCTION("""COMPUTED_VALUE"""),"-")</f>
        <v>-</v>
      </c>
      <c r="Q60" s="42" t="str">
        <f>IFERROR(__xludf.DUMMYFUNCTION("""COMPUTED_VALUE"""),"-")</f>
        <v>-</v>
      </c>
      <c r="R60" s="42" t="str">
        <f>IFERROR(__xludf.DUMMYFUNCTION("""COMPUTED_VALUE"""),"-")</f>
        <v>-</v>
      </c>
      <c r="S60" s="40">
        <f>IFERROR(__xludf.DUMMYFUNCTION("""COMPUTED_VALUE"""),0.0)</f>
        <v>0</v>
      </c>
      <c r="T60" s="40">
        <f>IFERROR(__xludf.DUMMYFUNCTION("""COMPUTED_VALUE"""),0.0)</f>
        <v>0</v>
      </c>
      <c r="U60" s="46" t="str">
        <f t="array" ref="U60">IF($D60="","",IFERROR(_xlfn.XLOOKUP($D60,'TIR店舗一覧'!$D:$D,'TIR店舗一覧'!$E:$E,""),""))</f>
        <v>YD</v>
      </c>
      <c r="V60" s="54">
        <v>0.0</v>
      </c>
      <c r="W60" s="54">
        <v>0.0</v>
      </c>
      <c r="X60" s="54">
        <v>0.0</v>
      </c>
      <c r="Y60" s="54">
        <v>0.0</v>
      </c>
      <c r="Z60" s="54">
        <v>0.0</v>
      </c>
      <c r="AA60" s="54">
        <v>0.0</v>
      </c>
      <c r="AB60" s="54">
        <v>0.0</v>
      </c>
      <c r="AC60" s="54">
        <v>0.0</v>
      </c>
      <c r="AD60" s="54">
        <v>0.0</v>
      </c>
      <c r="AE60" s="54">
        <v>0.0</v>
      </c>
      <c r="AF60" s="54">
        <v>0.0</v>
      </c>
      <c r="AG60" s="54">
        <v>0.0</v>
      </c>
    </row>
    <row r="61" ht="15.75" customHeight="1">
      <c r="B61" s="56">
        <f>IFERROR(__xludf.DUMMYFUNCTION("""COMPUTED_VALUE"""),46327.0)</f>
        <v>46327</v>
      </c>
      <c r="C61" s="38" t="str">
        <f>IFERROR(__xludf.DUMMYFUNCTION("""COMPUTED_VALUE"""),"関東")</f>
        <v>関東</v>
      </c>
      <c r="D61" s="38">
        <f>IFERROR(__xludf.DUMMYFUNCTION("""COMPUTED_VALUE"""),8848.0)</f>
        <v>8848</v>
      </c>
      <c r="E61" s="38" t="str">
        <f>IFERROR(__xludf.DUMMYFUNCTION("""COMPUTED_VALUE"""),"Tecc LIFE SELECT ムサシ久喜菖蒲店")</f>
        <v>Tecc LIFE SELECT ムサシ久喜菖蒲店</v>
      </c>
      <c r="F61" s="40">
        <f>IFERROR(__xludf.DUMMYFUNCTION("""COMPUTED_VALUE"""),0.0)</f>
        <v>0</v>
      </c>
      <c r="G61" s="42" t="str">
        <f>IFERROR(__xludf.DUMMYFUNCTION("""COMPUTED_VALUE"""),"-")</f>
        <v>-</v>
      </c>
      <c r="H61" s="42" t="str">
        <f>IFERROR(__xludf.DUMMYFUNCTION("""COMPUTED_VALUE"""),"-")</f>
        <v>-</v>
      </c>
      <c r="I61" s="42" t="str">
        <f>IFERROR(__xludf.DUMMYFUNCTION("""COMPUTED_VALUE"""),"-")</f>
        <v>-</v>
      </c>
      <c r="J61" s="42" t="str">
        <f>IFERROR(__xludf.DUMMYFUNCTION("""COMPUTED_VALUE"""),"-")</f>
        <v>-</v>
      </c>
      <c r="K61" s="42" t="str">
        <f>IFERROR(__xludf.DUMMYFUNCTION("""COMPUTED_VALUE"""),"-")</f>
        <v>-</v>
      </c>
      <c r="L61" s="42" t="str">
        <f>IFERROR(__xludf.DUMMYFUNCTION("""COMPUTED_VALUE"""),"-")</f>
        <v>-</v>
      </c>
      <c r="M61" s="42" t="str">
        <f>IFERROR(__xludf.DUMMYFUNCTION("""COMPUTED_VALUE"""),"-")</f>
        <v>-</v>
      </c>
      <c r="N61" s="42" t="str">
        <f>IFERROR(__xludf.DUMMYFUNCTION("""COMPUTED_VALUE"""),"-")</f>
        <v>-</v>
      </c>
      <c r="O61" s="42" t="str">
        <f>IFERROR(__xludf.DUMMYFUNCTION("""COMPUTED_VALUE"""),"-")</f>
        <v>-</v>
      </c>
      <c r="P61" s="42" t="str">
        <f>IFERROR(__xludf.DUMMYFUNCTION("""COMPUTED_VALUE"""),"-")</f>
        <v>-</v>
      </c>
      <c r="Q61" s="42" t="str">
        <f>IFERROR(__xludf.DUMMYFUNCTION("""COMPUTED_VALUE"""),"-")</f>
        <v>-</v>
      </c>
      <c r="R61" s="42" t="str">
        <f>IFERROR(__xludf.DUMMYFUNCTION("""COMPUTED_VALUE"""),"-")</f>
        <v>-</v>
      </c>
      <c r="S61" s="40">
        <f>IFERROR(__xludf.DUMMYFUNCTION("""COMPUTED_VALUE"""),0.0)</f>
        <v>0</v>
      </c>
      <c r="T61" s="40">
        <f>IFERROR(__xludf.DUMMYFUNCTION("""COMPUTED_VALUE"""),0.0)</f>
        <v>0</v>
      </c>
      <c r="U61" s="46" t="str">
        <f t="array" ref="U61">IF($D61="","",IFERROR(_xlfn.XLOOKUP($D61,'TIR店舗一覧'!$D:$D,'TIR店舗一覧'!$E:$E,""),""))</f>
        <v>YD</v>
      </c>
      <c r="V61" s="54">
        <v>0.0</v>
      </c>
      <c r="W61" s="54">
        <v>0.0</v>
      </c>
      <c r="X61" s="54">
        <v>0.0</v>
      </c>
      <c r="Y61" s="54">
        <v>0.0</v>
      </c>
      <c r="Z61" s="54">
        <v>0.0</v>
      </c>
      <c r="AA61" s="54">
        <v>0.0</v>
      </c>
      <c r="AB61" s="54">
        <v>0.0</v>
      </c>
      <c r="AC61" s="54">
        <v>0.0</v>
      </c>
      <c r="AD61" s="54">
        <v>0.0</v>
      </c>
      <c r="AE61" s="54">
        <v>0.0</v>
      </c>
      <c r="AF61" s="54">
        <v>0.0</v>
      </c>
      <c r="AG61" s="54">
        <v>0.0</v>
      </c>
    </row>
    <row r="62" ht="15.75" customHeight="1">
      <c r="B62" s="56">
        <f>IFERROR(__xludf.DUMMYFUNCTION("""COMPUTED_VALUE"""),46327.0)</f>
        <v>46327</v>
      </c>
      <c r="C62" s="38" t="str">
        <f>IFERROR(__xludf.DUMMYFUNCTION("""COMPUTED_VALUE"""),"中部")</f>
        <v>中部</v>
      </c>
      <c r="D62" s="38">
        <f>IFERROR(__xludf.DUMMYFUNCTION("""COMPUTED_VALUE"""),8816.0)</f>
        <v>8816</v>
      </c>
      <c r="E62" s="38" t="str">
        <f>IFERROR(__xludf.DUMMYFUNCTION("""COMPUTED_VALUE"""),"テックランド金沢本店")</f>
        <v>テックランド金沢本店</v>
      </c>
      <c r="F62" s="40">
        <f>IFERROR(__xludf.DUMMYFUNCTION("""COMPUTED_VALUE"""),38.0)</f>
        <v>38</v>
      </c>
      <c r="G62" s="42">
        <f>IFERROR(__xludf.DUMMYFUNCTION("""COMPUTED_VALUE"""),0.0)</f>
        <v>0</v>
      </c>
      <c r="H62" s="42">
        <f>IFERROR(__xludf.DUMMYFUNCTION("""COMPUTED_VALUE"""),0.0)</f>
        <v>0</v>
      </c>
      <c r="I62" s="42">
        <f>IFERROR(__xludf.DUMMYFUNCTION("""COMPUTED_VALUE"""),0.0)</f>
        <v>0</v>
      </c>
      <c r="J62" s="42">
        <f>IFERROR(__xludf.DUMMYFUNCTION("""COMPUTED_VALUE"""),0.0)</f>
        <v>0</v>
      </c>
      <c r="K62" s="42">
        <f>IFERROR(__xludf.DUMMYFUNCTION("""COMPUTED_VALUE"""),0.0)</f>
        <v>0</v>
      </c>
      <c r="L62" s="42">
        <f>IFERROR(__xludf.DUMMYFUNCTION("""COMPUTED_VALUE"""),1.0)</f>
        <v>1</v>
      </c>
      <c r="M62" s="42">
        <f>IFERROR(__xludf.DUMMYFUNCTION("""COMPUTED_VALUE"""),0.0)</f>
        <v>0</v>
      </c>
      <c r="N62" s="42">
        <f>IFERROR(__xludf.DUMMYFUNCTION("""COMPUTED_VALUE"""),0.0)</f>
        <v>0</v>
      </c>
      <c r="O62" s="42">
        <f>IFERROR(__xludf.DUMMYFUNCTION("""COMPUTED_VALUE"""),0.0)</f>
        <v>0</v>
      </c>
      <c r="P62" s="42">
        <f>IFERROR(__xludf.DUMMYFUNCTION("""COMPUTED_VALUE"""),0.0)</f>
        <v>0</v>
      </c>
      <c r="Q62" s="42">
        <f>IFERROR(__xludf.DUMMYFUNCTION("""COMPUTED_VALUE"""),0.0)</f>
        <v>0</v>
      </c>
      <c r="R62" s="42">
        <f>IFERROR(__xludf.DUMMYFUNCTION("""COMPUTED_VALUE"""),1.0)</f>
        <v>1</v>
      </c>
      <c r="S62" s="40">
        <f>IFERROR(__xludf.DUMMYFUNCTION("""COMPUTED_VALUE"""),38.0)</f>
        <v>38</v>
      </c>
      <c r="T62" s="40">
        <f>IFERROR(__xludf.DUMMYFUNCTION("""COMPUTED_VALUE"""),38.0)</f>
        <v>38</v>
      </c>
      <c r="U62" s="46" t="str">
        <f t="array" ref="U62">IF($D62="","",IFERROR(_xlfn.XLOOKUP($D62,'TIR店舗一覧'!$D:$D,'TIR店舗一覧'!$E:$E,""),""))</f>
        <v>YD</v>
      </c>
      <c r="V62" s="54">
        <v>0.0</v>
      </c>
      <c r="W62" s="54">
        <v>0.0</v>
      </c>
      <c r="X62" s="54">
        <v>0.0</v>
      </c>
      <c r="Y62" s="54">
        <v>0.0</v>
      </c>
      <c r="Z62" s="54">
        <v>0.0</v>
      </c>
      <c r="AA62" s="54">
        <v>38.0</v>
      </c>
      <c r="AB62" s="54">
        <v>0.0</v>
      </c>
      <c r="AC62" s="54">
        <v>0.0</v>
      </c>
      <c r="AD62" s="54">
        <v>0.0</v>
      </c>
      <c r="AE62" s="54">
        <v>0.0</v>
      </c>
      <c r="AF62" s="54">
        <v>0.0</v>
      </c>
      <c r="AG62" s="54">
        <v>38.0</v>
      </c>
    </row>
    <row r="63" ht="15.75" customHeight="1">
      <c r="B63" s="56">
        <f>IFERROR(__xludf.DUMMYFUNCTION("""COMPUTED_VALUE"""),46327.0)</f>
        <v>46327</v>
      </c>
      <c r="C63" s="38" t="str">
        <f>IFERROR(__xludf.DUMMYFUNCTION("""COMPUTED_VALUE"""),"中部")</f>
        <v>中部</v>
      </c>
      <c r="D63" s="38">
        <f>IFERROR(__xludf.DUMMYFUNCTION("""COMPUTED_VALUE"""),8839.0)</f>
        <v>8839</v>
      </c>
      <c r="E63" s="38" t="str">
        <f>IFERROR(__xludf.DUMMYFUNCTION("""COMPUTED_VALUE"""),"テックランド金沢大桑店")</f>
        <v>テックランド金沢大桑店</v>
      </c>
      <c r="F63" s="40">
        <f>IFERROR(__xludf.DUMMYFUNCTION("""COMPUTED_VALUE"""),29.0)</f>
        <v>29</v>
      </c>
      <c r="G63" s="42">
        <f>IFERROR(__xludf.DUMMYFUNCTION("""COMPUTED_VALUE"""),0.0)</f>
        <v>0</v>
      </c>
      <c r="H63" s="42">
        <f>IFERROR(__xludf.DUMMYFUNCTION("""COMPUTED_VALUE"""),0.0)</f>
        <v>0</v>
      </c>
      <c r="I63" s="42">
        <f>IFERROR(__xludf.DUMMYFUNCTION("""COMPUTED_VALUE"""),0.0)</f>
        <v>0</v>
      </c>
      <c r="J63" s="42">
        <f>IFERROR(__xludf.DUMMYFUNCTION("""COMPUTED_VALUE"""),0.0)</f>
        <v>0</v>
      </c>
      <c r="K63" s="42">
        <f>IFERROR(__xludf.DUMMYFUNCTION("""COMPUTED_VALUE"""),0.0)</f>
        <v>0</v>
      </c>
      <c r="L63" s="42">
        <f>IFERROR(__xludf.DUMMYFUNCTION("""COMPUTED_VALUE"""),1.0)</f>
        <v>1</v>
      </c>
      <c r="M63" s="42">
        <f>IFERROR(__xludf.DUMMYFUNCTION("""COMPUTED_VALUE"""),0.0)</f>
        <v>0</v>
      </c>
      <c r="N63" s="42">
        <f>IFERROR(__xludf.DUMMYFUNCTION("""COMPUTED_VALUE"""),0.0)</f>
        <v>0</v>
      </c>
      <c r="O63" s="42">
        <f>IFERROR(__xludf.DUMMYFUNCTION("""COMPUTED_VALUE"""),0.0)</f>
        <v>0</v>
      </c>
      <c r="P63" s="42">
        <f>IFERROR(__xludf.DUMMYFUNCTION("""COMPUTED_VALUE"""),0.0)</f>
        <v>0</v>
      </c>
      <c r="Q63" s="42">
        <f>IFERROR(__xludf.DUMMYFUNCTION("""COMPUTED_VALUE"""),0.0)</f>
        <v>0</v>
      </c>
      <c r="R63" s="42">
        <f>IFERROR(__xludf.DUMMYFUNCTION("""COMPUTED_VALUE"""),1.0)</f>
        <v>1</v>
      </c>
      <c r="S63" s="40">
        <f>IFERROR(__xludf.DUMMYFUNCTION("""COMPUTED_VALUE"""),29.0)</f>
        <v>29</v>
      </c>
      <c r="T63" s="40">
        <f>IFERROR(__xludf.DUMMYFUNCTION("""COMPUTED_VALUE"""),29.0)</f>
        <v>29</v>
      </c>
      <c r="U63" s="46" t="str">
        <f t="array" ref="U63">IF($D63="","",IFERROR(_xlfn.XLOOKUP($D63,'TIR店舗一覧'!$D:$D,'TIR店舗一覧'!$E:$E,""),""))</f>
        <v>YD</v>
      </c>
      <c r="V63" s="54">
        <v>0.0</v>
      </c>
      <c r="W63" s="54">
        <v>0.0</v>
      </c>
      <c r="X63" s="54">
        <v>0.0</v>
      </c>
      <c r="Y63" s="54">
        <v>0.0</v>
      </c>
      <c r="Z63" s="54">
        <v>0.0</v>
      </c>
      <c r="AA63" s="54">
        <v>29.0</v>
      </c>
      <c r="AB63" s="54">
        <v>0.0</v>
      </c>
      <c r="AC63" s="54">
        <v>0.0</v>
      </c>
      <c r="AD63" s="54">
        <v>0.0</v>
      </c>
      <c r="AE63" s="54">
        <v>0.0</v>
      </c>
      <c r="AF63" s="54">
        <v>0.0</v>
      </c>
      <c r="AG63" s="54">
        <v>29.0</v>
      </c>
    </row>
    <row r="64" ht="15.75" customHeight="1">
      <c r="B64" s="56">
        <f>IFERROR(__xludf.DUMMYFUNCTION("""COMPUTED_VALUE"""),46327.0)</f>
        <v>46327</v>
      </c>
      <c r="C64" s="38" t="str">
        <f>IFERROR(__xludf.DUMMYFUNCTION("""COMPUTED_VALUE"""),"中部")</f>
        <v>中部</v>
      </c>
      <c r="D64" s="38">
        <f>IFERROR(__xludf.DUMMYFUNCTION("""COMPUTED_VALUE"""),8423.0)</f>
        <v>8423</v>
      </c>
      <c r="E64" s="38" t="str">
        <f>IFERROR(__xludf.DUMMYFUNCTION("""COMPUTED_VALUE"""),"テックランド 福井本店")</f>
        <v>テックランド 福井本店</v>
      </c>
      <c r="F64" s="40">
        <f>IFERROR(__xludf.DUMMYFUNCTION("""COMPUTED_VALUE"""),24.0)</f>
        <v>24</v>
      </c>
      <c r="G64" s="42">
        <f>IFERROR(__xludf.DUMMYFUNCTION("""COMPUTED_VALUE"""),0.0)</f>
        <v>0</v>
      </c>
      <c r="H64" s="42">
        <f>IFERROR(__xludf.DUMMYFUNCTION("""COMPUTED_VALUE"""),0.0)</f>
        <v>0</v>
      </c>
      <c r="I64" s="42">
        <f>IFERROR(__xludf.DUMMYFUNCTION("""COMPUTED_VALUE"""),0.0)</f>
        <v>0</v>
      </c>
      <c r="J64" s="42">
        <f>IFERROR(__xludf.DUMMYFUNCTION("""COMPUTED_VALUE"""),0.0)</f>
        <v>0</v>
      </c>
      <c r="K64" s="42">
        <f>IFERROR(__xludf.DUMMYFUNCTION("""COMPUTED_VALUE"""),0.0)</f>
        <v>0</v>
      </c>
      <c r="L64" s="42">
        <f>IFERROR(__xludf.DUMMYFUNCTION("""COMPUTED_VALUE"""),1.0)</f>
        <v>1</v>
      </c>
      <c r="M64" s="42">
        <f>IFERROR(__xludf.DUMMYFUNCTION("""COMPUTED_VALUE"""),0.0)</f>
        <v>0</v>
      </c>
      <c r="N64" s="42">
        <f>IFERROR(__xludf.DUMMYFUNCTION("""COMPUTED_VALUE"""),0.0)</f>
        <v>0</v>
      </c>
      <c r="O64" s="42">
        <f>IFERROR(__xludf.DUMMYFUNCTION("""COMPUTED_VALUE"""),0.0)</f>
        <v>0</v>
      </c>
      <c r="P64" s="42">
        <f>IFERROR(__xludf.DUMMYFUNCTION("""COMPUTED_VALUE"""),0.0)</f>
        <v>0</v>
      </c>
      <c r="Q64" s="42">
        <f>IFERROR(__xludf.DUMMYFUNCTION("""COMPUTED_VALUE"""),0.0)</f>
        <v>0</v>
      </c>
      <c r="R64" s="42">
        <f>IFERROR(__xludf.DUMMYFUNCTION("""COMPUTED_VALUE"""),1.0)</f>
        <v>1</v>
      </c>
      <c r="S64" s="40">
        <f>IFERROR(__xludf.DUMMYFUNCTION("""COMPUTED_VALUE"""),24.0)</f>
        <v>24</v>
      </c>
      <c r="T64" s="40">
        <f>IFERROR(__xludf.DUMMYFUNCTION("""COMPUTED_VALUE"""),24.0)</f>
        <v>24</v>
      </c>
      <c r="U64" s="46" t="str">
        <f t="array" ref="U64">IF($D64="","",IFERROR(_xlfn.XLOOKUP($D64,'TIR店舗一覧'!$D:$D,'TIR店舗一覧'!$E:$E,""),""))</f>
        <v>YD</v>
      </c>
      <c r="V64" s="54">
        <v>0.0</v>
      </c>
      <c r="W64" s="54">
        <v>0.0</v>
      </c>
      <c r="X64" s="54">
        <v>0.0</v>
      </c>
      <c r="Y64" s="54">
        <v>0.0</v>
      </c>
      <c r="Z64" s="54">
        <v>0.0</v>
      </c>
      <c r="AA64" s="54">
        <v>24.0</v>
      </c>
      <c r="AB64" s="54">
        <v>0.0</v>
      </c>
      <c r="AC64" s="54">
        <v>0.0</v>
      </c>
      <c r="AD64" s="54">
        <v>0.0</v>
      </c>
      <c r="AE64" s="54">
        <v>0.0</v>
      </c>
      <c r="AF64" s="54">
        <v>0.0</v>
      </c>
      <c r="AG64" s="54">
        <v>24.0</v>
      </c>
    </row>
    <row r="65" ht="15.75" customHeight="1">
      <c r="B65" s="56">
        <f>IFERROR(__xludf.DUMMYFUNCTION("""COMPUTED_VALUE"""),46327.0)</f>
        <v>46327</v>
      </c>
      <c r="C65" s="38" t="str">
        <f>IFERROR(__xludf.DUMMYFUNCTION("""COMPUTED_VALUE"""),"中部")</f>
        <v>中部</v>
      </c>
      <c r="D65" s="38">
        <f>IFERROR(__xludf.DUMMYFUNCTION("""COMPUTED_VALUE"""),8399.0)</f>
        <v>8399</v>
      </c>
      <c r="E65" s="38" t="str">
        <f>IFERROR(__xludf.DUMMYFUNCTION("""COMPUTED_VALUE"""),"テックランド 星ヶ丘店")</f>
        <v>テックランド 星ヶ丘店</v>
      </c>
      <c r="F65" s="40">
        <f>IFERROR(__xludf.DUMMYFUNCTION("""COMPUTED_VALUE"""),17.0)</f>
        <v>17</v>
      </c>
      <c r="G65" s="42">
        <f>IFERROR(__xludf.DUMMYFUNCTION("""COMPUTED_VALUE"""),0.0)</f>
        <v>0</v>
      </c>
      <c r="H65" s="42">
        <f>IFERROR(__xludf.DUMMYFUNCTION("""COMPUTED_VALUE"""),0.0)</f>
        <v>0</v>
      </c>
      <c r="I65" s="42">
        <f>IFERROR(__xludf.DUMMYFUNCTION("""COMPUTED_VALUE"""),0.0)</f>
        <v>0</v>
      </c>
      <c r="J65" s="42">
        <f>IFERROR(__xludf.DUMMYFUNCTION("""COMPUTED_VALUE"""),0.0)</f>
        <v>0</v>
      </c>
      <c r="K65" s="42">
        <f>IFERROR(__xludf.DUMMYFUNCTION("""COMPUTED_VALUE"""),0.0)</f>
        <v>0</v>
      </c>
      <c r="L65" s="42">
        <f>IFERROR(__xludf.DUMMYFUNCTION("""COMPUTED_VALUE"""),1.0)</f>
        <v>1</v>
      </c>
      <c r="M65" s="42">
        <f>IFERROR(__xludf.DUMMYFUNCTION("""COMPUTED_VALUE"""),0.0)</f>
        <v>0</v>
      </c>
      <c r="N65" s="42">
        <f>IFERROR(__xludf.DUMMYFUNCTION("""COMPUTED_VALUE"""),0.0)</f>
        <v>0</v>
      </c>
      <c r="O65" s="42">
        <f>IFERROR(__xludf.DUMMYFUNCTION("""COMPUTED_VALUE"""),0.0)</f>
        <v>0</v>
      </c>
      <c r="P65" s="42">
        <f>IFERROR(__xludf.DUMMYFUNCTION("""COMPUTED_VALUE"""),0.0)</f>
        <v>0</v>
      </c>
      <c r="Q65" s="42">
        <f>IFERROR(__xludf.DUMMYFUNCTION("""COMPUTED_VALUE"""),0.0)</f>
        <v>0</v>
      </c>
      <c r="R65" s="42">
        <f>IFERROR(__xludf.DUMMYFUNCTION("""COMPUTED_VALUE"""),1.0)</f>
        <v>1</v>
      </c>
      <c r="S65" s="40">
        <f>IFERROR(__xludf.DUMMYFUNCTION("""COMPUTED_VALUE"""),17.0)</f>
        <v>17</v>
      </c>
      <c r="T65" s="40">
        <f>IFERROR(__xludf.DUMMYFUNCTION("""COMPUTED_VALUE"""),17.0)</f>
        <v>17</v>
      </c>
      <c r="U65" s="46" t="str">
        <f t="array" ref="U65">IF($D65="","",IFERROR(_xlfn.XLOOKUP($D65,'TIR店舗一覧'!$D:$D,'TIR店舗一覧'!$E:$E,""),""))</f>
        <v>YD</v>
      </c>
      <c r="V65" s="54">
        <v>0.0</v>
      </c>
      <c r="W65" s="54">
        <v>0.0</v>
      </c>
      <c r="X65" s="54">
        <v>0.0</v>
      </c>
      <c r="Y65" s="54">
        <v>0.0</v>
      </c>
      <c r="Z65" s="54">
        <v>0.0</v>
      </c>
      <c r="AA65" s="54">
        <v>17.0</v>
      </c>
      <c r="AB65" s="54">
        <v>0.0</v>
      </c>
      <c r="AC65" s="54">
        <v>0.0</v>
      </c>
      <c r="AD65" s="54">
        <v>0.0</v>
      </c>
      <c r="AE65" s="54">
        <v>0.0</v>
      </c>
      <c r="AF65" s="54">
        <v>0.0</v>
      </c>
      <c r="AG65" s="54">
        <v>17.0</v>
      </c>
    </row>
    <row r="66" ht="15.75" customHeight="1">
      <c r="B66" s="56">
        <f>IFERROR(__xludf.DUMMYFUNCTION("""COMPUTED_VALUE"""),46327.0)</f>
        <v>46327</v>
      </c>
      <c r="C66" s="38" t="str">
        <f>IFERROR(__xludf.DUMMYFUNCTION("""COMPUTED_VALUE"""),"中部")</f>
        <v>中部</v>
      </c>
      <c r="D66" s="38">
        <f>IFERROR(__xludf.DUMMYFUNCTION("""COMPUTED_VALUE"""),8546.0)</f>
        <v>8546</v>
      </c>
      <c r="E66" s="38" t="str">
        <f>IFERROR(__xludf.DUMMYFUNCTION("""COMPUTED_VALUE"""),"テックランド ららぽーと安城店")</f>
        <v>テックランド ららぽーと安城店</v>
      </c>
      <c r="F66" s="40">
        <f>IFERROR(__xludf.DUMMYFUNCTION("""COMPUTED_VALUE"""),18.0)</f>
        <v>18</v>
      </c>
      <c r="G66" s="42">
        <f>IFERROR(__xludf.DUMMYFUNCTION("""COMPUTED_VALUE"""),0.0)</f>
        <v>0</v>
      </c>
      <c r="H66" s="42">
        <f>IFERROR(__xludf.DUMMYFUNCTION("""COMPUTED_VALUE"""),0.0)</f>
        <v>0</v>
      </c>
      <c r="I66" s="42">
        <f>IFERROR(__xludf.DUMMYFUNCTION("""COMPUTED_VALUE"""),0.0)</f>
        <v>0</v>
      </c>
      <c r="J66" s="42">
        <f>IFERROR(__xludf.DUMMYFUNCTION("""COMPUTED_VALUE"""),0.0)</f>
        <v>0</v>
      </c>
      <c r="K66" s="42">
        <f>IFERROR(__xludf.DUMMYFUNCTION("""COMPUTED_VALUE"""),0.0)</f>
        <v>0</v>
      </c>
      <c r="L66" s="42">
        <f>IFERROR(__xludf.DUMMYFUNCTION("""COMPUTED_VALUE"""),1.0)</f>
        <v>1</v>
      </c>
      <c r="M66" s="42">
        <f>IFERROR(__xludf.DUMMYFUNCTION("""COMPUTED_VALUE"""),0.0)</f>
        <v>0</v>
      </c>
      <c r="N66" s="42">
        <f>IFERROR(__xludf.DUMMYFUNCTION("""COMPUTED_VALUE"""),0.0)</f>
        <v>0</v>
      </c>
      <c r="O66" s="42">
        <f>IFERROR(__xludf.DUMMYFUNCTION("""COMPUTED_VALUE"""),0.0)</f>
        <v>0</v>
      </c>
      <c r="P66" s="42">
        <f>IFERROR(__xludf.DUMMYFUNCTION("""COMPUTED_VALUE"""),0.0)</f>
        <v>0</v>
      </c>
      <c r="Q66" s="42">
        <f>IFERROR(__xludf.DUMMYFUNCTION("""COMPUTED_VALUE"""),0.0)</f>
        <v>0</v>
      </c>
      <c r="R66" s="42">
        <f>IFERROR(__xludf.DUMMYFUNCTION("""COMPUTED_VALUE"""),1.0)</f>
        <v>1</v>
      </c>
      <c r="S66" s="40">
        <f>IFERROR(__xludf.DUMMYFUNCTION("""COMPUTED_VALUE"""),18.0)</f>
        <v>18</v>
      </c>
      <c r="T66" s="40">
        <f>IFERROR(__xludf.DUMMYFUNCTION("""COMPUTED_VALUE"""),18.0)</f>
        <v>18</v>
      </c>
      <c r="U66" s="46" t="str">
        <f t="array" ref="U66">IF($D66="","",IFERROR(_xlfn.XLOOKUP($D66,'TIR店舗一覧'!$D:$D,'TIR店舗一覧'!$E:$E,""),""))</f>
        <v>YD</v>
      </c>
      <c r="V66" s="54">
        <v>0.0</v>
      </c>
      <c r="W66" s="54">
        <v>0.0</v>
      </c>
      <c r="X66" s="54">
        <v>0.0</v>
      </c>
      <c r="Y66" s="54">
        <v>0.0</v>
      </c>
      <c r="Z66" s="54">
        <v>0.0</v>
      </c>
      <c r="AA66" s="54">
        <v>18.0</v>
      </c>
      <c r="AB66" s="54">
        <v>0.0</v>
      </c>
      <c r="AC66" s="54">
        <v>0.0</v>
      </c>
      <c r="AD66" s="54">
        <v>0.0</v>
      </c>
      <c r="AE66" s="54">
        <v>0.0</v>
      </c>
      <c r="AF66" s="54">
        <v>0.0</v>
      </c>
      <c r="AG66" s="54">
        <v>18.0</v>
      </c>
    </row>
    <row r="67" ht="15.75" customHeight="1">
      <c r="B67" s="56">
        <f>IFERROR(__xludf.DUMMYFUNCTION("""COMPUTED_VALUE"""),46327.0)</f>
        <v>46327</v>
      </c>
      <c r="C67" s="38" t="str">
        <f>IFERROR(__xludf.DUMMYFUNCTION("""COMPUTED_VALUE"""),"中部")</f>
        <v>中部</v>
      </c>
      <c r="D67" s="38">
        <f>IFERROR(__xludf.DUMMYFUNCTION("""COMPUTED_VALUE"""),8456.0)</f>
        <v>8456</v>
      </c>
      <c r="E67" s="38" t="str">
        <f>IFERROR(__xludf.DUMMYFUNCTION("""COMPUTED_VALUE"""),"テックランド マーサ21店")</f>
        <v>テックランド マーサ21店</v>
      </c>
      <c r="F67" s="40">
        <f>IFERROR(__xludf.DUMMYFUNCTION("""COMPUTED_VALUE"""),51.0)</f>
        <v>51</v>
      </c>
      <c r="G67" s="42">
        <f>IFERROR(__xludf.DUMMYFUNCTION("""COMPUTED_VALUE"""),0.0)</f>
        <v>0</v>
      </c>
      <c r="H67" s="42">
        <f>IFERROR(__xludf.DUMMYFUNCTION("""COMPUTED_VALUE"""),0.0)</f>
        <v>0</v>
      </c>
      <c r="I67" s="42">
        <f>IFERROR(__xludf.DUMMYFUNCTION("""COMPUTED_VALUE"""),0.0)</f>
        <v>0</v>
      </c>
      <c r="J67" s="42">
        <f>IFERROR(__xludf.DUMMYFUNCTION("""COMPUTED_VALUE"""),0.0)</f>
        <v>0</v>
      </c>
      <c r="K67" s="42">
        <f>IFERROR(__xludf.DUMMYFUNCTION("""COMPUTED_VALUE"""),0.0)</f>
        <v>0</v>
      </c>
      <c r="L67" s="42">
        <f>IFERROR(__xludf.DUMMYFUNCTION("""COMPUTED_VALUE"""),1.0)</f>
        <v>1</v>
      </c>
      <c r="M67" s="42">
        <f>IFERROR(__xludf.DUMMYFUNCTION("""COMPUTED_VALUE"""),0.0)</f>
        <v>0</v>
      </c>
      <c r="N67" s="42">
        <f>IFERROR(__xludf.DUMMYFUNCTION("""COMPUTED_VALUE"""),0.0)</f>
        <v>0</v>
      </c>
      <c r="O67" s="42">
        <f>IFERROR(__xludf.DUMMYFUNCTION("""COMPUTED_VALUE"""),0.0)</f>
        <v>0</v>
      </c>
      <c r="P67" s="42">
        <f>IFERROR(__xludf.DUMMYFUNCTION("""COMPUTED_VALUE"""),0.0)</f>
        <v>0</v>
      </c>
      <c r="Q67" s="42">
        <f>IFERROR(__xludf.DUMMYFUNCTION("""COMPUTED_VALUE"""),0.0)</f>
        <v>0</v>
      </c>
      <c r="R67" s="42">
        <f>IFERROR(__xludf.DUMMYFUNCTION("""COMPUTED_VALUE"""),1.0)</f>
        <v>1</v>
      </c>
      <c r="S67" s="40">
        <f>IFERROR(__xludf.DUMMYFUNCTION("""COMPUTED_VALUE"""),51.0)</f>
        <v>51</v>
      </c>
      <c r="T67" s="40">
        <f>IFERROR(__xludf.DUMMYFUNCTION("""COMPUTED_VALUE"""),51.0)</f>
        <v>51</v>
      </c>
      <c r="U67" s="46" t="str">
        <f t="array" ref="U67">IF($D67="","",IFERROR(_xlfn.XLOOKUP($D67,'TIR店舗一覧'!$D:$D,'TIR店舗一覧'!$E:$E,""),""))</f>
        <v>YD</v>
      </c>
      <c r="V67" s="54">
        <v>0.0</v>
      </c>
      <c r="W67" s="54">
        <v>0.0</v>
      </c>
      <c r="X67" s="54">
        <v>0.0</v>
      </c>
      <c r="Y67" s="54">
        <v>0.0</v>
      </c>
      <c r="Z67" s="54">
        <v>0.0</v>
      </c>
      <c r="AA67" s="54">
        <v>51.0</v>
      </c>
      <c r="AB67" s="54">
        <v>0.0</v>
      </c>
      <c r="AC67" s="54">
        <v>0.0</v>
      </c>
      <c r="AD67" s="54">
        <v>0.0</v>
      </c>
      <c r="AE67" s="54">
        <v>0.0</v>
      </c>
      <c r="AF67" s="54">
        <v>0.0</v>
      </c>
      <c r="AG67" s="54">
        <v>51.0</v>
      </c>
    </row>
    <row r="68" ht="15.75" customHeight="1">
      <c r="B68" s="56">
        <f>IFERROR(__xludf.DUMMYFUNCTION("""COMPUTED_VALUE"""),46327.0)</f>
        <v>46327</v>
      </c>
      <c r="C68" s="38" t="str">
        <f>IFERROR(__xludf.DUMMYFUNCTION("""COMPUTED_VALUE"""),"中部")</f>
        <v>中部</v>
      </c>
      <c r="D68" s="38">
        <f>IFERROR(__xludf.DUMMYFUNCTION("""COMPUTED_VALUE"""),1487.0)</f>
        <v>1487</v>
      </c>
      <c r="E68" s="38" t="str">
        <f>IFERROR(__xludf.DUMMYFUNCTION("""COMPUTED_VALUE"""),"ケーズデンキ 福井空港前店")</f>
        <v>ケーズデンキ 福井空港前店</v>
      </c>
      <c r="F68" s="40">
        <f>IFERROR(__xludf.DUMMYFUNCTION("""COMPUTED_VALUE"""),21.0)</f>
        <v>21</v>
      </c>
      <c r="G68" s="42">
        <f>IFERROR(__xludf.DUMMYFUNCTION("""COMPUTED_VALUE"""),0.0)</f>
        <v>0</v>
      </c>
      <c r="H68" s="42">
        <f>IFERROR(__xludf.DUMMYFUNCTION("""COMPUTED_VALUE"""),0.0)</f>
        <v>0</v>
      </c>
      <c r="I68" s="42">
        <f>IFERROR(__xludf.DUMMYFUNCTION("""COMPUTED_VALUE"""),0.0)</f>
        <v>0</v>
      </c>
      <c r="J68" s="42">
        <f>IFERROR(__xludf.DUMMYFUNCTION("""COMPUTED_VALUE"""),0.0)</f>
        <v>0</v>
      </c>
      <c r="K68" s="42">
        <f>IFERROR(__xludf.DUMMYFUNCTION("""COMPUTED_VALUE"""),0.0)</f>
        <v>0</v>
      </c>
      <c r="L68" s="42">
        <f>IFERROR(__xludf.DUMMYFUNCTION("""COMPUTED_VALUE"""),1.0)</f>
        <v>1</v>
      </c>
      <c r="M68" s="42">
        <f>IFERROR(__xludf.DUMMYFUNCTION("""COMPUTED_VALUE"""),0.0)</f>
        <v>0</v>
      </c>
      <c r="N68" s="42">
        <f>IFERROR(__xludf.DUMMYFUNCTION("""COMPUTED_VALUE"""),0.0)</f>
        <v>0</v>
      </c>
      <c r="O68" s="42">
        <f>IFERROR(__xludf.DUMMYFUNCTION("""COMPUTED_VALUE"""),0.0)</f>
        <v>0</v>
      </c>
      <c r="P68" s="42">
        <f>IFERROR(__xludf.DUMMYFUNCTION("""COMPUTED_VALUE"""),0.0)</f>
        <v>0</v>
      </c>
      <c r="Q68" s="42">
        <f>IFERROR(__xludf.DUMMYFUNCTION("""COMPUTED_VALUE"""),0.0)</f>
        <v>0</v>
      </c>
      <c r="R68" s="42">
        <f>IFERROR(__xludf.DUMMYFUNCTION("""COMPUTED_VALUE"""),1.0)</f>
        <v>1</v>
      </c>
      <c r="S68" s="40">
        <f>IFERROR(__xludf.DUMMYFUNCTION("""COMPUTED_VALUE"""),21.0)</f>
        <v>21</v>
      </c>
      <c r="T68" s="40">
        <f>IFERROR(__xludf.DUMMYFUNCTION("""COMPUTED_VALUE"""),21.0)</f>
        <v>21</v>
      </c>
      <c r="U68" s="46" t="str">
        <f t="array" ref="U68">IF($D68="","",IFERROR(_xlfn.XLOOKUP($D68,'TIR店舗一覧'!$D:$D,'TIR店舗一覧'!$E:$E,""),""))</f>
        <v>KS</v>
      </c>
      <c r="V68" s="54">
        <v>0.0</v>
      </c>
      <c r="W68" s="54">
        <v>0.0</v>
      </c>
      <c r="X68" s="54">
        <v>0.0</v>
      </c>
      <c r="Y68" s="54">
        <v>0.0</v>
      </c>
      <c r="Z68" s="54">
        <v>0.0</v>
      </c>
      <c r="AA68" s="54">
        <v>21.0</v>
      </c>
      <c r="AB68" s="54">
        <v>0.0</v>
      </c>
      <c r="AC68" s="54">
        <v>0.0</v>
      </c>
      <c r="AD68" s="54">
        <v>0.0</v>
      </c>
      <c r="AE68" s="54">
        <v>0.0</v>
      </c>
      <c r="AF68" s="54">
        <v>0.0</v>
      </c>
      <c r="AG68" s="54">
        <v>21.0</v>
      </c>
    </row>
    <row r="69" ht="15.75" customHeight="1">
      <c r="B69" s="56">
        <f>IFERROR(__xludf.DUMMYFUNCTION("""COMPUTED_VALUE"""),46327.0)</f>
        <v>46327</v>
      </c>
      <c r="C69" s="38" t="str">
        <f>IFERROR(__xludf.DUMMYFUNCTION("""COMPUTED_VALUE"""),"中部")</f>
        <v>中部</v>
      </c>
      <c r="D69" s="38">
        <f>IFERROR(__xludf.DUMMYFUNCTION("""COMPUTED_VALUE"""),8951.0)</f>
        <v>8951</v>
      </c>
      <c r="E69" s="38" t="str">
        <f>IFERROR(__xludf.DUMMYFUNCTION("""COMPUTED_VALUE"""),"ケーズデンキ 越前店")</f>
        <v>ケーズデンキ 越前店</v>
      </c>
      <c r="F69" s="40">
        <f>IFERROR(__xludf.DUMMYFUNCTION("""COMPUTED_VALUE"""),37.0)</f>
        <v>37</v>
      </c>
      <c r="G69" s="42">
        <f>IFERROR(__xludf.DUMMYFUNCTION("""COMPUTED_VALUE"""),0.0)</f>
        <v>0</v>
      </c>
      <c r="H69" s="42">
        <f>IFERROR(__xludf.DUMMYFUNCTION("""COMPUTED_VALUE"""),0.0)</f>
        <v>0</v>
      </c>
      <c r="I69" s="42">
        <f>IFERROR(__xludf.DUMMYFUNCTION("""COMPUTED_VALUE"""),0.0)</f>
        <v>0</v>
      </c>
      <c r="J69" s="42">
        <f>IFERROR(__xludf.DUMMYFUNCTION("""COMPUTED_VALUE"""),0.0)</f>
        <v>0</v>
      </c>
      <c r="K69" s="42">
        <f>IFERROR(__xludf.DUMMYFUNCTION("""COMPUTED_VALUE"""),0.0)</f>
        <v>0</v>
      </c>
      <c r="L69" s="42">
        <f>IFERROR(__xludf.DUMMYFUNCTION("""COMPUTED_VALUE"""),1.0)</f>
        <v>1</v>
      </c>
      <c r="M69" s="42">
        <f>IFERROR(__xludf.DUMMYFUNCTION("""COMPUTED_VALUE"""),0.0)</f>
        <v>0</v>
      </c>
      <c r="N69" s="42">
        <f>IFERROR(__xludf.DUMMYFUNCTION("""COMPUTED_VALUE"""),0.0)</f>
        <v>0</v>
      </c>
      <c r="O69" s="42">
        <f>IFERROR(__xludf.DUMMYFUNCTION("""COMPUTED_VALUE"""),0.0)</f>
        <v>0</v>
      </c>
      <c r="P69" s="42">
        <f>IFERROR(__xludf.DUMMYFUNCTION("""COMPUTED_VALUE"""),0.0)</f>
        <v>0</v>
      </c>
      <c r="Q69" s="42">
        <f>IFERROR(__xludf.DUMMYFUNCTION("""COMPUTED_VALUE"""),0.0)</f>
        <v>0</v>
      </c>
      <c r="R69" s="42">
        <f>IFERROR(__xludf.DUMMYFUNCTION("""COMPUTED_VALUE"""),1.0)</f>
        <v>1</v>
      </c>
      <c r="S69" s="40">
        <f>IFERROR(__xludf.DUMMYFUNCTION("""COMPUTED_VALUE"""),37.0)</f>
        <v>37</v>
      </c>
      <c r="T69" s="40">
        <f>IFERROR(__xludf.DUMMYFUNCTION("""COMPUTED_VALUE"""),37.0)</f>
        <v>37</v>
      </c>
      <c r="U69" s="46" t="str">
        <f t="array" ref="U69">IF($D69="","",IFERROR(_xlfn.XLOOKUP($D69,'TIR店舗一覧'!$D:$D,'TIR店舗一覧'!$E:$E,""),""))</f>
        <v>KS</v>
      </c>
      <c r="V69" s="54">
        <v>0.0</v>
      </c>
      <c r="W69" s="54">
        <v>0.0</v>
      </c>
      <c r="X69" s="54">
        <v>0.0</v>
      </c>
      <c r="Y69" s="54">
        <v>0.0</v>
      </c>
      <c r="Z69" s="54">
        <v>0.0</v>
      </c>
      <c r="AA69" s="54">
        <v>37.0</v>
      </c>
      <c r="AB69" s="54">
        <v>0.0</v>
      </c>
      <c r="AC69" s="54">
        <v>0.0</v>
      </c>
      <c r="AD69" s="54">
        <v>0.0</v>
      </c>
      <c r="AE69" s="54">
        <v>0.0</v>
      </c>
      <c r="AF69" s="54">
        <v>0.0</v>
      </c>
      <c r="AG69" s="54">
        <v>37.0</v>
      </c>
    </row>
    <row r="70" ht="15.75" customHeight="1">
      <c r="B70" s="56">
        <f>IFERROR(__xludf.DUMMYFUNCTION("""COMPUTED_VALUE"""),46327.0)</f>
        <v>46327</v>
      </c>
      <c r="C70" s="38" t="str">
        <f>IFERROR(__xludf.DUMMYFUNCTION("""COMPUTED_VALUE"""),"中部")</f>
        <v>中部</v>
      </c>
      <c r="D70" s="38">
        <f>IFERROR(__xludf.DUMMYFUNCTION("""COMPUTED_VALUE"""),8373.0)</f>
        <v>8373</v>
      </c>
      <c r="E70" s="38" t="str">
        <f>IFERROR(__xludf.DUMMYFUNCTION("""COMPUTED_VALUE"""),"エディオン 浜松半田店")</f>
        <v>エディオン 浜松半田店</v>
      </c>
      <c r="F70" s="40">
        <f>IFERROR(__xludf.DUMMYFUNCTION("""COMPUTED_VALUE"""),41.0)</f>
        <v>41</v>
      </c>
      <c r="G70" s="42">
        <f>IFERROR(__xludf.DUMMYFUNCTION("""COMPUTED_VALUE"""),0.0)</f>
        <v>0</v>
      </c>
      <c r="H70" s="42">
        <f>IFERROR(__xludf.DUMMYFUNCTION("""COMPUTED_VALUE"""),0.0)</f>
        <v>0</v>
      </c>
      <c r="I70" s="42">
        <f>IFERROR(__xludf.DUMMYFUNCTION("""COMPUTED_VALUE"""),0.0)</f>
        <v>0</v>
      </c>
      <c r="J70" s="42">
        <f>IFERROR(__xludf.DUMMYFUNCTION("""COMPUTED_VALUE"""),0.0)</f>
        <v>0</v>
      </c>
      <c r="K70" s="42">
        <f>IFERROR(__xludf.DUMMYFUNCTION("""COMPUTED_VALUE"""),0.0)</f>
        <v>0</v>
      </c>
      <c r="L70" s="42">
        <f>IFERROR(__xludf.DUMMYFUNCTION("""COMPUTED_VALUE"""),1.0)</f>
        <v>1</v>
      </c>
      <c r="M70" s="42">
        <f>IFERROR(__xludf.DUMMYFUNCTION("""COMPUTED_VALUE"""),0.0)</f>
        <v>0</v>
      </c>
      <c r="N70" s="42">
        <f>IFERROR(__xludf.DUMMYFUNCTION("""COMPUTED_VALUE"""),0.0)</f>
        <v>0</v>
      </c>
      <c r="O70" s="42">
        <f>IFERROR(__xludf.DUMMYFUNCTION("""COMPUTED_VALUE"""),0.0)</f>
        <v>0</v>
      </c>
      <c r="P70" s="42">
        <f>IFERROR(__xludf.DUMMYFUNCTION("""COMPUTED_VALUE"""),0.0)</f>
        <v>0</v>
      </c>
      <c r="Q70" s="42">
        <f>IFERROR(__xludf.DUMMYFUNCTION("""COMPUTED_VALUE"""),0.0)</f>
        <v>0</v>
      </c>
      <c r="R70" s="42">
        <f>IFERROR(__xludf.DUMMYFUNCTION("""COMPUTED_VALUE"""),1.0)</f>
        <v>1</v>
      </c>
      <c r="S70" s="40">
        <f>IFERROR(__xludf.DUMMYFUNCTION("""COMPUTED_VALUE"""),41.0)</f>
        <v>41</v>
      </c>
      <c r="T70" s="40">
        <f>IFERROR(__xludf.DUMMYFUNCTION("""COMPUTED_VALUE"""),41.0)</f>
        <v>41</v>
      </c>
      <c r="U70" s="46" t="str">
        <f t="array" ref="U70">IF($D70="","",IFERROR(_xlfn.XLOOKUP($D70,'TIR店舗一覧'!$D:$D,'TIR店舗一覧'!$E:$E,""),""))</f>
        <v>ED</v>
      </c>
      <c r="V70" s="54">
        <v>0.0</v>
      </c>
      <c r="W70" s="54">
        <v>0.0</v>
      </c>
      <c r="X70" s="54">
        <v>0.0</v>
      </c>
      <c r="Y70" s="54">
        <v>0.0</v>
      </c>
      <c r="Z70" s="54">
        <v>0.0</v>
      </c>
      <c r="AA70" s="54">
        <v>41.0</v>
      </c>
      <c r="AB70" s="54">
        <v>0.0</v>
      </c>
      <c r="AC70" s="54">
        <v>0.0</v>
      </c>
      <c r="AD70" s="54">
        <v>0.0</v>
      </c>
      <c r="AE70" s="54">
        <v>0.0</v>
      </c>
      <c r="AF70" s="54">
        <v>0.0</v>
      </c>
      <c r="AG70" s="54">
        <v>41.0</v>
      </c>
    </row>
    <row r="71" ht="15.75" customHeight="1">
      <c r="B71" s="56">
        <f>IFERROR(__xludf.DUMMYFUNCTION("""COMPUTED_VALUE"""),46327.0)</f>
        <v>46327</v>
      </c>
      <c r="C71" s="38" t="str">
        <f>IFERROR(__xludf.DUMMYFUNCTION("""COMPUTED_VALUE"""),"中部")</f>
        <v>中部</v>
      </c>
      <c r="D71" s="38">
        <f>IFERROR(__xludf.DUMMYFUNCTION("""COMPUTED_VALUE"""),8279.0)</f>
        <v>8279</v>
      </c>
      <c r="E71" s="38" t="str">
        <f>IFERROR(__xludf.DUMMYFUNCTION("""COMPUTED_VALUE"""),"エディオン 日進竹の山店")</f>
        <v>エディオン 日進竹の山店</v>
      </c>
      <c r="F71" s="40">
        <f>IFERROR(__xludf.DUMMYFUNCTION("""COMPUTED_VALUE"""),10.0)</f>
        <v>10</v>
      </c>
      <c r="G71" s="42">
        <f>IFERROR(__xludf.DUMMYFUNCTION("""COMPUTED_VALUE"""),0.0)</f>
        <v>0</v>
      </c>
      <c r="H71" s="42">
        <f>IFERROR(__xludf.DUMMYFUNCTION("""COMPUTED_VALUE"""),0.0)</f>
        <v>0</v>
      </c>
      <c r="I71" s="42">
        <f>IFERROR(__xludf.DUMMYFUNCTION("""COMPUTED_VALUE"""),0.0)</f>
        <v>0</v>
      </c>
      <c r="J71" s="42">
        <f>IFERROR(__xludf.DUMMYFUNCTION("""COMPUTED_VALUE"""),0.0)</f>
        <v>0</v>
      </c>
      <c r="K71" s="42">
        <f>IFERROR(__xludf.DUMMYFUNCTION("""COMPUTED_VALUE"""),0.0)</f>
        <v>0</v>
      </c>
      <c r="L71" s="42">
        <f>IFERROR(__xludf.DUMMYFUNCTION("""COMPUTED_VALUE"""),1.0)</f>
        <v>1</v>
      </c>
      <c r="M71" s="42">
        <f>IFERROR(__xludf.DUMMYFUNCTION("""COMPUTED_VALUE"""),0.0)</f>
        <v>0</v>
      </c>
      <c r="N71" s="42">
        <f>IFERROR(__xludf.DUMMYFUNCTION("""COMPUTED_VALUE"""),0.0)</f>
        <v>0</v>
      </c>
      <c r="O71" s="42">
        <f>IFERROR(__xludf.DUMMYFUNCTION("""COMPUTED_VALUE"""),0.0)</f>
        <v>0</v>
      </c>
      <c r="P71" s="42">
        <f>IFERROR(__xludf.DUMMYFUNCTION("""COMPUTED_VALUE"""),0.0)</f>
        <v>0</v>
      </c>
      <c r="Q71" s="42">
        <f>IFERROR(__xludf.DUMMYFUNCTION("""COMPUTED_VALUE"""),0.0)</f>
        <v>0</v>
      </c>
      <c r="R71" s="42">
        <f>IFERROR(__xludf.DUMMYFUNCTION("""COMPUTED_VALUE"""),1.0)</f>
        <v>1</v>
      </c>
      <c r="S71" s="40">
        <f>IFERROR(__xludf.DUMMYFUNCTION("""COMPUTED_VALUE"""),10.0)</f>
        <v>10</v>
      </c>
      <c r="T71" s="40">
        <f>IFERROR(__xludf.DUMMYFUNCTION("""COMPUTED_VALUE"""),10.0)</f>
        <v>10</v>
      </c>
      <c r="U71" s="46" t="str">
        <f t="array" ref="U71">IF($D71="","",IFERROR(_xlfn.XLOOKUP($D71,'TIR店舗一覧'!$D:$D,'TIR店舗一覧'!$E:$E,""),""))</f>
        <v>ED</v>
      </c>
      <c r="V71" s="54">
        <v>0.0</v>
      </c>
      <c r="W71" s="54">
        <v>0.0</v>
      </c>
      <c r="X71" s="54">
        <v>0.0</v>
      </c>
      <c r="Y71" s="54">
        <v>0.0</v>
      </c>
      <c r="Z71" s="54">
        <v>0.0</v>
      </c>
      <c r="AA71" s="54">
        <v>10.0</v>
      </c>
      <c r="AB71" s="54">
        <v>0.0</v>
      </c>
      <c r="AC71" s="54">
        <v>0.0</v>
      </c>
      <c r="AD71" s="54">
        <v>0.0</v>
      </c>
      <c r="AE71" s="54">
        <v>0.0</v>
      </c>
      <c r="AF71" s="54">
        <v>0.0</v>
      </c>
      <c r="AG71" s="54">
        <v>10.0</v>
      </c>
    </row>
    <row r="72" ht="15.75" customHeight="1">
      <c r="B72" s="56">
        <f>IFERROR(__xludf.DUMMYFUNCTION("""COMPUTED_VALUE"""),46327.0)</f>
        <v>46327</v>
      </c>
      <c r="C72" s="38" t="str">
        <f>IFERROR(__xludf.DUMMYFUNCTION("""COMPUTED_VALUE"""),"中部")</f>
        <v>中部</v>
      </c>
      <c r="D72" s="38">
        <f>IFERROR(__xludf.DUMMYFUNCTION("""COMPUTED_VALUE"""),1007.0)</f>
        <v>1007</v>
      </c>
      <c r="E72" s="38" t="str">
        <f>IFERROR(__xludf.DUMMYFUNCTION("""COMPUTED_VALUE"""),"エディオン 津島店")</f>
        <v>エディオン 津島店</v>
      </c>
      <c r="F72" s="40">
        <f>IFERROR(__xludf.DUMMYFUNCTION("""COMPUTED_VALUE"""),6.0)</f>
        <v>6</v>
      </c>
      <c r="G72" s="42">
        <f>IFERROR(__xludf.DUMMYFUNCTION("""COMPUTED_VALUE"""),0.0)</f>
        <v>0</v>
      </c>
      <c r="H72" s="42">
        <f>IFERROR(__xludf.DUMMYFUNCTION("""COMPUTED_VALUE"""),0.0)</f>
        <v>0</v>
      </c>
      <c r="I72" s="42">
        <f>IFERROR(__xludf.DUMMYFUNCTION("""COMPUTED_VALUE"""),0.0)</f>
        <v>0</v>
      </c>
      <c r="J72" s="42">
        <f>IFERROR(__xludf.DUMMYFUNCTION("""COMPUTED_VALUE"""),0.0)</f>
        <v>0</v>
      </c>
      <c r="K72" s="42">
        <f>IFERROR(__xludf.DUMMYFUNCTION("""COMPUTED_VALUE"""),0.0)</f>
        <v>0</v>
      </c>
      <c r="L72" s="42">
        <f>IFERROR(__xludf.DUMMYFUNCTION("""COMPUTED_VALUE"""),1.0)</f>
        <v>1</v>
      </c>
      <c r="M72" s="42">
        <f>IFERROR(__xludf.DUMMYFUNCTION("""COMPUTED_VALUE"""),0.0)</f>
        <v>0</v>
      </c>
      <c r="N72" s="42">
        <f>IFERROR(__xludf.DUMMYFUNCTION("""COMPUTED_VALUE"""),0.0)</f>
        <v>0</v>
      </c>
      <c r="O72" s="42">
        <f>IFERROR(__xludf.DUMMYFUNCTION("""COMPUTED_VALUE"""),0.0)</f>
        <v>0</v>
      </c>
      <c r="P72" s="42">
        <f>IFERROR(__xludf.DUMMYFUNCTION("""COMPUTED_VALUE"""),0.0)</f>
        <v>0</v>
      </c>
      <c r="Q72" s="42">
        <f>IFERROR(__xludf.DUMMYFUNCTION("""COMPUTED_VALUE"""),0.0)</f>
        <v>0</v>
      </c>
      <c r="R72" s="42">
        <f>IFERROR(__xludf.DUMMYFUNCTION("""COMPUTED_VALUE"""),1.0)</f>
        <v>1</v>
      </c>
      <c r="S72" s="40">
        <f>IFERROR(__xludf.DUMMYFUNCTION("""COMPUTED_VALUE"""),6.0)</f>
        <v>6</v>
      </c>
      <c r="T72" s="40">
        <f>IFERROR(__xludf.DUMMYFUNCTION("""COMPUTED_VALUE"""),6.0)</f>
        <v>6</v>
      </c>
      <c r="U72" s="46" t="str">
        <f t="array" ref="U72">IF($D72="","",IFERROR(_xlfn.XLOOKUP($D72,'TIR店舗一覧'!$D:$D,'TIR店舗一覧'!$E:$E,""),""))</f>
        <v>ED</v>
      </c>
      <c r="V72" s="54">
        <v>0.0</v>
      </c>
      <c r="W72" s="54">
        <v>0.0</v>
      </c>
      <c r="X72" s="54">
        <v>0.0</v>
      </c>
      <c r="Y72" s="54">
        <v>0.0</v>
      </c>
      <c r="Z72" s="54">
        <v>0.0</v>
      </c>
      <c r="AA72" s="54">
        <v>6.0</v>
      </c>
      <c r="AB72" s="54">
        <v>0.0</v>
      </c>
      <c r="AC72" s="54">
        <v>0.0</v>
      </c>
      <c r="AD72" s="54">
        <v>0.0</v>
      </c>
      <c r="AE72" s="54">
        <v>0.0</v>
      </c>
      <c r="AF72" s="54">
        <v>0.0</v>
      </c>
      <c r="AG72" s="54">
        <v>6.0</v>
      </c>
    </row>
    <row r="73" ht="15.75" customHeight="1">
      <c r="B73" s="56">
        <f>IFERROR(__xludf.DUMMYFUNCTION("""COMPUTED_VALUE"""),46327.0)</f>
        <v>46327</v>
      </c>
      <c r="C73" s="38" t="str">
        <f>IFERROR(__xludf.DUMMYFUNCTION("""COMPUTED_VALUE"""),"中部")</f>
        <v>中部</v>
      </c>
      <c r="D73" s="38">
        <f>IFERROR(__xludf.DUMMYFUNCTION("""COMPUTED_VALUE"""),8372.0)</f>
        <v>8372</v>
      </c>
      <c r="E73" s="38" t="str">
        <f>IFERROR(__xludf.DUMMYFUNCTION("""COMPUTED_VALUE"""),"エディオン 清水店")</f>
        <v>エディオン 清水店</v>
      </c>
      <c r="F73" s="40">
        <f>IFERROR(__xludf.DUMMYFUNCTION("""COMPUTED_VALUE"""),21.0)</f>
        <v>21</v>
      </c>
      <c r="G73" s="42">
        <f>IFERROR(__xludf.DUMMYFUNCTION("""COMPUTED_VALUE"""),0.0)</f>
        <v>0</v>
      </c>
      <c r="H73" s="42">
        <f>IFERROR(__xludf.DUMMYFUNCTION("""COMPUTED_VALUE"""),0.0)</f>
        <v>0</v>
      </c>
      <c r="I73" s="42">
        <f>IFERROR(__xludf.DUMMYFUNCTION("""COMPUTED_VALUE"""),0.0)</f>
        <v>0</v>
      </c>
      <c r="J73" s="42">
        <f>IFERROR(__xludf.DUMMYFUNCTION("""COMPUTED_VALUE"""),0.0)</f>
        <v>0</v>
      </c>
      <c r="K73" s="42">
        <f>IFERROR(__xludf.DUMMYFUNCTION("""COMPUTED_VALUE"""),0.0)</f>
        <v>0</v>
      </c>
      <c r="L73" s="42">
        <f>IFERROR(__xludf.DUMMYFUNCTION("""COMPUTED_VALUE"""),1.0)</f>
        <v>1</v>
      </c>
      <c r="M73" s="42">
        <f>IFERROR(__xludf.DUMMYFUNCTION("""COMPUTED_VALUE"""),0.0)</f>
        <v>0</v>
      </c>
      <c r="N73" s="42">
        <f>IFERROR(__xludf.DUMMYFUNCTION("""COMPUTED_VALUE"""),0.0)</f>
        <v>0</v>
      </c>
      <c r="O73" s="42">
        <f>IFERROR(__xludf.DUMMYFUNCTION("""COMPUTED_VALUE"""),0.0)</f>
        <v>0</v>
      </c>
      <c r="P73" s="42">
        <f>IFERROR(__xludf.DUMMYFUNCTION("""COMPUTED_VALUE"""),0.0)</f>
        <v>0</v>
      </c>
      <c r="Q73" s="42">
        <f>IFERROR(__xludf.DUMMYFUNCTION("""COMPUTED_VALUE"""),0.0)</f>
        <v>0</v>
      </c>
      <c r="R73" s="42">
        <f>IFERROR(__xludf.DUMMYFUNCTION("""COMPUTED_VALUE"""),1.0)</f>
        <v>1</v>
      </c>
      <c r="S73" s="40">
        <f>IFERROR(__xludf.DUMMYFUNCTION("""COMPUTED_VALUE"""),21.0)</f>
        <v>21</v>
      </c>
      <c r="T73" s="40">
        <f>IFERROR(__xludf.DUMMYFUNCTION("""COMPUTED_VALUE"""),21.0)</f>
        <v>21</v>
      </c>
      <c r="U73" s="46" t="str">
        <f t="array" ref="U73">IF($D73="","",IFERROR(_xlfn.XLOOKUP($D73,'TIR店舗一覧'!$D:$D,'TIR店舗一覧'!$E:$E,""),""))</f>
        <v>ED</v>
      </c>
      <c r="V73" s="54">
        <v>0.0</v>
      </c>
      <c r="W73" s="54">
        <v>0.0</v>
      </c>
      <c r="X73" s="54">
        <v>0.0</v>
      </c>
      <c r="Y73" s="54">
        <v>0.0</v>
      </c>
      <c r="Z73" s="54">
        <v>0.0</v>
      </c>
      <c r="AA73" s="54">
        <v>21.0</v>
      </c>
      <c r="AB73" s="54">
        <v>0.0</v>
      </c>
      <c r="AC73" s="54">
        <v>0.0</v>
      </c>
      <c r="AD73" s="54">
        <v>0.0</v>
      </c>
      <c r="AE73" s="54">
        <v>0.0</v>
      </c>
      <c r="AF73" s="54">
        <v>0.0</v>
      </c>
      <c r="AG73" s="54">
        <v>21.0</v>
      </c>
    </row>
    <row r="74" ht="15.75" customHeight="1">
      <c r="B74" s="56">
        <f>IFERROR(__xludf.DUMMYFUNCTION("""COMPUTED_VALUE"""),46327.0)</f>
        <v>46327</v>
      </c>
      <c r="C74" s="38" t="str">
        <f>IFERROR(__xludf.DUMMYFUNCTION("""COMPUTED_VALUE"""),"中部")</f>
        <v>中部</v>
      </c>
      <c r="D74" s="38">
        <f>IFERROR(__xludf.DUMMYFUNCTION("""COMPUTED_VALUE"""),8290.0)</f>
        <v>8290</v>
      </c>
      <c r="E74" s="38" t="str">
        <f>IFERROR(__xludf.DUMMYFUNCTION("""COMPUTED_VALUE"""),"エディオン 柴田店")</f>
        <v>エディオン 柴田店</v>
      </c>
      <c r="F74" s="40">
        <f>IFERROR(__xludf.DUMMYFUNCTION("""COMPUTED_VALUE"""),37.0)</f>
        <v>37</v>
      </c>
      <c r="G74" s="42">
        <f>IFERROR(__xludf.DUMMYFUNCTION("""COMPUTED_VALUE"""),0.0)</f>
        <v>0</v>
      </c>
      <c r="H74" s="42">
        <f>IFERROR(__xludf.DUMMYFUNCTION("""COMPUTED_VALUE"""),0.0)</f>
        <v>0</v>
      </c>
      <c r="I74" s="42">
        <f>IFERROR(__xludf.DUMMYFUNCTION("""COMPUTED_VALUE"""),0.0)</f>
        <v>0</v>
      </c>
      <c r="J74" s="42">
        <f>IFERROR(__xludf.DUMMYFUNCTION("""COMPUTED_VALUE"""),0.0)</f>
        <v>0</v>
      </c>
      <c r="K74" s="42">
        <f>IFERROR(__xludf.DUMMYFUNCTION("""COMPUTED_VALUE"""),0.0)</f>
        <v>0</v>
      </c>
      <c r="L74" s="42">
        <f>IFERROR(__xludf.DUMMYFUNCTION("""COMPUTED_VALUE"""),1.0)</f>
        <v>1</v>
      </c>
      <c r="M74" s="42">
        <f>IFERROR(__xludf.DUMMYFUNCTION("""COMPUTED_VALUE"""),0.0)</f>
        <v>0</v>
      </c>
      <c r="N74" s="42">
        <f>IFERROR(__xludf.DUMMYFUNCTION("""COMPUTED_VALUE"""),0.0)</f>
        <v>0</v>
      </c>
      <c r="O74" s="42">
        <f>IFERROR(__xludf.DUMMYFUNCTION("""COMPUTED_VALUE"""),0.0)</f>
        <v>0</v>
      </c>
      <c r="P74" s="42">
        <f>IFERROR(__xludf.DUMMYFUNCTION("""COMPUTED_VALUE"""),0.0)</f>
        <v>0</v>
      </c>
      <c r="Q74" s="42">
        <f>IFERROR(__xludf.DUMMYFUNCTION("""COMPUTED_VALUE"""),0.0)</f>
        <v>0</v>
      </c>
      <c r="R74" s="42">
        <f>IFERROR(__xludf.DUMMYFUNCTION("""COMPUTED_VALUE"""),1.0)</f>
        <v>1</v>
      </c>
      <c r="S74" s="40">
        <f>IFERROR(__xludf.DUMMYFUNCTION("""COMPUTED_VALUE"""),37.0)</f>
        <v>37</v>
      </c>
      <c r="T74" s="40">
        <f>IFERROR(__xludf.DUMMYFUNCTION("""COMPUTED_VALUE"""),37.0)</f>
        <v>37</v>
      </c>
      <c r="U74" s="46" t="str">
        <f t="array" ref="U74">IF($D74="","",IFERROR(_xlfn.XLOOKUP($D74,'TIR店舗一覧'!$D:$D,'TIR店舗一覧'!$E:$E,""),""))</f>
        <v>ED</v>
      </c>
      <c r="V74" s="54">
        <v>0.0</v>
      </c>
      <c r="W74" s="54">
        <v>0.0</v>
      </c>
      <c r="X74" s="54">
        <v>0.0</v>
      </c>
      <c r="Y74" s="54">
        <v>0.0</v>
      </c>
      <c r="Z74" s="54">
        <v>0.0</v>
      </c>
      <c r="AA74" s="54">
        <v>37.0</v>
      </c>
      <c r="AB74" s="54">
        <v>0.0</v>
      </c>
      <c r="AC74" s="54">
        <v>0.0</v>
      </c>
      <c r="AD74" s="54">
        <v>0.0</v>
      </c>
      <c r="AE74" s="54">
        <v>0.0</v>
      </c>
      <c r="AF74" s="54">
        <v>0.0</v>
      </c>
      <c r="AG74" s="54">
        <v>37.0</v>
      </c>
    </row>
    <row r="75" ht="15.75" customHeight="1">
      <c r="B75" s="56">
        <f>IFERROR(__xludf.DUMMYFUNCTION("""COMPUTED_VALUE"""),46327.0)</f>
        <v>46327</v>
      </c>
      <c r="C75" s="38" t="str">
        <f>IFERROR(__xludf.DUMMYFUNCTION("""COMPUTED_VALUE"""),"中部")</f>
        <v>中部</v>
      </c>
      <c r="D75" s="38">
        <f>IFERROR(__xludf.DUMMYFUNCTION("""COMPUTED_VALUE"""),1008.0)</f>
        <v>1008</v>
      </c>
      <c r="E75" s="38" t="str">
        <f>IFERROR(__xludf.DUMMYFUNCTION("""COMPUTED_VALUE"""),"エディオン 高針原店")</f>
        <v>エディオン 高針原店</v>
      </c>
      <c r="F75" s="40">
        <f>IFERROR(__xludf.DUMMYFUNCTION("""COMPUTED_VALUE"""),26.0)</f>
        <v>26</v>
      </c>
      <c r="G75" s="42">
        <f>IFERROR(__xludf.DUMMYFUNCTION("""COMPUTED_VALUE"""),0.0)</f>
        <v>0</v>
      </c>
      <c r="H75" s="42">
        <f>IFERROR(__xludf.DUMMYFUNCTION("""COMPUTED_VALUE"""),0.0)</f>
        <v>0</v>
      </c>
      <c r="I75" s="42">
        <f>IFERROR(__xludf.DUMMYFUNCTION("""COMPUTED_VALUE"""),0.0)</f>
        <v>0</v>
      </c>
      <c r="J75" s="42">
        <f>IFERROR(__xludf.DUMMYFUNCTION("""COMPUTED_VALUE"""),0.0)</f>
        <v>0</v>
      </c>
      <c r="K75" s="42">
        <f>IFERROR(__xludf.DUMMYFUNCTION("""COMPUTED_VALUE"""),0.0)</f>
        <v>0</v>
      </c>
      <c r="L75" s="42">
        <f>IFERROR(__xludf.DUMMYFUNCTION("""COMPUTED_VALUE"""),1.0)</f>
        <v>1</v>
      </c>
      <c r="M75" s="42">
        <f>IFERROR(__xludf.DUMMYFUNCTION("""COMPUTED_VALUE"""),0.0)</f>
        <v>0</v>
      </c>
      <c r="N75" s="42">
        <f>IFERROR(__xludf.DUMMYFUNCTION("""COMPUTED_VALUE"""),0.0)</f>
        <v>0</v>
      </c>
      <c r="O75" s="42">
        <f>IFERROR(__xludf.DUMMYFUNCTION("""COMPUTED_VALUE"""),0.0)</f>
        <v>0</v>
      </c>
      <c r="P75" s="42">
        <f>IFERROR(__xludf.DUMMYFUNCTION("""COMPUTED_VALUE"""),0.0)</f>
        <v>0</v>
      </c>
      <c r="Q75" s="42">
        <f>IFERROR(__xludf.DUMMYFUNCTION("""COMPUTED_VALUE"""),0.0)</f>
        <v>0</v>
      </c>
      <c r="R75" s="42">
        <f>IFERROR(__xludf.DUMMYFUNCTION("""COMPUTED_VALUE"""),1.0)</f>
        <v>1</v>
      </c>
      <c r="S75" s="40">
        <f>IFERROR(__xludf.DUMMYFUNCTION("""COMPUTED_VALUE"""),26.0)</f>
        <v>26</v>
      </c>
      <c r="T75" s="40">
        <f>IFERROR(__xludf.DUMMYFUNCTION("""COMPUTED_VALUE"""),26.0)</f>
        <v>26</v>
      </c>
      <c r="U75" s="46" t="str">
        <f t="array" ref="U75">IF($D75="","",IFERROR(_xlfn.XLOOKUP($D75,'TIR店舗一覧'!$D:$D,'TIR店舗一覧'!$E:$E,""),""))</f>
        <v>ED</v>
      </c>
      <c r="V75" s="54">
        <v>0.0</v>
      </c>
      <c r="W75" s="54">
        <v>0.0</v>
      </c>
      <c r="X75" s="54">
        <v>0.0</v>
      </c>
      <c r="Y75" s="54">
        <v>0.0</v>
      </c>
      <c r="Z75" s="54">
        <v>0.0</v>
      </c>
      <c r="AA75" s="54">
        <v>26.0</v>
      </c>
      <c r="AB75" s="54">
        <v>0.0</v>
      </c>
      <c r="AC75" s="54">
        <v>0.0</v>
      </c>
      <c r="AD75" s="54">
        <v>0.0</v>
      </c>
      <c r="AE75" s="54">
        <v>0.0</v>
      </c>
      <c r="AF75" s="54">
        <v>0.0</v>
      </c>
      <c r="AG75" s="54">
        <v>26.0</v>
      </c>
    </row>
    <row r="76" ht="15.75" customHeight="1">
      <c r="B76" s="56">
        <f>IFERROR(__xludf.DUMMYFUNCTION("""COMPUTED_VALUE"""),46327.0)</f>
        <v>46327</v>
      </c>
      <c r="C76" s="38" t="str">
        <f>IFERROR(__xludf.DUMMYFUNCTION("""COMPUTED_VALUE"""),"中部")</f>
        <v>中部</v>
      </c>
      <c r="D76" s="38">
        <f>IFERROR(__xludf.DUMMYFUNCTION("""COMPUTED_VALUE"""),8544.0)</f>
        <v>8544</v>
      </c>
      <c r="E76" s="38" t="str">
        <f>IFERROR(__xludf.DUMMYFUNCTION("""COMPUTED_VALUE"""),"エディオン 高山店")</f>
        <v>エディオン 高山店</v>
      </c>
      <c r="F76" s="40">
        <f>IFERROR(__xludf.DUMMYFUNCTION("""COMPUTED_VALUE"""),9.0)</f>
        <v>9</v>
      </c>
      <c r="G76" s="42">
        <f>IFERROR(__xludf.DUMMYFUNCTION("""COMPUTED_VALUE"""),0.0)</f>
        <v>0</v>
      </c>
      <c r="H76" s="42">
        <f>IFERROR(__xludf.DUMMYFUNCTION("""COMPUTED_VALUE"""),0.0)</f>
        <v>0</v>
      </c>
      <c r="I76" s="42">
        <f>IFERROR(__xludf.DUMMYFUNCTION("""COMPUTED_VALUE"""),0.0)</f>
        <v>0</v>
      </c>
      <c r="J76" s="42">
        <f>IFERROR(__xludf.DUMMYFUNCTION("""COMPUTED_VALUE"""),0.0)</f>
        <v>0</v>
      </c>
      <c r="K76" s="42">
        <f>IFERROR(__xludf.DUMMYFUNCTION("""COMPUTED_VALUE"""),0.0)</f>
        <v>0</v>
      </c>
      <c r="L76" s="42">
        <f>IFERROR(__xludf.DUMMYFUNCTION("""COMPUTED_VALUE"""),1.0)</f>
        <v>1</v>
      </c>
      <c r="M76" s="42">
        <f>IFERROR(__xludf.DUMMYFUNCTION("""COMPUTED_VALUE"""),0.0)</f>
        <v>0</v>
      </c>
      <c r="N76" s="42">
        <f>IFERROR(__xludf.DUMMYFUNCTION("""COMPUTED_VALUE"""),0.0)</f>
        <v>0</v>
      </c>
      <c r="O76" s="42">
        <f>IFERROR(__xludf.DUMMYFUNCTION("""COMPUTED_VALUE"""),0.0)</f>
        <v>0</v>
      </c>
      <c r="P76" s="42">
        <f>IFERROR(__xludf.DUMMYFUNCTION("""COMPUTED_VALUE"""),0.0)</f>
        <v>0</v>
      </c>
      <c r="Q76" s="42">
        <f>IFERROR(__xludf.DUMMYFUNCTION("""COMPUTED_VALUE"""),0.0)</f>
        <v>0</v>
      </c>
      <c r="R76" s="42">
        <f>IFERROR(__xludf.DUMMYFUNCTION("""COMPUTED_VALUE"""),1.0)</f>
        <v>1</v>
      </c>
      <c r="S76" s="40">
        <f>IFERROR(__xludf.DUMMYFUNCTION("""COMPUTED_VALUE"""),9.0)</f>
        <v>9</v>
      </c>
      <c r="T76" s="40">
        <f>IFERROR(__xludf.DUMMYFUNCTION("""COMPUTED_VALUE"""),9.0)</f>
        <v>9</v>
      </c>
      <c r="U76" s="46" t="str">
        <f t="array" ref="U76">IF($D76="","",IFERROR(_xlfn.XLOOKUP($D76,'TIR店舗一覧'!$D:$D,'TIR店舗一覧'!$E:$E,""),""))</f>
        <v>ED</v>
      </c>
      <c r="V76" s="54">
        <v>0.0</v>
      </c>
      <c r="W76" s="54">
        <v>0.0</v>
      </c>
      <c r="X76" s="54">
        <v>0.0</v>
      </c>
      <c r="Y76" s="54">
        <v>0.0</v>
      </c>
      <c r="Z76" s="54">
        <v>0.0</v>
      </c>
      <c r="AA76" s="54">
        <v>9.0</v>
      </c>
      <c r="AB76" s="54">
        <v>0.0</v>
      </c>
      <c r="AC76" s="54">
        <v>0.0</v>
      </c>
      <c r="AD76" s="54">
        <v>0.0</v>
      </c>
      <c r="AE76" s="54">
        <v>0.0</v>
      </c>
      <c r="AF76" s="54">
        <v>0.0</v>
      </c>
      <c r="AG76" s="54">
        <v>9.0</v>
      </c>
    </row>
    <row r="77" ht="15.75" customHeight="1">
      <c r="B77" s="56">
        <f>IFERROR(__xludf.DUMMYFUNCTION("""COMPUTED_VALUE"""),46327.0)</f>
        <v>46327</v>
      </c>
      <c r="C77" s="38" t="str">
        <f>IFERROR(__xludf.DUMMYFUNCTION("""COMPUTED_VALUE"""),"中部")</f>
        <v>中部</v>
      </c>
      <c r="D77" s="38">
        <f>IFERROR(__xludf.DUMMYFUNCTION("""COMPUTED_VALUE"""),1040.0)</f>
        <v>1040</v>
      </c>
      <c r="E77" s="38" t="str">
        <f>IFERROR(__xludf.DUMMYFUNCTION("""COMPUTED_VALUE"""),"エディオン 金沢直江店")</f>
        <v>エディオン 金沢直江店</v>
      </c>
      <c r="F77" s="40">
        <f>IFERROR(__xludf.DUMMYFUNCTION("""COMPUTED_VALUE"""),16.0)</f>
        <v>16</v>
      </c>
      <c r="G77" s="42">
        <f>IFERROR(__xludf.DUMMYFUNCTION("""COMPUTED_VALUE"""),0.0)</f>
        <v>0</v>
      </c>
      <c r="H77" s="42">
        <f>IFERROR(__xludf.DUMMYFUNCTION("""COMPUTED_VALUE"""),0.0)</f>
        <v>0</v>
      </c>
      <c r="I77" s="42">
        <f>IFERROR(__xludf.DUMMYFUNCTION("""COMPUTED_VALUE"""),0.0)</f>
        <v>0</v>
      </c>
      <c r="J77" s="42">
        <f>IFERROR(__xludf.DUMMYFUNCTION("""COMPUTED_VALUE"""),0.0)</f>
        <v>0</v>
      </c>
      <c r="K77" s="42">
        <f>IFERROR(__xludf.DUMMYFUNCTION("""COMPUTED_VALUE"""),0.0)</f>
        <v>0</v>
      </c>
      <c r="L77" s="42">
        <f>IFERROR(__xludf.DUMMYFUNCTION("""COMPUTED_VALUE"""),1.0)</f>
        <v>1</v>
      </c>
      <c r="M77" s="42">
        <f>IFERROR(__xludf.DUMMYFUNCTION("""COMPUTED_VALUE"""),0.0)</f>
        <v>0</v>
      </c>
      <c r="N77" s="42">
        <f>IFERROR(__xludf.DUMMYFUNCTION("""COMPUTED_VALUE"""),0.0)</f>
        <v>0</v>
      </c>
      <c r="O77" s="42">
        <f>IFERROR(__xludf.DUMMYFUNCTION("""COMPUTED_VALUE"""),0.0)</f>
        <v>0</v>
      </c>
      <c r="P77" s="42">
        <f>IFERROR(__xludf.DUMMYFUNCTION("""COMPUTED_VALUE"""),0.0)</f>
        <v>0</v>
      </c>
      <c r="Q77" s="42">
        <f>IFERROR(__xludf.DUMMYFUNCTION("""COMPUTED_VALUE"""),0.0)</f>
        <v>0</v>
      </c>
      <c r="R77" s="42">
        <f>IFERROR(__xludf.DUMMYFUNCTION("""COMPUTED_VALUE"""),1.0)</f>
        <v>1</v>
      </c>
      <c r="S77" s="40">
        <f>IFERROR(__xludf.DUMMYFUNCTION("""COMPUTED_VALUE"""),16.0)</f>
        <v>16</v>
      </c>
      <c r="T77" s="40">
        <f>IFERROR(__xludf.DUMMYFUNCTION("""COMPUTED_VALUE"""),16.0)</f>
        <v>16</v>
      </c>
      <c r="U77" s="46" t="str">
        <f t="array" ref="U77">IF($D77="","",IFERROR(_xlfn.XLOOKUP($D77,'TIR店舗一覧'!$D:$D,'TIR店舗一覧'!$E:$E,""),""))</f>
        <v>ED</v>
      </c>
      <c r="V77" s="54">
        <v>0.0</v>
      </c>
      <c r="W77" s="54">
        <v>0.0</v>
      </c>
      <c r="X77" s="54">
        <v>0.0</v>
      </c>
      <c r="Y77" s="54">
        <v>0.0</v>
      </c>
      <c r="Z77" s="54">
        <v>0.0</v>
      </c>
      <c r="AA77" s="54">
        <v>16.0</v>
      </c>
      <c r="AB77" s="54">
        <v>0.0</v>
      </c>
      <c r="AC77" s="54">
        <v>0.0</v>
      </c>
      <c r="AD77" s="54">
        <v>0.0</v>
      </c>
      <c r="AE77" s="54">
        <v>0.0</v>
      </c>
      <c r="AF77" s="54">
        <v>0.0</v>
      </c>
      <c r="AG77" s="54">
        <v>16.0</v>
      </c>
    </row>
    <row r="78" ht="15.75" customHeight="1">
      <c r="B78" s="56">
        <f>IFERROR(__xludf.DUMMYFUNCTION("""COMPUTED_VALUE"""),46327.0)</f>
        <v>46327</v>
      </c>
      <c r="C78" s="38" t="str">
        <f>IFERROR(__xludf.DUMMYFUNCTION("""COMPUTED_VALUE"""),"中部")</f>
        <v>中部</v>
      </c>
      <c r="D78" s="38">
        <f>IFERROR(__xludf.DUMMYFUNCTION("""COMPUTED_VALUE"""),1037.0)</f>
        <v>1037</v>
      </c>
      <c r="E78" s="38" t="str">
        <f>IFERROR(__xludf.DUMMYFUNCTION("""COMPUTED_VALUE"""),"エディオン 越前店")</f>
        <v>エディオン 越前店</v>
      </c>
      <c r="F78" s="40">
        <f>IFERROR(__xludf.DUMMYFUNCTION("""COMPUTED_VALUE"""),24.0)</f>
        <v>24</v>
      </c>
      <c r="G78" s="42">
        <f>IFERROR(__xludf.DUMMYFUNCTION("""COMPUTED_VALUE"""),0.0)</f>
        <v>0</v>
      </c>
      <c r="H78" s="42">
        <f>IFERROR(__xludf.DUMMYFUNCTION("""COMPUTED_VALUE"""),0.0)</f>
        <v>0</v>
      </c>
      <c r="I78" s="42">
        <f>IFERROR(__xludf.DUMMYFUNCTION("""COMPUTED_VALUE"""),0.0)</f>
        <v>0</v>
      </c>
      <c r="J78" s="42">
        <f>IFERROR(__xludf.DUMMYFUNCTION("""COMPUTED_VALUE"""),0.0)</f>
        <v>0</v>
      </c>
      <c r="K78" s="42">
        <f>IFERROR(__xludf.DUMMYFUNCTION("""COMPUTED_VALUE"""),0.0)</f>
        <v>0</v>
      </c>
      <c r="L78" s="42">
        <f>IFERROR(__xludf.DUMMYFUNCTION("""COMPUTED_VALUE"""),1.0)</f>
        <v>1</v>
      </c>
      <c r="M78" s="42">
        <f>IFERROR(__xludf.DUMMYFUNCTION("""COMPUTED_VALUE"""),0.0)</f>
        <v>0</v>
      </c>
      <c r="N78" s="42">
        <f>IFERROR(__xludf.DUMMYFUNCTION("""COMPUTED_VALUE"""),0.0)</f>
        <v>0</v>
      </c>
      <c r="O78" s="42">
        <f>IFERROR(__xludf.DUMMYFUNCTION("""COMPUTED_VALUE"""),0.0)</f>
        <v>0</v>
      </c>
      <c r="P78" s="42">
        <f>IFERROR(__xludf.DUMMYFUNCTION("""COMPUTED_VALUE"""),0.0)</f>
        <v>0</v>
      </c>
      <c r="Q78" s="42">
        <f>IFERROR(__xludf.DUMMYFUNCTION("""COMPUTED_VALUE"""),0.0)</f>
        <v>0</v>
      </c>
      <c r="R78" s="42">
        <f>IFERROR(__xludf.DUMMYFUNCTION("""COMPUTED_VALUE"""),1.0)</f>
        <v>1</v>
      </c>
      <c r="S78" s="40">
        <f>IFERROR(__xludf.DUMMYFUNCTION("""COMPUTED_VALUE"""),24.0)</f>
        <v>24</v>
      </c>
      <c r="T78" s="40">
        <f>IFERROR(__xludf.DUMMYFUNCTION("""COMPUTED_VALUE"""),24.0)</f>
        <v>24</v>
      </c>
      <c r="U78" s="46" t="str">
        <f t="array" ref="U78">IF($D78="","",IFERROR(_xlfn.XLOOKUP($D78,'TIR店舗一覧'!$D:$D,'TIR店舗一覧'!$E:$E,""),""))</f>
        <v>ED</v>
      </c>
      <c r="V78" s="54">
        <v>0.0</v>
      </c>
      <c r="W78" s="54">
        <v>0.0</v>
      </c>
      <c r="X78" s="54">
        <v>0.0</v>
      </c>
      <c r="Y78" s="54">
        <v>0.0</v>
      </c>
      <c r="Z78" s="54">
        <v>0.0</v>
      </c>
      <c r="AA78" s="54">
        <v>24.0</v>
      </c>
      <c r="AB78" s="54">
        <v>0.0</v>
      </c>
      <c r="AC78" s="54">
        <v>0.0</v>
      </c>
      <c r="AD78" s="54">
        <v>0.0</v>
      </c>
      <c r="AE78" s="54">
        <v>0.0</v>
      </c>
      <c r="AF78" s="54">
        <v>0.0</v>
      </c>
      <c r="AG78" s="54">
        <v>24.0</v>
      </c>
    </row>
    <row r="79" ht="15.75" customHeight="1">
      <c r="B79" s="56">
        <f>IFERROR(__xludf.DUMMYFUNCTION("""COMPUTED_VALUE"""),46327.0)</f>
        <v>46327</v>
      </c>
      <c r="C79" s="38" t="str">
        <f>IFERROR(__xludf.DUMMYFUNCTION("""COMPUTED_VALUE"""),"中部")</f>
        <v>中部</v>
      </c>
      <c r="D79" s="38">
        <f>IFERROR(__xludf.DUMMYFUNCTION("""COMPUTED_VALUE"""),721.0)</f>
        <v>721</v>
      </c>
      <c r="E79" s="38" t="str">
        <f>IFERROR(__xludf.DUMMYFUNCTION("""COMPUTED_VALUE"""),"エディオン 安城店")</f>
        <v>エディオン 安城店</v>
      </c>
      <c r="F79" s="40">
        <f>IFERROR(__xludf.DUMMYFUNCTION("""COMPUTED_VALUE"""),77.0)</f>
        <v>77</v>
      </c>
      <c r="G79" s="42">
        <f>IFERROR(__xludf.DUMMYFUNCTION("""COMPUTED_VALUE"""),0.0)</f>
        <v>0</v>
      </c>
      <c r="H79" s="42">
        <f>IFERROR(__xludf.DUMMYFUNCTION("""COMPUTED_VALUE"""),0.0)</f>
        <v>0</v>
      </c>
      <c r="I79" s="42">
        <f>IFERROR(__xludf.DUMMYFUNCTION("""COMPUTED_VALUE"""),0.0)</f>
        <v>0</v>
      </c>
      <c r="J79" s="42">
        <f>IFERROR(__xludf.DUMMYFUNCTION("""COMPUTED_VALUE"""),0.0)</f>
        <v>0</v>
      </c>
      <c r="K79" s="42">
        <f>IFERROR(__xludf.DUMMYFUNCTION("""COMPUTED_VALUE"""),0.0)</f>
        <v>0</v>
      </c>
      <c r="L79" s="42">
        <f>IFERROR(__xludf.DUMMYFUNCTION("""COMPUTED_VALUE"""),1.0)</f>
        <v>1</v>
      </c>
      <c r="M79" s="42">
        <f>IFERROR(__xludf.DUMMYFUNCTION("""COMPUTED_VALUE"""),0.0)</f>
        <v>0</v>
      </c>
      <c r="N79" s="42">
        <f>IFERROR(__xludf.DUMMYFUNCTION("""COMPUTED_VALUE"""),0.0)</f>
        <v>0</v>
      </c>
      <c r="O79" s="42">
        <f>IFERROR(__xludf.DUMMYFUNCTION("""COMPUTED_VALUE"""),0.0)</f>
        <v>0</v>
      </c>
      <c r="P79" s="42">
        <f>IFERROR(__xludf.DUMMYFUNCTION("""COMPUTED_VALUE"""),0.0)</f>
        <v>0</v>
      </c>
      <c r="Q79" s="42">
        <f>IFERROR(__xludf.DUMMYFUNCTION("""COMPUTED_VALUE"""),0.0)</f>
        <v>0</v>
      </c>
      <c r="R79" s="42">
        <f>IFERROR(__xludf.DUMMYFUNCTION("""COMPUTED_VALUE"""),1.0)</f>
        <v>1</v>
      </c>
      <c r="S79" s="40">
        <f>IFERROR(__xludf.DUMMYFUNCTION("""COMPUTED_VALUE"""),77.0)</f>
        <v>77</v>
      </c>
      <c r="T79" s="40">
        <f>IFERROR(__xludf.DUMMYFUNCTION("""COMPUTED_VALUE"""),77.0)</f>
        <v>77</v>
      </c>
      <c r="U79" s="46" t="str">
        <f t="array" ref="U79">IF($D79="","",IFERROR(_xlfn.XLOOKUP($D79,'TIR店舗一覧'!$D:$D,'TIR店舗一覧'!$E:$E,""),""))</f>
        <v>ED</v>
      </c>
      <c r="V79" s="54">
        <v>0.0</v>
      </c>
      <c r="W79" s="54">
        <v>0.0</v>
      </c>
      <c r="X79" s="54">
        <v>0.0</v>
      </c>
      <c r="Y79" s="54">
        <v>0.0</v>
      </c>
      <c r="Z79" s="54">
        <v>0.0</v>
      </c>
      <c r="AA79" s="54">
        <v>77.0</v>
      </c>
      <c r="AB79" s="54">
        <v>0.0</v>
      </c>
      <c r="AC79" s="54">
        <v>0.0</v>
      </c>
      <c r="AD79" s="54">
        <v>0.0</v>
      </c>
      <c r="AE79" s="54">
        <v>0.0</v>
      </c>
      <c r="AF79" s="54">
        <v>0.0</v>
      </c>
      <c r="AG79" s="54">
        <v>77.0</v>
      </c>
    </row>
    <row r="80" ht="15.75" customHeight="1">
      <c r="B80" s="56">
        <f>IFERROR(__xludf.DUMMYFUNCTION("""COMPUTED_VALUE"""),46327.0)</f>
        <v>46327</v>
      </c>
      <c r="C80" s="38" t="str">
        <f>IFERROR(__xludf.DUMMYFUNCTION("""COMPUTED_VALUE"""),"中部")</f>
        <v>中部</v>
      </c>
      <c r="D80" s="38">
        <f>IFERROR(__xludf.DUMMYFUNCTION("""COMPUTED_VALUE"""),3141.0)</f>
        <v>3141</v>
      </c>
      <c r="E80" s="38" t="str">
        <f>IFERROR(__xludf.DUMMYFUNCTION("""COMPUTED_VALUE"""),"エディオン メッツ大曽根店")</f>
        <v>エディオン メッツ大曽根店</v>
      </c>
      <c r="F80" s="40">
        <f>IFERROR(__xludf.DUMMYFUNCTION("""COMPUTED_VALUE"""),55.0)</f>
        <v>55</v>
      </c>
      <c r="G80" s="42">
        <f>IFERROR(__xludf.DUMMYFUNCTION("""COMPUTED_VALUE"""),0.0)</f>
        <v>0</v>
      </c>
      <c r="H80" s="42">
        <f>IFERROR(__xludf.DUMMYFUNCTION("""COMPUTED_VALUE"""),0.0)</f>
        <v>0</v>
      </c>
      <c r="I80" s="42">
        <f>IFERROR(__xludf.DUMMYFUNCTION("""COMPUTED_VALUE"""),0.0)</f>
        <v>0</v>
      </c>
      <c r="J80" s="42">
        <f>IFERROR(__xludf.DUMMYFUNCTION("""COMPUTED_VALUE"""),0.0)</f>
        <v>0</v>
      </c>
      <c r="K80" s="42">
        <f>IFERROR(__xludf.DUMMYFUNCTION("""COMPUTED_VALUE"""),0.0)</f>
        <v>0</v>
      </c>
      <c r="L80" s="42">
        <f>IFERROR(__xludf.DUMMYFUNCTION("""COMPUTED_VALUE"""),1.0)</f>
        <v>1</v>
      </c>
      <c r="M80" s="42">
        <f>IFERROR(__xludf.DUMMYFUNCTION("""COMPUTED_VALUE"""),0.0)</f>
        <v>0</v>
      </c>
      <c r="N80" s="42">
        <f>IFERROR(__xludf.DUMMYFUNCTION("""COMPUTED_VALUE"""),0.0)</f>
        <v>0</v>
      </c>
      <c r="O80" s="42">
        <f>IFERROR(__xludf.DUMMYFUNCTION("""COMPUTED_VALUE"""),0.0)</f>
        <v>0</v>
      </c>
      <c r="P80" s="42">
        <f>IFERROR(__xludf.DUMMYFUNCTION("""COMPUTED_VALUE"""),0.0)</f>
        <v>0</v>
      </c>
      <c r="Q80" s="42">
        <f>IFERROR(__xludf.DUMMYFUNCTION("""COMPUTED_VALUE"""),0.0)</f>
        <v>0</v>
      </c>
      <c r="R80" s="42">
        <f>IFERROR(__xludf.DUMMYFUNCTION("""COMPUTED_VALUE"""),1.0)</f>
        <v>1</v>
      </c>
      <c r="S80" s="40">
        <f>IFERROR(__xludf.DUMMYFUNCTION("""COMPUTED_VALUE"""),55.0)</f>
        <v>55</v>
      </c>
      <c r="T80" s="40">
        <f>IFERROR(__xludf.DUMMYFUNCTION("""COMPUTED_VALUE"""),55.0)</f>
        <v>55</v>
      </c>
      <c r="U80" s="46" t="str">
        <f t="array" ref="U80">IF($D80="","",IFERROR(_xlfn.XLOOKUP($D80,'TIR店舗一覧'!$D:$D,'TIR店舗一覧'!$E:$E,""),""))</f>
        <v>ED</v>
      </c>
      <c r="V80" s="54">
        <v>0.0</v>
      </c>
      <c r="W80" s="54">
        <v>0.0</v>
      </c>
      <c r="X80" s="54">
        <v>0.0</v>
      </c>
      <c r="Y80" s="54">
        <v>0.0</v>
      </c>
      <c r="Z80" s="54">
        <v>0.0</v>
      </c>
      <c r="AA80" s="54">
        <v>55.0</v>
      </c>
      <c r="AB80" s="54">
        <v>0.0</v>
      </c>
      <c r="AC80" s="54">
        <v>0.0</v>
      </c>
      <c r="AD80" s="54">
        <v>0.0</v>
      </c>
      <c r="AE80" s="54">
        <v>0.0</v>
      </c>
      <c r="AF80" s="54">
        <v>0.0</v>
      </c>
      <c r="AG80" s="54">
        <v>55.0</v>
      </c>
    </row>
    <row r="81" ht="15.75" customHeight="1">
      <c r="B81" s="56">
        <f>IFERROR(__xludf.DUMMYFUNCTION("""COMPUTED_VALUE"""),46327.0)</f>
        <v>46327</v>
      </c>
      <c r="C81" s="38" t="str">
        <f>IFERROR(__xludf.DUMMYFUNCTION("""COMPUTED_VALUE"""),"中部")</f>
        <v>中部</v>
      </c>
      <c r="D81" s="38">
        <f>IFERROR(__xludf.DUMMYFUNCTION("""COMPUTED_VALUE"""),8904.0)</f>
        <v>8904</v>
      </c>
      <c r="E81" s="38" t="str">
        <f>IFERROR(__xludf.DUMMYFUNCTION("""COMPUTED_VALUE"""),"エディオン イオンタウン菰野店")</f>
        <v>エディオン イオンタウン菰野店</v>
      </c>
      <c r="F81" s="40">
        <f>IFERROR(__xludf.DUMMYFUNCTION("""COMPUTED_VALUE"""),11.0)</f>
        <v>11</v>
      </c>
      <c r="G81" s="42">
        <f>IFERROR(__xludf.DUMMYFUNCTION("""COMPUTED_VALUE"""),0.0)</f>
        <v>0</v>
      </c>
      <c r="H81" s="42">
        <f>IFERROR(__xludf.DUMMYFUNCTION("""COMPUTED_VALUE"""),0.0)</f>
        <v>0</v>
      </c>
      <c r="I81" s="42">
        <f>IFERROR(__xludf.DUMMYFUNCTION("""COMPUTED_VALUE"""),0.0)</f>
        <v>0</v>
      </c>
      <c r="J81" s="42">
        <f>IFERROR(__xludf.DUMMYFUNCTION("""COMPUTED_VALUE"""),0.0)</f>
        <v>0</v>
      </c>
      <c r="K81" s="42">
        <f>IFERROR(__xludf.DUMMYFUNCTION("""COMPUTED_VALUE"""),0.0)</f>
        <v>0</v>
      </c>
      <c r="L81" s="42">
        <f>IFERROR(__xludf.DUMMYFUNCTION("""COMPUTED_VALUE"""),1.0)</f>
        <v>1</v>
      </c>
      <c r="M81" s="42">
        <f>IFERROR(__xludf.DUMMYFUNCTION("""COMPUTED_VALUE"""),0.0)</f>
        <v>0</v>
      </c>
      <c r="N81" s="42">
        <f>IFERROR(__xludf.DUMMYFUNCTION("""COMPUTED_VALUE"""),0.0)</f>
        <v>0</v>
      </c>
      <c r="O81" s="42">
        <f>IFERROR(__xludf.DUMMYFUNCTION("""COMPUTED_VALUE"""),0.0)</f>
        <v>0</v>
      </c>
      <c r="P81" s="42">
        <f>IFERROR(__xludf.DUMMYFUNCTION("""COMPUTED_VALUE"""),0.0)</f>
        <v>0</v>
      </c>
      <c r="Q81" s="42">
        <f>IFERROR(__xludf.DUMMYFUNCTION("""COMPUTED_VALUE"""),0.0)</f>
        <v>0</v>
      </c>
      <c r="R81" s="42">
        <f>IFERROR(__xludf.DUMMYFUNCTION("""COMPUTED_VALUE"""),1.0)</f>
        <v>1</v>
      </c>
      <c r="S81" s="40">
        <f>IFERROR(__xludf.DUMMYFUNCTION("""COMPUTED_VALUE"""),11.0)</f>
        <v>11</v>
      </c>
      <c r="T81" s="40">
        <f>IFERROR(__xludf.DUMMYFUNCTION("""COMPUTED_VALUE"""),11.0)</f>
        <v>11</v>
      </c>
      <c r="U81" s="46" t="str">
        <f t="array" ref="U81">IF($D81="","",IFERROR(_xlfn.XLOOKUP($D81,'TIR店舗一覧'!$D:$D,'TIR店舗一覧'!$E:$E,""),""))</f>
        <v>ED</v>
      </c>
      <c r="V81" s="54">
        <v>0.0</v>
      </c>
      <c r="W81" s="54">
        <v>0.0</v>
      </c>
      <c r="X81" s="54">
        <v>0.0</v>
      </c>
      <c r="Y81" s="54">
        <v>0.0</v>
      </c>
      <c r="Z81" s="54">
        <v>0.0</v>
      </c>
      <c r="AA81" s="54">
        <v>11.0</v>
      </c>
      <c r="AB81" s="54">
        <v>0.0</v>
      </c>
      <c r="AC81" s="54">
        <v>0.0</v>
      </c>
      <c r="AD81" s="54">
        <v>0.0</v>
      </c>
      <c r="AE81" s="54">
        <v>0.0</v>
      </c>
      <c r="AF81" s="54">
        <v>0.0</v>
      </c>
      <c r="AG81" s="54">
        <v>11.0</v>
      </c>
    </row>
    <row r="82" ht="15.75" customHeight="1">
      <c r="B82" s="56">
        <f>IFERROR(__xludf.DUMMYFUNCTION("""COMPUTED_VALUE"""),46327.0)</f>
        <v>46327</v>
      </c>
      <c r="C82" s="38" t="str">
        <f>IFERROR(__xludf.DUMMYFUNCTION("""COMPUTED_VALUE"""),"中部")</f>
        <v>中部</v>
      </c>
      <c r="D82" s="38">
        <f>IFERROR(__xludf.DUMMYFUNCTION("""COMPUTED_VALUE"""),4061.0)</f>
        <v>4061</v>
      </c>
      <c r="E82" s="38" t="str">
        <f>IFERROR(__xludf.DUMMYFUNCTION("""COMPUTED_VALUE"""),"エディオン イオンタウン刈谷店")</f>
        <v>エディオン イオンタウン刈谷店</v>
      </c>
      <c r="F82" s="40">
        <f>IFERROR(__xludf.DUMMYFUNCTION("""COMPUTED_VALUE"""),10.0)</f>
        <v>10</v>
      </c>
      <c r="G82" s="42">
        <f>IFERROR(__xludf.DUMMYFUNCTION("""COMPUTED_VALUE"""),0.0)</f>
        <v>0</v>
      </c>
      <c r="H82" s="42">
        <f>IFERROR(__xludf.DUMMYFUNCTION("""COMPUTED_VALUE"""),0.0)</f>
        <v>0</v>
      </c>
      <c r="I82" s="42">
        <f>IFERROR(__xludf.DUMMYFUNCTION("""COMPUTED_VALUE"""),0.0)</f>
        <v>0</v>
      </c>
      <c r="J82" s="42">
        <f>IFERROR(__xludf.DUMMYFUNCTION("""COMPUTED_VALUE"""),0.0)</f>
        <v>0</v>
      </c>
      <c r="K82" s="42">
        <f>IFERROR(__xludf.DUMMYFUNCTION("""COMPUTED_VALUE"""),0.0)</f>
        <v>0</v>
      </c>
      <c r="L82" s="42">
        <f>IFERROR(__xludf.DUMMYFUNCTION("""COMPUTED_VALUE"""),1.0)</f>
        <v>1</v>
      </c>
      <c r="M82" s="42">
        <f>IFERROR(__xludf.DUMMYFUNCTION("""COMPUTED_VALUE"""),0.0)</f>
        <v>0</v>
      </c>
      <c r="N82" s="42">
        <f>IFERROR(__xludf.DUMMYFUNCTION("""COMPUTED_VALUE"""),0.0)</f>
        <v>0</v>
      </c>
      <c r="O82" s="42">
        <f>IFERROR(__xludf.DUMMYFUNCTION("""COMPUTED_VALUE"""),0.0)</f>
        <v>0</v>
      </c>
      <c r="P82" s="42">
        <f>IFERROR(__xludf.DUMMYFUNCTION("""COMPUTED_VALUE"""),0.0)</f>
        <v>0</v>
      </c>
      <c r="Q82" s="42">
        <f>IFERROR(__xludf.DUMMYFUNCTION("""COMPUTED_VALUE"""),0.0)</f>
        <v>0</v>
      </c>
      <c r="R82" s="42">
        <f>IFERROR(__xludf.DUMMYFUNCTION("""COMPUTED_VALUE"""),1.0)</f>
        <v>1</v>
      </c>
      <c r="S82" s="40">
        <f>IFERROR(__xludf.DUMMYFUNCTION("""COMPUTED_VALUE"""),10.0)</f>
        <v>10</v>
      </c>
      <c r="T82" s="40">
        <f>IFERROR(__xludf.DUMMYFUNCTION("""COMPUTED_VALUE"""),10.0)</f>
        <v>10</v>
      </c>
      <c r="U82" s="46" t="str">
        <f t="array" ref="U82">IF($D82="","",IFERROR(_xlfn.XLOOKUP($D82,'TIR店舗一覧'!$D:$D,'TIR店舗一覧'!$E:$E,""),""))</f>
        <v>ED</v>
      </c>
      <c r="V82" s="54">
        <v>0.0</v>
      </c>
      <c r="W82" s="54">
        <v>0.0</v>
      </c>
      <c r="X82" s="54">
        <v>0.0</v>
      </c>
      <c r="Y82" s="54">
        <v>0.0</v>
      </c>
      <c r="Z82" s="54">
        <v>0.0</v>
      </c>
      <c r="AA82" s="54">
        <v>10.0</v>
      </c>
      <c r="AB82" s="54">
        <v>0.0</v>
      </c>
      <c r="AC82" s="54">
        <v>0.0</v>
      </c>
      <c r="AD82" s="54">
        <v>0.0</v>
      </c>
      <c r="AE82" s="54">
        <v>0.0</v>
      </c>
      <c r="AF82" s="54">
        <v>0.0</v>
      </c>
      <c r="AG82" s="54">
        <v>10.0</v>
      </c>
    </row>
    <row r="83" ht="15.75" customHeight="1">
      <c r="B83" s="56">
        <f>IFERROR(__xludf.DUMMYFUNCTION("""COMPUTED_VALUE"""),46327.0)</f>
        <v>46327</v>
      </c>
      <c r="C83" s="38" t="str">
        <f>IFERROR(__xludf.DUMMYFUNCTION("""COMPUTED_VALUE"""),"中部")</f>
        <v>中部</v>
      </c>
      <c r="D83" s="38">
        <f>IFERROR(__xludf.DUMMYFUNCTION("""COMPUTED_VALUE"""),8492.0)</f>
        <v>8492</v>
      </c>
      <c r="E83" s="38" t="str">
        <f>IFERROR(__xludf.DUMMYFUNCTION("""COMPUTED_VALUE"""),"Tecc LIFE SELECT 野々市御経塚店")</f>
        <v>Tecc LIFE SELECT 野々市御経塚店</v>
      </c>
      <c r="F83" s="40">
        <f>IFERROR(__xludf.DUMMYFUNCTION("""COMPUTED_VALUE"""),18.0)</f>
        <v>18</v>
      </c>
      <c r="G83" s="42">
        <f>IFERROR(__xludf.DUMMYFUNCTION("""COMPUTED_VALUE"""),0.0)</f>
        <v>0</v>
      </c>
      <c r="H83" s="42">
        <f>IFERROR(__xludf.DUMMYFUNCTION("""COMPUTED_VALUE"""),0.0)</f>
        <v>0</v>
      </c>
      <c r="I83" s="42">
        <f>IFERROR(__xludf.DUMMYFUNCTION("""COMPUTED_VALUE"""),0.0)</f>
        <v>0</v>
      </c>
      <c r="J83" s="42">
        <f>IFERROR(__xludf.DUMMYFUNCTION("""COMPUTED_VALUE"""),0.0)</f>
        <v>0</v>
      </c>
      <c r="K83" s="42">
        <f>IFERROR(__xludf.DUMMYFUNCTION("""COMPUTED_VALUE"""),0.0)</f>
        <v>0</v>
      </c>
      <c r="L83" s="42">
        <f>IFERROR(__xludf.DUMMYFUNCTION("""COMPUTED_VALUE"""),1.0)</f>
        <v>1</v>
      </c>
      <c r="M83" s="42">
        <f>IFERROR(__xludf.DUMMYFUNCTION("""COMPUTED_VALUE"""),0.0)</f>
        <v>0</v>
      </c>
      <c r="N83" s="42">
        <f>IFERROR(__xludf.DUMMYFUNCTION("""COMPUTED_VALUE"""),0.0)</f>
        <v>0</v>
      </c>
      <c r="O83" s="42">
        <f>IFERROR(__xludf.DUMMYFUNCTION("""COMPUTED_VALUE"""),0.0)</f>
        <v>0</v>
      </c>
      <c r="P83" s="42">
        <f>IFERROR(__xludf.DUMMYFUNCTION("""COMPUTED_VALUE"""),0.0)</f>
        <v>0</v>
      </c>
      <c r="Q83" s="42">
        <f>IFERROR(__xludf.DUMMYFUNCTION("""COMPUTED_VALUE"""),0.0)</f>
        <v>0</v>
      </c>
      <c r="R83" s="42">
        <f>IFERROR(__xludf.DUMMYFUNCTION("""COMPUTED_VALUE"""),1.0)</f>
        <v>1</v>
      </c>
      <c r="S83" s="40">
        <f>IFERROR(__xludf.DUMMYFUNCTION("""COMPUTED_VALUE"""),18.0)</f>
        <v>18</v>
      </c>
      <c r="T83" s="40">
        <f>IFERROR(__xludf.DUMMYFUNCTION("""COMPUTED_VALUE"""),18.0)</f>
        <v>18</v>
      </c>
      <c r="U83" s="46" t="str">
        <f t="array" ref="U83">IF($D83="","",IFERROR(_xlfn.XLOOKUP($D83,'TIR店舗一覧'!$D:$D,'TIR店舗一覧'!$E:$E,""),""))</f>
        <v>YD</v>
      </c>
      <c r="V83" s="54">
        <v>0.0</v>
      </c>
      <c r="W83" s="54">
        <v>0.0</v>
      </c>
      <c r="X83" s="54">
        <v>0.0</v>
      </c>
      <c r="Y83" s="54">
        <v>0.0</v>
      </c>
      <c r="Z83" s="54">
        <v>0.0</v>
      </c>
      <c r="AA83" s="54">
        <v>18.0</v>
      </c>
      <c r="AB83" s="54">
        <v>0.0</v>
      </c>
      <c r="AC83" s="54">
        <v>0.0</v>
      </c>
      <c r="AD83" s="54">
        <v>0.0</v>
      </c>
      <c r="AE83" s="54">
        <v>0.0</v>
      </c>
      <c r="AF83" s="54">
        <v>0.0</v>
      </c>
      <c r="AG83" s="54">
        <v>18.0</v>
      </c>
    </row>
    <row r="84" ht="15.75" customHeight="1">
      <c r="B84" s="56">
        <f>IFERROR(__xludf.DUMMYFUNCTION("""COMPUTED_VALUE"""),46327.0)</f>
        <v>46327</v>
      </c>
      <c r="C84" s="38" t="str">
        <f>IFERROR(__xludf.DUMMYFUNCTION("""COMPUTED_VALUE"""),"中部")</f>
        <v>中部</v>
      </c>
      <c r="D84" s="38">
        <f>IFERROR(__xludf.DUMMYFUNCTION("""COMPUTED_VALUE"""),8849.0)</f>
        <v>8849</v>
      </c>
      <c r="E84" s="38" t="str">
        <f>IFERROR(__xludf.DUMMYFUNCTION("""COMPUTED_VALUE"""),"Tecc LIFE SELECT 高岡店")</f>
        <v>Tecc LIFE SELECT 高岡店</v>
      </c>
      <c r="F84" s="40">
        <f>IFERROR(__xludf.DUMMYFUNCTION("""COMPUTED_VALUE"""),14.0)</f>
        <v>14</v>
      </c>
      <c r="G84" s="42">
        <f>IFERROR(__xludf.DUMMYFUNCTION("""COMPUTED_VALUE"""),0.0)</f>
        <v>0</v>
      </c>
      <c r="H84" s="42">
        <f>IFERROR(__xludf.DUMMYFUNCTION("""COMPUTED_VALUE"""),0.0)</f>
        <v>0</v>
      </c>
      <c r="I84" s="42">
        <f>IFERROR(__xludf.DUMMYFUNCTION("""COMPUTED_VALUE"""),0.0)</f>
        <v>0</v>
      </c>
      <c r="J84" s="42">
        <f>IFERROR(__xludf.DUMMYFUNCTION("""COMPUTED_VALUE"""),0.0)</f>
        <v>0</v>
      </c>
      <c r="K84" s="42">
        <f>IFERROR(__xludf.DUMMYFUNCTION("""COMPUTED_VALUE"""),0.0)</f>
        <v>0</v>
      </c>
      <c r="L84" s="42">
        <f>IFERROR(__xludf.DUMMYFUNCTION("""COMPUTED_VALUE"""),1.0)</f>
        <v>1</v>
      </c>
      <c r="M84" s="42">
        <f>IFERROR(__xludf.DUMMYFUNCTION("""COMPUTED_VALUE"""),0.0)</f>
        <v>0</v>
      </c>
      <c r="N84" s="42">
        <f>IFERROR(__xludf.DUMMYFUNCTION("""COMPUTED_VALUE"""),0.0)</f>
        <v>0</v>
      </c>
      <c r="O84" s="42">
        <f>IFERROR(__xludf.DUMMYFUNCTION("""COMPUTED_VALUE"""),0.0)</f>
        <v>0</v>
      </c>
      <c r="P84" s="42">
        <f>IFERROR(__xludf.DUMMYFUNCTION("""COMPUTED_VALUE"""),0.0)</f>
        <v>0</v>
      </c>
      <c r="Q84" s="42">
        <f>IFERROR(__xludf.DUMMYFUNCTION("""COMPUTED_VALUE"""),0.0)</f>
        <v>0</v>
      </c>
      <c r="R84" s="42">
        <f>IFERROR(__xludf.DUMMYFUNCTION("""COMPUTED_VALUE"""),1.0)</f>
        <v>1</v>
      </c>
      <c r="S84" s="40">
        <f>IFERROR(__xludf.DUMMYFUNCTION("""COMPUTED_VALUE"""),14.0)</f>
        <v>14</v>
      </c>
      <c r="T84" s="40">
        <f>IFERROR(__xludf.DUMMYFUNCTION("""COMPUTED_VALUE"""),14.0)</f>
        <v>14</v>
      </c>
      <c r="U84" s="46" t="str">
        <f t="array" ref="U84">IF($D84="","",IFERROR(_xlfn.XLOOKUP($D84,'TIR店舗一覧'!$D:$D,'TIR店舗一覧'!$E:$E,""),""))</f>
        <v>YD</v>
      </c>
      <c r="V84" s="54">
        <v>0.0</v>
      </c>
      <c r="W84" s="54">
        <v>0.0</v>
      </c>
      <c r="X84" s="54">
        <v>0.0</v>
      </c>
      <c r="Y84" s="54">
        <v>0.0</v>
      </c>
      <c r="Z84" s="54">
        <v>0.0</v>
      </c>
      <c r="AA84" s="54">
        <v>14.0</v>
      </c>
      <c r="AB84" s="54">
        <v>0.0</v>
      </c>
      <c r="AC84" s="54">
        <v>0.0</v>
      </c>
      <c r="AD84" s="54">
        <v>0.0</v>
      </c>
      <c r="AE84" s="54">
        <v>0.0</v>
      </c>
      <c r="AF84" s="54">
        <v>0.0</v>
      </c>
      <c r="AG84" s="54">
        <v>14.0</v>
      </c>
    </row>
    <row r="85" ht="15.75" customHeight="1">
      <c r="B85" s="56">
        <f>IFERROR(__xludf.DUMMYFUNCTION("""COMPUTED_VALUE"""),46327.0)</f>
        <v>46327</v>
      </c>
      <c r="C85" s="38" t="str">
        <f>IFERROR(__xludf.DUMMYFUNCTION("""COMPUTED_VALUE"""),"中部")</f>
        <v>中部</v>
      </c>
      <c r="D85" s="38">
        <f>IFERROR(__xludf.DUMMYFUNCTION("""COMPUTED_VALUE"""),8539.0)</f>
        <v>8539</v>
      </c>
      <c r="E85" s="38" t="str">
        <f>IFERROR(__xludf.DUMMYFUNCTION("""COMPUTED_VALUE"""),"Tecc LIFE SELECT イオンタウン大垣店")</f>
        <v>Tecc LIFE SELECT イオンタウン大垣店</v>
      </c>
      <c r="F85" s="40">
        <f>IFERROR(__xludf.DUMMYFUNCTION("""COMPUTED_VALUE"""),30.0)</f>
        <v>30</v>
      </c>
      <c r="G85" s="42">
        <f>IFERROR(__xludf.DUMMYFUNCTION("""COMPUTED_VALUE"""),0.0)</f>
        <v>0</v>
      </c>
      <c r="H85" s="42">
        <f>IFERROR(__xludf.DUMMYFUNCTION("""COMPUTED_VALUE"""),0.0)</f>
        <v>0</v>
      </c>
      <c r="I85" s="42">
        <f>IFERROR(__xludf.DUMMYFUNCTION("""COMPUTED_VALUE"""),0.0)</f>
        <v>0</v>
      </c>
      <c r="J85" s="42">
        <f>IFERROR(__xludf.DUMMYFUNCTION("""COMPUTED_VALUE"""),0.0)</f>
        <v>0</v>
      </c>
      <c r="K85" s="42">
        <f>IFERROR(__xludf.DUMMYFUNCTION("""COMPUTED_VALUE"""),0.0)</f>
        <v>0</v>
      </c>
      <c r="L85" s="42">
        <f>IFERROR(__xludf.DUMMYFUNCTION("""COMPUTED_VALUE"""),1.0)</f>
        <v>1</v>
      </c>
      <c r="M85" s="42">
        <f>IFERROR(__xludf.DUMMYFUNCTION("""COMPUTED_VALUE"""),0.0)</f>
        <v>0</v>
      </c>
      <c r="N85" s="42">
        <f>IFERROR(__xludf.DUMMYFUNCTION("""COMPUTED_VALUE"""),0.0)</f>
        <v>0</v>
      </c>
      <c r="O85" s="42">
        <f>IFERROR(__xludf.DUMMYFUNCTION("""COMPUTED_VALUE"""),0.0)</f>
        <v>0</v>
      </c>
      <c r="P85" s="42">
        <f>IFERROR(__xludf.DUMMYFUNCTION("""COMPUTED_VALUE"""),0.0)</f>
        <v>0</v>
      </c>
      <c r="Q85" s="42">
        <f>IFERROR(__xludf.DUMMYFUNCTION("""COMPUTED_VALUE"""),0.0)</f>
        <v>0</v>
      </c>
      <c r="R85" s="42">
        <f>IFERROR(__xludf.DUMMYFUNCTION("""COMPUTED_VALUE"""),1.0)</f>
        <v>1</v>
      </c>
      <c r="S85" s="40">
        <f>IFERROR(__xludf.DUMMYFUNCTION("""COMPUTED_VALUE"""),30.0)</f>
        <v>30</v>
      </c>
      <c r="T85" s="40">
        <f>IFERROR(__xludf.DUMMYFUNCTION("""COMPUTED_VALUE"""),30.0)</f>
        <v>30</v>
      </c>
      <c r="U85" s="46" t="str">
        <f t="array" ref="U85">IF($D85="","",IFERROR(_xlfn.XLOOKUP($D85,'TIR店舗一覧'!$D:$D,'TIR店舗一覧'!$E:$E,""),""))</f>
        <v>YD</v>
      </c>
      <c r="V85" s="54">
        <v>0.0</v>
      </c>
      <c r="W85" s="54">
        <v>0.0</v>
      </c>
      <c r="X85" s="54">
        <v>0.0</v>
      </c>
      <c r="Y85" s="54">
        <v>0.0</v>
      </c>
      <c r="Z85" s="54">
        <v>0.0</v>
      </c>
      <c r="AA85" s="54">
        <v>30.0</v>
      </c>
      <c r="AB85" s="54">
        <v>0.0</v>
      </c>
      <c r="AC85" s="54">
        <v>0.0</v>
      </c>
      <c r="AD85" s="54">
        <v>0.0</v>
      </c>
      <c r="AE85" s="54">
        <v>0.0</v>
      </c>
      <c r="AF85" s="54">
        <v>0.0</v>
      </c>
      <c r="AG85" s="54">
        <v>30.0</v>
      </c>
    </row>
    <row r="86" ht="15.75" customHeight="1">
      <c r="B86" s="56">
        <f>IFERROR(__xludf.DUMMYFUNCTION("""COMPUTED_VALUE"""),46327.0)</f>
        <v>46327</v>
      </c>
      <c r="C86" s="38" t="str">
        <f>IFERROR(__xludf.DUMMYFUNCTION("""COMPUTED_VALUE"""),"関西")</f>
        <v>関西</v>
      </c>
      <c r="D86" s="38">
        <f>IFERROR(__xludf.DUMMYFUNCTION("""COMPUTED_VALUE"""),6441.0)</f>
        <v>6441</v>
      </c>
      <c r="E86" s="38" t="str">
        <f>IFERROR(__xludf.DUMMYFUNCTION("""COMPUTED_VALUE"""),"ヤマダデンキ LABI三宮")</f>
        <v>ヤマダデンキ LABI三宮</v>
      </c>
      <c r="F86" s="40">
        <f>IFERROR(__xludf.DUMMYFUNCTION("""COMPUTED_VALUE"""),63.0)</f>
        <v>63</v>
      </c>
      <c r="G86" s="42">
        <f>IFERROR(__xludf.DUMMYFUNCTION("""COMPUTED_VALUE"""),0.0)</f>
        <v>0</v>
      </c>
      <c r="H86" s="42">
        <f>IFERROR(__xludf.DUMMYFUNCTION("""COMPUTED_VALUE"""),0.0)</f>
        <v>0</v>
      </c>
      <c r="I86" s="42">
        <f>IFERROR(__xludf.DUMMYFUNCTION("""COMPUTED_VALUE"""),0.0)</f>
        <v>0</v>
      </c>
      <c r="J86" s="42">
        <f>IFERROR(__xludf.DUMMYFUNCTION("""COMPUTED_VALUE"""),0.0)</f>
        <v>0</v>
      </c>
      <c r="K86" s="42">
        <f>IFERROR(__xludf.DUMMYFUNCTION("""COMPUTED_VALUE"""),0.0)</f>
        <v>0</v>
      </c>
      <c r="L86" s="42">
        <f>IFERROR(__xludf.DUMMYFUNCTION("""COMPUTED_VALUE"""),1.0)</f>
        <v>1</v>
      </c>
      <c r="M86" s="42">
        <f>IFERROR(__xludf.DUMMYFUNCTION("""COMPUTED_VALUE"""),0.0)</f>
        <v>0</v>
      </c>
      <c r="N86" s="42">
        <f>IFERROR(__xludf.DUMMYFUNCTION("""COMPUTED_VALUE"""),0.0)</f>
        <v>0</v>
      </c>
      <c r="O86" s="42">
        <f>IFERROR(__xludf.DUMMYFUNCTION("""COMPUTED_VALUE"""),0.0)</f>
        <v>0</v>
      </c>
      <c r="P86" s="42">
        <f>IFERROR(__xludf.DUMMYFUNCTION("""COMPUTED_VALUE"""),0.0)</f>
        <v>0</v>
      </c>
      <c r="Q86" s="42">
        <f>IFERROR(__xludf.DUMMYFUNCTION("""COMPUTED_VALUE"""),0.0)</f>
        <v>0</v>
      </c>
      <c r="R86" s="42">
        <f>IFERROR(__xludf.DUMMYFUNCTION("""COMPUTED_VALUE"""),1.0)</f>
        <v>1</v>
      </c>
      <c r="S86" s="40">
        <f>IFERROR(__xludf.DUMMYFUNCTION("""COMPUTED_VALUE"""),63.0)</f>
        <v>63</v>
      </c>
      <c r="T86" s="40">
        <f>IFERROR(__xludf.DUMMYFUNCTION("""COMPUTED_VALUE"""),63.0)</f>
        <v>63</v>
      </c>
      <c r="U86" s="46" t="str">
        <f t="array" ref="U86">IF($D86="","",IFERROR(_xlfn.XLOOKUP($D86,'TIR店舗一覧'!$D:$D,'TIR店舗一覧'!$E:$E,""),""))</f>
        <v>YD</v>
      </c>
      <c r="V86" s="54">
        <v>0.0</v>
      </c>
      <c r="W86" s="54">
        <v>0.0</v>
      </c>
      <c r="X86" s="54">
        <v>0.0</v>
      </c>
      <c r="Y86" s="54">
        <v>0.0</v>
      </c>
      <c r="Z86" s="54">
        <v>0.0</v>
      </c>
      <c r="AA86" s="54">
        <v>63.0</v>
      </c>
      <c r="AB86" s="54">
        <v>0.0</v>
      </c>
      <c r="AC86" s="54">
        <v>0.0</v>
      </c>
      <c r="AD86" s="54">
        <v>0.0</v>
      </c>
      <c r="AE86" s="54">
        <v>0.0</v>
      </c>
      <c r="AF86" s="54">
        <v>0.0</v>
      </c>
      <c r="AG86" s="54">
        <v>63.0</v>
      </c>
    </row>
    <row r="87" ht="15.75" customHeight="1">
      <c r="B87" s="56">
        <f>IFERROR(__xludf.DUMMYFUNCTION("""COMPUTED_VALUE"""),46327.0)</f>
        <v>46327</v>
      </c>
      <c r="C87" s="38" t="str">
        <f>IFERROR(__xludf.DUMMYFUNCTION("""COMPUTED_VALUE"""),"関西")</f>
        <v>関西</v>
      </c>
      <c r="D87" s="38">
        <f>IFERROR(__xludf.DUMMYFUNCTION("""COMPUTED_VALUE"""),6651.0)</f>
        <v>6651</v>
      </c>
      <c r="E87" s="38" t="str">
        <f>IFERROR(__xludf.DUMMYFUNCTION("""COMPUTED_VALUE"""),"ヤマダデンキ LABI1 LIFE SELECT なんば")</f>
        <v>ヤマダデンキ LABI1 LIFE SELECT なんば</v>
      </c>
      <c r="F87" s="40">
        <f>IFERROR(__xludf.DUMMYFUNCTION("""COMPUTED_VALUE"""),125.0)</f>
        <v>125</v>
      </c>
      <c r="G87" s="42">
        <f>IFERROR(__xludf.DUMMYFUNCTION("""COMPUTED_VALUE"""),0.0)</f>
        <v>0</v>
      </c>
      <c r="H87" s="42">
        <f>IFERROR(__xludf.DUMMYFUNCTION("""COMPUTED_VALUE"""),0.0)</f>
        <v>0</v>
      </c>
      <c r="I87" s="42">
        <f>IFERROR(__xludf.DUMMYFUNCTION("""COMPUTED_VALUE"""),0.0)</f>
        <v>0</v>
      </c>
      <c r="J87" s="42">
        <f>IFERROR(__xludf.DUMMYFUNCTION("""COMPUTED_VALUE"""),0.0)</f>
        <v>0</v>
      </c>
      <c r="K87" s="42">
        <f>IFERROR(__xludf.DUMMYFUNCTION("""COMPUTED_VALUE"""),0.0)</f>
        <v>0</v>
      </c>
      <c r="L87" s="42">
        <f>IFERROR(__xludf.DUMMYFUNCTION("""COMPUTED_VALUE"""),1.0)</f>
        <v>1</v>
      </c>
      <c r="M87" s="42">
        <f>IFERROR(__xludf.DUMMYFUNCTION("""COMPUTED_VALUE"""),0.0)</f>
        <v>0</v>
      </c>
      <c r="N87" s="42">
        <f>IFERROR(__xludf.DUMMYFUNCTION("""COMPUTED_VALUE"""),0.0)</f>
        <v>0</v>
      </c>
      <c r="O87" s="42">
        <f>IFERROR(__xludf.DUMMYFUNCTION("""COMPUTED_VALUE"""),0.0)</f>
        <v>0</v>
      </c>
      <c r="P87" s="42">
        <f>IFERROR(__xludf.DUMMYFUNCTION("""COMPUTED_VALUE"""),0.0)</f>
        <v>0</v>
      </c>
      <c r="Q87" s="42">
        <f>IFERROR(__xludf.DUMMYFUNCTION("""COMPUTED_VALUE"""),0.0)</f>
        <v>0</v>
      </c>
      <c r="R87" s="42">
        <f>IFERROR(__xludf.DUMMYFUNCTION("""COMPUTED_VALUE"""),1.0)</f>
        <v>1</v>
      </c>
      <c r="S87" s="40">
        <f>IFERROR(__xludf.DUMMYFUNCTION("""COMPUTED_VALUE"""),125.0)</f>
        <v>125</v>
      </c>
      <c r="T87" s="40">
        <f>IFERROR(__xludf.DUMMYFUNCTION("""COMPUTED_VALUE"""),125.0)</f>
        <v>125</v>
      </c>
      <c r="U87" s="46" t="str">
        <f t="array" ref="U87">IF($D87="","",IFERROR(_xlfn.XLOOKUP($D87,'TIR店舗一覧'!$D:$D,'TIR店舗一覧'!$E:$E,""),""))</f>
        <v>YD</v>
      </c>
      <c r="V87" s="54">
        <v>0.0</v>
      </c>
      <c r="W87" s="54">
        <v>0.0</v>
      </c>
      <c r="X87" s="54">
        <v>0.0</v>
      </c>
      <c r="Y87" s="54">
        <v>0.0</v>
      </c>
      <c r="Z87" s="54">
        <v>0.0</v>
      </c>
      <c r="AA87" s="54">
        <v>125.0</v>
      </c>
      <c r="AB87" s="54">
        <v>0.0</v>
      </c>
      <c r="AC87" s="54">
        <v>0.0</v>
      </c>
      <c r="AD87" s="54">
        <v>0.0</v>
      </c>
      <c r="AE87" s="54">
        <v>0.0</v>
      </c>
      <c r="AF87" s="54">
        <v>0.0</v>
      </c>
      <c r="AG87" s="54">
        <v>125.0</v>
      </c>
    </row>
    <row r="88" ht="15.75" customHeight="1">
      <c r="B88" s="56">
        <f>IFERROR(__xludf.DUMMYFUNCTION("""COMPUTED_VALUE"""),46327.0)</f>
        <v>46327</v>
      </c>
      <c r="C88" s="38" t="str">
        <f>IFERROR(__xludf.DUMMYFUNCTION("""COMPUTED_VALUE"""),"関西")</f>
        <v>関西</v>
      </c>
      <c r="D88" s="38">
        <f>IFERROR(__xludf.DUMMYFUNCTION("""COMPUTED_VALUE"""),8947.0)</f>
        <v>8947</v>
      </c>
      <c r="E88" s="38" t="str">
        <f>IFERROR(__xludf.DUMMYFUNCTION("""COMPUTED_VALUE"""),"テックランド竜野店")</f>
        <v>テックランド竜野店</v>
      </c>
      <c r="F88" s="40">
        <f>IFERROR(__xludf.DUMMYFUNCTION("""COMPUTED_VALUE"""),22.0)</f>
        <v>22</v>
      </c>
      <c r="G88" s="42">
        <f>IFERROR(__xludf.DUMMYFUNCTION("""COMPUTED_VALUE"""),0.0)</f>
        <v>0</v>
      </c>
      <c r="H88" s="42">
        <f>IFERROR(__xludf.DUMMYFUNCTION("""COMPUTED_VALUE"""),0.0)</f>
        <v>0</v>
      </c>
      <c r="I88" s="42">
        <f>IFERROR(__xludf.DUMMYFUNCTION("""COMPUTED_VALUE"""),0.0)</f>
        <v>0</v>
      </c>
      <c r="J88" s="42">
        <f>IFERROR(__xludf.DUMMYFUNCTION("""COMPUTED_VALUE"""),0.0)</f>
        <v>0</v>
      </c>
      <c r="K88" s="42">
        <f>IFERROR(__xludf.DUMMYFUNCTION("""COMPUTED_VALUE"""),0.0)</f>
        <v>0</v>
      </c>
      <c r="L88" s="42">
        <f>IFERROR(__xludf.DUMMYFUNCTION("""COMPUTED_VALUE"""),1.0)</f>
        <v>1</v>
      </c>
      <c r="M88" s="42">
        <f>IFERROR(__xludf.DUMMYFUNCTION("""COMPUTED_VALUE"""),0.0)</f>
        <v>0</v>
      </c>
      <c r="N88" s="42">
        <f>IFERROR(__xludf.DUMMYFUNCTION("""COMPUTED_VALUE"""),0.0)</f>
        <v>0</v>
      </c>
      <c r="O88" s="42">
        <f>IFERROR(__xludf.DUMMYFUNCTION("""COMPUTED_VALUE"""),0.0)</f>
        <v>0</v>
      </c>
      <c r="P88" s="42">
        <f>IFERROR(__xludf.DUMMYFUNCTION("""COMPUTED_VALUE"""),0.0)</f>
        <v>0</v>
      </c>
      <c r="Q88" s="42">
        <f>IFERROR(__xludf.DUMMYFUNCTION("""COMPUTED_VALUE"""),0.0)</f>
        <v>0</v>
      </c>
      <c r="R88" s="42">
        <f>IFERROR(__xludf.DUMMYFUNCTION("""COMPUTED_VALUE"""),1.0)</f>
        <v>1</v>
      </c>
      <c r="S88" s="40">
        <f>IFERROR(__xludf.DUMMYFUNCTION("""COMPUTED_VALUE"""),22.0)</f>
        <v>22</v>
      </c>
      <c r="T88" s="40">
        <f>IFERROR(__xludf.DUMMYFUNCTION("""COMPUTED_VALUE"""),22.0)</f>
        <v>22</v>
      </c>
      <c r="U88" s="46" t="str">
        <f t="array" ref="U88">IF($D88="","",IFERROR(_xlfn.XLOOKUP($D88,'TIR店舗一覧'!$D:$D,'TIR店舗一覧'!$E:$E,""),""))</f>
        <v>YD</v>
      </c>
      <c r="V88" s="54">
        <v>0.0</v>
      </c>
      <c r="W88" s="54">
        <v>0.0</v>
      </c>
      <c r="X88" s="54">
        <v>0.0</v>
      </c>
      <c r="Y88" s="54">
        <v>0.0</v>
      </c>
      <c r="Z88" s="54">
        <v>0.0</v>
      </c>
      <c r="AA88" s="54">
        <v>22.0</v>
      </c>
      <c r="AB88" s="54">
        <v>0.0</v>
      </c>
      <c r="AC88" s="54">
        <v>0.0</v>
      </c>
      <c r="AD88" s="54">
        <v>0.0</v>
      </c>
      <c r="AE88" s="54">
        <v>0.0</v>
      </c>
      <c r="AF88" s="54">
        <v>0.0</v>
      </c>
      <c r="AG88" s="54">
        <v>22.0</v>
      </c>
    </row>
    <row r="89" ht="15.75" customHeight="1">
      <c r="B89" s="56">
        <f>IFERROR(__xludf.DUMMYFUNCTION("""COMPUTED_VALUE"""),46327.0)</f>
        <v>46327</v>
      </c>
      <c r="C89" s="38" t="str">
        <f>IFERROR(__xludf.DUMMYFUNCTION("""COMPUTED_VALUE"""),"関西")</f>
        <v>関西</v>
      </c>
      <c r="D89" s="38">
        <f>IFERROR(__xludf.DUMMYFUNCTION("""COMPUTED_VALUE"""),8125.0)</f>
        <v>8125</v>
      </c>
      <c r="E89" s="38" t="str">
        <f>IFERROR(__xludf.DUMMYFUNCTION("""COMPUTED_VALUE"""),"テックランド羽曳野店")</f>
        <v>テックランド羽曳野店</v>
      </c>
      <c r="F89" s="40">
        <f>IFERROR(__xludf.DUMMYFUNCTION("""COMPUTED_VALUE"""),21.0)</f>
        <v>21</v>
      </c>
      <c r="G89" s="42">
        <f>IFERROR(__xludf.DUMMYFUNCTION("""COMPUTED_VALUE"""),0.0)</f>
        <v>0</v>
      </c>
      <c r="H89" s="42">
        <f>IFERROR(__xludf.DUMMYFUNCTION("""COMPUTED_VALUE"""),0.0)</f>
        <v>0</v>
      </c>
      <c r="I89" s="42">
        <f>IFERROR(__xludf.DUMMYFUNCTION("""COMPUTED_VALUE"""),0.0)</f>
        <v>0</v>
      </c>
      <c r="J89" s="42">
        <f>IFERROR(__xludf.DUMMYFUNCTION("""COMPUTED_VALUE"""),0.0)</f>
        <v>0</v>
      </c>
      <c r="K89" s="42">
        <f>IFERROR(__xludf.DUMMYFUNCTION("""COMPUTED_VALUE"""),0.0)</f>
        <v>0</v>
      </c>
      <c r="L89" s="42">
        <f>IFERROR(__xludf.DUMMYFUNCTION("""COMPUTED_VALUE"""),1.0)</f>
        <v>1</v>
      </c>
      <c r="M89" s="42">
        <f>IFERROR(__xludf.DUMMYFUNCTION("""COMPUTED_VALUE"""),0.0)</f>
        <v>0</v>
      </c>
      <c r="N89" s="42">
        <f>IFERROR(__xludf.DUMMYFUNCTION("""COMPUTED_VALUE"""),0.0)</f>
        <v>0</v>
      </c>
      <c r="O89" s="42">
        <f>IFERROR(__xludf.DUMMYFUNCTION("""COMPUTED_VALUE"""),0.0)</f>
        <v>0</v>
      </c>
      <c r="P89" s="42">
        <f>IFERROR(__xludf.DUMMYFUNCTION("""COMPUTED_VALUE"""),0.0)</f>
        <v>0</v>
      </c>
      <c r="Q89" s="42">
        <f>IFERROR(__xludf.DUMMYFUNCTION("""COMPUTED_VALUE"""),0.0)</f>
        <v>0</v>
      </c>
      <c r="R89" s="42">
        <f>IFERROR(__xludf.DUMMYFUNCTION("""COMPUTED_VALUE"""),1.0)</f>
        <v>1</v>
      </c>
      <c r="S89" s="40">
        <f>IFERROR(__xludf.DUMMYFUNCTION("""COMPUTED_VALUE"""),21.0)</f>
        <v>21</v>
      </c>
      <c r="T89" s="40">
        <f>IFERROR(__xludf.DUMMYFUNCTION("""COMPUTED_VALUE"""),21.0)</f>
        <v>21</v>
      </c>
      <c r="U89" s="46" t="str">
        <f t="array" ref="U89">IF($D89="","",IFERROR(_xlfn.XLOOKUP($D89,'TIR店舗一覧'!$D:$D,'TIR店舗一覧'!$E:$E,""),""))</f>
        <v>YD</v>
      </c>
      <c r="V89" s="54">
        <v>0.0</v>
      </c>
      <c r="W89" s="54">
        <v>0.0</v>
      </c>
      <c r="X89" s="54">
        <v>0.0</v>
      </c>
      <c r="Y89" s="54">
        <v>0.0</v>
      </c>
      <c r="Z89" s="54">
        <v>0.0</v>
      </c>
      <c r="AA89" s="54">
        <v>21.0</v>
      </c>
      <c r="AB89" s="54">
        <v>0.0</v>
      </c>
      <c r="AC89" s="54">
        <v>0.0</v>
      </c>
      <c r="AD89" s="54">
        <v>0.0</v>
      </c>
      <c r="AE89" s="54">
        <v>0.0</v>
      </c>
      <c r="AF89" s="54">
        <v>0.0</v>
      </c>
      <c r="AG89" s="54">
        <v>21.0</v>
      </c>
    </row>
    <row r="90" ht="15.75" customHeight="1">
      <c r="B90" s="56">
        <f>IFERROR(__xludf.DUMMYFUNCTION("""COMPUTED_VALUE"""),46327.0)</f>
        <v>46327</v>
      </c>
      <c r="C90" s="38" t="str">
        <f>IFERROR(__xludf.DUMMYFUNCTION("""COMPUTED_VALUE"""),"関西")</f>
        <v>関西</v>
      </c>
      <c r="D90" s="38">
        <f>IFERROR(__xludf.DUMMYFUNCTION("""COMPUTED_VALUE"""),7852.0)</f>
        <v>7852</v>
      </c>
      <c r="E90" s="38" t="str">
        <f>IFERROR(__xludf.DUMMYFUNCTION("""COMPUTED_VALUE"""),"テックランドムサシ姫路店")</f>
        <v>テックランドムサシ姫路店</v>
      </c>
      <c r="F90" s="40">
        <f>IFERROR(__xludf.DUMMYFUNCTION("""COMPUTED_VALUE"""),12.0)</f>
        <v>12</v>
      </c>
      <c r="G90" s="42">
        <f>IFERROR(__xludf.DUMMYFUNCTION("""COMPUTED_VALUE"""),0.0)</f>
        <v>0</v>
      </c>
      <c r="H90" s="42">
        <f>IFERROR(__xludf.DUMMYFUNCTION("""COMPUTED_VALUE"""),0.0)</f>
        <v>0</v>
      </c>
      <c r="I90" s="42">
        <f>IFERROR(__xludf.DUMMYFUNCTION("""COMPUTED_VALUE"""),0.0)</f>
        <v>0</v>
      </c>
      <c r="J90" s="42">
        <f>IFERROR(__xludf.DUMMYFUNCTION("""COMPUTED_VALUE"""),0.0)</f>
        <v>0</v>
      </c>
      <c r="K90" s="42">
        <f>IFERROR(__xludf.DUMMYFUNCTION("""COMPUTED_VALUE"""),0.0)</f>
        <v>0</v>
      </c>
      <c r="L90" s="42">
        <f>IFERROR(__xludf.DUMMYFUNCTION("""COMPUTED_VALUE"""),1.0)</f>
        <v>1</v>
      </c>
      <c r="M90" s="42">
        <f>IFERROR(__xludf.DUMMYFUNCTION("""COMPUTED_VALUE"""),0.0)</f>
        <v>0</v>
      </c>
      <c r="N90" s="42">
        <f>IFERROR(__xludf.DUMMYFUNCTION("""COMPUTED_VALUE"""),0.0)</f>
        <v>0</v>
      </c>
      <c r="O90" s="42">
        <f>IFERROR(__xludf.DUMMYFUNCTION("""COMPUTED_VALUE"""),0.0)</f>
        <v>0</v>
      </c>
      <c r="P90" s="42">
        <f>IFERROR(__xludf.DUMMYFUNCTION("""COMPUTED_VALUE"""),0.0)</f>
        <v>0</v>
      </c>
      <c r="Q90" s="42">
        <f>IFERROR(__xludf.DUMMYFUNCTION("""COMPUTED_VALUE"""),0.0)</f>
        <v>0</v>
      </c>
      <c r="R90" s="42">
        <f>IFERROR(__xludf.DUMMYFUNCTION("""COMPUTED_VALUE"""),1.0)</f>
        <v>1</v>
      </c>
      <c r="S90" s="40">
        <f>IFERROR(__xludf.DUMMYFUNCTION("""COMPUTED_VALUE"""),12.0)</f>
        <v>12</v>
      </c>
      <c r="T90" s="40">
        <f>IFERROR(__xludf.DUMMYFUNCTION("""COMPUTED_VALUE"""),12.0)</f>
        <v>12</v>
      </c>
      <c r="U90" s="46" t="str">
        <f t="array" ref="U90">IF($D90="","",IFERROR(_xlfn.XLOOKUP($D90,'TIR店舗一覧'!$D:$D,'TIR店舗一覧'!$E:$E,""),""))</f>
        <v>YD</v>
      </c>
      <c r="V90" s="54">
        <v>0.0</v>
      </c>
      <c r="W90" s="54">
        <v>0.0</v>
      </c>
      <c r="X90" s="54">
        <v>0.0</v>
      </c>
      <c r="Y90" s="54">
        <v>0.0</v>
      </c>
      <c r="Z90" s="54">
        <v>0.0</v>
      </c>
      <c r="AA90" s="54">
        <v>12.0</v>
      </c>
      <c r="AB90" s="54">
        <v>0.0</v>
      </c>
      <c r="AC90" s="54">
        <v>0.0</v>
      </c>
      <c r="AD90" s="54">
        <v>0.0</v>
      </c>
      <c r="AE90" s="54">
        <v>0.0</v>
      </c>
      <c r="AF90" s="54">
        <v>0.0</v>
      </c>
      <c r="AG90" s="54">
        <v>12.0</v>
      </c>
    </row>
    <row r="91" ht="15.75" customHeight="1">
      <c r="B91" s="56">
        <f>IFERROR(__xludf.DUMMYFUNCTION("""COMPUTED_VALUE"""),46327.0)</f>
        <v>46327</v>
      </c>
      <c r="C91" s="38" t="str">
        <f>IFERROR(__xludf.DUMMYFUNCTION("""COMPUTED_VALUE"""),"関西")</f>
        <v>関西</v>
      </c>
      <c r="D91" s="38">
        <f>IFERROR(__xludf.DUMMYFUNCTION("""COMPUTED_VALUE"""),8410.0)</f>
        <v>8410</v>
      </c>
      <c r="E91" s="38" t="str">
        <f>IFERROR(__xludf.DUMMYFUNCTION("""COMPUTED_VALUE"""),"テックランド 芦屋店")</f>
        <v>テックランド 芦屋店</v>
      </c>
      <c r="F91" s="40">
        <f>IFERROR(__xludf.DUMMYFUNCTION("""COMPUTED_VALUE"""),22.0)</f>
        <v>22</v>
      </c>
      <c r="G91" s="42">
        <f>IFERROR(__xludf.DUMMYFUNCTION("""COMPUTED_VALUE"""),0.0)</f>
        <v>0</v>
      </c>
      <c r="H91" s="42">
        <f>IFERROR(__xludf.DUMMYFUNCTION("""COMPUTED_VALUE"""),0.0)</f>
        <v>0</v>
      </c>
      <c r="I91" s="42">
        <f>IFERROR(__xludf.DUMMYFUNCTION("""COMPUTED_VALUE"""),0.0)</f>
        <v>0</v>
      </c>
      <c r="J91" s="42">
        <f>IFERROR(__xludf.DUMMYFUNCTION("""COMPUTED_VALUE"""),0.0)</f>
        <v>0</v>
      </c>
      <c r="K91" s="42">
        <f>IFERROR(__xludf.DUMMYFUNCTION("""COMPUTED_VALUE"""),0.0)</f>
        <v>0</v>
      </c>
      <c r="L91" s="42">
        <f>IFERROR(__xludf.DUMMYFUNCTION("""COMPUTED_VALUE"""),1.0)</f>
        <v>1</v>
      </c>
      <c r="M91" s="42">
        <f>IFERROR(__xludf.DUMMYFUNCTION("""COMPUTED_VALUE"""),0.0)</f>
        <v>0</v>
      </c>
      <c r="N91" s="42">
        <f>IFERROR(__xludf.DUMMYFUNCTION("""COMPUTED_VALUE"""),0.0)</f>
        <v>0</v>
      </c>
      <c r="O91" s="42">
        <f>IFERROR(__xludf.DUMMYFUNCTION("""COMPUTED_VALUE"""),0.0)</f>
        <v>0</v>
      </c>
      <c r="P91" s="42">
        <f>IFERROR(__xludf.DUMMYFUNCTION("""COMPUTED_VALUE"""),0.0)</f>
        <v>0</v>
      </c>
      <c r="Q91" s="42">
        <f>IFERROR(__xludf.DUMMYFUNCTION("""COMPUTED_VALUE"""),0.0)</f>
        <v>0</v>
      </c>
      <c r="R91" s="42">
        <f>IFERROR(__xludf.DUMMYFUNCTION("""COMPUTED_VALUE"""),1.0)</f>
        <v>1</v>
      </c>
      <c r="S91" s="40">
        <f>IFERROR(__xludf.DUMMYFUNCTION("""COMPUTED_VALUE"""),22.0)</f>
        <v>22</v>
      </c>
      <c r="T91" s="40">
        <f>IFERROR(__xludf.DUMMYFUNCTION("""COMPUTED_VALUE"""),22.0)</f>
        <v>22</v>
      </c>
      <c r="U91" s="46" t="str">
        <f t="array" ref="U91">IF($D91="","",IFERROR(_xlfn.XLOOKUP($D91,'TIR店舗一覧'!$D:$D,'TIR店舗一覧'!$E:$E,""),""))</f>
        <v>YD</v>
      </c>
      <c r="V91" s="54">
        <v>0.0</v>
      </c>
      <c r="W91" s="54">
        <v>0.0</v>
      </c>
      <c r="X91" s="54">
        <v>0.0</v>
      </c>
      <c r="Y91" s="54">
        <v>0.0</v>
      </c>
      <c r="Z91" s="54">
        <v>0.0</v>
      </c>
      <c r="AA91" s="54">
        <v>22.0</v>
      </c>
      <c r="AB91" s="54">
        <v>0.0</v>
      </c>
      <c r="AC91" s="54">
        <v>0.0</v>
      </c>
      <c r="AD91" s="54">
        <v>0.0</v>
      </c>
      <c r="AE91" s="54">
        <v>0.0</v>
      </c>
      <c r="AF91" s="54">
        <v>0.0</v>
      </c>
      <c r="AG91" s="54">
        <v>22.0</v>
      </c>
    </row>
    <row r="92" ht="15.75" customHeight="1">
      <c r="B92" s="56">
        <f>IFERROR(__xludf.DUMMYFUNCTION("""COMPUTED_VALUE"""),46327.0)</f>
        <v>46327</v>
      </c>
      <c r="C92" s="38" t="str">
        <f>IFERROR(__xludf.DUMMYFUNCTION("""COMPUTED_VALUE"""),"関西")</f>
        <v>関西</v>
      </c>
      <c r="D92" s="38">
        <f>IFERROR(__xludf.DUMMYFUNCTION("""COMPUTED_VALUE"""),8457.0)</f>
        <v>8457</v>
      </c>
      <c r="E92" s="38" t="str">
        <f>IFERROR(__xludf.DUMMYFUNCTION("""COMPUTED_VALUE"""),"テックランド ららぽーと堺店")</f>
        <v>テックランド ららぽーと堺店</v>
      </c>
      <c r="F92" s="40">
        <f>IFERROR(__xludf.DUMMYFUNCTION("""COMPUTED_VALUE"""),14.0)</f>
        <v>14</v>
      </c>
      <c r="G92" s="42">
        <f>IFERROR(__xludf.DUMMYFUNCTION("""COMPUTED_VALUE"""),0.0)</f>
        <v>0</v>
      </c>
      <c r="H92" s="42">
        <f>IFERROR(__xludf.DUMMYFUNCTION("""COMPUTED_VALUE"""),0.0)</f>
        <v>0</v>
      </c>
      <c r="I92" s="42">
        <f>IFERROR(__xludf.DUMMYFUNCTION("""COMPUTED_VALUE"""),0.0)</f>
        <v>0</v>
      </c>
      <c r="J92" s="42">
        <f>IFERROR(__xludf.DUMMYFUNCTION("""COMPUTED_VALUE"""),0.0)</f>
        <v>0</v>
      </c>
      <c r="K92" s="42">
        <f>IFERROR(__xludf.DUMMYFUNCTION("""COMPUTED_VALUE"""),0.0)</f>
        <v>0</v>
      </c>
      <c r="L92" s="42">
        <f>IFERROR(__xludf.DUMMYFUNCTION("""COMPUTED_VALUE"""),1.0)</f>
        <v>1</v>
      </c>
      <c r="M92" s="42">
        <f>IFERROR(__xludf.DUMMYFUNCTION("""COMPUTED_VALUE"""),0.0)</f>
        <v>0</v>
      </c>
      <c r="N92" s="42">
        <f>IFERROR(__xludf.DUMMYFUNCTION("""COMPUTED_VALUE"""),0.0)</f>
        <v>0</v>
      </c>
      <c r="O92" s="42">
        <f>IFERROR(__xludf.DUMMYFUNCTION("""COMPUTED_VALUE"""),0.0)</f>
        <v>0</v>
      </c>
      <c r="P92" s="42">
        <f>IFERROR(__xludf.DUMMYFUNCTION("""COMPUTED_VALUE"""),0.0)</f>
        <v>0</v>
      </c>
      <c r="Q92" s="42">
        <f>IFERROR(__xludf.DUMMYFUNCTION("""COMPUTED_VALUE"""),0.0)</f>
        <v>0</v>
      </c>
      <c r="R92" s="42">
        <f>IFERROR(__xludf.DUMMYFUNCTION("""COMPUTED_VALUE"""),1.0)</f>
        <v>1</v>
      </c>
      <c r="S92" s="40">
        <f>IFERROR(__xludf.DUMMYFUNCTION("""COMPUTED_VALUE"""),14.0)</f>
        <v>14</v>
      </c>
      <c r="T92" s="40">
        <f>IFERROR(__xludf.DUMMYFUNCTION("""COMPUTED_VALUE"""),14.0)</f>
        <v>14</v>
      </c>
      <c r="U92" s="46" t="str">
        <f t="array" ref="U92">IF($D92="","",IFERROR(_xlfn.XLOOKUP($D92,'TIR店舗一覧'!$D:$D,'TIR店舗一覧'!$E:$E,""),""))</f>
        <v>YD</v>
      </c>
      <c r="V92" s="54">
        <v>0.0</v>
      </c>
      <c r="W92" s="54">
        <v>0.0</v>
      </c>
      <c r="X92" s="54">
        <v>0.0</v>
      </c>
      <c r="Y92" s="54">
        <v>0.0</v>
      </c>
      <c r="Z92" s="54">
        <v>0.0</v>
      </c>
      <c r="AA92" s="54">
        <v>14.0</v>
      </c>
      <c r="AB92" s="54">
        <v>0.0</v>
      </c>
      <c r="AC92" s="54">
        <v>0.0</v>
      </c>
      <c r="AD92" s="54">
        <v>0.0</v>
      </c>
      <c r="AE92" s="54">
        <v>0.0</v>
      </c>
      <c r="AF92" s="54">
        <v>0.0</v>
      </c>
      <c r="AG92" s="54">
        <v>14.0</v>
      </c>
    </row>
    <row r="93" ht="15.75" customHeight="1">
      <c r="B93" s="56">
        <f>IFERROR(__xludf.DUMMYFUNCTION("""COMPUTED_VALUE"""),46327.0)</f>
        <v>46327</v>
      </c>
      <c r="C93" s="38" t="str">
        <f>IFERROR(__xludf.DUMMYFUNCTION("""COMPUTED_VALUE"""),"関西")</f>
        <v>関西</v>
      </c>
      <c r="D93" s="38">
        <f>IFERROR(__xludf.DUMMYFUNCTION("""COMPUTED_VALUE"""),8887.0)</f>
        <v>8887</v>
      </c>
      <c r="E93" s="38" t="str">
        <f>IFERROR(__xludf.DUMMYFUNCTION("""COMPUTED_VALUE"""),"ジョーシン 淡路店")</f>
        <v>ジョーシン 淡路店</v>
      </c>
      <c r="F93" s="40">
        <f>IFERROR(__xludf.DUMMYFUNCTION("""COMPUTED_VALUE"""),14.0)</f>
        <v>14</v>
      </c>
      <c r="G93" s="42">
        <f>IFERROR(__xludf.DUMMYFUNCTION("""COMPUTED_VALUE"""),0.0)</f>
        <v>0</v>
      </c>
      <c r="H93" s="42">
        <f>IFERROR(__xludf.DUMMYFUNCTION("""COMPUTED_VALUE"""),0.0)</f>
        <v>0</v>
      </c>
      <c r="I93" s="42">
        <f>IFERROR(__xludf.DUMMYFUNCTION("""COMPUTED_VALUE"""),0.0)</f>
        <v>0</v>
      </c>
      <c r="J93" s="42">
        <f>IFERROR(__xludf.DUMMYFUNCTION("""COMPUTED_VALUE"""),0.0)</f>
        <v>0</v>
      </c>
      <c r="K93" s="42">
        <f>IFERROR(__xludf.DUMMYFUNCTION("""COMPUTED_VALUE"""),0.0)</f>
        <v>0</v>
      </c>
      <c r="L93" s="42">
        <f>IFERROR(__xludf.DUMMYFUNCTION("""COMPUTED_VALUE"""),1.0)</f>
        <v>1</v>
      </c>
      <c r="M93" s="42">
        <f>IFERROR(__xludf.DUMMYFUNCTION("""COMPUTED_VALUE"""),0.0)</f>
        <v>0</v>
      </c>
      <c r="N93" s="42">
        <f>IFERROR(__xludf.DUMMYFUNCTION("""COMPUTED_VALUE"""),0.0)</f>
        <v>0</v>
      </c>
      <c r="O93" s="42">
        <f>IFERROR(__xludf.DUMMYFUNCTION("""COMPUTED_VALUE"""),0.0)</f>
        <v>0</v>
      </c>
      <c r="P93" s="42">
        <f>IFERROR(__xludf.DUMMYFUNCTION("""COMPUTED_VALUE"""),0.0)</f>
        <v>0</v>
      </c>
      <c r="Q93" s="42">
        <f>IFERROR(__xludf.DUMMYFUNCTION("""COMPUTED_VALUE"""),0.0)</f>
        <v>0</v>
      </c>
      <c r="R93" s="42">
        <f>IFERROR(__xludf.DUMMYFUNCTION("""COMPUTED_VALUE"""),1.0)</f>
        <v>1</v>
      </c>
      <c r="S93" s="40">
        <f>IFERROR(__xludf.DUMMYFUNCTION("""COMPUTED_VALUE"""),14.0)</f>
        <v>14</v>
      </c>
      <c r="T93" s="40">
        <f>IFERROR(__xludf.DUMMYFUNCTION("""COMPUTED_VALUE"""),14.0)</f>
        <v>14</v>
      </c>
      <c r="U93" s="46" t="str">
        <f t="array" ref="U93">IF($D93="","",IFERROR(_xlfn.XLOOKUP($D93,'TIR店舗一覧'!$D:$D,'TIR店舗一覧'!$E:$E,""),""))</f>
        <v>JO</v>
      </c>
      <c r="V93" s="54">
        <v>0.0</v>
      </c>
      <c r="W93" s="54">
        <v>0.0</v>
      </c>
      <c r="X93" s="54">
        <v>0.0</v>
      </c>
      <c r="Y93" s="54">
        <v>0.0</v>
      </c>
      <c r="Z93" s="54">
        <v>0.0</v>
      </c>
      <c r="AA93" s="54">
        <v>14.0</v>
      </c>
      <c r="AB93" s="54">
        <v>0.0</v>
      </c>
      <c r="AC93" s="54">
        <v>0.0</v>
      </c>
      <c r="AD93" s="54">
        <v>0.0</v>
      </c>
      <c r="AE93" s="54">
        <v>0.0</v>
      </c>
      <c r="AF93" s="54">
        <v>0.0</v>
      </c>
      <c r="AG93" s="54">
        <v>14.0</v>
      </c>
    </row>
    <row r="94" ht="15.75" customHeight="1">
      <c r="B94" s="56">
        <f>IFERROR(__xludf.DUMMYFUNCTION("""COMPUTED_VALUE"""),46327.0)</f>
        <v>46327</v>
      </c>
      <c r="C94" s="38" t="str">
        <f>IFERROR(__xludf.DUMMYFUNCTION("""COMPUTED_VALUE"""),"関西")</f>
        <v>関西</v>
      </c>
      <c r="D94" s="38">
        <f>IFERROR(__xludf.DUMMYFUNCTION("""COMPUTED_VALUE"""),8886.0)</f>
        <v>8886</v>
      </c>
      <c r="E94" s="38" t="str">
        <f>IFERROR(__xludf.DUMMYFUNCTION("""COMPUTED_VALUE"""),"ジョーシン 社店")</f>
        <v>ジョーシン 社店</v>
      </c>
      <c r="F94" s="40">
        <f>IFERROR(__xludf.DUMMYFUNCTION("""COMPUTED_VALUE"""),6.0)</f>
        <v>6</v>
      </c>
      <c r="G94" s="42">
        <f>IFERROR(__xludf.DUMMYFUNCTION("""COMPUTED_VALUE"""),0.0)</f>
        <v>0</v>
      </c>
      <c r="H94" s="42">
        <f>IFERROR(__xludf.DUMMYFUNCTION("""COMPUTED_VALUE"""),0.0)</f>
        <v>0</v>
      </c>
      <c r="I94" s="42">
        <f>IFERROR(__xludf.DUMMYFUNCTION("""COMPUTED_VALUE"""),0.0)</f>
        <v>0</v>
      </c>
      <c r="J94" s="42">
        <f>IFERROR(__xludf.DUMMYFUNCTION("""COMPUTED_VALUE"""),0.0)</f>
        <v>0</v>
      </c>
      <c r="K94" s="42">
        <f>IFERROR(__xludf.DUMMYFUNCTION("""COMPUTED_VALUE"""),0.0)</f>
        <v>0</v>
      </c>
      <c r="L94" s="42">
        <f>IFERROR(__xludf.DUMMYFUNCTION("""COMPUTED_VALUE"""),1.0)</f>
        <v>1</v>
      </c>
      <c r="M94" s="42">
        <f>IFERROR(__xludf.DUMMYFUNCTION("""COMPUTED_VALUE"""),0.0)</f>
        <v>0</v>
      </c>
      <c r="N94" s="42">
        <f>IFERROR(__xludf.DUMMYFUNCTION("""COMPUTED_VALUE"""),0.0)</f>
        <v>0</v>
      </c>
      <c r="O94" s="42">
        <f>IFERROR(__xludf.DUMMYFUNCTION("""COMPUTED_VALUE"""),0.0)</f>
        <v>0</v>
      </c>
      <c r="P94" s="42">
        <f>IFERROR(__xludf.DUMMYFUNCTION("""COMPUTED_VALUE"""),0.0)</f>
        <v>0</v>
      </c>
      <c r="Q94" s="42">
        <f>IFERROR(__xludf.DUMMYFUNCTION("""COMPUTED_VALUE"""),0.0)</f>
        <v>0</v>
      </c>
      <c r="R94" s="42">
        <f>IFERROR(__xludf.DUMMYFUNCTION("""COMPUTED_VALUE"""),1.0)</f>
        <v>1</v>
      </c>
      <c r="S94" s="40">
        <f>IFERROR(__xludf.DUMMYFUNCTION("""COMPUTED_VALUE"""),6.0)</f>
        <v>6</v>
      </c>
      <c r="T94" s="40">
        <f>IFERROR(__xludf.DUMMYFUNCTION("""COMPUTED_VALUE"""),6.0)</f>
        <v>6</v>
      </c>
      <c r="U94" s="46" t="str">
        <f t="array" ref="U94">IF($D94="","",IFERROR(_xlfn.XLOOKUP($D94,'TIR店舗一覧'!$D:$D,'TIR店舗一覧'!$E:$E,""),""))</f>
        <v>JO</v>
      </c>
      <c r="V94" s="54">
        <v>0.0</v>
      </c>
      <c r="W94" s="54">
        <v>0.0</v>
      </c>
      <c r="X94" s="54">
        <v>0.0</v>
      </c>
      <c r="Y94" s="54">
        <v>0.0</v>
      </c>
      <c r="Z94" s="54">
        <v>0.0</v>
      </c>
      <c r="AA94" s="54">
        <v>6.0</v>
      </c>
      <c r="AB94" s="54">
        <v>0.0</v>
      </c>
      <c r="AC94" s="54">
        <v>0.0</v>
      </c>
      <c r="AD94" s="54">
        <v>0.0</v>
      </c>
      <c r="AE94" s="54">
        <v>0.0</v>
      </c>
      <c r="AF94" s="54">
        <v>0.0</v>
      </c>
      <c r="AG94" s="54">
        <v>6.0</v>
      </c>
    </row>
    <row r="95" ht="15.75" customHeight="1">
      <c r="B95" s="56">
        <f>IFERROR(__xludf.DUMMYFUNCTION("""COMPUTED_VALUE"""),46327.0)</f>
        <v>46327</v>
      </c>
      <c r="C95" s="38" t="str">
        <f>IFERROR(__xludf.DUMMYFUNCTION("""COMPUTED_VALUE"""),"関西")</f>
        <v>関西</v>
      </c>
      <c r="D95" s="38">
        <f>IFERROR(__xludf.DUMMYFUNCTION("""COMPUTED_VALUE"""),8884.0)</f>
        <v>8884</v>
      </c>
      <c r="E95" s="38" t="str">
        <f>IFERROR(__xludf.DUMMYFUNCTION("""COMPUTED_VALUE"""),"ジョーシン 郡山店")</f>
        <v>ジョーシン 郡山店</v>
      </c>
      <c r="F95" s="40">
        <f>IFERROR(__xludf.DUMMYFUNCTION("""COMPUTED_VALUE"""),16.0)</f>
        <v>16</v>
      </c>
      <c r="G95" s="42">
        <f>IFERROR(__xludf.DUMMYFUNCTION("""COMPUTED_VALUE"""),0.0)</f>
        <v>0</v>
      </c>
      <c r="H95" s="42">
        <f>IFERROR(__xludf.DUMMYFUNCTION("""COMPUTED_VALUE"""),0.0)</f>
        <v>0</v>
      </c>
      <c r="I95" s="42">
        <f>IFERROR(__xludf.DUMMYFUNCTION("""COMPUTED_VALUE"""),0.0)</f>
        <v>0</v>
      </c>
      <c r="J95" s="42">
        <f>IFERROR(__xludf.DUMMYFUNCTION("""COMPUTED_VALUE"""),0.0)</f>
        <v>0</v>
      </c>
      <c r="K95" s="42">
        <f>IFERROR(__xludf.DUMMYFUNCTION("""COMPUTED_VALUE"""),0.0)</f>
        <v>0</v>
      </c>
      <c r="L95" s="42">
        <f>IFERROR(__xludf.DUMMYFUNCTION("""COMPUTED_VALUE"""),1.0)</f>
        <v>1</v>
      </c>
      <c r="M95" s="42">
        <f>IFERROR(__xludf.DUMMYFUNCTION("""COMPUTED_VALUE"""),0.0)</f>
        <v>0</v>
      </c>
      <c r="N95" s="42">
        <f>IFERROR(__xludf.DUMMYFUNCTION("""COMPUTED_VALUE"""),0.0)</f>
        <v>0</v>
      </c>
      <c r="O95" s="42">
        <f>IFERROR(__xludf.DUMMYFUNCTION("""COMPUTED_VALUE"""),0.0)</f>
        <v>0</v>
      </c>
      <c r="P95" s="42">
        <f>IFERROR(__xludf.DUMMYFUNCTION("""COMPUTED_VALUE"""),0.0)</f>
        <v>0</v>
      </c>
      <c r="Q95" s="42">
        <f>IFERROR(__xludf.DUMMYFUNCTION("""COMPUTED_VALUE"""),0.0)</f>
        <v>0</v>
      </c>
      <c r="R95" s="42">
        <f>IFERROR(__xludf.DUMMYFUNCTION("""COMPUTED_VALUE"""),1.0)</f>
        <v>1</v>
      </c>
      <c r="S95" s="40">
        <f>IFERROR(__xludf.DUMMYFUNCTION("""COMPUTED_VALUE"""),16.0)</f>
        <v>16</v>
      </c>
      <c r="T95" s="40">
        <f>IFERROR(__xludf.DUMMYFUNCTION("""COMPUTED_VALUE"""),16.0)</f>
        <v>16</v>
      </c>
      <c r="U95" s="46" t="str">
        <f t="array" ref="U95">IF($D95="","",IFERROR(_xlfn.XLOOKUP($D95,'TIR店舗一覧'!$D:$D,'TIR店舗一覧'!$E:$E,""),""))</f>
        <v>JO</v>
      </c>
      <c r="V95" s="54">
        <v>0.0</v>
      </c>
      <c r="W95" s="54">
        <v>0.0</v>
      </c>
      <c r="X95" s="54">
        <v>0.0</v>
      </c>
      <c r="Y95" s="54">
        <v>0.0</v>
      </c>
      <c r="Z95" s="54">
        <v>0.0</v>
      </c>
      <c r="AA95" s="54">
        <v>16.0</v>
      </c>
      <c r="AB95" s="54">
        <v>0.0</v>
      </c>
      <c r="AC95" s="54">
        <v>0.0</v>
      </c>
      <c r="AD95" s="54">
        <v>0.0</v>
      </c>
      <c r="AE95" s="54">
        <v>0.0</v>
      </c>
      <c r="AF95" s="54">
        <v>0.0</v>
      </c>
      <c r="AG95" s="54">
        <v>16.0</v>
      </c>
    </row>
    <row r="96" ht="15.75" customHeight="1">
      <c r="B96" s="56">
        <f>IFERROR(__xludf.DUMMYFUNCTION("""COMPUTED_VALUE"""),46327.0)</f>
        <v>46327</v>
      </c>
      <c r="C96" s="38" t="str">
        <f>IFERROR(__xludf.DUMMYFUNCTION("""COMPUTED_VALUE"""),"関西")</f>
        <v>関西</v>
      </c>
      <c r="D96" s="38">
        <f>IFERROR(__xludf.DUMMYFUNCTION("""COMPUTED_VALUE"""),1485.0)</f>
        <v>1485</v>
      </c>
      <c r="E96" s="38" t="str">
        <f>IFERROR(__xludf.DUMMYFUNCTION("""COMPUTED_VALUE"""),"ケーズデンキ 田辺店")</f>
        <v>ケーズデンキ 田辺店</v>
      </c>
      <c r="F96" s="40">
        <f>IFERROR(__xludf.DUMMYFUNCTION("""COMPUTED_VALUE"""),19.0)</f>
        <v>19</v>
      </c>
      <c r="G96" s="42">
        <f>IFERROR(__xludf.DUMMYFUNCTION("""COMPUTED_VALUE"""),0.0)</f>
        <v>0</v>
      </c>
      <c r="H96" s="42">
        <f>IFERROR(__xludf.DUMMYFUNCTION("""COMPUTED_VALUE"""),0.0)</f>
        <v>0</v>
      </c>
      <c r="I96" s="42">
        <f>IFERROR(__xludf.DUMMYFUNCTION("""COMPUTED_VALUE"""),0.0)</f>
        <v>0</v>
      </c>
      <c r="J96" s="42">
        <f>IFERROR(__xludf.DUMMYFUNCTION("""COMPUTED_VALUE"""),0.0)</f>
        <v>0</v>
      </c>
      <c r="K96" s="42">
        <f>IFERROR(__xludf.DUMMYFUNCTION("""COMPUTED_VALUE"""),0.0)</f>
        <v>0</v>
      </c>
      <c r="L96" s="42">
        <f>IFERROR(__xludf.DUMMYFUNCTION("""COMPUTED_VALUE"""),1.0)</f>
        <v>1</v>
      </c>
      <c r="M96" s="42">
        <f>IFERROR(__xludf.DUMMYFUNCTION("""COMPUTED_VALUE"""),0.0)</f>
        <v>0</v>
      </c>
      <c r="N96" s="42">
        <f>IFERROR(__xludf.DUMMYFUNCTION("""COMPUTED_VALUE"""),0.0)</f>
        <v>0</v>
      </c>
      <c r="O96" s="42">
        <f>IFERROR(__xludf.DUMMYFUNCTION("""COMPUTED_VALUE"""),0.0)</f>
        <v>0</v>
      </c>
      <c r="P96" s="42">
        <f>IFERROR(__xludf.DUMMYFUNCTION("""COMPUTED_VALUE"""),0.0)</f>
        <v>0</v>
      </c>
      <c r="Q96" s="42">
        <f>IFERROR(__xludf.DUMMYFUNCTION("""COMPUTED_VALUE"""),0.0)</f>
        <v>0</v>
      </c>
      <c r="R96" s="42">
        <f>IFERROR(__xludf.DUMMYFUNCTION("""COMPUTED_VALUE"""),1.0)</f>
        <v>1</v>
      </c>
      <c r="S96" s="40">
        <f>IFERROR(__xludf.DUMMYFUNCTION("""COMPUTED_VALUE"""),19.0)</f>
        <v>19</v>
      </c>
      <c r="T96" s="40">
        <f>IFERROR(__xludf.DUMMYFUNCTION("""COMPUTED_VALUE"""),19.0)</f>
        <v>19</v>
      </c>
      <c r="U96" s="46" t="str">
        <f t="array" ref="U96">IF($D96="","",IFERROR(_xlfn.XLOOKUP($D96,'TIR店舗一覧'!$D:$D,'TIR店舗一覧'!$E:$E,""),""))</f>
        <v>KS</v>
      </c>
      <c r="V96" s="54">
        <v>0.0</v>
      </c>
      <c r="W96" s="54">
        <v>0.0</v>
      </c>
      <c r="X96" s="54">
        <v>0.0</v>
      </c>
      <c r="Y96" s="54">
        <v>0.0</v>
      </c>
      <c r="Z96" s="54">
        <v>0.0</v>
      </c>
      <c r="AA96" s="54">
        <v>19.0</v>
      </c>
      <c r="AB96" s="54">
        <v>0.0</v>
      </c>
      <c r="AC96" s="54">
        <v>0.0</v>
      </c>
      <c r="AD96" s="54">
        <v>0.0</v>
      </c>
      <c r="AE96" s="54">
        <v>0.0</v>
      </c>
      <c r="AF96" s="54">
        <v>0.0</v>
      </c>
      <c r="AG96" s="54">
        <v>19.0</v>
      </c>
    </row>
    <row r="97" ht="15.75" customHeight="1">
      <c r="B97" s="56">
        <f>IFERROR(__xludf.DUMMYFUNCTION("""COMPUTED_VALUE"""),46327.0)</f>
        <v>46327</v>
      </c>
      <c r="C97" s="38" t="str">
        <f>IFERROR(__xludf.DUMMYFUNCTION("""COMPUTED_VALUE"""),"関西")</f>
        <v>関西</v>
      </c>
      <c r="D97" s="38">
        <f>IFERROR(__xludf.DUMMYFUNCTION("""COMPUTED_VALUE"""),1098.0)</f>
        <v>1098</v>
      </c>
      <c r="E97" s="38" t="str">
        <f>IFERROR(__xludf.DUMMYFUNCTION("""COMPUTED_VALUE"""),"ケーズデンキ 守山店")</f>
        <v>ケーズデンキ 守山店</v>
      </c>
      <c r="F97" s="40">
        <f>IFERROR(__xludf.DUMMYFUNCTION("""COMPUTED_VALUE"""),19.0)</f>
        <v>19</v>
      </c>
      <c r="G97" s="42">
        <f>IFERROR(__xludf.DUMMYFUNCTION("""COMPUTED_VALUE"""),0.0)</f>
        <v>0</v>
      </c>
      <c r="H97" s="42">
        <f>IFERROR(__xludf.DUMMYFUNCTION("""COMPUTED_VALUE"""),0.0)</f>
        <v>0</v>
      </c>
      <c r="I97" s="42">
        <f>IFERROR(__xludf.DUMMYFUNCTION("""COMPUTED_VALUE"""),0.0)</f>
        <v>0</v>
      </c>
      <c r="J97" s="42">
        <f>IFERROR(__xludf.DUMMYFUNCTION("""COMPUTED_VALUE"""),0.0)</f>
        <v>0</v>
      </c>
      <c r="K97" s="42">
        <f>IFERROR(__xludf.DUMMYFUNCTION("""COMPUTED_VALUE"""),0.0)</f>
        <v>0</v>
      </c>
      <c r="L97" s="42">
        <f>IFERROR(__xludf.DUMMYFUNCTION("""COMPUTED_VALUE"""),1.0)</f>
        <v>1</v>
      </c>
      <c r="M97" s="42">
        <f>IFERROR(__xludf.DUMMYFUNCTION("""COMPUTED_VALUE"""),0.0)</f>
        <v>0</v>
      </c>
      <c r="N97" s="42">
        <f>IFERROR(__xludf.DUMMYFUNCTION("""COMPUTED_VALUE"""),0.0)</f>
        <v>0</v>
      </c>
      <c r="O97" s="42">
        <f>IFERROR(__xludf.DUMMYFUNCTION("""COMPUTED_VALUE"""),0.0)</f>
        <v>0</v>
      </c>
      <c r="P97" s="42">
        <f>IFERROR(__xludf.DUMMYFUNCTION("""COMPUTED_VALUE"""),0.0)</f>
        <v>0</v>
      </c>
      <c r="Q97" s="42">
        <f>IFERROR(__xludf.DUMMYFUNCTION("""COMPUTED_VALUE"""),0.0)</f>
        <v>0</v>
      </c>
      <c r="R97" s="42">
        <f>IFERROR(__xludf.DUMMYFUNCTION("""COMPUTED_VALUE"""),1.0)</f>
        <v>1</v>
      </c>
      <c r="S97" s="40">
        <f>IFERROR(__xludf.DUMMYFUNCTION("""COMPUTED_VALUE"""),19.0)</f>
        <v>19</v>
      </c>
      <c r="T97" s="40">
        <f>IFERROR(__xludf.DUMMYFUNCTION("""COMPUTED_VALUE"""),19.0)</f>
        <v>19</v>
      </c>
      <c r="U97" s="46" t="str">
        <f t="array" ref="U97">IF($D97="","",IFERROR(_xlfn.XLOOKUP($D97,'TIR店舗一覧'!$D:$D,'TIR店舗一覧'!$E:$E,""),""))</f>
        <v>KS</v>
      </c>
      <c r="V97" s="54">
        <v>0.0</v>
      </c>
      <c r="W97" s="54">
        <v>0.0</v>
      </c>
      <c r="X97" s="54">
        <v>0.0</v>
      </c>
      <c r="Y97" s="54">
        <v>0.0</v>
      </c>
      <c r="Z97" s="54">
        <v>0.0</v>
      </c>
      <c r="AA97" s="54">
        <v>19.0</v>
      </c>
      <c r="AB97" s="54">
        <v>0.0</v>
      </c>
      <c r="AC97" s="54">
        <v>0.0</v>
      </c>
      <c r="AD97" s="54">
        <v>0.0</v>
      </c>
      <c r="AE97" s="54">
        <v>0.0</v>
      </c>
      <c r="AF97" s="54">
        <v>0.0</v>
      </c>
      <c r="AG97" s="54">
        <v>19.0</v>
      </c>
    </row>
    <row r="98" ht="15.75" customHeight="1">
      <c r="B98" s="56">
        <f>IFERROR(__xludf.DUMMYFUNCTION("""COMPUTED_VALUE"""),46327.0)</f>
        <v>46327</v>
      </c>
      <c r="C98" s="38" t="str">
        <f>IFERROR(__xludf.DUMMYFUNCTION("""COMPUTED_VALUE"""),"関西")</f>
        <v>関西</v>
      </c>
      <c r="D98" s="38">
        <f>IFERROR(__xludf.DUMMYFUNCTION("""COMPUTED_VALUE"""),8613.0)</f>
        <v>8613</v>
      </c>
      <c r="E98" s="38" t="str">
        <f>IFERROR(__xludf.DUMMYFUNCTION("""COMPUTED_VALUE"""),"ケーズデンキ 高の原店")</f>
        <v>ケーズデンキ 高の原店</v>
      </c>
      <c r="F98" s="40">
        <f>IFERROR(__xludf.DUMMYFUNCTION("""COMPUTED_VALUE"""),11.0)</f>
        <v>11</v>
      </c>
      <c r="G98" s="42">
        <f>IFERROR(__xludf.DUMMYFUNCTION("""COMPUTED_VALUE"""),0.0)</f>
        <v>0</v>
      </c>
      <c r="H98" s="42">
        <f>IFERROR(__xludf.DUMMYFUNCTION("""COMPUTED_VALUE"""),0.0)</f>
        <v>0</v>
      </c>
      <c r="I98" s="42">
        <f>IFERROR(__xludf.DUMMYFUNCTION("""COMPUTED_VALUE"""),0.0)</f>
        <v>0</v>
      </c>
      <c r="J98" s="42">
        <f>IFERROR(__xludf.DUMMYFUNCTION("""COMPUTED_VALUE"""),0.0)</f>
        <v>0</v>
      </c>
      <c r="K98" s="42">
        <f>IFERROR(__xludf.DUMMYFUNCTION("""COMPUTED_VALUE"""),0.0)</f>
        <v>0</v>
      </c>
      <c r="L98" s="42">
        <f>IFERROR(__xludf.DUMMYFUNCTION("""COMPUTED_VALUE"""),1.0)</f>
        <v>1</v>
      </c>
      <c r="M98" s="42">
        <f>IFERROR(__xludf.DUMMYFUNCTION("""COMPUTED_VALUE"""),0.0)</f>
        <v>0</v>
      </c>
      <c r="N98" s="42">
        <f>IFERROR(__xludf.DUMMYFUNCTION("""COMPUTED_VALUE"""),0.0)</f>
        <v>0</v>
      </c>
      <c r="O98" s="42">
        <f>IFERROR(__xludf.DUMMYFUNCTION("""COMPUTED_VALUE"""),0.0)</f>
        <v>0</v>
      </c>
      <c r="P98" s="42">
        <f>IFERROR(__xludf.DUMMYFUNCTION("""COMPUTED_VALUE"""),0.0)</f>
        <v>0</v>
      </c>
      <c r="Q98" s="42">
        <f>IFERROR(__xludf.DUMMYFUNCTION("""COMPUTED_VALUE"""),0.0)</f>
        <v>0</v>
      </c>
      <c r="R98" s="42">
        <f>IFERROR(__xludf.DUMMYFUNCTION("""COMPUTED_VALUE"""),1.0)</f>
        <v>1</v>
      </c>
      <c r="S98" s="40">
        <f>IFERROR(__xludf.DUMMYFUNCTION("""COMPUTED_VALUE"""),11.0)</f>
        <v>11</v>
      </c>
      <c r="T98" s="40">
        <f>IFERROR(__xludf.DUMMYFUNCTION("""COMPUTED_VALUE"""),11.0)</f>
        <v>11</v>
      </c>
      <c r="U98" s="46" t="str">
        <f t="array" ref="U98">IF($D98="","",IFERROR(_xlfn.XLOOKUP($D98,'TIR店舗一覧'!$D:$D,'TIR店舗一覧'!$E:$E,""),""))</f>
        <v>KS</v>
      </c>
      <c r="V98" s="54">
        <v>0.0</v>
      </c>
      <c r="W98" s="54">
        <v>0.0</v>
      </c>
      <c r="X98" s="54">
        <v>0.0</v>
      </c>
      <c r="Y98" s="54">
        <v>0.0</v>
      </c>
      <c r="Z98" s="54">
        <v>0.0</v>
      </c>
      <c r="AA98" s="54">
        <v>11.0</v>
      </c>
      <c r="AB98" s="54">
        <v>0.0</v>
      </c>
      <c r="AC98" s="54">
        <v>0.0</v>
      </c>
      <c r="AD98" s="54">
        <v>0.0</v>
      </c>
      <c r="AE98" s="54">
        <v>0.0</v>
      </c>
      <c r="AF98" s="54">
        <v>0.0</v>
      </c>
      <c r="AG98" s="54">
        <v>11.0</v>
      </c>
    </row>
    <row r="99" ht="15.75" customHeight="1">
      <c r="B99" s="56">
        <f>IFERROR(__xludf.DUMMYFUNCTION("""COMPUTED_VALUE"""),46327.0)</f>
        <v>46327</v>
      </c>
      <c r="C99" s="38" t="str">
        <f>IFERROR(__xludf.DUMMYFUNCTION("""COMPUTED_VALUE"""),"関西")</f>
        <v>関西</v>
      </c>
      <c r="D99" s="38">
        <f>IFERROR(__xludf.DUMMYFUNCTION("""COMPUTED_VALUE"""),1097.0)</f>
        <v>1097</v>
      </c>
      <c r="E99" s="38" t="str">
        <f>IFERROR(__xludf.DUMMYFUNCTION("""COMPUTED_VALUE"""),"ケーズデンキ 綾部店")</f>
        <v>ケーズデンキ 綾部店</v>
      </c>
      <c r="F99" s="40">
        <f>IFERROR(__xludf.DUMMYFUNCTION("""COMPUTED_VALUE"""),23.0)</f>
        <v>23</v>
      </c>
      <c r="G99" s="42">
        <f>IFERROR(__xludf.DUMMYFUNCTION("""COMPUTED_VALUE"""),0.0)</f>
        <v>0</v>
      </c>
      <c r="H99" s="42">
        <f>IFERROR(__xludf.DUMMYFUNCTION("""COMPUTED_VALUE"""),0.0)</f>
        <v>0</v>
      </c>
      <c r="I99" s="42">
        <f>IFERROR(__xludf.DUMMYFUNCTION("""COMPUTED_VALUE"""),0.0)</f>
        <v>0</v>
      </c>
      <c r="J99" s="42">
        <f>IFERROR(__xludf.DUMMYFUNCTION("""COMPUTED_VALUE"""),0.0)</f>
        <v>0</v>
      </c>
      <c r="K99" s="42">
        <f>IFERROR(__xludf.DUMMYFUNCTION("""COMPUTED_VALUE"""),0.0)</f>
        <v>0</v>
      </c>
      <c r="L99" s="42">
        <f>IFERROR(__xludf.DUMMYFUNCTION("""COMPUTED_VALUE"""),1.0)</f>
        <v>1</v>
      </c>
      <c r="M99" s="42">
        <f>IFERROR(__xludf.DUMMYFUNCTION("""COMPUTED_VALUE"""),0.0)</f>
        <v>0</v>
      </c>
      <c r="N99" s="42">
        <f>IFERROR(__xludf.DUMMYFUNCTION("""COMPUTED_VALUE"""),0.0)</f>
        <v>0</v>
      </c>
      <c r="O99" s="42">
        <f>IFERROR(__xludf.DUMMYFUNCTION("""COMPUTED_VALUE"""),0.0)</f>
        <v>0</v>
      </c>
      <c r="P99" s="42">
        <f>IFERROR(__xludf.DUMMYFUNCTION("""COMPUTED_VALUE"""),0.0)</f>
        <v>0</v>
      </c>
      <c r="Q99" s="42">
        <f>IFERROR(__xludf.DUMMYFUNCTION("""COMPUTED_VALUE"""),0.0)</f>
        <v>0</v>
      </c>
      <c r="R99" s="42">
        <f>IFERROR(__xludf.DUMMYFUNCTION("""COMPUTED_VALUE"""),1.0)</f>
        <v>1</v>
      </c>
      <c r="S99" s="40">
        <f>IFERROR(__xludf.DUMMYFUNCTION("""COMPUTED_VALUE"""),23.0)</f>
        <v>23</v>
      </c>
      <c r="T99" s="40">
        <f>IFERROR(__xludf.DUMMYFUNCTION("""COMPUTED_VALUE"""),23.0)</f>
        <v>23</v>
      </c>
      <c r="U99" s="46" t="str">
        <f t="array" ref="U99">IF($D99="","",IFERROR(_xlfn.XLOOKUP($D99,'TIR店舗一覧'!$D:$D,'TIR店舗一覧'!$E:$E,""),""))</f>
        <v>KS</v>
      </c>
      <c r="V99" s="54">
        <v>0.0</v>
      </c>
      <c r="W99" s="54">
        <v>0.0</v>
      </c>
      <c r="X99" s="54">
        <v>0.0</v>
      </c>
      <c r="Y99" s="54">
        <v>0.0</v>
      </c>
      <c r="Z99" s="54">
        <v>0.0</v>
      </c>
      <c r="AA99" s="54">
        <v>23.0</v>
      </c>
      <c r="AB99" s="54">
        <v>0.0</v>
      </c>
      <c r="AC99" s="54">
        <v>0.0</v>
      </c>
      <c r="AD99" s="54">
        <v>0.0</v>
      </c>
      <c r="AE99" s="54">
        <v>0.0</v>
      </c>
      <c r="AF99" s="54">
        <v>0.0</v>
      </c>
      <c r="AG99" s="54">
        <v>23.0</v>
      </c>
    </row>
    <row r="100" ht="15.75" customHeight="1">
      <c r="B100" s="56">
        <f>IFERROR(__xludf.DUMMYFUNCTION("""COMPUTED_VALUE"""),46327.0)</f>
        <v>46327</v>
      </c>
      <c r="C100" s="38" t="str">
        <f>IFERROR(__xludf.DUMMYFUNCTION("""COMPUTED_VALUE"""),"関西")</f>
        <v>関西</v>
      </c>
      <c r="D100" s="38">
        <f>IFERROR(__xludf.DUMMYFUNCTION("""COMPUTED_VALUE"""),5701.0)</f>
        <v>5701</v>
      </c>
      <c r="E100" s="38" t="str">
        <f>IFERROR(__xludf.DUMMYFUNCTION("""COMPUTED_VALUE"""),"ケーズデンキ クロスモール富田林店")</f>
        <v>ケーズデンキ クロスモール富田林店</v>
      </c>
      <c r="F100" s="40">
        <f>IFERROR(__xludf.DUMMYFUNCTION("""COMPUTED_VALUE"""),14.0)</f>
        <v>14</v>
      </c>
      <c r="G100" s="42">
        <f>IFERROR(__xludf.DUMMYFUNCTION("""COMPUTED_VALUE"""),0.0)</f>
        <v>0</v>
      </c>
      <c r="H100" s="42">
        <f>IFERROR(__xludf.DUMMYFUNCTION("""COMPUTED_VALUE"""),0.0)</f>
        <v>0</v>
      </c>
      <c r="I100" s="42">
        <f>IFERROR(__xludf.DUMMYFUNCTION("""COMPUTED_VALUE"""),0.0)</f>
        <v>0</v>
      </c>
      <c r="J100" s="42">
        <f>IFERROR(__xludf.DUMMYFUNCTION("""COMPUTED_VALUE"""),0.0)</f>
        <v>0</v>
      </c>
      <c r="K100" s="42">
        <f>IFERROR(__xludf.DUMMYFUNCTION("""COMPUTED_VALUE"""),0.0)</f>
        <v>0</v>
      </c>
      <c r="L100" s="42">
        <f>IFERROR(__xludf.DUMMYFUNCTION("""COMPUTED_VALUE"""),1.0)</f>
        <v>1</v>
      </c>
      <c r="M100" s="42">
        <f>IFERROR(__xludf.DUMMYFUNCTION("""COMPUTED_VALUE"""),0.0)</f>
        <v>0</v>
      </c>
      <c r="N100" s="42">
        <f>IFERROR(__xludf.DUMMYFUNCTION("""COMPUTED_VALUE"""),0.0)</f>
        <v>0</v>
      </c>
      <c r="O100" s="42">
        <f>IFERROR(__xludf.DUMMYFUNCTION("""COMPUTED_VALUE"""),0.0)</f>
        <v>0</v>
      </c>
      <c r="P100" s="42">
        <f>IFERROR(__xludf.DUMMYFUNCTION("""COMPUTED_VALUE"""),0.0)</f>
        <v>0</v>
      </c>
      <c r="Q100" s="42">
        <f>IFERROR(__xludf.DUMMYFUNCTION("""COMPUTED_VALUE"""),0.0)</f>
        <v>0</v>
      </c>
      <c r="R100" s="42">
        <f>IFERROR(__xludf.DUMMYFUNCTION("""COMPUTED_VALUE"""),1.0)</f>
        <v>1</v>
      </c>
      <c r="S100" s="40">
        <f>IFERROR(__xludf.DUMMYFUNCTION("""COMPUTED_VALUE"""),14.0)</f>
        <v>14</v>
      </c>
      <c r="T100" s="40">
        <f>IFERROR(__xludf.DUMMYFUNCTION("""COMPUTED_VALUE"""),14.0)</f>
        <v>14</v>
      </c>
      <c r="U100" s="46" t="str">
        <f t="array" ref="U100">IF($D100="","",IFERROR(_xlfn.XLOOKUP($D100,'TIR店舗一覧'!$D:$D,'TIR店舗一覧'!$E:$E,""),""))</f>
        <v>KS</v>
      </c>
      <c r="V100" s="54">
        <v>0.0</v>
      </c>
      <c r="W100" s="54">
        <v>0.0</v>
      </c>
      <c r="X100" s="54">
        <v>0.0</v>
      </c>
      <c r="Y100" s="54">
        <v>0.0</v>
      </c>
      <c r="Z100" s="54">
        <v>0.0</v>
      </c>
      <c r="AA100" s="54">
        <v>14.0</v>
      </c>
      <c r="AB100" s="54">
        <v>0.0</v>
      </c>
      <c r="AC100" s="54">
        <v>0.0</v>
      </c>
      <c r="AD100" s="54">
        <v>0.0</v>
      </c>
      <c r="AE100" s="54">
        <v>0.0</v>
      </c>
      <c r="AF100" s="54">
        <v>0.0</v>
      </c>
      <c r="AG100" s="54">
        <v>14.0</v>
      </c>
    </row>
    <row r="101" ht="15.75" customHeight="1">
      <c r="B101" s="56">
        <f>IFERROR(__xludf.DUMMYFUNCTION("""COMPUTED_VALUE"""),46327.0)</f>
        <v>46327</v>
      </c>
      <c r="C101" s="38" t="str">
        <f>IFERROR(__xludf.DUMMYFUNCTION("""COMPUTED_VALUE"""),"関西")</f>
        <v>関西</v>
      </c>
      <c r="D101" s="38">
        <f>IFERROR(__xludf.DUMMYFUNCTION("""COMPUTED_VALUE"""),8995.0)</f>
        <v>8995</v>
      </c>
      <c r="E101" s="38" t="str">
        <f>IFERROR(__xludf.DUMMYFUNCTION("""COMPUTED_VALUE"""),"エディオン 堺石津店")</f>
        <v>エディオン 堺石津店</v>
      </c>
      <c r="F101" s="40">
        <f>IFERROR(__xludf.DUMMYFUNCTION("""COMPUTED_VALUE"""),28.0)</f>
        <v>28</v>
      </c>
      <c r="G101" s="42">
        <f>IFERROR(__xludf.DUMMYFUNCTION("""COMPUTED_VALUE"""),0.0)</f>
        <v>0</v>
      </c>
      <c r="H101" s="42">
        <f>IFERROR(__xludf.DUMMYFUNCTION("""COMPUTED_VALUE"""),0.0)</f>
        <v>0</v>
      </c>
      <c r="I101" s="42">
        <f>IFERROR(__xludf.DUMMYFUNCTION("""COMPUTED_VALUE"""),0.0)</f>
        <v>0</v>
      </c>
      <c r="J101" s="42">
        <f>IFERROR(__xludf.DUMMYFUNCTION("""COMPUTED_VALUE"""),0.0)</f>
        <v>0</v>
      </c>
      <c r="K101" s="42">
        <f>IFERROR(__xludf.DUMMYFUNCTION("""COMPUTED_VALUE"""),0.0)</f>
        <v>0</v>
      </c>
      <c r="L101" s="42">
        <f>IFERROR(__xludf.DUMMYFUNCTION("""COMPUTED_VALUE"""),1.0)</f>
        <v>1</v>
      </c>
      <c r="M101" s="42">
        <f>IFERROR(__xludf.DUMMYFUNCTION("""COMPUTED_VALUE"""),0.0)</f>
        <v>0</v>
      </c>
      <c r="N101" s="42">
        <f>IFERROR(__xludf.DUMMYFUNCTION("""COMPUTED_VALUE"""),0.0)</f>
        <v>0</v>
      </c>
      <c r="O101" s="42">
        <f>IFERROR(__xludf.DUMMYFUNCTION("""COMPUTED_VALUE"""),0.0)</f>
        <v>0</v>
      </c>
      <c r="P101" s="42">
        <f>IFERROR(__xludf.DUMMYFUNCTION("""COMPUTED_VALUE"""),0.0)</f>
        <v>0</v>
      </c>
      <c r="Q101" s="42">
        <f>IFERROR(__xludf.DUMMYFUNCTION("""COMPUTED_VALUE"""),0.0)</f>
        <v>0</v>
      </c>
      <c r="R101" s="42">
        <f>IFERROR(__xludf.DUMMYFUNCTION("""COMPUTED_VALUE"""),1.0)</f>
        <v>1</v>
      </c>
      <c r="S101" s="40">
        <f>IFERROR(__xludf.DUMMYFUNCTION("""COMPUTED_VALUE"""),28.0)</f>
        <v>28</v>
      </c>
      <c r="T101" s="40">
        <f>IFERROR(__xludf.DUMMYFUNCTION("""COMPUTED_VALUE"""),28.0)</f>
        <v>28</v>
      </c>
      <c r="U101" s="46" t="str">
        <f t="array" ref="U101">IF($D101="","",IFERROR(_xlfn.XLOOKUP($D101,'TIR店舗一覧'!$D:$D,'TIR店舗一覧'!$E:$E,""),""))</f>
        <v>ED</v>
      </c>
      <c r="V101" s="54">
        <v>0.0</v>
      </c>
      <c r="W101" s="54">
        <v>0.0</v>
      </c>
      <c r="X101" s="54">
        <v>0.0</v>
      </c>
      <c r="Y101" s="54">
        <v>0.0</v>
      </c>
      <c r="Z101" s="54">
        <v>0.0</v>
      </c>
      <c r="AA101" s="54">
        <v>28.0</v>
      </c>
      <c r="AB101" s="54">
        <v>0.0</v>
      </c>
      <c r="AC101" s="54">
        <v>0.0</v>
      </c>
      <c r="AD101" s="54">
        <v>0.0</v>
      </c>
      <c r="AE101" s="54">
        <v>0.0</v>
      </c>
      <c r="AF101" s="54">
        <v>0.0</v>
      </c>
      <c r="AG101" s="54">
        <v>28.0</v>
      </c>
    </row>
    <row r="102" ht="15.75" customHeight="1">
      <c r="B102" s="56">
        <f>IFERROR(__xludf.DUMMYFUNCTION("""COMPUTED_VALUE"""),46327.0)</f>
        <v>46327</v>
      </c>
      <c r="C102" s="38" t="str">
        <f>IFERROR(__xludf.DUMMYFUNCTION("""COMPUTED_VALUE"""),"関西")</f>
        <v>関西</v>
      </c>
      <c r="D102" s="38">
        <f>IFERROR(__xludf.DUMMYFUNCTION("""COMPUTED_VALUE"""),5191.0)</f>
        <v>5191</v>
      </c>
      <c r="E102" s="38" t="str">
        <f>IFERROR(__xludf.DUMMYFUNCTION("""COMPUTED_VALUE"""),"エディオン ららぽーとEXPOCITY店")</f>
        <v>エディオン ららぽーとEXPOCITY店</v>
      </c>
      <c r="F102" s="40">
        <f>IFERROR(__xludf.DUMMYFUNCTION("""COMPUTED_VALUE"""),10.0)</f>
        <v>10</v>
      </c>
      <c r="G102" s="42">
        <f>IFERROR(__xludf.DUMMYFUNCTION("""COMPUTED_VALUE"""),0.0)</f>
        <v>0</v>
      </c>
      <c r="H102" s="42">
        <f>IFERROR(__xludf.DUMMYFUNCTION("""COMPUTED_VALUE"""),0.0)</f>
        <v>0</v>
      </c>
      <c r="I102" s="42">
        <f>IFERROR(__xludf.DUMMYFUNCTION("""COMPUTED_VALUE"""),0.0)</f>
        <v>0</v>
      </c>
      <c r="J102" s="42">
        <f>IFERROR(__xludf.DUMMYFUNCTION("""COMPUTED_VALUE"""),0.0)</f>
        <v>0</v>
      </c>
      <c r="K102" s="42">
        <f>IFERROR(__xludf.DUMMYFUNCTION("""COMPUTED_VALUE"""),0.0)</f>
        <v>0</v>
      </c>
      <c r="L102" s="42">
        <f>IFERROR(__xludf.DUMMYFUNCTION("""COMPUTED_VALUE"""),1.0)</f>
        <v>1</v>
      </c>
      <c r="M102" s="42">
        <f>IFERROR(__xludf.DUMMYFUNCTION("""COMPUTED_VALUE"""),0.0)</f>
        <v>0</v>
      </c>
      <c r="N102" s="42">
        <f>IFERROR(__xludf.DUMMYFUNCTION("""COMPUTED_VALUE"""),0.0)</f>
        <v>0</v>
      </c>
      <c r="O102" s="42">
        <f>IFERROR(__xludf.DUMMYFUNCTION("""COMPUTED_VALUE"""),0.0)</f>
        <v>0</v>
      </c>
      <c r="P102" s="42">
        <f>IFERROR(__xludf.DUMMYFUNCTION("""COMPUTED_VALUE"""),0.0)</f>
        <v>0</v>
      </c>
      <c r="Q102" s="42">
        <f>IFERROR(__xludf.DUMMYFUNCTION("""COMPUTED_VALUE"""),0.0)</f>
        <v>0</v>
      </c>
      <c r="R102" s="42">
        <f>IFERROR(__xludf.DUMMYFUNCTION("""COMPUTED_VALUE"""),1.0)</f>
        <v>1</v>
      </c>
      <c r="S102" s="40">
        <f>IFERROR(__xludf.DUMMYFUNCTION("""COMPUTED_VALUE"""),10.0)</f>
        <v>10</v>
      </c>
      <c r="T102" s="40">
        <f>IFERROR(__xludf.DUMMYFUNCTION("""COMPUTED_VALUE"""),10.0)</f>
        <v>10</v>
      </c>
      <c r="U102" s="46" t="str">
        <f t="array" ref="U102">IF($D102="","",IFERROR(_xlfn.XLOOKUP($D102,'TIR店舗一覧'!$D:$D,'TIR店舗一覧'!$E:$E,""),""))</f>
        <v>ED</v>
      </c>
      <c r="V102" s="54">
        <v>0.0</v>
      </c>
      <c r="W102" s="54">
        <v>0.0</v>
      </c>
      <c r="X102" s="54">
        <v>0.0</v>
      </c>
      <c r="Y102" s="54">
        <v>0.0</v>
      </c>
      <c r="Z102" s="54">
        <v>0.0</v>
      </c>
      <c r="AA102" s="54">
        <v>10.0</v>
      </c>
      <c r="AB102" s="54">
        <v>0.0</v>
      </c>
      <c r="AC102" s="54">
        <v>0.0</v>
      </c>
      <c r="AD102" s="54">
        <v>0.0</v>
      </c>
      <c r="AE102" s="54">
        <v>0.0</v>
      </c>
      <c r="AF102" s="54">
        <v>0.0</v>
      </c>
      <c r="AG102" s="54">
        <v>10.0</v>
      </c>
    </row>
    <row r="103" ht="15.75" customHeight="1">
      <c r="B103" s="56">
        <f>IFERROR(__xludf.DUMMYFUNCTION("""COMPUTED_VALUE"""),46327.0)</f>
        <v>46327</v>
      </c>
      <c r="C103" s="38" t="str">
        <f>IFERROR(__xludf.DUMMYFUNCTION("""COMPUTED_VALUE"""),"関西")</f>
        <v>関西</v>
      </c>
      <c r="D103" s="38">
        <f>IFERROR(__xludf.DUMMYFUNCTION("""COMPUTED_VALUE"""),8303.0)</f>
        <v>8303</v>
      </c>
      <c r="E103" s="38" t="str">
        <f>IFERROR(__xludf.DUMMYFUNCTION("""COMPUTED_VALUE"""),"YAMADA web.com 和歌山店")</f>
        <v>YAMADA web.com 和歌山店</v>
      </c>
      <c r="F103" s="40">
        <f>IFERROR(__xludf.DUMMYFUNCTION("""COMPUTED_VALUE"""),8.0)</f>
        <v>8</v>
      </c>
      <c r="G103" s="42">
        <f>IFERROR(__xludf.DUMMYFUNCTION("""COMPUTED_VALUE"""),0.0)</f>
        <v>0</v>
      </c>
      <c r="H103" s="42">
        <f>IFERROR(__xludf.DUMMYFUNCTION("""COMPUTED_VALUE"""),0.0)</f>
        <v>0</v>
      </c>
      <c r="I103" s="42">
        <f>IFERROR(__xludf.DUMMYFUNCTION("""COMPUTED_VALUE"""),0.0)</f>
        <v>0</v>
      </c>
      <c r="J103" s="42">
        <f>IFERROR(__xludf.DUMMYFUNCTION("""COMPUTED_VALUE"""),0.0)</f>
        <v>0</v>
      </c>
      <c r="K103" s="42">
        <f>IFERROR(__xludf.DUMMYFUNCTION("""COMPUTED_VALUE"""),0.0)</f>
        <v>0</v>
      </c>
      <c r="L103" s="42">
        <f>IFERROR(__xludf.DUMMYFUNCTION("""COMPUTED_VALUE"""),1.0)</f>
        <v>1</v>
      </c>
      <c r="M103" s="42">
        <f>IFERROR(__xludf.DUMMYFUNCTION("""COMPUTED_VALUE"""),0.0)</f>
        <v>0</v>
      </c>
      <c r="N103" s="42">
        <f>IFERROR(__xludf.DUMMYFUNCTION("""COMPUTED_VALUE"""),0.0)</f>
        <v>0</v>
      </c>
      <c r="O103" s="42">
        <f>IFERROR(__xludf.DUMMYFUNCTION("""COMPUTED_VALUE"""),0.0)</f>
        <v>0</v>
      </c>
      <c r="P103" s="42">
        <f>IFERROR(__xludf.DUMMYFUNCTION("""COMPUTED_VALUE"""),0.0)</f>
        <v>0</v>
      </c>
      <c r="Q103" s="42">
        <f>IFERROR(__xludf.DUMMYFUNCTION("""COMPUTED_VALUE"""),0.0)</f>
        <v>0</v>
      </c>
      <c r="R103" s="42">
        <f>IFERROR(__xludf.DUMMYFUNCTION("""COMPUTED_VALUE"""),1.0)</f>
        <v>1</v>
      </c>
      <c r="S103" s="40">
        <f>IFERROR(__xludf.DUMMYFUNCTION("""COMPUTED_VALUE"""),8.0)</f>
        <v>8</v>
      </c>
      <c r="T103" s="40">
        <f>IFERROR(__xludf.DUMMYFUNCTION("""COMPUTED_VALUE"""),8.0)</f>
        <v>8</v>
      </c>
      <c r="U103" s="46" t="str">
        <f t="array" ref="U103">IF($D103="","",IFERROR(_xlfn.XLOOKUP($D103,'TIR店舗一覧'!$D:$D,'TIR店舗一覧'!$E:$E,""),""))</f>
        <v>YD</v>
      </c>
      <c r="V103" s="54">
        <v>0.0</v>
      </c>
      <c r="W103" s="54">
        <v>0.0</v>
      </c>
      <c r="X103" s="54">
        <v>0.0</v>
      </c>
      <c r="Y103" s="54">
        <v>0.0</v>
      </c>
      <c r="Z103" s="54">
        <v>0.0</v>
      </c>
      <c r="AA103" s="54">
        <v>8.0</v>
      </c>
      <c r="AB103" s="54">
        <v>0.0</v>
      </c>
      <c r="AC103" s="54">
        <v>0.0</v>
      </c>
      <c r="AD103" s="54">
        <v>0.0</v>
      </c>
      <c r="AE103" s="54">
        <v>0.0</v>
      </c>
      <c r="AF103" s="54">
        <v>0.0</v>
      </c>
      <c r="AG103" s="54">
        <v>8.0</v>
      </c>
    </row>
    <row r="104" ht="15.75" customHeight="1">
      <c r="B104" s="56">
        <f>IFERROR(__xludf.DUMMYFUNCTION("""COMPUTED_VALUE"""),46327.0)</f>
        <v>46327</v>
      </c>
      <c r="C104" s="38" t="str">
        <f>IFERROR(__xludf.DUMMYFUNCTION("""COMPUTED_VALUE"""),"関西")</f>
        <v>関西</v>
      </c>
      <c r="D104" s="38">
        <f>IFERROR(__xludf.DUMMYFUNCTION("""COMPUTED_VALUE"""),7779.0)</f>
        <v>7779</v>
      </c>
      <c r="E104" s="38" t="str">
        <f>IFERROR(__xludf.DUMMYFUNCTION("""COMPUTED_VALUE"""),"Tecc LIFE SELECT 姫路本店")</f>
        <v>Tecc LIFE SELECT 姫路本店</v>
      </c>
      <c r="F104" s="40">
        <f>IFERROR(__xludf.DUMMYFUNCTION("""COMPUTED_VALUE"""),22.0)</f>
        <v>22</v>
      </c>
      <c r="G104" s="42">
        <f>IFERROR(__xludf.DUMMYFUNCTION("""COMPUTED_VALUE"""),0.0)</f>
        <v>0</v>
      </c>
      <c r="H104" s="42">
        <f>IFERROR(__xludf.DUMMYFUNCTION("""COMPUTED_VALUE"""),0.0)</f>
        <v>0</v>
      </c>
      <c r="I104" s="42">
        <f>IFERROR(__xludf.DUMMYFUNCTION("""COMPUTED_VALUE"""),0.0)</f>
        <v>0</v>
      </c>
      <c r="J104" s="42">
        <f>IFERROR(__xludf.DUMMYFUNCTION("""COMPUTED_VALUE"""),0.0)</f>
        <v>0</v>
      </c>
      <c r="K104" s="42">
        <f>IFERROR(__xludf.DUMMYFUNCTION("""COMPUTED_VALUE"""),0.0)</f>
        <v>0</v>
      </c>
      <c r="L104" s="42">
        <f>IFERROR(__xludf.DUMMYFUNCTION("""COMPUTED_VALUE"""),1.0)</f>
        <v>1</v>
      </c>
      <c r="M104" s="42">
        <f>IFERROR(__xludf.DUMMYFUNCTION("""COMPUTED_VALUE"""),0.0)</f>
        <v>0</v>
      </c>
      <c r="N104" s="42">
        <f>IFERROR(__xludf.DUMMYFUNCTION("""COMPUTED_VALUE"""),0.0)</f>
        <v>0</v>
      </c>
      <c r="O104" s="42">
        <f>IFERROR(__xludf.DUMMYFUNCTION("""COMPUTED_VALUE"""),0.0)</f>
        <v>0</v>
      </c>
      <c r="P104" s="42">
        <f>IFERROR(__xludf.DUMMYFUNCTION("""COMPUTED_VALUE"""),0.0)</f>
        <v>0</v>
      </c>
      <c r="Q104" s="42">
        <f>IFERROR(__xludf.DUMMYFUNCTION("""COMPUTED_VALUE"""),0.0)</f>
        <v>0</v>
      </c>
      <c r="R104" s="42">
        <f>IFERROR(__xludf.DUMMYFUNCTION("""COMPUTED_VALUE"""),1.0)</f>
        <v>1</v>
      </c>
      <c r="S104" s="40">
        <f>IFERROR(__xludf.DUMMYFUNCTION("""COMPUTED_VALUE"""),22.0)</f>
        <v>22</v>
      </c>
      <c r="T104" s="40">
        <f>IFERROR(__xludf.DUMMYFUNCTION("""COMPUTED_VALUE"""),22.0)</f>
        <v>22</v>
      </c>
      <c r="U104" s="46" t="str">
        <f t="array" ref="U104">IF($D104="","",IFERROR(_xlfn.XLOOKUP($D104,'TIR店舗一覧'!$D:$D,'TIR店舗一覧'!$E:$E,""),""))</f>
        <v>YD</v>
      </c>
      <c r="V104" s="54">
        <v>0.0</v>
      </c>
      <c r="W104" s="54">
        <v>0.0</v>
      </c>
      <c r="X104" s="54">
        <v>0.0</v>
      </c>
      <c r="Y104" s="54">
        <v>0.0</v>
      </c>
      <c r="Z104" s="54">
        <v>0.0</v>
      </c>
      <c r="AA104" s="54">
        <v>22.0</v>
      </c>
      <c r="AB104" s="54">
        <v>0.0</v>
      </c>
      <c r="AC104" s="54">
        <v>0.0</v>
      </c>
      <c r="AD104" s="54">
        <v>0.0</v>
      </c>
      <c r="AE104" s="54">
        <v>0.0</v>
      </c>
      <c r="AF104" s="54">
        <v>0.0</v>
      </c>
      <c r="AG104" s="54">
        <v>22.0</v>
      </c>
    </row>
    <row r="105" ht="15.75" customHeight="1">
      <c r="B105" s="56">
        <f>IFERROR(__xludf.DUMMYFUNCTION("""COMPUTED_VALUE"""),46327.0)</f>
        <v>46327</v>
      </c>
      <c r="C105" s="38" t="str">
        <f>IFERROR(__xludf.DUMMYFUNCTION("""COMPUTED_VALUE"""),"関西")</f>
        <v>関西</v>
      </c>
      <c r="D105" s="38">
        <f>IFERROR(__xludf.DUMMYFUNCTION("""COMPUTED_VALUE"""),7806.0)</f>
        <v>7806</v>
      </c>
      <c r="E105" s="38" t="str">
        <f>IFERROR(__xludf.DUMMYFUNCTION("""COMPUTED_VALUE"""),"Tecc LIFE SELECT 神戸本店")</f>
        <v>Tecc LIFE SELECT 神戸本店</v>
      </c>
      <c r="F105" s="40">
        <f>IFERROR(__xludf.DUMMYFUNCTION("""COMPUTED_VALUE"""),28.0)</f>
        <v>28</v>
      </c>
      <c r="G105" s="42">
        <f>IFERROR(__xludf.DUMMYFUNCTION("""COMPUTED_VALUE"""),0.0)</f>
        <v>0</v>
      </c>
      <c r="H105" s="42">
        <f>IFERROR(__xludf.DUMMYFUNCTION("""COMPUTED_VALUE"""),0.0)</f>
        <v>0</v>
      </c>
      <c r="I105" s="42">
        <f>IFERROR(__xludf.DUMMYFUNCTION("""COMPUTED_VALUE"""),0.0)</f>
        <v>0</v>
      </c>
      <c r="J105" s="42">
        <f>IFERROR(__xludf.DUMMYFUNCTION("""COMPUTED_VALUE"""),0.0)</f>
        <v>0</v>
      </c>
      <c r="K105" s="42">
        <f>IFERROR(__xludf.DUMMYFUNCTION("""COMPUTED_VALUE"""),0.0)</f>
        <v>0</v>
      </c>
      <c r="L105" s="42">
        <f>IFERROR(__xludf.DUMMYFUNCTION("""COMPUTED_VALUE"""),1.0)</f>
        <v>1</v>
      </c>
      <c r="M105" s="42">
        <f>IFERROR(__xludf.DUMMYFUNCTION("""COMPUTED_VALUE"""),0.0)</f>
        <v>0</v>
      </c>
      <c r="N105" s="42">
        <f>IFERROR(__xludf.DUMMYFUNCTION("""COMPUTED_VALUE"""),0.0)</f>
        <v>0</v>
      </c>
      <c r="O105" s="42">
        <f>IFERROR(__xludf.DUMMYFUNCTION("""COMPUTED_VALUE"""),0.0)</f>
        <v>0</v>
      </c>
      <c r="P105" s="42">
        <f>IFERROR(__xludf.DUMMYFUNCTION("""COMPUTED_VALUE"""),0.0)</f>
        <v>0</v>
      </c>
      <c r="Q105" s="42">
        <f>IFERROR(__xludf.DUMMYFUNCTION("""COMPUTED_VALUE"""),0.0)</f>
        <v>0</v>
      </c>
      <c r="R105" s="42">
        <f>IFERROR(__xludf.DUMMYFUNCTION("""COMPUTED_VALUE"""),1.0)</f>
        <v>1</v>
      </c>
      <c r="S105" s="40">
        <f>IFERROR(__xludf.DUMMYFUNCTION("""COMPUTED_VALUE"""),28.0)</f>
        <v>28</v>
      </c>
      <c r="T105" s="40">
        <f>IFERROR(__xludf.DUMMYFUNCTION("""COMPUTED_VALUE"""),28.0)</f>
        <v>28</v>
      </c>
      <c r="U105" s="46" t="str">
        <f t="array" ref="U105">IF($D105="","",IFERROR(_xlfn.XLOOKUP($D105,'TIR店舗一覧'!$D:$D,'TIR店舗一覧'!$E:$E,""),""))</f>
        <v>YD</v>
      </c>
      <c r="V105" s="54">
        <v>0.0</v>
      </c>
      <c r="W105" s="54">
        <v>0.0</v>
      </c>
      <c r="X105" s="54">
        <v>0.0</v>
      </c>
      <c r="Y105" s="54">
        <v>0.0</v>
      </c>
      <c r="Z105" s="54">
        <v>0.0</v>
      </c>
      <c r="AA105" s="54">
        <v>28.0</v>
      </c>
      <c r="AB105" s="54">
        <v>0.0</v>
      </c>
      <c r="AC105" s="54">
        <v>0.0</v>
      </c>
      <c r="AD105" s="54">
        <v>0.0</v>
      </c>
      <c r="AE105" s="54">
        <v>0.0</v>
      </c>
      <c r="AF105" s="54">
        <v>0.0</v>
      </c>
      <c r="AG105" s="54">
        <v>28.0</v>
      </c>
    </row>
    <row r="106" ht="15.75" customHeight="1">
      <c r="B106" s="56">
        <f>IFERROR(__xludf.DUMMYFUNCTION("""COMPUTED_VALUE"""),46327.0)</f>
        <v>46327</v>
      </c>
      <c r="C106" s="38" t="str">
        <f>IFERROR(__xludf.DUMMYFUNCTION("""COMPUTED_VALUE"""),"関西")</f>
        <v>関西</v>
      </c>
      <c r="D106" s="38">
        <f>IFERROR(__xludf.DUMMYFUNCTION("""COMPUTED_VALUE"""),8421.0)</f>
        <v>8421</v>
      </c>
      <c r="E106" s="38" t="str">
        <f>IFERROR(__xludf.DUMMYFUNCTION("""COMPUTED_VALUE"""),"Tecc LIFE SELECT 神戸垂水店")</f>
        <v>Tecc LIFE SELECT 神戸垂水店</v>
      </c>
      <c r="F106" s="40">
        <f>IFERROR(__xludf.DUMMYFUNCTION("""COMPUTED_VALUE"""),18.0)</f>
        <v>18</v>
      </c>
      <c r="G106" s="42">
        <f>IFERROR(__xludf.DUMMYFUNCTION("""COMPUTED_VALUE"""),0.0)</f>
        <v>0</v>
      </c>
      <c r="H106" s="42">
        <f>IFERROR(__xludf.DUMMYFUNCTION("""COMPUTED_VALUE"""),0.0)</f>
        <v>0</v>
      </c>
      <c r="I106" s="42">
        <f>IFERROR(__xludf.DUMMYFUNCTION("""COMPUTED_VALUE"""),0.0)</f>
        <v>0</v>
      </c>
      <c r="J106" s="42">
        <f>IFERROR(__xludf.DUMMYFUNCTION("""COMPUTED_VALUE"""),0.0)</f>
        <v>0</v>
      </c>
      <c r="K106" s="42">
        <f>IFERROR(__xludf.DUMMYFUNCTION("""COMPUTED_VALUE"""),0.0)</f>
        <v>0</v>
      </c>
      <c r="L106" s="42">
        <f>IFERROR(__xludf.DUMMYFUNCTION("""COMPUTED_VALUE"""),1.0)</f>
        <v>1</v>
      </c>
      <c r="M106" s="42">
        <f>IFERROR(__xludf.DUMMYFUNCTION("""COMPUTED_VALUE"""),0.0)</f>
        <v>0</v>
      </c>
      <c r="N106" s="42">
        <f>IFERROR(__xludf.DUMMYFUNCTION("""COMPUTED_VALUE"""),0.0)</f>
        <v>0</v>
      </c>
      <c r="O106" s="42">
        <f>IFERROR(__xludf.DUMMYFUNCTION("""COMPUTED_VALUE"""),0.0)</f>
        <v>0</v>
      </c>
      <c r="P106" s="42">
        <f>IFERROR(__xludf.DUMMYFUNCTION("""COMPUTED_VALUE"""),0.0)</f>
        <v>0</v>
      </c>
      <c r="Q106" s="42">
        <f>IFERROR(__xludf.DUMMYFUNCTION("""COMPUTED_VALUE"""),0.0)</f>
        <v>0</v>
      </c>
      <c r="R106" s="42">
        <f>IFERROR(__xludf.DUMMYFUNCTION("""COMPUTED_VALUE"""),1.0)</f>
        <v>1</v>
      </c>
      <c r="S106" s="40">
        <f>IFERROR(__xludf.DUMMYFUNCTION("""COMPUTED_VALUE"""),18.0)</f>
        <v>18</v>
      </c>
      <c r="T106" s="40">
        <f>IFERROR(__xludf.DUMMYFUNCTION("""COMPUTED_VALUE"""),18.0)</f>
        <v>18</v>
      </c>
      <c r="U106" s="46" t="str">
        <f t="array" ref="U106">IF($D106="","",IFERROR(_xlfn.XLOOKUP($D106,'TIR店舗一覧'!$D:$D,'TIR店舗一覧'!$E:$E,""),""))</f>
        <v>YD</v>
      </c>
      <c r="V106" s="54">
        <v>0.0</v>
      </c>
      <c r="W106" s="54">
        <v>0.0</v>
      </c>
      <c r="X106" s="54">
        <v>0.0</v>
      </c>
      <c r="Y106" s="54">
        <v>0.0</v>
      </c>
      <c r="Z106" s="54">
        <v>0.0</v>
      </c>
      <c r="AA106" s="54">
        <v>18.0</v>
      </c>
      <c r="AB106" s="54">
        <v>0.0</v>
      </c>
      <c r="AC106" s="54">
        <v>0.0</v>
      </c>
      <c r="AD106" s="54">
        <v>0.0</v>
      </c>
      <c r="AE106" s="54">
        <v>0.0</v>
      </c>
      <c r="AF106" s="54">
        <v>0.0</v>
      </c>
      <c r="AG106" s="54">
        <v>18.0</v>
      </c>
    </row>
    <row r="107" ht="15.75" customHeight="1">
      <c r="B107" s="56">
        <f>IFERROR(__xludf.DUMMYFUNCTION("""COMPUTED_VALUE"""),46327.0)</f>
        <v>46327</v>
      </c>
      <c r="C107" s="38" t="str">
        <f>IFERROR(__xludf.DUMMYFUNCTION("""COMPUTED_VALUE"""),"関西")</f>
        <v>関西</v>
      </c>
      <c r="D107" s="38">
        <f>IFERROR(__xludf.DUMMYFUNCTION("""COMPUTED_VALUE"""),7855.0)</f>
        <v>7855</v>
      </c>
      <c r="E107" s="38" t="str">
        <f>IFERROR(__xludf.DUMMYFUNCTION("""COMPUTED_VALUE"""),"Tecc LIFE SELECT 加古川本店")</f>
        <v>Tecc LIFE SELECT 加古川本店</v>
      </c>
      <c r="F107" s="40">
        <f>IFERROR(__xludf.DUMMYFUNCTION("""COMPUTED_VALUE"""),13.0)</f>
        <v>13</v>
      </c>
      <c r="G107" s="42">
        <f>IFERROR(__xludf.DUMMYFUNCTION("""COMPUTED_VALUE"""),0.0)</f>
        <v>0</v>
      </c>
      <c r="H107" s="42">
        <f>IFERROR(__xludf.DUMMYFUNCTION("""COMPUTED_VALUE"""),0.0)</f>
        <v>0</v>
      </c>
      <c r="I107" s="42">
        <f>IFERROR(__xludf.DUMMYFUNCTION("""COMPUTED_VALUE"""),0.0)</f>
        <v>0</v>
      </c>
      <c r="J107" s="42">
        <f>IFERROR(__xludf.DUMMYFUNCTION("""COMPUTED_VALUE"""),0.0)</f>
        <v>0</v>
      </c>
      <c r="K107" s="42">
        <f>IFERROR(__xludf.DUMMYFUNCTION("""COMPUTED_VALUE"""),0.0)</f>
        <v>0</v>
      </c>
      <c r="L107" s="42">
        <f>IFERROR(__xludf.DUMMYFUNCTION("""COMPUTED_VALUE"""),1.0)</f>
        <v>1</v>
      </c>
      <c r="M107" s="42">
        <f>IFERROR(__xludf.DUMMYFUNCTION("""COMPUTED_VALUE"""),0.0)</f>
        <v>0</v>
      </c>
      <c r="N107" s="42">
        <f>IFERROR(__xludf.DUMMYFUNCTION("""COMPUTED_VALUE"""),0.0)</f>
        <v>0</v>
      </c>
      <c r="O107" s="42">
        <f>IFERROR(__xludf.DUMMYFUNCTION("""COMPUTED_VALUE"""),0.0)</f>
        <v>0</v>
      </c>
      <c r="P107" s="42">
        <f>IFERROR(__xludf.DUMMYFUNCTION("""COMPUTED_VALUE"""),0.0)</f>
        <v>0</v>
      </c>
      <c r="Q107" s="42">
        <f>IFERROR(__xludf.DUMMYFUNCTION("""COMPUTED_VALUE"""),0.0)</f>
        <v>0</v>
      </c>
      <c r="R107" s="42">
        <f>IFERROR(__xludf.DUMMYFUNCTION("""COMPUTED_VALUE"""),1.0)</f>
        <v>1</v>
      </c>
      <c r="S107" s="40">
        <f>IFERROR(__xludf.DUMMYFUNCTION("""COMPUTED_VALUE"""),13.0)</f>
        <v>13</v>
      </c>
      <c r="T107" s="40">
        <f>IFERROR(__xludf.DUMMYFUNCTION("""COMPUTED_VALUE"""),13.0)</f>
        <v>13</v>
      </c>
      <c r="U107" s="46" t="str">
        <f t="array" ref="U107">IF($D107="","",IFERROR(_xlfn.XLOOKUP($D107,'TIR店舗一覧'!$D:$D,'TIR店舗一覧'!$E:$E,""),""))</f>
        <v>YD</v>
      </c>
      <c r="V107" s="54">
        <v>0.0</v>
      </c>
      <c r="W107" s="54">
        <v>0.0</v>
      </c>
      <c r="X107" s="54">
        <v>0.0</v>
      </c>
      <c r="Y107" s="54">
        <v>0.0</v>
      </c>
      <c r="Z107" s="54">
        <v>0.0</v>
      </c>
      <c r="AA107" s="54">
        <v>13.0</v>
      </c>
      <c r="AB107" s="54">
        <v>0.0</v>
      </c>
      <c r="AC107" s="54">
        <v>0.0</v>
      </c>
      <c r="AD107" s="54">
        <v>0.0</v>
      </c>
      <c r="AE107" s="54">
        <v>0.0</v>
      </c>
      <c r="AF107" s="54">
        <v>0.0</v>
      </c>
      <c r="AG107" s="54">
        <v>13.0</v>
      </c>
    </row>
    <row r="108" ht="15.75" customHeight="1">
      <c r="B108" s="56">
        <f>IFERROR(__xludf.DUMMYFUNCTION("""COMPUTED_VALUE"""),46327.0)</f>
        <v>46327</v>
      </c>
      <c r="C108" s="38" t="str">
        <f>IFERROR(__xludf.DUMMYFUNCTION("""COMPUTED_VALUE"""),"中四国")</f>
        <v>中四国</v>
      </c>
      <c r="D108" s="38">
        <f>IFERROR(__xludf.DUMMYFUNCTION("""COMPUTED_VALUE"""),8942.0)</f>
        <v>8942</v>
      </c>
      <c r="E108" s="38" t="str">
        <f>IFERROR(__xludf.DUMMYFUNCTION("""COMPUTED_VALUE"""),"テックランド下関店")</f>
        <v>テックランド下関店</v>
      </c>
      <c r="F108" s="40">
        <f>IFERROR(__xludf.DUMMYFUNCTION("""COMPUTED_VALUE"""),23.0)</f>
        <v>23</v>
      </c>
      <c r="G108" s="42">
        <f>IFERROR(__xludf.DUMMYFUNCTION("""COMPUTED_VALUE"""),0.0)</f>
        <v>0</v>
      </c>
      <c r="H108" s="42">
        <f>IFERROR(__xludf.DUMMYFUNCTION("""COMPUTED_VALUE"""),0.0)</f>
        <v>0</v>
      </c>
      <c r="I108" s="42">
        <f>IFERROR(__xludf.DUMMYFUNCTION("""COMPUTED_VALUE"""),0.0)</f>
        <v>0</v>
      </c>
      <c r="J108" s="42">
        <f>IFERROR(__xludf.DUMMYFUNCTION("""COMPUTED_VALUE"""),0.0)</f>
        <v>0</v>
      </c>
      <c r="K108" s="42">
        <f>IFERROR(__xludf.DUMMYFUNCTION("""COMPUTED_VALUE"""),0.0)</f>
        <v>0</v>
      </c>
      <c r="L108" s="42">
        <f>IFERROR(__xludf.DUMMYFUNCTION("""COMPUTED_VALUE"""),1.0)</f>
        <v>1</v>
      </c>
      <c r="M108" s="42">
        <f>IFERROR(__xludf.DUMMYFUNCTION("""COMPUTED_VALUE"""),0.0)</f>
        <v>0</v>
      </c>
      <c r="N108" s="42">
        <f>IFERROR(__xludf.DUMMYFUNCTION("""COMPUTED_VALUE"""),0.0)</f>
        <v>0</v>
      </c>
      <c r="O108" s="42">
        <f>IFERROR(__xludf.DUMMYFUNCTION("""COMPUTED_VALUE"""),0.0)</f>
        <v>0</v>
      </c>
      <c r="P108" s="42">
        <f>IFERROR(__xludf.DUMMYFUNCTION("""COMPUTED_VALUE"""),0.0)</f>
        <v>0</v>
      </c>
      <c r="Q108" s="42">
        <f>IFERROR(__xludf.DUMMYFUNCTION("""COMPUTED_VALUE"""),0.0)</f>
        <v>0</v>
      </c>
      <c r="R108" s="42">
        <f>IFERROR(__xludf.DUMMYFUNCTION("""COMPUTED_VALUE"""),1.0)</f>
        <v>1</v>
      </c>
      <c r="S108" s="40">
        <f>IFERROR(__xludf.DUMMYFUNCTION("""COMPUTED_VALUE"""),23.0)</f>
        <v>23</v>
      </c>
      <c r="T108" s="40">
        <f>IFERROR(__xludf.DUMMYFUNCTION("""COMPUTED_VALUE"""),23.0)</f>
        <v>23</v>
      </c>
      <c r="U108" s="46" t="str">
        <f t="array" ref="U108">IF($D108="","",IFERROR(_xlfn.XLOOKUP($D108,'TIR店舗一覧'!$D:$D,'TIR店舗一覧'!$E:$E,""),""))</f>
        <v>YD</v>
      </c>
      <c r="V108" s="54">
        <v>0.0</v>
      </c>
      <c r="W108" s="54">
        <v>0.0</v>
      </c>
      <c r="X108" s="54">
        <v>0.0</v>
      </c>
      <c r="Y108" s="54">
        <v>0.0</v>
      </c>
      <c r="Z108" s="54">
        <v>0.0</v>
      </c>
      <c r="AA108" s="54">
        <v>23.0</v>
      </c>
      <c r="AB108" s="54">
        <v>0.0</v>
      </c>
      <c r="AC108" s="54">
        <v>0.0</v>
      </c>
      <c r="AD108" s="54">
        <v>0.0</v>
      </c>
      <c r="AE108" s="54">
        <v>0.0</v>
      </c>
      <c r="AF108" s="54">
        <v>0.0</v>
      </c>
      <c r="AG108" s="54">
        <v>23.0</v>
      </c>
    </row>
    <row r="109" ht="15.75" customHeight="1">
      <c r="B109" s="56">
        <f>IFERROR(__xludf.DUMMYFUNCTION("""COMPUTED_VALUE"""),46327.0)</f>
        <v>46327</v>
      </c>
      <c r="C109" s="38" t="str">
        <f>IFERROR(__xludf.DUMMYFUNCTION("""COMPUTED_VALUE"""),"中四国")</f>
        <v>中四国</v>
      </c>
      <c r="D109" s="38">
        <f>IFERROR(__xludf.DUMMYFUNCTION("""COMPUTED_VALUE"""),1057.0)</f>
        <v>1057</v>
      </c>
      <c r="E109" s="38" t="str">
        <f>IFERROR(__xludf.DUMMYFUNCTION("""COMPUTED_VALUE"""),"ケーズデンキ 藍住店")</f>
        <v>ケーズデンキ 藍住店</v>
      </c>
      <c r="F109" s="40">
        <f>IFERROR(__xludf.DUMMYFUNCTION("""COMPUTED_VALUE"""),21.0)</f>
        <v>21</v>
      </c>
      <c r="G109" s="42">
        <f>IFERROR(__xludf.DUMMYFUNCTION("""COMPUTED_VALUE"""),0.0)</f>
        <v>0</v>
      </c>
      <c r="H109" s="42">
        <f>IFERROR(__xludf.DUMMYFUNCTION("""COMPUTED_VALUE"""),0.0)</f>
        <v>0</v>
      </c>
      <c r="I109" s="42">
        <f>IFERROR(__xludf.DUMMYFUNCTION("""COMPUTED_VALUE"""),0.0)</f>
        <v>0</v>
      </c>
      <c r="J109" s="42">
        <f>IFERROR(__xludf.DUMMYFUNCTION("""COMPUTED_VALUE"""),0.0)</f>
        <v>0</v>
      </c>
      <c r="K109" s="42">
        <f>IFERROR(__xludf.DUMMYFUNCTION("""COMPUTED_VALUE"""),0.0)</f>
        <v>0</v>
      </c>
      <c r="L109" s="42">
        <f>IFERROR(__xludf.DUMMYFUNCTION("""COMPUTED_VALUE"""),1.0)</f>
        <v>1</v>
      </c>
      <c r="M109" s="42">
        <f>IFERROR(__xludf.DUMMYFUNCTION("""COMPUTED_VALUE"""),0.0)</f>
        <v>0</v>
      </c>
      <c r="N109" s="42">
        <f>IFERROR(__xludf.DUMMYFUNCTION("""COMPUTED_VALUE"""),0.0)</f>
        <v>0</v>
      </c>
      <c r="O109" s="42">
        <f>IFERROR(__xludf.DUMMYFUNCTION("""COMPUTED_VALUE"""),0.0)</f>
        <v>0</v>
      </c>
      <c r="P109" s="42">
        <f>IFERROR(__xludf.DUMMYFUNCTION("""COMPUTED_VALUE"""),0.0)</f>
        <v>0</v>
      </c>
      <c r="Q109" s="42">
        <f>IFERROR(__xludf.DUMMYFUNCTION("""COMPUTED_VALUE"""),0.0)</f>
        <v>0</v>
      </c>
      <c r="R109" s="42">
        <f>IFERROR(__xludf.DUMMYFUNCTION("""COMPUTED_VALUE"""),1.0)</f>
        <v>1</v>
      </c>
      <c r="S109" s="40">
        <f>IFERROR(__xludf.DUMMYFUNCTION("""COMPUTED_VALUE"""),21.0)</f>
        <v>21</v>
      </c>
      <c r="T109" s="40">
        <f>IFERROR(__xludf.DUMMYFUNCTION("""COMPUTED_VALUE"""),21.0)</f>
        <v>21</v>
      </c>
      <c r="U109" s="46" t="str">
        <f t="array" ref="U109">IF($D109="","",IFERROR(_xlfn.XLOOKUP($D109,'TIR店舗一覧'!$D:$D,'TIR店舗一覧'!$E:$E,""),""))</f>
        <v>KS</v>
      </c>
      <c r="V109" s="54">
        <v>0.0</v>
      </c>
      <c r="W109" s="54">
        <v>0.0</v>
      </c>
      <c r="X109" s="54">
        <v>0.0</v>
      </c>
      <c r="Y109" s="54">
        <v>0.0</v>
      </c>
      <c r="Z109" s="54">
        <v>0.0</v>
      </c>
      <c r="AA109" s="54">
        <v>21.0</v>
      </c>
      <c r="AB109" s="54">
        <v>0.0</v>
      </c>
      <c r="AC109" s="54">
        <v>0.0</v>
      </c>
      <c r="AD109" s="54">
        <v>0.0</v>
      </c>
      <c r="AE109" s="54">
        <v>0.0</v>
      </c>
      <c r="AF109" s="54">
        <v>0.0</v>
      </c>
      <c r="AG109" s="54">
        <v>21.0</v>
      </c>
    </row>
    <row r="110" ht="15.75" customHeight="1">
      <c r="B110" s="56">
        <f>IFERROR(__xludf.DUMMYFUNCTION("""COMPUTED_VALUE"""),46327.0)</f>
        <v>46327</v>
      </c>
      <c r="C110" s="38" t="str">
        <f>IFERROR(__xludf.DUMMYFUNCTION("""COMPUTED_VALUE"""),"中四国")</f>
        <v>中四国</v>
      </c>
      <c r="D110" s="38">
        <f>IFERROR(__xludf.DUMMYFUNCTION("""COMPUTED_VALUE"""),8952.0)</f>
        <v>8952</v>
      </c>
      <c r="E110" s="38" t="str">
        <f>IFERROR(__xludf.DUMMYFUNCTION("""COMPUTED_VALUE"""),"ケーズデンキ 四国中央店")</f>
        <v>ケーズデンキ 四国中央店</v>
      </c>
      <c r="F110" s="40">
        <f>IFERROR(__xludf.DUMMYFUNCTION("""COMPUTED_VALUE"""),19.0)</f>
        <v>19</v>
      </c>
      <c r="G110" s="42">
        <f>IFERROR(__xludf.DUMMYFUNCTION("""COMPUTED_VALUE"""),0.0)</f>
        <v>0</v>
      </c>
      <c r="H110" s="42">
        <f>IFERROR(__xludf.DUMMYFUNCTION("""COMPUTED_VALUE"""),0.0)</f>
        <v>0</v>
      </c>
      <c r="I110" s="42">
        <f>IFERROR(__xludf.DUMMYFUNCTION("""COMPUTED_VALUE"""),0.0)</f>
        <v>0</v>
      </c>
      <c r="J110" s="42">
        <f>IFERROR(__xludf.DUMMYFUNCTION("""COMPUTED_VALUE"""),0.0)</f>
        <v>0</v>
      </c>
      <c r="K110" s="42">
        <f>IFERROR(__xludf.DUMMYFUNCTION("""COMPUTED_VALUE"""),0.0)</f>
        <v>0</v>
      </c>
      <c r="L110" s="42">
        <f>IFERROR(__xludf.DUMMYFUNCTION("""COMPUTED_VALUE"""),1.0)</f>
        <v>1</v>
      </c>
      <c r="M110" s="42">
        <f>IFERROR(__xludf.DUMMYFUNCTION("""COMPUTED_VALUE"""),0.0)</f>
        <v>0</v>
      </c>
      <c r="N110" s="42">
        <f>IFERROR(__xludf.DUMMYFUNCTION("""COMPUTED_VALUE"""),0.0)</f>
        <v>0</v>
      </c>
      <c r="O110" s="42">
        <f>IFERROR(__xludf.DUMMYFUNCTION("""COMPUTED_VALUE"""),0.0)</f>
        <v>0</v>
      </c>
      <c r="P110" s="42">
        <f>IFERROR(__xludf.DUMMYFUNCTION("""COMPUTED_VALUE"""),0.0)</f>
        <v>0</v>
      </c>
      <c r="Q110" s="42">
        <f>IFERROR(__xludf.DUMMYFUNCTION("""COMPUTED_VALUE"""),0.0)</f>
        <v>0</v>
      </c>
      <c r="R110" s="42">
        <f>IFERROR(__xludf.DUMMYFUNCTION("""COMPUTED_VALUE"""),1.0)</f>
        <v>1</v>
      </c>
      <c r="S110" s="40">
        <f>IFERROR(__xludf.DUMMYFUNCTION("""COMPUTED_VALUE"""),19.0)</f>
        <v>19</v>
      </c>
      <c r="T110" s="40">
        <f>IFERROR(__xludf.DUMMYFUNCTION("""COMPUTED_VALUE"""),19.0)</f>
        <v>19</v>
      </c>
      <c r="U110" s="46" t="str">
        <f t="array" ref="U110">IF($D110="","",IFERROR(_xlfn.XLOOKUP($D110,'TIR店舗一覧'!$D:$D,'TIR店舗一覧'!$E:$E,""),""))</f>
        <v>KS</v>
      </c>
      <c r="V110" s="54">
        <v>0.0</v>
      </c>
      <c r="W110" s="54">
        <v>0.0</v>
      </c>
      <c r="X110" s="54">
        <v>0.0</v>
      </c>
      <c r="Y110" s="54">
        <v>0.0</v>
      </c>
      <c r="Z110" s="54">
        <v>0.0</v>
      </c>
      <c r="AA110" s="54">
        <v>19.0</v>
      </c>
      <c r="AB110" s="54">
        <v>0.0</v>
      </c>
      <c r="AC110" s="54">
        <v>0.0</v>
      </c>
      <c r="AD110" s="54">
        <v>0.0</v>
      </c>
      <c r="AE110" s="54">
        <v>0.0</v>
      </c>
      <c r="AF110" s="54">
        <v>0.0</v>
      </c>
      <c r="AG110" s="54">
        <v>19.0</v>
      </c>
    </row>
    <row r="111" ht="15.75" customHeight="1">
      <c r="B111" s="56">
        <f>IFERROR(__xludf.DUMMYFUNCTION("""COMPUTED_VALUE"""),46327.0)</f>
        <v>46327</v>
      </c>
      <c r="C111" s="38" t="str">
        <f>IFERROR(__xludf.DUMMYFUNCTION("""COMPUTED_VALUE"""),"中四国")</f>
        <v>中四国</v>
      </c>
      <c r="D111" s="38">
        <f>IFERROR(__xludf.DUMMYFUNCTION("""COMPUTED_VALUE"""),8953.0)</f>
        <v>8953</v>
      </c>
      <c r="E111" s="38" t="str">
        <f>IFERROR(__xludf.DUMMYFUNCTION("""COMPUTED_VALUE"""),"ケーズデンキ イオンタウン宇多津店")</f>
        <v>ケーズデンキ イオンタウン宇多津店</v>
      </c>
      <c r="F111" s="40">
        <f>IFERROR(__xludf.DUMMYFUNCTION("""COMPUTED_VALUE"""),13.0)</f>
        <v>13</v>
      </c>
      <c r="G111" s="42">
        <f>IFERROR(__xludf.DUMMYFUNCTION("""COMPUTED_VALUE"""),0.0)</f>
        <v>0</v>
      </c>
      <c r="H111" s="42">
        <f>IFERROR(__xludf.DUMMYFUNCTION("""COMPUTED_VALUE"""),0.0)</f>
        <v>0</v>
      </c>
      <c r="I111" s="42">
        <f>IFERROR(__xludf.DUMMYFUNCTION("""COMPUTED_VALUE"""),0.0)</f>
        <v>0</v>
      </c>
      <c r="J111" s="42">
        <f>IFERROR(__xludf.DUMMYFUNCTION("""COMPUTED_VALUE"""),0.0)</f>
        <v>0</v>
      </c>
      <c r="K111" s="42">
        <f>IFERROR(__xludf.DUMMYFUNCTION("""COMPUTED_VALUE"""),0.0)</f>
        <v>0</v>
      </c>
      <c r="L111" s="42">
        <f>IFERROR(__xludf.DUMMYFUNCTION("""COMPUTED_VALUE"""),1.0)</f>
        <v>1</v>
      </c>
      <c r="M111" s="42">
        <f>IFERROR(__xludf.DUMMYFUNCTION("""COMPUTED_VALUE"""),0.0)</f>
        <v>0</v>
      </c>
      <c r="N111" s="42">
        <f>IFERROR(__xludf.DUMMYFUNCTION("""COMPUTED_VALUE"""),0.0)</f>
        <v>0</v>
      </c>
      <c r="O111" s="42">
        <f>IFERROR(__xludf.DUMMYFUNCTION("""COMPUTED_VALUE"""),0.0)</f>
        <v>0</v>
      </c>
      <c r="P111" s="42">
        <f>IFERROR(__xludf.DUMMYFUNCTION("""COMPUTED_VALUE"""),0.0)</f>
        <v>0</v>
      </c>
      <c r="Q111" s="42">
        <f>IFERROR(__xludf.DUMMYFUNCTION("""COMPUTED_VALUE"""),0.0)</f>
        <v>0</v>
      </c>
      <c r="R111" s="42">
        <f>IFERROR(__xludf.DUMMYFUNCTION("""COMPUTED_VALUE"""),1.0)</f>
        <v>1</v>
      </c>
      <c r="S111" s="40">
        <f>IFERROR(__xludf.DUMMYFUNCTION("""COMPUTED_VALUE"""),13.0)</f>
        <v>13</v>
      </c>
      <c r="T111" s="40">
        <f>IFERROR(__xludf.DUMMYFUNCTION("""COMPUTED_VALUE"""),13.0)</f>
        <v>13</v>
      </c>
      <c r="U111" s="46" t="str">
        <f t="array" ref="U111">IF($D111="","",IFERROR(_xlfn.XLOOKUP($D111,'TIR店舗一覧'!$D:$D,'TIR店舗一覧'!$E:$E,""),""))</f>
        <v>KS</v>
      </c>
      <c r="V111" s="54">
        <v>0.0</v>
      </c>
      <c r="W111" s="54">
        <v>0.0</v>
      </c>
      <c r="X111" s="54">
        <v>0.0</v>
      </c>
      <c r="Y111" s="54">
        <v>0.0</v>
      </c>
      <c r="Z111" s="54">
        <v>0.0</v>
      </c>
      <c r="AA111" s="54">
        <v>13.0</v>
      </c>
      <c r="AB111" s="54">
        <v>0.0</v>
      </c>
      <c r="AC111" s="54">
        <v>0.0</v>
      </c>
      <c r="AD111" s="54">
        <v>0.0</v>
      </c>
      <c r="AE111" s="54">
        <v>0.0</v>
      </c>
      <c r="AF111" s="54">
        <v>0.0</v>
      </c>
      <c r="AG111" s="54">
        <v>13.0</v>
      </c>
    </row>
    <row r="112" ht="15.75" customHeight="1">
      <c r="B112" s="56">
        <f>IFERROR(__xludf.DUMMYFUNCTION("""COMPUTED_VALUE"""),46327.0)</f>
        <v>46327</v>
      </c>
      <c r="C112" s="38" t="str">
        <f>IFERROR(__xludf.DUMMYFUNCTION("""COMPUTED_VALUE"""),"中四国")</f>
        <v>中四国</v>
      </c>
      <c r="D112" s="38">
        <f>IFERROR(__xludf.DUMMYFUNCTION("""COMPUTED_VALUE"""),1034.0)</f>
        <v>1034</v>
      </c>
      <c r="E112" s="38" t="str">
        <f>IFERROR(__xludf.DUMMYFUNCTION("""COMPUTED_VALUE"""),"エディオン 廿日市店")</f>
        <v>エディオン 廿日市店</v>
      </c>
      <c r="F112" s="40">
        <f>IFERROR(__xludf.DUMMYFUNCTION("""COMPUTED_VALUE"""),19.0)</f>
        <v>19</v>
      </c>
      <c r="G112" s="42">
        <f>IFERROR(__xludf.DUMMYFUNCTION("""COMPUTED_VALUE"""),0.0)</f>
        <v>0</v>
      </c>
      <c r="H112" s="42">
        <f>IFERROR(__xludf.DUMMYFUNCTION("""COMPUTED_VALUE"""),0.0)</f>
        <v>0</v>
      </c>
      <c r="I112" s="42">
        <f>IFERROR(__xludf.DUMMYFUNCTION("""COMPUTED_VALUE"""),0.0)</f>
        <v>0</v>
      </c>
      <c r="J112" s="42">
        <f>IFERROR(__xludf.DUMMYFUNCTION("""COMPUTED_VALUE"""),0.0)</f>
        <v>0</v>
      </c>
      <c r="K112" s="42">
        <f>IFERROR(__xludf.DUMMYFUNCTION("""COMPUTED_VALUE"""),0.0)</f>
        <v>0</v>
      </c>
      <c r="L112" s="42">
        <f>IFERROR(__xludf.DUMMYFUNCTION("""COMPUTED_VALUE"""),1.0)</f>
        <v>1</v>
      </c>
      <c r="M112" s="42">
        <f>IFERROR(__xludf.DUMMYFUNCTION("""COMPUTED_VALUE"""),0.0)</f>
        <v>0</v>
      </c>
      <c r="N112" s="42">
        <f>IFERROR(__xludf.DUMMYFUNCTION("""COMPUTED_VALUE"""),0.0)</f>
        <v>0</v>
      </c>
      <c r="O112" s="42">
        <f>IFERROR(__xludf.DUMMYFUNCTION("""COMPUTED_VALUE"""),0.0)</f>
        <v>0</v>
      </c>
      <c r="P112" s="42">
        <f>IFERROR(__xludf.DUMMYFUNCTION("""COMPUTED_VALUE"""),0.0)</f>
        <v>0</v>
      </c>
      <c r="Q112" s="42">
        <f>IFERROR(__xludf.DUMMYFUNCTION("""COMPUTED_VALUE"""),0.0)</f>
        <v>0</v>
      </c>
      <c r="R112" s="42">
        <f>IFERROR(__xludf.DUMMYFUNCTION("""COMPUTED_VALUE"""),1.0)</f>
        <v>1</v>
      </c>
      <c r="S112" s="40">
        <f>IFERROR(__xludf.DUMMYFUNCTION("""COMPUTED_VALUE"""),19.0)</f>
        <v>19</v>
      </c>
      <c r="T112" s="40">
        <f>IFERROR(__xludf.DUMMYFUNCTION("""COMPUTED_VALUE"""),19.0)</f>
        <v>19</v>
      </c>
      <c r="U112" s="46" t="str">
        <f t="array" ref="U112">IF($D112="","",IFERROR(_xlfn.XLOOKUP($D112,'TIR店舗一覧'!$D:$D,'TIR店舗一覧'!$E:$E,""),""))</f>
        <v>ED</v>
      </c>
      <c r="V112" s="54">
        <v>0.0</v>
      </c>
      <c r="W112" s="54">
        <v>0.0</v>
      </c>
      <c r="X112" s="54">
        <v>0.0</v>
      </c>
      <c r="Y112" s="54">
        <v>0.0</v>
      </c>
      <c r="Z112" s="54">
        <v>0.0</v>
      </c>
      <c r="AA112" s="54">
        <v>19.0</v>
      </c>
      <c r="AB112" s="54">
        <v>0.0</v>
      </c>
      <c r="AC112" s="54">
        <v>0.0</v>
      </c>
      <c r="AD112" s="54">
        <v>0.0</v>
      </c>
      <c r="AE112" s="54">
        <v>0.0</v>
      </c>
      <c r="AF112" s="54">
        <v>0.0</v>
      </c>
      <c r="AG112" s="54">
        <v>19.0</v>
      </c>
    </row>
    <row r="113" ht="15.75" customHeight="1">
      <c r="B113" s="56">
        <f>IFERROR(__xludf.DUMMYFUNCTION("""COMPUTED_VALUE"""),46327.0)</f>
        <v>46327</v>
      </c>
      <c r="C113" s="38" t="str">
        <f>IFERROR(__xludf.DUMMYFUNCTION("""COMPUTED_VALUE"""),"中四国")</f>
        <v>中四国</v>
      </c>
      <c r="D113" s="38">
        <f>IFERROR(__xludf.DUMMYFUNCTION("""COMPUTED_VALUE"""),8905.0)</f>
        <v>8905</v>
      </c>
      <c r="E113" s="38" t="str">
        <f>IFERROR(__xludf.DUMMYFUNCTION("""COMPUTED_VALUE"""),"エディオン 倉吉本店")</f>
        <v>エディオン 倉吉本店</v>
      </c>
      <c r="F113" s="40">
        <f>IFERROR(__xludf.DUMMYFUNCTION("""COMPUTED_VALUE"""),17.0)</f>
        <v>17</v>
      </c>
      <c r="G113" s="42">
        <f>IFERROR(__xludf.DUMMYFUNCTION("""COMPUTED_VALUE"""),0.0)</f>
        <v>0</v>
      </c>
      <c r="H113" s="42">
        <f>IFERROR(__xludf.DUMMYFUNCTION("""COMPUTED_VALUE"""),0.0)</f>
        <v>0</v>
      </c>
      <c r="I113" s="42">
        <f>IFERROR(__xludf.DUMMYFUNCTION("""COMPUTED_VALUE"""),0.0)</f>
        <v>0</v>
      </c>
      <c r="J113" s="42">
        <f>IFERROR(__xludf.DUMMYFUNCTION("""COMPUTED_VALUE"""),0.0)</f>
        <v>0</v>
      </c>
      <c r="K113" s="42">
        <f>IFERROR(__xludf.DUMMYFUNCTION("""COMPUTED_VALUE"""),0.0)</f>
        <v>0</v>
      </c>
      <c r="L113" s="42">
        <f>IFERROR(__xludf.DUMMYFUNCTION("""COMPUTED_VALUE"""),1.0)</f>
        <v>1</v>
      </c>
      <c r="M113" s="42">
        <f>IFERROR(__xludf.DUMMYFUNCTION("""COMPUTED_VALUE"""),0.0)</f>
        <v>0</v>
      </c>
      <c r="N113" s="42">
        <f>IFERROR(__xludf.DUMMYFUNCTION("""COMPUTED_VALUE"""),0.0)</f>
        <v>0</v>
      </c>
      <c r="O113" s="42">
        <f>IFERROR(__xludf.DUMMYFUNCTION("""COMPUTED_VALUE"""),0.0)</f>
        <v>0</v>
      </c>
      <c r="P113" s="42">
        <f>IFERROR(__xludf.DUMMYFUNCTION("""COMPUTED_VALUE"""),0.0)</f>
        <v>0</v>
      </c>
      <c r="Q113" s="42">
        <f>IFERROR(__xludf.DUMMYFUNCTION("""COMPUTED_VALUE"""),0.0)</f>
        <v>0</v>
      </c>
      <c r="R113" s="42">
        <f>IFERROR(__xludf.DUMMYFUNCTION("""COMPUTED_VALUE"""),1.0)</f>
        <v>1</v>
      </c>
      <c r="S113" s="40">
        <f>IFERROR(__xludf.DUMMYFUNCTION("""COMPUTED_VALUE"""),17.0)</f>
        <v>17</v>
      </c>
      <c r="T113" s="40">
        <f>IFERROR(__xludf.DUMMYFUNCTION("""COMPUTED_VALUE"""),17.0)</f>
        <v>17</v>
      </c>
      <c r="U113" s="46" t="str">
        <f t="array" ref="U113">IF($D113="","",IFERROR(_xlfn.XLOOKUP($D113,'TIR店舗一覧'!$D:$D,'TIR店舗一覧'!$E:$E,""),""))</f>
        <v>ED</v>
      </c>
      <c r="V113" s="54">
        <v>0.0</v>
      </c>
      <c r="W113" s="54">
        <v>0.0</v>
      </c>
      <c r="X113" s="54">
        <v>0.0</v>
      </c>
      <c r="Y113" s="54">
        <v>0.0</v>
      </c>
      <c r="Z113" s="54">
        <v>0.0</v>
      </c>
      <c r="AA113" s="54">
        <v>17.0</v>
      </c>
      <c r="AB113" s="54">
        <v>0.0</v>
      </c>
      <c r="AC113" s="54">
        <v>0.0</v>
      </c>
      <c r="AD113" s="54">
        <v>0.0</v>
      </c>
      <c r="AE113" s="54">
        <v>0.0</v>
      </c>
      <c r="AF113" s="54">
        <v>0.0</v>
      </c>
      <c r="AG113" s="54">
        <v>17.0</v>
      </c>
    </row>
    <row r="114" ht="15.75" customHeight="1">
      <c r="B114" s="56">
        <f>IFERROR(__xludf.DUMMYFUNCTION("""COMPUTED_VALUE"""),46327.0)</f>
        <v>46327</v>
      </c>
      <c r="C114" s="38" t="str">
        <f>IFERROR(__xludf.DUMMYFUNCTION("""COMPUTED_VALUE"""),"九州・沖縄")</f>
        <v>九州・沖縄</v>
      </c>
      <c r="D114" s="38">
        <f>IFERROR(__xludf.DUMMYFUNCTION("""COMPUTED_VALUE"""),8980.0)</f>
        <v>8980</v>
      </c>
      <c r="E114" s="38" t="str">
        <f>IFERROR(__xludf.DUMMYFUNCTION("""COMPUTED_VALUE"""),"ベスト電器 武雄店")</f>
        <v>ベスト電器 武雄店</v>
      </c>
      <c r="F114" s="40">
        <f>IFERROR(__xludf.DUMMYFUNCTION("""COMPUTED_VALUE"""),17.0)</f>
        <v>17</v>
      </c>
      <c r="G114" s="42">
        <f>IFERROR(__xludf.DUMMYFUNCTION("""COMPUTED_VALUE"""),0.0)</f>
        <v>0</v>
      </c>
      <c r="H114" s="42">
        <f>IFERROR(__xludf.DUMMYFUNCTION("""COMPUTED_VALUE"""),0.0)</f>
        <v>0</v>
      </c>
      <c r="I114" s="42">
        <f>IFERROR(__xludf.DUMMYFUNCTION("""COMPUTED_VALUE"""),0.0)</f>
        <v>0</v>
      </c>
      <c r="J114" s="42">
        <f>IFERROR(__xludf.DUMMYFUNCTION("""COMPUTED_VALUE"""),0.0)</f>
        <v>0</v>
      </c>
      <c r="K114" s="42">
        <f>IFERROR(__xludf.DUMMYFUNCTION("""COMPUTED_VALUE"""),0.0)</f>
        <v>0</v>
      </c>
      <c r="L114" s="42">
        <f>IFERROR(__xludf.DUMMYFUNCTION("""COMPUTED_VALUE"""),1.0)</f>
        <v>1</v>
      </c>
      <c r="M114" s="42">
        <f>IFERROR(__xludf.DUMMYFUNCTION("""COMPUTED_VALUE"""),0.0)</f>
        <v>0</v>
      </c>
      <c r="N114" s="42">
        <f>IFERROR(__xludf.DUMMYFUNCTION("""COMPUTED_VALUE"""),0.0)</f>
        <v>0</v>
      </c>
      <c r="O114" s="42">
        <f>IFERROR(__xludf.DUMMYFUNCTION("""COMPUTED_VALUE"""),0.0)</f>
        <v>0</v>
      </c>
      <c r="P114" s="42">
        <f>IFERROR(__xludf.DUMMYFUNCTION("""COMPUTED_VALUE"""),0.0)</f>
        <v>0</v>
      </c>
      <c r="Q114" s="42">
        <f>IFERROR(__xludf.DUMMYFUNCTION("""COMPUTED_VALUE"""),0.0)</f>
        <v>0</v>
      </c>
      <c r="R114" s="42">
        <f>IFERROR(__xludf.DUMMYFUNCTION("""COMPUTED_VALUE"""),1.0)</f>
        <v>1</v>
      </c>
      <c r="S114" s="40">
        <f>IFERROR(__xludf.DUMMYFUNCTION("""COMPUTED_VALUE"""),17.0)</f>
        <v>17</v>
      </c>
      <c r="T114" s="40">
        <f>IFERROR(__xludf.DUMMYFUNCTION("""COMPUTED_VALUE"""),17.0)</f>
        <v>17</v>
      </c>
      <c r="U114" s="46" t="str">
        <f t="array" ref="U114">IF($D114="","",IFERROR(_xlfn.XLOOKUP($D114,'TIR店舗一覧'!$D:$D,'TIR店舗一覧'!$E:$E,""),""))</f>
        <v>YD</v>
      </c>
      <c r="V114" s="54">
        <v>0.0</v>
      </c>
      <c r="W114" s="54">
        <v>0.0</v>
      </c>
      <c r="X114" s="54">
        <v>0.0</v>
      </c>
      <c r="Y114" s="54">
        <v>0.0</v>
      </c>
      <c r="Z114" s="54">
        <v>0.0</v>
      </c>
      <c r="AA114" s="54">
        <v>17.0</v>
      </c>
      <c r="AB114" s="54">
        <v>0.0</v>
      </c>
      <c r="AC114" s="54">
        <v>0.0</v>
      </c>
      <c r="AD114" s="54">
        <v>0.0</v>
      </c>
      <c r="AE114" s="54">
        <v>0.0</v>
      </c>
      <c r="AF114" s="54">
        <v>0.0</v>
      </c>
      <c r="AG114" s="54">
        <v>17.0</v>
      </c>
    </row>
    <row r="115" ht="15.75" customHeight="1">
      <c r="B115" s="56">
        <f>IFERROR(__xludf.DUMMYFUNCTION("""COMPUTED_VALUE"""),46327.0)</f>
        <v>46327</v>
      </c>
      <c r="C115" s="38" t="str">
        <f>IFERROR(__xludf.DUMMYFUNCTION("""COMPUTED_VALUE"""),"九州・沖縄")</f>
        <v>九州・沖縄</v>
      </c>
      <c r="D115" s="38">
        <f>IFERROR(__xludf.DUMMYFUNCTION("""COMPUTED_VALUE"""),8976.0)</f>
        <v>8976</v>
      </c>
      <c r="E115" s="38" t="str">
        <f>IFERROR(__xludf.DUMMYFUNCTION("""COMPUTED_VALUE"""),"テックランド大村店")</f>
        <v>テックランド大村店</v>
      </c>
      <c r="F115" s="40">
        <f>IFERROR(__xludf.DUMMYFUNCTION("""COMPUTED_VALUE"""),39.0)</f>
        <v>39</v>
      </c>
      <c r="G115" s="42">
        <f>IFERROR(__xludf.DUMMYFUNCTION("""COMPUTED_VALUE"""),0.0)</f>
        <v>0</v>
      </c>
      <c r="H115" s="42">
        <f>IFERROR(__xludf.DUMMYFUNCTION("""COMPUTED_VALUE"""),0.0)</f>
        <v>0</v>
      </c>
      <c r="I115" s="42">
        <f>IFERROR(__xludf.DUMMYFUNCTION("""COMPUTED_VALUE"""),0.0)</f>
        <v>0</v>
      </c>
      <c r="J115" s="42">
        <f>IFERROR(__xludf.DUMMYFUNCTION("""COMPUTED_VALUE"""),0.0)</f>
        <v>0</v>
      </c>
      <c r="K115" s="42">
        <f>IFERROR(__xludf.DUMMYFUNCTION("""COMPUTED_VALUE"""),0.0)</f>
        <v>0</v>
      </c>
      <c r="L115" s="42">
        <f>IFERROR(__xludf.DUMMYFUNCTION("""COMPUTED_VALUE"""),1.0)</f>
        <v>1</v>
      </c>
      <c r="M115" s="42">
        <f>IFERROR(__xludf.DUMMYFUNCTION("""COMPUTED_VALUE"""),0.0)</f>
        <v>0</v>
      </c>
      <c r="N115" s="42">
        <f>IFERROR(__xludf.DUMMYFUNCTION("""COMPUTED_VALUE"""),0.0)</f>
        <v>0</v>
      </c>
      <c r="O115" s="42">
        <f>IFERROR(__xludf.DUMMYFUNCTION("""COMPUTED_VALUE"""),0.0)</f>
        <v>0</v>
      </c>
      <c r="P115" s="42">
        <f>IFERROR(__xludf.DUMMYFUNCTION("""COMPUTED_VALUE"""),0.0)</f>
        <v>0</v>
      </c>
      <c r="Q115" s="42">
        <f>IFERROR(__xludf.DUMMYFUNCTION("""COMPUTED_VALUE"""),0.0)</f>
        <v>0</v>
      </c>
      <c r="R115" s="42">
        <f>IFERROR(__xludf.DUMMYFUNCTION("""COMPUTED_VALUE"""),1.0)</f>
        <v>1</v>
      </c>
      <c r="S115" s="40">
        <f>IFERROR(__xludf.DUMMYFUNCTION("""COMPUTED_VALUE"""),39.0)</f>
        <v>39</v>
      </c>
      <c r="T115" s="40">
        <f>IFERROR(__xludf.DUMMYFUNCTION("""COMPUTED_VALUE"""),39.0)</f>
        <v>39</v>
      </c>
      <c r="U115" s="46" t="str">
        <f t="array" ref="U115">IF($D115="","",IFERROR(_xlfn.XLOOKUP($D115,'TIR店舗一覧'!$D:$D,'TIR店舗一覧'!$E:$E,""),""))</f>
        <v>YD</v>
      </c>
      <c r="V115" s="54">
        <v>0.0</v>
      </c>
      <c r="W115" s="54">
        <v>0.0</v>
      </c>
      <c r="X115" s="54">
        <v>0.0</v>
      </c>
      <c r="Y115" s="54">
        <v>0.0</v>
      </c>
      <c r="Z115" s="54">
        <v>0.0</v>
      </c>
      <c r="AA115" s="54">
        <v>39.0</v>
      </c>
      <c r="AB115" s="54">
        <v>0.0</v>
      </c>
      <c r="AC115" s="54">
        <v>0.0</v>
      </c>
      <c r="AD115" s="54">
        <v>0.0</v>
      </c>
      <c r="AE115" s="54">
        <v>0.0</v>
      </c>
      <c r="AF115" s="54">
        <v>0.0</v>
      </c>
      <c r="AG115" s="54">
        <v>39.0</v>
      </c>
    </row>
    <row r="116" ht="15.75" customHeight="1">
      <c r="B116" s="56">
        <f>IFERROR(__xludf.DUMMYFUNCTION("""COMPUTED_VALUE"""),46327.0)</f>
        <v>46327</v>
      </c>
      <c r="C116" s="38" t="str">
        <f>IFERROR(__xludf.DUMMYFUNCTION("""COMPUTED_VALUE"""),"九州・沖縄")</f>
        <v>九州・沖縄</v>
      </c>
      <c r="D116" s="38">
        <f>IFERROR(__xludf.DUMMYFUNCTION("""COMPUTED_VALUE"""),8981.0)</f>
        <v>8981</v>
      </c>
      <c r="E116" s="38" t="str">
        <f>IFERROR(__xludf.DUMMYFUNCTION("""COMPUTED_VALUE"""),"テックランドNew加世田店")</f>
        <v>テックランドNew加世田店</v>
      </c>
      <c r="F116" s="40">
        <f>IFERROR(__xludf.DUMMYFUNCTION("""COMPUTED_VALUE"""),24.0)</f>
        <v>24</v>
      </c>
      <c r="G116" s="42">
        <f>IFERROR(__xludf.DUMMYFUNCTION("""COMPUTED_VALUE"""),0.0)</f>
        <v>0</v>
      </c>
      <c r="H116" s="42">
        <f>IFERROR(__xludf.DUMMYFUNCTION("""COMPUTED_VALUE"""),0.0)</f>
        <v>0</v>
      </c>
      <c r="I116" s="42">
        <f>IFERROR(__xludf.DUMMYFUNCTION("""COMPUTED_VALUE"""),0.0)</f>
        <v>0</v>
      </c>
      <c r="J116" s="42">
        <f>IFERROR(__xludf.DUMMYFUNCTION("""COMPUTED_VALUE"""),0.0)</f>
        <v>0</v>
      </c>
      <c r="K116" s="42">
        <f>IFERROR(__xludf.DUMMYFUNCTION("""COMPUTED_VALUE"""),0.0)</f>
        <v>0</v>
      </c>
      <c r="L116" s="42">
        <f>IFERROR(__xludf.DUMMYFUNCTION("""COMPUTED_VALUE"""),1.0)</f>
        <v>1</v>
      </c>
      <c r="M116" s="42">
        <f>IFERROR(__xludf.DUMMYFUNCTION("""COMPUTED_VALUE"""),0.0)</f>
        <v>0</v>
      </c>
      <c r="N116" s="42">
        <f>IFERROR(__xludf.DUMMYFUNCTION("""COMPUTED_VALUE"""),0.0)</f>
        <v>0</v>
      </c>
      <c r="O116" s="42">
        <f>IFERROR(__xludf.DUMMYFUNCTION("""COMPUTED_VALUE"""),0.0)</f>
        <v>0</v>
      </c>
      <c r="P116" s="42">
        <f>IFERROR(__xludf.DUMMYFUNCTION("""COMPUTED_VALUE"""),0.0)</f>
        <v>0</v>
      </c>
      <c r="Q116" s="42">
        <f>IFERROR(__xludf.DUMMYFUNCTION("""COMPUTED_VALUE"""),0.0)</f>
        <v>0</v>
      </c>
      <c r="R116" s="42">
        <f>IFERROR(__xludf.DUMMYFUNCTION("""COMPUTED_VALUE"""),1.0)</f>
        <v>1</v>
      </c>
      <c r="S116" s="40">
        <f>IFERROR(__xludf.DUMMYFUNCTION("""COMPUTED_VALUE"""),24.0)</f>
        <v>24</v>
      </c>
      <c r="T116" s="40">
        <f>IFERROR(__xludf.DUMMYFUNCTION("""COMPUTED_VALUE"""),24.0)</f>
        <v>24</v>
      </c>
      <c r="U116" s="46" t="str">
        <f t="array" ref="U116">IF($D116="","",IFERROR(_xlfn.XLOOKUP($D116,'TIR店舗一覧'!$D:$D,'TIR店舗一覧'!$E:$E,""),""))</f>
        <v>YD</v>
      </c>
      <c r="V116" s="54">
        <v>0.0</v>
      </c>
      <c r="W116" s="54">
        <v>0.0</v>
      </c>
      <c r="X116" s="54">
        <v>0.0</v>
      </c>
      <c r="Y116" s="54">
        <v>0.0</v>
      </c>
      <c r="Z116" s="54">
        <v>0.0</v>
      </c>
      <c r="AA116" s="54">
        <v>24.0</v>
      </c>
      <c r="AB116" s="54">
        <v>0.0</v>
      </c>
      <c r="AC116" s="54">
        <v>0.0</v>
      </c>
      <c r="AD116" s="54">
        <v>0.0</v>
      </c>
      <c r="AE116" s="54">
        <v>0.0</v>
      </c>
      <c r="AF116" s="54">
        <v>0.0</v>
      </c>
      <c r="AG116" s="54">
        <v>24.0</v>
      </c>
    </row>
    <row r="117" ht="15.75" customHeight="1">
      <c r="B117" s="56">
        <f>IFERROR(__xludf.DUMMYFUNCTION("""COMPUTED_VALUE"""),46327.0)</f>
        <v>46327</v>
      </c>
      <c r="C117" s="38" t="str">
        <f>IFERROR(__xludf.DUMMYFUNCTION("""COMPUTED_VALUE"""),"九州・沖縄")</f>
        <v>九州・沖縄</v>
      </c>
      <c r="D117" s="38">
        <f>IFERROR(__xludf.DUMMYFUNCTION("""COMPUTED_VALUE"""),8994.0)</f>
        <v>8994</v>
      </c>
      <c r="E117" s="38" t="str">
        <f>IFERROR(__xludf.DUMMYFUNCTION("""COMPUTED_VALUE"""),"エディオン ゆめタウン久留米南店")</f>
        <v>エディオン ゆめタウン久留米南店</v>
      </c>
      <c r="F117" s="40">
        <f>IFERROR(__xludf.DUMMYFUNCTION("""COMPUTED_VALUE"""),11.0)</f>
        <v>11</v>
      </c>
      <c r="G117" s="42">
        <f>IFERROR(__xludf.DUMMYFUNCTION("""COMPUTED_VALUE"""),0.0)</f>
        <v>0</v>
      </c>
      <c r="H117" s="42">
        <f>IFERROR(__xludf.DUMMYFUNCTION("""COMPUTED_VALUE"""),0.0)</f>
        <v>0</v>
      </c>
      <c r="I117" s="42">
        <f>IFERROR(__xludf.DUMMYFUNCTION("""COMPUTED_VALUE"""),0.0)</f>
        <v>0</v>
      </c>
      <c r="J117" s="42">
        <f>IFERROR(__xludf.DUMMYFUNCTION("""COMPUTED_VALUE"""),0.0)</f>
        <v>0</v>
      </c>
      <c r="K117" s="42">
        <f>IFERROR(__xludf.DUMMYFUNCTION("""COMPUTED_VALUE"""),0.0)</f>
        <v>0</v>
      </c>
      <c r="L117" s="42">
        <f>IFERROR(__xludf.DUMMYFUNCTION("""COMPUTED_VALUE"""),1.0)</f>
        <v>1</v>
      </c>
      <c r="M117" s="42">
        <f>IFERROR(__xludf.DUMMYFUNCTION("""COMPUTED_VALUE"""),0.0)</f>
        <v>0</v>
      </c>
      <c r="N117" s="42">
        <f>IFERROR(__xludf.DUMMYFUNCTION("""COMPUTED_VALUE"""),0.0)</f>
        <v>0</v>
      </c>
      <c r="O117" s="42">
        <f>IFERROR(__xludf.DUMMYFUNCTION("""COMPUTED_VALUE"""),0.0)</f>
        <v>0</v>
      </c>
      <c r="P117" s="42">
        <f>IFERROR(__xludf.DUMMYFUNCTION("""COMPUTED_VALUE"""),0.0)</f>
        <v>0</v>
      </c>
      <c r="Q117" s="42">
        <f>IFERROR(__xludf.DUMMYFUNCTION("""COMPUTED_VALUE"""),0.0)</f>
        <v>0</v>
      </c>
      <c r="R117" s="42">
        <f>IFERROR(__xludf.DUMMYFUNCTION("""COMPUTED_VALUE"""),1.0)</f>
        <v>1</v>
      </c>
      <c r="S117" s="40">
        <f>IFERROR(__xludf.DUMMYFUNCTION("""COMPUTED_VALUE"""),11.0)</f>
        <v>11</v>
      </c>
      <c r="T117" s="40">
        <f>IFERROR(__xludf.DUMMYFUNCTION("""COMPUTED_VALUE"""),11.0)</f>
        <v>11</v>
      </c>
      <c r="U117" s="46" t="str">
        <f t="array" ref="U117">IF($D117="","",IFERROR(_xlfn.XLOOKUP($D117,'TIR店舗一覧'!$D:$D,'TIR店舗一覧'!$E:$E,""),""))</f>
        <v>ED</v>
      </c>
      <c r="V117" s="54">
        <v>0.0</v>
      </c>
      <c r="W117" s="54">
        <v>0.0</v>
      </c>
      <c r="X117" s="54">
        <v>0.0</v>
      </c>
      <c r="Y117" s="54">
        <v>0.0</v>
      </c>
      <c r="Z117" s="54">
        <v>0.0</v>
      </c>
      <c r="AA117" s="54">
        <v>11.0</v>
      </c>
      <c r="AB117" s="54">
        <v>0.0</v>
      </c>
      <c r="AC117" s="54">
        <v>0.0</v>
      </c>
      <c r="AD117" s="54">
        <v>0.0</v>
      </c>
      <c r="AE117" s="54">
        <v>0.0</v>
      </c>
      <c r="AF117" s="54">
        <v>0.0</v>
      </c>
      <c r="AG117" s="54">
        <v>11.0</v>
      </c>
    </row>
    <row r="118" ht="15.75" customHeight="1">
      <c r="B118" s="56"/>
      <c r="F118" s="40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0"/>
      <c r="T118" s="40"/>
      <c r="U118" s="46" t="str">
        <f t="array" ref="U118">IF($D118="","",IFERROR(_xlfn.XLOOKUP($D118,'TIR店舗一覧'!$D:$D,'TIR店舗一覧'!$E:$E,""),""))</f>
        <v/>
      </c>
      <c r="V118" s="54" t="s">
        <v>2</v>
      </c>
      <c r="W118" s="54" t="s">
        <v>2</v>
      </c>
      <c r="X118" s="54" t="s">
        <v>2</v>
      </c>
      <c r="Y118" s="54" t="s">
        <v>2</v>
      </c>
      <c r="Z118" s="54" t="s">
        <v>2</v>
      </c>
      <c r="AA118" s="54" t="s">
        <v>2</v>
      </c>
      <c r="AB118" s="54" t="s">
        <v>2</v>
      </c>
      <c r="AC118" s="54" t="s">
        <v>2</v>
      </c>
      <c r="AD118" s="54" t="s">
        <v>2</v>
      </c>
      <c r="AE118" s="54" t="s">
        <v>2</v>
      </c>
      <c r="AF118" s="54" t="s">
        <v>2</v>
      </c>
      <c r="AG118" s="54" t="s">
        <v>2</v>
      </c>
    </row>
    <row r="119" ht="15.75" customHeight="1">
      <c r="B119" s="56"/>
      <c r="F119" s="40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0"/>
      <c r="T119" s="40"/>
      <c r="U119" s="46" t="str">
        <f t="array" ref="U119">IF($D119="","",IFERROR(_xlfn.XLOOKUP($D119,'TIR店舗一覧'!$D:$D,'TIR店舗一覧'!$E:$E,""),""))</f>
        <v/>
      </c>
      <c r="V119" s="54" t="s">
        <v>2</v>
      </c>
      <c r="W119" s="54" t="s">
        <v>2</v>
      </c>
      <c r="X119" s="54" t="s">
        <v>2</v>
      </c>
      <c r="Y119" s="54" t="s">
        <v>2</v>
      </c>
      <c r="Z119" s="54" t="s">
        <v>2</v>
      </c>
      <c r="AA119" s="54" t="s">
        <v>2</v>
      </c>
      <c r="AB119" s="54" t="s">
        <v>2</v>
      </c>
      <c r="AC119" s="54" t="s">
        <v>2</v>
      </c>
      <c r="AD119" s="54" t="s">
        <v>2</v>
      </c>
      <c r="AE119" s="54" t="s">
        <v>2</v>
      </c>
      <c r="AF119" s="54" t="s">
        <v>2</v>
      </c>
      <c r="AG119" s="54" t="s">
        <v>2</v>
      </c>
    </row>
    <row r="120" ht="15.75" customHeight="1">
      <c r="B120" s="56"/>
      <c r="F120" s="40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0"/>
      <c r="T120" s="40"/>
      <c r="U120" s="46" t="str">
        <f t="array" ref="U120">IF($D120="","",IFERROR(_xlfn.XLOOKUP($D120,'TIR店舗一覧'!$D:$D,'TIR店舗一覧'!$E:$E,""),""))</f>
        <v/>
      </c>
      <c r="V120" s="54" t="s">
        <v>2</v>
      </c>
      <c r="W120" s="54" t="s">
        <v>2</v>
      </c>
      <c r="X120" s="54" t="s">
        <v>2</v>
      </c>
      <c r="Y120" s="54" t="s">
        <v>2</v>
      </c>
      <c r="Z120" s="54" t="s">
        <v>2</v>
      </c>
      <c r="AA120" s="54" t="s">
        <v>2</v>
      </c>
      <c r="AB120" s="54" t="s">
        <v>2</v>
      </c>
      <c r="AC120" s="54" t="s">
        <v>2</v>
      </c>
      <c r="AD120" s="54" t="s">
        <v>2</v>
      </c>
      <c r="AE120" s="54" t="s">
        <v>2</v>
      </c>
      <c r="AF120" s="54" t="s">
        <v>2</v>
      </c>
      <c r="AG120" s="54" t="s">
        <v>2</v>
      </c>
    </row>
    <row r="121" ht="15.75" customHeight="1">
      <c r="B121" s="56"/>
      <c r="F121" s="40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0"/>
      <c r="T121" s="40"/>
      <c r="U121" s="46" t="str">
        <f t="array" ref="U121">IF($D121="","",IFERROR(_xlfn.XLOOKUP($D121,'TIR店舗一覧'!$D:$D,'TIR店舗一覧'!$E:$E,""),""))</f>
        <v/>
      </c>
      <c r="V121" s="54" t="s">
        <v>2</v>
      </c>
      <c r="W121" s="54" t="s">
        <v>2</v>
      </c>
      <c r="X121" s="54" t="s">
        <v>2</v>
      </c>
      <c r="Y121" s="54" t="s">
        <v>2</v>
      </c>
      <c r="Z121" s="54" t="s">
        <v>2</v>
      </c>
      <c r="AA121" s="54" t="s">
        <v>2</v>
      </c>
      <c r="AB121" s="54" t="s">
        <v>2</v>
      </c>
      <c r="AC121" s="54" t="s">
        <v>2</v>
      </c>
      <c r="AD121" s="54" t="s">
        <v>2</v>
      </c>
      <c r="AE121" s="54" t="s">
        <v>2</v>
      </c>
      <c r="AF121" s="54" t="s">
        <v>2</v>
      </c>
      <c r="AG121" s="54" t="s">
        <v>2</v>
      </c>
    </row>
    <row r="122" ht="15.75" customHeight="1">
      <c r="B122" s="56"/>
      <c r="F122" s="40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0"/>
      <c r="T122" s="40"/>
      <c r="U122" s="46" t="str">
        <f t="array" ref="U122">IF($D122="","",IFERROR(_xlfn.XLOOKUP($D122,'TIR店舗一覧'!$D:$D,'TIR店舗一覧'!$E:$E,""),""))</f>
        <v/>
      </c>
      <c r="V122" s="54" t="s">
        <v>2</v>
      </c>
      <c r="W122" s="54" t="s">
        <v>2</v>
      </c>
      <c r="X122" s="54" t="s">
        <v>2</v>
      </c>
      <c r="Y122" s="54" t="s">
        <v>2</v>
      </c>
      <c r="Z122" s="54" t="s">
        <v>2</v>
      </c>
      <c r="AA122" s="54" t="s">
        <v>2</v>
      </c>
      <c r="AB122" s="54" t="s">
        <v>2</v>
      </c>
      <c r="AC122" s="54" t="s">
        <v>2</v>
      </c>
      <c r="AD122" s="54" t="s">
        <v>2</v>
      </c>
      <c r="AE122" s="54" t="s">
        <v>2</v>
      </c>
      <c r="AF122" s="54" t="s">
        <v>2</v>
      </c>
      <c r="AG122" s="54" t="s">
        <v>2</v>
      </c>
    </row>
    <row r="123" ht="15.75" customHeight="1">
      <c r="B123" s="56"/>
      <c r="F123" s="40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0"/>
      <c r="T123" s="40"/>
      <c r="U123" s="46" t="str">
        <f t="array" ref="U123">IF($D123="","",IFERROR(_xlfn.XLOOKUP($D123,'TIR店舗一覧'!$D:$D,'TIR店舗一覧'!$E:$E,""),""))</f>
        <v/>
      </c>
      <c r="V123" s="54" t="s">
        <v>2</v>
      </c>
      <c r="W123" s="54" t="s">
        <v>2</v>
      </c>
      <c r="X123" s="54" t="s">
        <v>2</v>
      </c>
      <c r="Y123" s="54" t="s">
        <v>2</v>
      </c>
      <c r="Z123" s="54" t="s">
        <v>2</v>
      </c>
      <c r="AA123" s="54" t="s">
        <v>2</v>
      </c>
      <c r="AB123" s="54" t="s">
        <v>2</v>
      </c>
      <c r="AC123" s="54" t="s">
        <v>2</v>
      </c>
      <c r="AD123" s="54" t="s">
        <v>2</v>
      </c>
      <c r="AE123" s="54" t="s">
        <v>2</v>
      </c>
      <c r="AF123" s="54" t="s">
        <v>2</v>
      </c>
      <c r="AG123" s="54" t="s">
        <v>2</v>
      </c>
    </row>
    <row r="124" ht="15.75" customHeight="1">
      <c r="B124" s="56"/>
      <c r="F124" s="40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0"/>
      <c r="T124" s="40"/>
      <c r="U124" s="46" t="str">
        <f t="array" ref="U124">IF($D124="","",IFERROR(_xlfn.XLOOKUP($D124,'TIR店舗一覧'!$D:$D,'TIR店舗一覧'!$E:$E,""),""))</f>
        <v/>
      </c>
      <c r="V124" s="54" t="s">
        <v>2</v>
      </c>
      <c r="W124" s="54" t="s">
        <v>2</v>
      </c>
      <c r="X124" s="54" t="s">
        <v>2</v>
      </c>
      <c r="Y124" s="54" t="s">
        <v>2</v>
      </c>
      <c r="Z124" s="54" t="s">
        <v>2</v>
      </c>
      <c r="AA124" s="54" t="s">
        <v>2</v>
      </c>
      <c r="AB124" s="54" t="s">
        <v>2</v>
      </c>
      <c r="AC124" s="54" t="s">
        <v>2</v>
      </c>
      <c r="AD124" s="54" t="s">
        <v>2</v>
      </c>
      <c r="AE124" s="54" t="s">
        <v>2</v>
      </c>
      <c r="AF124" s="54" t="s">
        <v>2</v>
      </c>
      <c r="AG124" s="54" t="s">
        <v>2</v>
      </c>
    </row>
    <row r="125" ht="15.75" customHeight="1">
      <c r="B125" s="56"/>
      <c r="F125" s="40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0"/>
      <c r="T125" s="40"/>
      <c r="U125" s="46" t="str">
        <f t="array" ref="U125">IF($D125="","",IFERROR(_xlfn.XLOOKUP($D125,'TIR店舗一覧'!$D:$D,'TIR店舗一覧'!$E:$E,""),""))</f>
        <v/>
      </c>
      <c r="V125" s="54" t="s">
        <v>2</v>
      </c>
      <c r="W125" s="54" t="s">
        <v>2</v>
      </c>
      <c r="X125" s="54" t="s">
        <v>2</v>
      </c>
      <c r="Y125" s="54" t="s">
        <v>2</v>
      </c>
      <c r="Z125" s="54" t="s">
        <v>2</v>
      </c>
      <c r="AA125" s="54" t="s">
        <v>2</v>
      </c>
      <c r="AB125" s="54" t="s">
        <v>2</v>
      </c>
      <c r="AC125" s="54" t="s">
        <v>2</v>
      </c>
      <c r="AD125" s="54" t="s">
        <v>2</v>
      </c>
      <c r="AE125" s="54" t="s">
        <v>2</v>
      </c>
      <c r="AF125" s="54" t="s">
        <v>2</v>
      </c>
      <c r="AG125" s="54" t="s">
        <v>2</v>
      </c>
    </row>
    <row r="126" ht="15.75" customHeight="1">
      <c r="B126" s="56"/>
      <c r="F126" s="40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0"/>
      <c r="T126" s="40"/>
      <c r="U126" s="46" t="str">
        <f t="array" ref="U126">IF($D126="","",IFERROR(_xlfn.XLOOKUP($D126,'TIR店舗一覧'!$D:$D,'TIR店舗一覧'!$E:$E,""),""))</f>
        <v/>
      </c>
      <c r="V126" s="54" t="s">
        <v>2</v>
      </c>
      <c r="W126" s="54" t="s">
        <v>2</v>
      </c>
      <c r="X126" s="54" t="s">
        <v>2</v>
      </c>
      <c r="Y126" s="54" t="s">
        <v>2</v>
      </c>
      <c r="Z126" s="54" t="s">
        <v>2</v>
      </c>
      <c r="AA126" s="54" t="s">
        <v>2</v>
      </c>
      <c r="AB126" s="54" t="s">
        <v>2</v>
      </c>
      <c r="AC126" s="54" t="s">
        <v>2</v>
      </c>
      <c r="AD126" s="54" t="s">
        <v>2</v>
      </c>
      <c r="AE126" s="54" t="s">
        <v>2</v>
      </c>
      <c r="AF126" s="54" t="s">
        <v>2</v>
      </c>
      <c r="AG126" s="54" t="s">
        <v>2</v>
      </c>
    </row>
    <row r="127" ht="15.75" customHeight="1">
      <c r="B127" s="56"/>
      <c r="F127" s="40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0"/>
      <c r="T127" s="40"/>
      <c r="U127" s="46" t="str">
        <f t="array" ref="U127">IF($D127="","",IFERROR(_xlfn.XLOOKUP($D127,'TIR店舗一覧'!$D:$D,'TIR店舗一覧'!$E:$E,""),""))</f>
        <v/>
      </c>
      <c r="V127" s="54" t="s">
        <v>2</v>
      </c>
      <c r="W127" s="54" t="s">
        <v>2</v>
      </c>
      <c r="X127" s="54" t="s">
        <v>2</v>
      </c>
      <c r="Y127" s="54" t="s">
        <v>2</v>
      </c>
      <c r="Z127" s="54" t="s">
        <v>2</v>
      </c>
      <c r="AA127" s="54" t="s">
        <v>2</v>
      </c>
      <c r="AB127" s="54" t="s">
        <v>2</v>
      </c>
      <c r="AC127" s="54" t="s">
        <v>2</v>
      </c>
      <c r="AD127" s="54" t="s">
        <v>2</v>
      </c>
      <c r="AE127" s="54" t="s">
        <v>2</v>
      </c>
      <c r="AF127" s="54" t="s">
        <v>2</v>
      </c>
      <c r="AG127" s="54" t="s">
        <v>2</v>
      </c>
    </row>
    <row r="128" ht="15.75" customHeight="1">
      <c r="B128" s="56"/>
      <c r="F128" s="40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0"/>
      <c r="T128" s="40"/>
      <c r="U128" s="46" t="str">
        <f t="array" ref="U128">IF($D128="","",IFERROR(_xlfn.XLOOKUP($D128,'TIR店舗一覧'!$D:$D,'TIR店舗一覧'!$E:$E,""),""))</f>
        <v/>
      </c>
      <c r="V128" s="54" t="s">
        <v>2</v>
      </c>
      <c r="W128" s="54" t="s">
        <v>2</v>
      </c>
      <c r="X128" s="54" t="s">
        <v>2</v>
      </c>
      <c r="Y128" s="54" t="s">
        <v>2</v>
      </c>
      <c r="Z128" s="54" t="s">
        <v>2</v>
      </c>
      <c r="AA128" s="54" t="s">
        <v>2</v>
      </c>
      <c r="AB128" s="54" t="s">
        <v>2</v>
      </c>
      <c r="AC128" s="54" t="s">
        <v>2</v>
      </c>
      <c r="AD128" s="54" t="s">
        <v>2</v>
      </c>
      <c r="AE128" s="54" t="s">
        <v>2</v>
      </c>
      <c r="AF128" s="54" t="s">
        <v>2</v>
      </c>
      <c r="AG128" s="54" t="s">
        <v>2</v>
      </c>
    </row>
    <row r="129" ht="15.75" customHeight="1">
      <c r="B129" s="56"/>
      <c r="F129" s="40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0"/>
      <c r="T129" s="40"/>
      <c r="U129" s="46" t="str">
        <f t="array" ref="U129">IF($D129="","",IFERROR(_xlfn.XLOOKUP($D129,'TIR店舗一覧'!$D:$D,'TIR店舗一覧'!$E:$E,""),""))</f>
        <v/>
      </c>
      <c r="V129" s="54" t="s">
        <v>2</v>
      </c>
      <c r="W129" s="54" t="s">
        <v>2</v>
      </c>
      <c r="X129" s="54" t="s">
        <v>2</v>
      </c>
      <c r="Y129" s="54" t="s">
        <v>2</v>
      </c>
      <c r="Z129" s="54" t="s">
        <v>2</v>
      </c>
      <c r="AA129" s="54" t="s">
        <v>2</v>
      </c>
      <c r="AB129" s="54" t="s">
        <v>2</v>
      </c>
      <c r="AC129" s="54" t="s">
        <v>2</v>
      </c>
      <c r="AD129" s="54" t="s">
        <v>2</v>
      </c>
      <c r="AE129" s="54" t="s">
        <v>2</v>
      </c>
      <c r="AF129" s="54" t="s">
        <v>2</v>
      </c>
      <c r="AG129" s="54" t="s">
        <v>2</v>
      </c>
    </row>
    <row r="130" ht="15.75" customHeight="1">
      <c r="B130" s="56"/>
      <c r="F130" s="40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0"/>
      <c r="T130" s="40"/>
      <c r="U130" s="46" t="str">
        <f t="array" ref="U130">IF($D130="","",IFERROR(_xlfn.XLOOKUP($D130,'TIR店舗一覧'!$D:$D,'TIR店舗一覧'!$E:$E,""),""))</f>
        <v/>
      </c>
      <c r="V130" s="54" t="s">
        <v>2</v>
      </c>
      <c r="W130" s="54" t="s">
        <v>2</v>
      </c>
      <c r="X130" s="54" t="s">
        <v>2</v>
      </c>
      <c r="Y130" s="54" t="s">
        <v>2</v>
      </c>
      <c r="Z130" s="54" t="s">
        <v>2</v>
      </c>
      <c r="AA130" s="54" t="s">
        <v>2</v>
      </c>
      <c r="AB130" s="54" t="s">
        <v>2</v>
      </c>
      <c r="AC130" s="54" t="s">
        <v>2</v>
      </c>
      <c r="AD130" s="54" t="s">
        <v>2</v>
      </c>
      <c r="AE130" s="54" t="s">
        <v>2</v>
      </c>
      <c r="AF130" s="54" t="s">
        <v>2</v>
      </c>
      <c r="AG130" s="54" t="s">
        <v>2</v>
      </c>
    </row>
    <row r="131" ht="15.75" customHeight="1">
      <c r="B131" s="56"/>
      <c r="F131" s="40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0"/>
      <c r="T131" s="40"/>
      <c r="U131" s="46" t="str">
        <f t="array" ref="U131">IF($D131="","",IFERROR(_xlfn.XLOOKUP($D131,'TIR店舗一覧'!$D:$D,'TIR店舗一覧'!$E:$E,""),""))</f>
        <v/>
      </c>
      <c r="V131" s="54" t="s">
        <v>2</v>
      </c>
      <c r="W131" s="54" t="s">
        <v>2</v>
      </c>
      <c r="X131" s="54" t="s">
        <v>2</v>
      </c>
      <c r="Y131" s="54" t="s">
        <v>2</v>
      </c>
      <c r="Z131" s="54" t="s">
        <v>2</v>
      </c>
      <c r="AA131" s="54" t="s">
        <v>2</v>
      </c>
      <c r="AB131" s="54" t="s">
        <v>2</v>
      </c>
      <c r="AC131" s="54" t="s">
        <v>2</v>
      </c>
      <c r="AD131" s="54" t="s">
        <v>2</v>
      </c>
      <c r="AE131" s="54" t="s">
        <v>2</v>
      </c>
      <c r="AF131" s="54" t="s">
        <v>2</v>
      </c>
      <c r="AG131" s="54" t="s">
        <v>2</v>
      </c>
    </row>
    <row r="132" ht="15.75" customHeight="1">
      <c r="B132" s="56"/>
      <c r="F132" s="40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0"/>
      <c r="T132" s="40"/>
      <c r="U132" s="46" t="str">
        <f t="array" ref="U132">IF($D132="","",IFERROR(_xlfn.XLOOKUP($D132,'TIR店舗一覧'!$D:$D,'TIR店舗一覧'!$E:$E,""),""))</f>
        <v/>
      </c>
      <c r="V132" s="54" t="s">
        <v>2</v>
      </c>
      <c r="W132" s="54" t="s">
        <v>2</v>
      </c>
      <c r="X132" s="54" t="s">
        <v>2</v>
      </c>
      <c r="Y132" s="54" t="s">
        <v>2</v>
      </c>
      <c r="Z132" s="54" t="s">
        <v>2</v>
      </c>
      <c r="AA132" s="54" t="s">
        <v>2</v>
      </c>
      <c r="AB132" s="54" t="s">
        <v>2</v>
      </c>
      <c r="AC132" s="54" t="s">
        <v>2</v>
      </c>
      <c r="AD132" s="54" t="s">
        <v>2</v>
      </c>
      <c r="AE132" s="54" t="s">
        <v>2</v>
      </c>
      <c r="AF132" s="54" t="s">
        <v>2</v>
      </c>
      <c r="AG132" s="54" t="s">
        <v>2</v>
      </c>
    </row>
    <row r="133" ht="15.75" customHeight="1">
      <c r="B133" s="56"/>
      <c r="F133" s="40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0"/>
      <c r="T133" s="40"/>
      <c r="U133" s="46" t="str">
        <f t="array" ref="U133">IF($D133="","",IFERROR(_xlfn.XLOOKUP($D133,'TIR店舗一覧'!$D:$D,'TIR店舗一覧'!$E:$E,""),""))</f>
        <v/>
      </c>
      <c r="V133" s="54" t="s">
        <v>2</v>
      </c>
      <c r="W133" s="54" t="s">
        <v>2</v>
      </c>
      <c r="X133" s="54" t="s">
        <v>2</v>
      </c>
      <c r="Y133" s="54" t="s">
        <v>2</v>
      </c>
      <c r="Z133" s="54" t="s">
        <v>2</v>
      </c>
      <c r="AA133" s="54" t="s">
        <v>2</v>
      </c>
      <c r="AB133" s="54" t="s">
        <v>2</v>
      </c>
      <c r="AC133" s="54" t="s">
        <v>2</v>
      </c>
      <c r="AD133" s="54" t="s">
        <v>2</v>
      </c>
      <c r="AE133" s="54" t="s">
        <v>2</v>
      </c>
      <c r="AF133" s="54" t="s">
        <v>2</v>
      </c>
      <c r="AG133" s="54" t="s">
        <v>2</v>
      </c>
    </row>
    <row r="134" ht="15.75" customHeight="1">
      <c r="B134" s="56"/>
      <c r="F134" s="40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0"/>
      <c r="T134" s="40"/>
      <c r="U134" s="46" t="str">
        <f t="array" ref="U134">IF($D134="","",IFERROR(_xlfn.XLOOKUP($D134,'TIR店舗一覧'!$D:$D,'TIR店舗一覧'!$E:$E,""),""))</f>
        <v/>
      </c>
      <c r="V134" s="54" t="s">
        <v>2</v>
      </c>
      <c r="W134" s="54" t="s">
        <v>2</v>
      </c>
      <c r="X134" s="54" t="s">
        <v>2</v>
      </c>
      <c r="Y134" s="54" t="s">
        <v>2</v>
      </c>
      <c r="Z134" s="54" t="s">
        <v>2</v>
      </c>
      <c r="AA134" s="54" t="s">
        <v>2</v>
      </c>
      <c r="AB134" s="54" t="s">
        <v>2</v>
      </c>
      <c r="AC134" s="54" t="s">
        <v>2</v>
      </c>
      <c r="AD134" s="54" t="s">
        <v>2</v>
      </c>
      <c r="AE134" s="54" t="s">
        <v>2</v>
      </c>
      <c r="AF134" s="54" t="s">
        <v>2</v>
      </c>
      <c r="AG134" s="54" t="s">
        <v>2</v>
      </c>
    </row>
    <row r="135" ht="15.75" customHeight="1">
      <c r="B135" s="56"/>
      <c r="F135" s="40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0"/>
      <c r="T135" s="40"/>
      <c r="U135" s="46" t="str">
        <f t="array" ref="U135">IF($D135="","",IFERROR(_xlfn.XLOOKUP($D135,'TIR店舗一覧'!$D:$D,'TIR店舗一覧'!$E:$E,""),""))</f>
        <v/>
      </c>
      <c r="V135" s="54" t="s">
        <v>2</v>
      </c>
      <c r="W135" s="54" t="s">
        <v>2</v>
      </c>
      <c r="X135" s="54" t="s">
        <v>2</v>
      </c>
      <c r="Y135" s="54" t="s">
        <v>2</v>
      </c>
      <c r="Z135" s="54" t="s">
        <v>2</v>
      </c>
      <c r="AA135" s="54" t="s">
        <v>2</v>
      </c>
      <c r="AB135" s="54" t="s">
        <v>2</v>
      </c>
      <c r="AC135" s="54" t="s">
        <v>2</v>
      </c>
      <c r="AD135" s="54" t="s">
        <v>2</v>
      </c>
      <c r="AE135" s="54" t="s">
        <v>2</v>
      </c>
      <c r="AF135" s="54" t="s">
        <v>2</v>
      </c>
      <c r="AG135" s="54" t="s">
        <v>2</v>
      </c>
    </row>
    <row r="136" ht="15.75" customHeight="1">
      <c r="B136" s="56"/>
      <c r="F136" s="40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0"/>
      <c r="T136" s="40"/>
      <c r="U136" s="46" t="str">
        <f t="array" ref="U136">IF($D136="","",IFERROR(_xlfn.XLOOKUP($D136,'TIR店舗一覧'!$D:$D,'TIR店舗一覧'!$E:$E,""),""))</f>
        <v/>
      </c>
      <c r="V136" s="54" t="s">
        <v>2</v>
      </c>
      <c r="W136" s="54" t="s">
        <v>2</v>
      </c>
      <c r="X136" s="54" t="s">
        <v>2</v>
      </c>
      <c r="Y136" s="54" t="s">
        <v>2</v>
      </c>
      <c r="Z136" s="54" t="s">
        <v>2</v>
      </c>
      <c r="AA136" s="54" t="s">
        <v>2</v>
      </c>
      <c r="AB136" s="54" t="s">
        <v>2</v>
      </c>
      <c r="AC136" s="54" t="s">
        <v>2</v>
      </c>
      <c r="AD136" s="54" t="s">
        <v>2</v>
      </c>
      <c r="AE136" s="54" t="s">
        <v>2</v>
      </c>
      <c r="AF136" s="54" t="s">
        <v>2</v>
      </c>
      <c r="AG136" s="54" t="s">
        <v>2</v>
      </c>
    </row>
    <row r="137" ht="15.75" customHeight="1">
      <c r="B137" s="56"/>
      <c r="F137" s="40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0"/>
      <c r="T137" s="40"/>
      <c r="U137" s="46" t="str">
        <f t="array" ref="U137">IF($D137="","",IFERROR(_xlfn.XLOOKUP($D137,'TIR店舗一覧'!$D:$D,'TIR店舗一覧'!$E:$E,""),""))</f>
        <v/>
      </c>
      <c r="V137" s="54" t="s">
        <v>2</v>
      </c>
      <c r="W137" s="54" t="s">
        <v>2</v>
      </c>
      <c r="X137" s="54" t="s">
        <v>2</v>
      </c>
      <c r="Y137" s="54" t="s">
        <v>2</v>
      </c>
      <c r="Z137" s="54" t="s">
        <v>2</v>
      </c>
      <c r="AA137" s="54" t="s">
        <v>2</v>
      </c>
      <c r="AB137" s="54" t="s">
        <v>2</v>
      </c>
      <c r="AC137" s="54" t="s">
        <v>2</v>
      </c>
      <c r="AD137" s="54" t="s">
        <v>2</v>
      </c>
      <c r="AE137" s="54" t="s">
        <v>2</v>
      </c>
      <c r="AF137" s="54" t="s">
        <v>2</v>
      </c>
      <c r="AG137" s="54" t="s">
        <v>2</v>
      </c>
    </row>
    <row r="138" ht="15.75" customHeight="1">
      <c r="B138" s="56"/>
      <c r="F138" s="40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0"/>
      <c r="T138" s="40"/>
      <c r="U138" s="46" t="str">
        <f t="array" ref="U138">IF($D138="","",IFERROR(_xlfn.XLOOKUP($D138,'TIR店舗一覧'!$D:$D,'TIR店舗一覧'!$E:$E,""),""))</f>
        <v/>
      </c>
      <c r="V138" s="54" t="s">
        <v>2</v>
      </c>
      <c r="W138" s="54" t="s">
        <v>2</v>
      </c>
      <c r="X138" s="54" t="s">
        <v>2</v>
      </c>
      <c r="Y138" s="54" t="s">
        <v>2</v>
      </c>
      <c r="Z138" s="54" t="s">
        <v>2</v>
      </c>
      <c r="AA138" s="54" t="s">
        <v>2</v>
      </c>
      <c r="AB138" s="54" t="s">
        <v>2</v>
      </c>
      <c r="AC138" s="54" t="s">
        <v>2</v>
      </c>
      <c r="AD138" s="54" t="s">
        <v>2</v>
      </c>
      <c r="AE138" s="54" t="s">
        <v>2</v>
      </c>
      <c r="AF138" s="54" t="s">
        <v>2</v>
      </c>
      <c r="AG138" s="54" t="s">
        <v>2</v>
      </c>
    </row>
    <row r="139" ht="15.75" customHeight="1">
      <c r="B139" s="56"/>
      <c r="F139" s="40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0"/>
      <c r="T139" s="40"/>
      <c r="U139" s="46" t="str">
        <f t="array" ref="U139">IF($D139="","",IFERROR(_xlfn.XLOOKUP($D139,'TIR店舗一覧'!$D:$D,'TIR店舗一覧'!$E:$E,""),""))</f>
        <v/>
      </c>
      <c r="V139" s="54" t="s">
        <v>2</v>
      </c>
      <c r="W139" s="54" t="s">
        <v>2</v>
      </c>
      <c r="X139" s="54" t="s">
        <v>2</v>
      </c>
      <c r="Y139" s="54" t="s">
        <v>2</v>
      </c>
      <c r="Z139" s="54" t="s">
        <v>2</v>
      </c>
      <c r="AA139" s="54" t="s">
        <v>2</v>
      </c>
      <c r="AB139" s="54" t="s">
        <v>2</v>
      </c>
      <c r="AC139" s="54" t="s">
        <v>2</v>
      </c>
      <c r="AD139" s="54" t="s">
        <v>2</v>
      </c>
      <c r="AE139" s="54" t="s">
        <v>2</v>
      </c>
      <c r="AF139" s="54" t="s">
        <v>2</v>
      </c>
      <c r="AG139" s="54" t="s">
        <v>2</v>
      </c>
    </row>
    <row r="140" ht="15.75" customHeight="1">
      <c r="B140" s="56"/>
      <c r="F140" s="40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0"/>
      <c r="T140" s="40"/>
      <c r="U140" s="46" t="str">
        <f t="array" ref="U140">IF($D140="","",IFERROR(_xlfn.XLOOKUP($D140,'TIR店舗一覧'!$D:$D,'TIR店舗一覧'!$E:$E,""),""))</f>
        <v/>
      </c>
      <c r="V140" s="54" t="s">
        <v>2</v>
      </c>
      <c r="W140" s="54" t="s">
        <v>2</v>
      </c>
      <c r="X140" s="54" t="s">
        <v>2</v>
      </c>
      <c r="Y140" s="54" t="s">
        <v>2</v>
      </c>
      <c r="Z140" s="54" t="s">
        <v>2</v>
      </c>
      <c r="AA140" s="54" t="s">
        <v>2</v>
      </c>
      <c r="AB140" s="54" t="s">
        <v>2</v>
      </c>
      <c r="AC140" s="54" t="s">
        <v>2</v>
      </c>
      <c r="AD140" s="54" t="s">
        <v>2</v>
      </c>
      <c r="AE140" s="54" t="s">
        <v>2</v>
      </c>
      <c r="AF140" s="54" t="s">
        <v>2</v>
      </c>
      <c r="AG140" s="54" t="s">
        <v>2</v>
      </c>
    </row>
    <row r="141" ht="15.75" customHeight="1">
      <c r="B141" s="56"/>
      <c r="F141" s="40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0"/>
      <c r="T141" s="40"/>
      <c r="U141" s="46" t="str">
        <f t="array" ref="U141">IF($D141="","",IFERROR(_xlfn.XLOOKUP($D141,'TIR店舗一覧'!$D:$D,'TIR店舗一覧'!$E:$E,""),""))</f>
        <v/>
      </c>
      <c r="V141" s="54" t="s">
        <v>2</v>
      </c>
      <c r="W141" s="54" t="s">
        <v>2</v>
      </c>
      <c r="X141" s="54" t="s">
        <v>2</v>
      </c>
      <c r="Y141" s="54" t="s">
        <v>2</v>
      </c>
      <c r="Z141" s="54" t="s">
        <v>2</v>
      </c>
      <c r="AA141" s="54" t="s">
        <v>2</v>
      </c>
      <c r="AB141" s="54" t="s">
        <v>2</v>
      </c>
      <c r="AC141" s="54" t="s">
        <v>2</v>
      </c>
      <c r="AD141" s="54" t="s">
        <v>2</v>
      </c>
      <c r="AE141" s="54" t="s">
        <v>2</v>
      </c>
      <c r="AF141" s="54" t="s">
        <v>2</v>
      </c>
      <c r="AG141" s="54" t="s">
        <v>2</v>
      </c>
    </row>
    <row r="142" ht="15.75" customHeight="1">
      <c r="B142" s="56"/>
      <c r="F142" s="40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0"/>
      <c r="T142" s="40"/>
      <c r="U142" s="46" t="str">
        <f t="array" ref="U142">IF($D142="","",IFERROR(_xlfn.XLOOKUP($D142,'TIR店舗一覧'!$D:$D,'TIR店舗一覧'!$E:$E,""),""))</f>
        <v/>
      </c>
      <c r="V142" s="54" t="s">
        <v>2</v>
      </c>
      <c r="W142" s="54" t="s">
        <v>2</v>
      </c>
      <c r="X142" s="54" t="s">
        <v>2</v>
      </c>
      <c r="Y142" s="54" t="s">
        <v>2</v>
      </c>
      <c r="Z142" s="54" t="s">
        <v>2</v>
      </c>
      <c r="AA142" s="54" t="s">
        <v>2</v>
      </c>
      <c r="AB142" s="54" t="s">
        <v>2</v>
      </c>
      <c r="AC142" s="54" t="s">
        <v>2</v>
      </c>
      <c r="AD142" s="54" t="s">
        <v>2</v>
      </c>
      <c r="AE142" s="54" t="s">
        <v>2</v>
      </c>
      <c r="AF142" s="54" t="s">
        <v>2</v>
      </c>
      <c r="AG142" s="54" t="s">
        <v>2</v>
      </c>
    </row>
    <row r="143" ht="15.75" customHeight="1">
      <c r="B143" s="56"/>
      <c r="F143" s="40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0"/>
      <c r="T143" s="40"/>
      <c r="U143" s="46" t="str">
        <f t="array" ref="U143">IF($D143="","",IFERROR(_xlfn.XLOOKUP($D143,'TIR店舗一覧'!$D:$D,'TIR店舗一覧'!$E:$E,""),""))</f>
        <v/>
      </c>
      <c r="V143" s="54" t="s">
        <v>2</v>
      </c>
      <c r="W143" s="54" t="s">
        <v>2</v>
      </c>
      <c r="X143" s="54" t="s">
        <v>2</v>
      </c>
      <c r="Y143" s="54" t="s">
        <v>2</v>
      </c>
      <c r="Z143" s="54" t="s">
        <v>2</v>
      </c>
      <c r="AA143" s="54" t="s">
        <v>2</v>
      </c>
      <c r="AB143" s="54" t="s">
        <v>2</v>
      </c>
      <c r="AC143" s="54" t="s">
        <v>2</v>
      </c>
      <c r="AD143" s="54" t="s">
        <v>2</v>
      </c>
      <c r="AE143" s="54" t="s">
        <v>2</v>
      </c>
      <c r="AF143" s="54" t="s">
        <v>2</v>
      </c>
      <c r="AG143" s="54" t="s">
        <v>2</v>
      </c>
    </row>
    <row r="144" ht="15.75" customHeight="1">
      <c r="B144" s="56"/>
      <c r="F144" s="40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0"/>
      <c r="T144" s="40"/>
      <c r="U144" s="46" t="str">
        <f t="array" ref="U144">IF($D144="","",IFERROR(_xlfn.XLOOKUP($D144,'TIR店舗一覧'!$D:$D,'TIR店舗一覧'!$E:$E,""),""))</f>
        <v/>
      </c>
      <c r="V144" s="54" t="s">
        <v>2</v>
      </c>
      <c r="W144" s="54" t="s">
        <v>2</v>
      </c>
      <c r="X144" s="54" t="s">
        <v>2</v>
      </c>
      <c r="Y144" s="54" t="s">
        <v>2</v>
      </c>
      <c r="Z144" s="54" t="s">
        <v>2</v>
      </c>
      <c r="AA144" s="54" t="s">
        <v>2</v>
      </c>
      <c r="AB144" s="54" t="s">
        <v>2</v>
      </c>
      <c r="AC144" s="54" t="s">
        <v>2</v>
      </c>
      <c r="AD144" s="54" t="s">
        <v>2</v>
      </c>
      <c r="AE144" s="54" t="s">
        <v>2</v>
      </c>
      <c r="AF144" s="54" t="s">
        <v>2</v>
      </c>
      <c r="AG144" s="54" t="s">
        <v>2</v>
      </c>
    </row>
    <row r="145" ht="15.75" customHeight="1">
      <c r="B145" s="56"/>
      <c r="F145" s="40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0"/>
      <c r="T145" s="40"/>
      <c r="U145" s="46" t="str">
        <f t="array" ref="U145">IF($D145="","",IFERROR(_xlfn.XLOOKUP($D145,'TIR店舗一覧'!$D:$D,'TIR店舗一覧'!$E:$E,""),""))</f>
        <v/>
      </c>
      <c r="V145" s="54" t="s">
        <v>2</v>
      </c>
      <c r="W145" s="54" t="s">
        <v>2</v>
      </c>
      <c r="X145" s="54" t="s">
        <v>2</v>
      </c>
      <c r="Y145" s="54" t="s">
        <v>2</v>
      </c>
      <c r="Z145" s="54" t="s">
        <v>2</v>
      </c>
      <c r="AA145" s="54" t="s">
        <v>2</v>
      </c>
      <c r="AB145" s="54" t="s">
        <v>2</v>
      </c>
      <c r="AC145" s="54" t="s">
        <v>2</v>
      </c>
      <c r="AD145" s="54" t="s">
        <v>2</v>
      </c>
      <c r="AE145" s="54" t="s">
        <v>2</v>
      </c>
      <c r="AF145" s="54" t="s">
        <v>2</v>
      </c>
      <c r="AG145" s="54" t="s">
        <v>2</v>
      </c>
    </row>
    <row r="146" ht="15.75" customHeight="1">
      <c r="B146" s="56"/>
      <c r="F146" s="40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0"/>
      <c r="T146" s="40"/>
      <c r="U146" s="46" t="str">
        <f t="array" ref="U146">IF($D146="","",IFERROR(_xlfn.XLOOKUP($D146,'TIR店舗一覧'!$D:$D,'TIR店舗一覧'!$E:$E,""),""))</f>
        <v/>
      </c>
      <c r="V146" s="54" t="s">
        <v>2</v>
      </c>
      <c r="W146" s="54" t="s">
        <v>2</v>
      </c>
      <c r="X146" s="54" t="s">
        <v>2</v>
      </c>
      <c r="Y146" s="54" t="s">
        <v>2</v>
      </c>
      <c r="Z146" s="54" t="s">
        <v>2</v>
      </c>
      <c r="AA146" s="54" t="s">
        <v>2</v>
      </c>
      <c r="AB146" s="54" t="s">
        <v>2</v>
      </c>
      <c r="AC146" s="54" t="s">
        <v>2</v>
      </c>
      <c r="AD146" s="54" t="s">
        <v>2</v>
      </c>
      <c r="AE146" s="54" t="s">
        <v>2</v>
      </c>
      <c r="AF146" s="54" t="s">
        <v>2</v>
      </c>
      <c r="AG146" s="54" t="s">
        <v>2</v>
      </c>
    </row>
    <row r="147" ht="15.75" customHeight="1">
      <c r="B147" s="56"/>
      <c r="F147" s="40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0"/>
      <c r="T147" s="40"/>
      <c r="U147" s="46" t="str">
        <f t="array" ref="U147">IF($D147="","",IFERROR(_xlfn.XLOOKUP($D147,'TIR店舗一覧'!$D:$D,'TIR店舗一覧'!$E:$E,""),""))</f>
        <v/>
      </c>
      <c r="V147" s="54" t="s">
        <v>2</v>
      </c>
      <c r="W147" s="54" t="s">
        <v>2</v>
      </c>
      <c r="X147" s="54" t="s">
        <v>2</v>
      </c>
      <c r="Y147" s="54" t="s">
        <v>2</v>
      </c>
      <c r="Z147" s="54" t="s">
        <v>2</v>
      </c>
      <c r="AA147" s="54" t="s">
        <v>2</v>
      </c>
      <c r="AB147" s="54" t="s">
        <v>2</v>
      </c>
      <c r="AC147" s="54" t="s">
        <v>2</v>
      </c>
      <c r="AD147" s="54" t="s">
        <v>2</v>
      </c>
      <c r="AE147" s="54" t="s">
        <v>2</v>
      </c>
      <c r="AF147" s="54" t="s">
        <v>2</v>
      </c>
      <c r="AG147" s="54" t="s">
        <v>2</v>
      </c>
    </row>
    <row r="148" ht="15.75" customHeight="1">
      <c r="B148" s="56"/>
      <c r="F148" s="40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0"/>
      <c r="T148" s="40"/>
      <c r="U148" s="46" t="str">
        <f t="array" ref="U148">IF($D148="","",IFERROR(_xlfn.XLOOKUP($D148,'TIR店舗一覧'!$D:$D,'TIR店舗一覧'!$E:$E,""),""))</f>
        <v/>
      </c>
      <c r="V148" s="54" t="s">
        <v>2</v>
      </c>
      <c r="W148" s="54" t="s">
        <v>2</v>
      </c>
      <c r="X148" s="54" t="s">
        <v>2</v>
      </c>
      <c r="Y148" s="54" t="s">
        <v>2</v>
      </c>
      <c r="Z148" s="54" t="s">
        <v>2</v>
      </c>
      <c r="AA148" s="54" t="s">
        <v>2</v>
      </c>
      <c r="AB148" s="54" t="s">
        <v>2</v>
      </c>
      <c r="AC148" s="54" t="s">
        <v>2</v>
      </c>
      <c r="AD148" s="54" t="s">
        <v>2</v>
      </c>
      <c r="AE148" s="54" t="s">
        <v>2</v>
      </c>
      <c r="AF148" s="54" t="s">
        <v>2</v>
      </c>
      <c r="AG148" s="54" t="s">
        <v>2</v>
      </c>
    </row>
    <row r="149" ht="15.75" customHeight="1">
      <c r="B149" s="56"/>
      <c r="F149" s="40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0"/>
      <c r="T149" s="40"/>
      <c r="U149" s="46" t="str">
        <f t="array" ref="U149">IF($D149="","",IFERROR(_xlfn.XLOOKUP($D149,'TIR店舗一覧'!$D:$D,'TIR店舗一覧'!$E:$E,""),""))</f>
        <v/>
      </c>
      <c r="V149" s="54" t="s">
        <v>2</v>
      </c>
      <c r="W149" s="54" t="s">
        <v>2</v>
      </c>
      <c r="X149" s="54" t="s">
        <v>2</v>
      </c>
      <c r="Y149" s="54" t="s">
        <v>2</v>
      </c>
      <c r="Z149" s="54" t="s">
        <v>2</v>
      </c>
      <c r="AA149" s="54" t="s">
        <v>2</v>
      </c>
      <c r="AB149" s="54" t="s">
        <v>2</v>
      </c>
      <c r="AC149" s="54" t="s">
        <v>2</v>
      </c>
      <c r="AD149" s="54" t="s">
        <v>2</v>
      </c>
      <c r="AE149" s="54" t="s">
        <v>2</v>
      </c>
      <c r="AF149" s="54" t="s">
        <v>2</v>
      </c>
      <c r="AG149" s="54" t="s">
        <v>2</v>
      </c>
    </row>
    <row r="150" ht="15.75" customHeight="1">
      <c r="B150" s="56"/>
      <c r="F150" s="40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0"/>
      <c r="T150" s="40"/>
      <c r="U150" s="46" t="str">
        <f t="array" ref="U150">IF($D150="","",IFERROR(_xlfn.XLOOKUP($D150,'TIR店舗一覧'!$D:$D,'TIR店舗一覧'!$E:$E,""),""))</f>
        <v/>
      </c>
      <c r="V150" s="54" t="s">
        <v>2</v>
      </c>
      <c r="W150" s="54" t="s">
        <v>2</v>
      </c>
      <c r="X150" s="54" t="s">
        <v>2</v>
      </c>
      <c r="Y150" s="54" t="s">
        <v>2</v>
      </c>
      <c r="Z150" s="54" t="s">
        <v>2</v>
      </c>
      <c r="AA150" s="54" t="s">
        <v>2</v>
      </c>
      <c r="AB150" s="54" t="s">
        <v>2</v>
      </c>
      <c r="AC150" s="54" t="s">
        <v>2</v>
      </c>
      <c r="AD150" s="54" t="s">
        <v>2</v>
      </c>
      <c r="AE150" s="54" t="s">
        <v>2</v>
      </c>
      <c r="AF150" s="54" t="s">
        <v>2</v>
      </c>
      <c r="AG150" s="54" t="s">
        <v>2</v>
      </c>
    </row>
    <row r="151" ht="15.75" customHeight="1">
      <c r="B151" s="56"/>
      <c r="F151" s="40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0"/>
      <c r="T151" s="40"/>
      <c r="U151" s="46" t="str">
        <f t="array" ref="U151">IF($D151="","",IFERROR(_xlfn.XLOOKUP($D151,'TIR店舗一覧'!$D:$D,'TIR店舗一覧'!$E:$E,""),""))</f>
        <v/>
      </c>
      <c r="V151" s="54" t="s">
        <v>2</v>
      </c>
      <c r="W151" s="54" t="s">
        <v>2</v>
      </c>
      <c r="X151" s="54" t="s">
        <v>2</v>
      </c>
      <c r="Y151" s="54" t="s">
        <v>2</v>
      </c>
      <c r="Z151" s="54" t="s">
        <v>2</v>
      </c>
      <c r="AA151" s="54" t="s">
        <v>2</v>
      </c>
      <c r="AB151" s="54" t="s">
        <v>2</v>
      </c>
      <c r="AC151" s="54" t="s">
        <v>2</v>
      </c>
      <c r="AD151" s="54" t="s">
        <v>2</v>
      </c>
      <c r="AE151" s="54" t="s">
        <v>2</v>
      </c>
      <c r="AF151" s="54" t="s">
        <v>2</v>
      </c>
      <c r="AG151" s="54" t="s">
        <v>2</v>
      </c>
    </row>
    <row r="152" ht="15.75" customHeight="1">
      <c r="B152" s="56"/>
      <c r="F152" s="40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0"/>
      <c r="T152" s="40"/>
      <c r="U152" s="46" t="str">
        <f t="array" ref="U152">IF($D152="","",IFERROR(_xlfn.XLOOKUP($D152,'TIR店舗一覧'!$D:$D,'TIR店舗一覧'!$E:$E,""),""))</f>
        <v/>
      </c>
      <c r="V152" s="54" t="s">
        <v>2</v>
      </c>
      <c r="W152" s="54" t="s">
        <v>2</v>
      </c>
      <c r="X152" s="54" t="s">
        <v>2</v>
      </c>
      <c r="Y152" s="54" t="s">
        <v>2</v>
      </c>
      <c r="Z152" s="54" t="s">
        <v>2</v>
      </c>
      <c r="AA152" s="54" t="s">
        <v>2</v>
      </c>
      <c r="AB152" s="54" t="s">
        <v>2</v>
      </c>
      <c r="AC152" s="54" t="s">
        <v>2</v>
      </c>
      <c r="AD152" s="54" t="s">
        <v>2</v>
      </c>
      <c r="AE152" s="54" t="s">
        <v>2</v>
      </c>
      <c r="AF152" s="54" t="s">
        <v>2</v>
      </c>
      <c r="AG152" s="54" t="s">
        <v>2</v>
      </c>
    </row>
    <row r="153" ht="15.75" customHeight="1">
      <c r="B153" s="56"/>
      <c r="F153" s="40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0"/>
      <c r="T153" s="40"/>
      <c r="U153" s="46" t="str">
        <f t="array" ref="U153">IF($D153="","",IFERROR(_xlfn.XLOOKUP($D153,'TIR店舗一覧'!$D:$D,'TIR店舗一覧'!$E:$E,""),""))</f>
        <v/>
      </c>
      <c r="V153" s="54" t="s">
        <v>2</v>
      </c>
      <c r="W153" s="54" t="s">
        <v>2</v>
      </c>
      <c r="X153" s="54" t="s">
        <v>2</v>
      </c>
      <c r="Y153" s="54" t="s">
        <v>2</v>
      </c>
      <c r="Z153" s="54" t="s">
        <v>2</v>
      </c>
      <c r="AA153" s="54" t="s">
        <v>2</v>
      </c>
      <c r="AB153" s="54" t="s">
        <v>2</v>
      </c>
      <c r="AC153" s="54" t="s">
        <v>2</v>
      </c>
      <c r="AD153" s="54" t="s">
        <v>2</v>
      </c>
      <c r="AE153" s="54" t="s">
        <v>2</v>
      </c>
      <c r="AF153" s="54" t="s">
        <v>2</v>
      </c>
      <c r="AG153" s="54" t="s">
        <v>2</v>
      </c>
    </row>
    <row r="154" ht="15.75" customHeight="1">
      <c r="B154" s="56"/>
      <c r="F154" s="40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0"/>
      <c r="T154" s="40"/>
      <c r="U154" s="46" t="str">
        <f t="array" ref="U154">IF($D154="","",IFERROR(_xlfn.XLOOKUP($D154,'TIR店舗一覧'!$D:$D,'TIR店舗一覧'!$E:$E,""),""))</f>
        <v/>
      </c>
      <c r="V154" s="54" t="s">
        <v>2</v>
      </c>
      <c r="W154" s="54" t="s">
        <v>2</v>
      </c>
      <c r="X154" s="54" t="s">
        <v>2</v>
      </c>
      <c r="Y154" s="54" t="s">
        <v>2</v>
      </c>
      <c r="Z154" s="54" t="s">
        <v>2</v>
      </c>
      <c r="AA154" s="54" t="s">
        <v>2</v>
      </c>
      <c r="AB154" s="54" t="s">
        <v>2</v>
      </c>
      <c r="AC154" s="54" t="s">
        <v>2</v>
      </c>
      <c r="AD154" s="54" t="s">
        <v>2</v>
      </c>
      <c r="AE154" s="54" t="s">
        <v>2</v>
      </c>
      <c r="AF154" s="54" t="s">
        <v>2</v>
      </c>
      <c r="AG154" s="54" t="s">
        <v>2</v>
      </c>
    </row>
    <row r="155" ht="15.75" customHeight="1">
      <c r="B155" s="56"/>
      <c r="F155" s="40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0"/>
      <c r="T155" s="40"/>
      <c r="U155" s="46" t="str">
        <f t="array" ref="U155">IF($D155="","",IFERROR(_xlfn.XLOOKUP($D155,'TIR店舗一覧'!$D:$D,'TIR店舗一覧'!$E:$E,""),""))</f>
        <v/>
      </c>
      <c r="V155" s="54" t="s">
        <v>2</v>
      </c>
      <c r="W155" s="54" t="s">
        <v>2</v>
      </c>
      <c r="X155" s="54" t="s">
        <v>2</v>
      </c>
      <c r="Y155" s="54" t="s">
        <v>2</v>
      </c>
      <c r="Z155" s="54" t="s">
        <v>2</v>
      </c>
      <c r="AA155" s="54" t="s">
        <v>2</v>
      </c>
      <c r="AB155" s="54" t="s">
        <v>2</v>
      </c>
      <c r="AC155" s="54" t="s">
        <v>2</v>
      </c>
      <c r="AD155" s="54" t="s">
        <v>2</v>
      </c>
      <c r="AE155" s="54" t="s">
        <v>2</v>
      </c>
      <c r="AF155" s="54" t="s">
        <v>2</v>
      </c>
      <c r="AG155" s="54" t="s">
        <v>2</v>
      </c>
    </row>
    <row r="156" ht="15.75" customHeight="1">
      <c r="B156" s="56"/>
      <c r="F156" s="40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0"/>
      <c r="T156" s="40"/>
      <c r="U156" s="46" t="str">
        <f t="array" ref="U156">IF($D156="","",IFERROR(_xlfn.XLOOKUP($D156,'TIR店舗一覧'!$D:$D,'TIR店舗一覧'!$E:$E,""),""))</f>
        <v/>
      </c>
      <c r="V156" s="54" t="s">
        <v>2</v>
      </c>
      <c r="W156" s="54" t="s">
        <v>2</v>
      </c>
      <c r="X156" s="54" t="s">
        <v>2</v>
      </c>
      <c r="Y156" s="54" t="s">
        <v>2</v>
      </c>
      <c r="Z156" s="54" t="s">
        <v>2</v>
      </c>
      <c r="AA156" s="54" t="s">
        <v>2</v>
      </c>
      <c r="AB156" s="54" t="s">
        <v>2</v>
      </c>
      <c r="AC156" s="54" t="s">
        <v>2</v>
      </c>
      <c r="AD156" s="54" t="s">
        <v>2</v>
      </c>
      <c r="AE156" s="54" t="s">
        <v>2</v>
      </c>
      <c r="AF156" s="54" t="s">
        <v>2</v>
      </c>
      <c r="AG156" s="54" t="s">
        <v>2</v>
      </c>
    </row>
    <row r="157" ht="15.75" customHeight="1">
      <c r="B157" s="56"/>
      <c r="F157" s="40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0"/>
      <c r="T157" s="40"/>
      <c r="U157" s="46" t="str">
        <f t="array" ref="U157">IF($D157="","",IFERROR(_xlfn.XLOOKUP($D157,'TIR店舗一覧'!$D:$D,'TIR店舗一覧'!$E:$E,""),""))</f>
        <v/>
      </c>
      <c r="V157" s="54" t="s">
        <v>2</v>
      </c>
      <c r="W157" s="54" t="s">
        <v>2</v>
      </c>
      <c r="X157" s="54" t="s">
        <v>2</v>
      </c>
      <c r="Y157" s="54" t="s">
        <v>2</v>
      </c>
      <c r="Z157" s="54" t="s">
        <v>2</v>
      </c>
      <c r="AA157" s="54" t="s">
        <v>2</v>
      </c>
      <c r="AB157" s="54" t="s">
        <v>2</v>
      </c>
      <c r="AC157" s="54" t="s">
        <v>2</v>
      </c>
      <c r="AD157" s="54" t="s">
        <v>2</v>
      </c>
      <c r="AE157" s="54" t="s">
        <v>2</v>
      </c>
      <c r="AF157" s="54" t="s">
        <v>2</v>
      </c>
      <c r="AG157" s="54" t="s">
        <v>2</v>
      </c>
    </row>
    <row r="158" ht="15.75" customHeight="1">
      <c r="B158" s="56"/>
      <c r="F158" s="40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0"/>
      <c r="T158" s="40"/>
      <c r="U158" s="46" t="str">
        <f t="array" ref="U158">IF($D158="","",IFERROR(_xlfn.XLOOKUP($D158,'TIR店舗一覧'!$D:$D,'TIR店舗一覧'!$E:$E,""),""))</f>
        <v/>
      </c>
      <c r="V158" s="54" t="s">
        <v>2</v>
      </c>
      <c r="W158" s="54" t="s">
        <v>2</v>
      </c>
      <c r="X158" s="54" t="s">
        <v>2</v>
      </c>
      <c r="Y158" s="54" t="s">
        <v>2</v>
      </c>
      <c r="Z158" s="54" t="s">
        <v>2</v>
      </c>
      <c r="AA158" s="54" t="s">
        <v>2</v>
      </c>
      <c r="AB158" s="54" t="s">
        <v>2</v>
      </c>
      <c r="AC158" s="54" t="s">
        <v>2</v>
      </c>
      <c r="AD158" s="54" t="s">
        <v>2</v>
      </c>
      <c r="AE158" s="54" t="s">
        <v>2</v>
      </c>
      <c r="AF158" s="54" t="s">
        <v>2</v>
      </c>
      <c r="AG158" s="54" t="s">
        <v>2</v>
      </c>
    </row>
    <row r="159" ht="15.75" customHeight="1">
      <c r="B159" s="56"/>
      <c r="F159" s="40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0"/>
      <c r="T159" s="40"/>
      <c r="U159" s="46" t="str">
        <f t="array" ref="U159">IF($D159="","",IFERROR(_xlfn.XLOOKUP($D159,'TIR店舗一覧'!$D:$D,'TIR店舗一覧'!$E:$E,""),""))</f>
        <v/>
      </c>
      <c r="V159" s="54" t="s">
        <v>2</v>
      </c>
      <c r="W159" s="54" t="s">
        <v>2</v>
      </c>
      <c r="X159" s="54" t="s">
        <v>2</v>
      </c>
      <c r="Y159" s="54" t="s">
        <v>2</v>
      </c>
      <c r="Z159" s="54" t="s">
        <v>2</v>
      </c>
      <c r="AA159" s="54" t="s">
        <v>2</v>
      </c>
      <c r="AB159" s="54" t="s">
        <v>2</v>
      </c>
      <c r="AC159" s="54" t="s">
        <v>2</v>
      </c>
      <c r="AD159" s="54" t="s">
        <v>2</v>
      </c>
      <c r="AE159" s="54" t="s">
        <v>2</v>
      </c>
      <c r="AF159" s="54" t="s">
        <v>2</v>
      </c>
      <c r="AG159" s="54" t="s">
        <v>2</v>
      </c>
    </row>
    <row r="160" ht="15.75" customHeight="1">
      <c r="B160" s="56"/>
      <c r="F160" s="40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0"/>
      <c r="T160" s="40"/>
      <c r="U160" s="46" t="str">
        <f t="array" ref="U160">IF($D160="","",IFERROR(_xlfn.XLOOKUP($D160,'TIR店舗一覧'!$D:$D,'TIR店舗一覧'!$E:$E,""),""))</f>
        <v/>
      </c>
      <c r="V160" s="54" t="s">
        <v>2</v>
      </c>
      <c r="W160" s="54" t="s">
        <v>2</v>
      </c>
      <c r="X160" s="54" t="s">
        <v>2</v>
      </c>
      <c r="Y160" s="54" t="s">
        <v>2</v>
      </c>
      <c r="Z160" s="54" t="s">
        <v>2</v>
      </c>
      <c r="AA160" s="54" t="s">
        <v>2</v>
      </c>
      <c r="AB160" s="54" t="s">
        <v>2</v>
      </c>
      <c r="AC160" s="54" t="s">
        <v>2</v>
      </c>
      <c r="AD160" s="54" t="s">
        <v>2</v>
      </c>
      <c r="AE160" s="54" t="s">
        <v>2</v>
      </c>
      <c r="AF160" s="54" t="s">
        <v>2</v>
      </c>
      <c r="AG160" s="54" t="s">
        <v>2</v>
      </c>
    </row>
    <row r="161" ht="15.75" customHeight="1">
      <c r="B161" s="56"/>
      <c r="F161" s="40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0"/>
      <c r="T161" s="40"/>
      <c r="U161" s="46" t="str">
        <f t="array" ref="U161">IF($D161="","",IFERROR(_xlfn.XLOOKUP($D161,'TIR店舗一覧'!$D:$D,'TIR店舗一覧'!$E:$E,""),""))</f>
        <v/>
      </c>
      <c r="V161" s="54" t="s">
        <v>2</v>
      </c>
      <c r="W161" s="54" t="s">
        <v>2</v>
      </c>
      <c r="X161" s="54" t="s">
        <v>2</v>
      </c>
      <c r="Y161" s="54" t="s">
        <v>2</v>
      </c>
      <c r="Z161" s="54" t="s">
        <v>2</v>
      </c>
      <c r="AA161" s="54" t="s">
        <v>2</v>
      </c>
      <c r="AB161" s="54" t="s">
        <v>2</v>
      </c>
      <c r="AC161" s="54" t="s">
        <v>2</v>
      </c>
      <c r="AD161" s="54" t="s">
        <v>2</v>
      </c>
      <c r="AE161" s="54" t="s">
        <v>2</v>
      </c>
      <c r="AF161" s="54" t="s">
        <v>2</v>
      </c>
      <c r="AG161" s="54" t="s">
        <v>2</v>
      </c>
    </row>
    <row r="162" ht="15.75" customHeight="1">
      <c r="B162" s="56"/>
      <c r="F162" s="40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0"/>
      <c r="T162" s="40"/>
      <c r="U162" s="46" t="str">
        <f t="array" ref="U162">IF($D162="","",IFERROR(_xlfn.XLOOKUP($D162,'TIR店舗一覧'!$D:$D,'TIR店舗一覧'!$E:$E,""),""))</f>
        <v/>
      </c>
      <c r="V162" s="54" t="s">
        <v>2</v>
      </c>
      <c r="W162" s="54" t="s">
        <v>2</v>
      </c>
      <c r="X162" s="54" t="s">
        <v>2</v>
      </c>
      <c r="Y162" s="54" t="s">
        <v>2</v>
      </c>
      <c r="Z162" s="54" t="s">
        <v>2</v>
      </c>
      <c r="AA162" s="54" t="s">
        <v>2</v>
      </c>
      <c r="AB162" s="54" t="s">
        <v>2</v>
      </c>
      <c r="AC162" s="54" t="s">
        <v>2</v>
      </c>
      <c r="AD162" s="54" t="s">
        <v>2</v>
      </c>
      <c r="AE162" s="54" t="s">
        <v>2</v>
      </c>
      <c r="AF162" s="54" t="s">
        <v>2</v>
      </c>
      <c r="AG162" s="54" t="s">
        <v>2</v>
      </c>
    </row>
    <row r="163" ht="15.75" customHeight="1">
      <c r="B163" s="56"/>
      <c r="F163" s="40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0"/>
      <c r="T163" s="40"/>
      <c r="U163" s="46" t="str">
        <f t="array" ref="U163">IF($D163="","",IFERROR(_xlfn.XLOOKUP($D163,'TIR店舗一覧'!$D:$D,'TIR店舗一覧'!$E:$E,""),""))</f>
        <v/>
      </c>
      <c r="V163" s="54" t="s">
        <v>2</v>
      </c>
      <c r="W163" s="54" t="s">
        <v>2</v>
      </c>
      <c r="X163" s="54" t="s">
        <v>2</v>
      </c>
      <c r="Y163" s="54" t="s">
        <v>2</v>
      </c>
      <c r="Z163" s="54" t="s">
        <v>2</v>
      </c>
      <c r="AA163" s="54" t="s">
        <v>2</v>
      </c>
      <c r="AB163" s="54" t="s">
        <v>2</v>
      </c>
      <c r="AC163" s="54" t="s">
        <v>2</v>
      </c>
      <c r="AD163" s="54" t="s">
        <v>2</v>
      </c>
      <c r="AE163" s="54" t="s">
        <v>2</v>
      </c>
      <c r="AF163" s="54" t="s">
        <v>2</v>
      </c>
      <c r="AG163" s="54" t="s">
        <v>2</v>
      </c>
    </row>
    <row r="164" ht="15.75" customHeight="1">
      <c r="B164" s="56"/>
      <c r="F164" s="40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0"/>
      <c r="T164" s="40"/>
      <c r="U164" s="46" t="str">
        <f t="array" ref="U164">IF($D164="","",IFERROR(_xlfn.XLOOKUP($D164,'TIR店舗一覧'!$D:$D,'TIR店舗一覧'!$E:$E,""),""))</f>
        <v/>
      </c>
      <c r="V164" s="54" t="s">
        <v>2</v>
      </c>
      <c r="W164" s="54" t="s">
        <v>2</v>
      </c>
      <c r="X164" s="54" t="s">
        <v>2</v>
      </c>
      <c r="Y164" s="54" t="s">
        <v>2</v>
      </c>
      <c r="Z164" s="54" t="s">
        <v>2</v>
      </c>
      <c r="AA164" s="54" t="s">
        <v>2</v>
      </c>
      <c r="AB164" s="54" t="s">
        <v>2</v>
      </c>
      <c r="AC164" s="54" t="s">
        <v>2</v>
      </c>
      <c r="AD164" s="54" t="s">
        <v>2</v>
      </c>
      <c r="AE164" s="54" t="s">
        <v>2</v>
      </c>
      <c r="AF164" s="54" t="s">
        <v>2</v>
      </c>
      <c r="AG164" s="54" t="s">
        <v>2</v>
      </c>
    </row>
    <row r="165" ht="15.75" customHeight="1">
      <c r="B165" s="56"/>
      <c r="F165" s="40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0"/>
      <c r="T165" s="40"/>
      <c r="U165" s="46" t="str">
        <f t="array" ref="U165">IF($D165="","",IFERROR(_xlfn.XLOOKUP($D165,'TIR店舗一覧'!$D:$D,'TIR店舗一覧'!$E:$E,""),""))</f>
        <v/>
      </c>
      <c r="V165" s="54" t="s">
        <v>2</v>
      </c>
      <c r="W165" s="54" t="s">
        <v>2</v>
      </c>
      <c r="X165" s="54" t="s">
        <v>2</v>
      </c>
      <c r="Y165" s="54" t="s">
        <v>2</v>
      </c>
      <c r="Z165" s="54" t="s">
        <v>2</v>
      </c>
      <c r="AA165" s="54" t="s">
        <v>2</v>
      </c>
      <c r="AB165" s="54" t="s">
        <v>2</v>
      </c>
      <c r="AC165" s="54" t="s">
        <v>2</v>
      </c>
      <c r="AD165" s="54" t="s">
        <v>2</v>
      </c>
      <c r="AE165" s="54" t="s">
        <v>2</v>
      </c>
      <c r="AF165" s="54" t="s">
        <v>2</v>
      </c>
      <c r="AG165" s="54" t="s">
        <v>2</v>
      </c>
    </row>
    <row r="166" ht="15.75" customHeight="1">
      <c r="B166" s="56"/>
      <c r="F166" s="40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0"/>
      <c r="T166" s="40"/>
      <c r="U166" s="46" t="str">
        <f t="array" ref="U166">IF($D166="","",IFERROR(_xlfn.XLOOKUP($D166,'TIR店舗一覧'!$D:$D,'TIR店舗一覧'!$E:$E,""),""))</f>
        <v/>
      </c>
      <c r="V166" s="54" t="s">
        <v>2</v>
      </c>
      <c r="W166" s="54" t="s">
        <v>2</v>
      </c>
      <c r="X166" s="54" t="s">
        <v>2</v>
      </c>
      <c r="Y166" s="54" t="s">
        <v>2</v>
      </c>
      <c r="Z166" s="54" t="s">
        <v>2</v>
      </c>
      <c r="AA166" s="54" t="s">
        <v>2</v>
      </c>
      <c r="AB166" s="54" t="s">
        <v>2</v>
      </c>
      <c r="AC166" s="54" t="s">
        <v>2</v>
      </c>
      <c r="AD166" s="54" t="s">
        <v>2</v>
      </c>
      <c r="AE166" s="54" t="s">
        <v>2</v>
      </c>
      <c r="AF166" s="54" t="s">
        <v>2</v>
      </c>
      <c r="AG166" s="54" t="s">
        <v>2</v>
      </c>
    </row>
    <row r="167" ht="15.75" customHeight="1">
      <c r="B167" s="56"/>
      <c r="F167" s="40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0"/>
      <c r="T167" s="40"/>
      <c r="U167" s="46" t="str">
        <f t="array" ref="U167">IF($D167="","",IFERROR(_xlfn.XLOOKUP($D167,'TIR店舗一覧'!$D:$D,'TIR店舗一覧'!$E:$E,""),""))</f>
        <v/>
      </c>
      <c r="V167" s="54" t="s">
        <v>2</v>
      </c>
      <c r="W167" s="54" t="s">
        <v>2</v>
      </c>
      <c r="X167" s="54" t="s">
        <v>2</v>
      </c>
      <c r="Y167" s="54" t="s">
        <v>2</v>
      </c>
      <c r="Z167" s="54" t="s">
        <v>2</v>
      </c>
      <c r="AA167" s="54" t="s">
        <v>2</v>
      </c>
      <c r="AB167" s="54" t="s">
        <v>2</v>
      </c>
      <c r="AC167" s="54" t="s">
        <v>2</v>
      </c>
      <c r="AD167" s="54" t="s">
        <v>2</v>
      </c>
      <c r="AE167" s="54" t="s">
        <v>2</v>
      </c>
      <c r="AF167" s="54" t="s">
        <v>2</v>
      </c>
      <c r="AG167" s="54" t="s">
        <v>2</v>
      </c>
    </row>
    <row r="168" ht="15.75" customHeight="1">
      <c r="B168" s="56"/>
      <c r="F168" s="40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0"/>
      <c r="T168" s="40"/>
      <c r="U168" s="46" t="str">
        <f t="array" ref="U168">IF($D168="","",IFERROR(_xlfn.XLOOKUP($D168,'TIR店舗一覧'!$D:$D,'TIR店舗一覧'!$E:$E,""),""))</f>
        <v/>
      </c>
      <c r="V168" s="54" t="s">
        <v>2</v>
      </c>
      <c r="W168" s="54" t="s">
        <v>2</v>
      </c>
      <c r="X168" s="54" t="s">
        <v>2</v>
      </c>
      <c r="Y168" s="54" t="s">
        <v>2</v>
      </c>
      <c r="Z168" s="54" t="s">
        <v>2</v>
      </c>
      <c r="AA168" s="54" t="s">
        <v>2</v>
      </c>
      <c r="AB168" s="54" t="s">
        <v>2</v>
      </c>
      <c r="AC168" s="54" t="s">
        <v>2</v>
      </c>
      <c r="AD168" s="54" t="s">
        <v>2</v>
      </c>
      <c r="AE168" s="54" t="s">
        <v>2</v>
      </c>
      <c r="AF168" s="54" t="s">
        <v>2</v>
      </c>
      <c r="AG168" s="54" t="s">
        <v>2</v>
      </c>
    </row>
    <row r="169" ht="15.75" customHeight="1">
      <c r="B169" s="56"/>
      <c r="F169" s="40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0"/>
      <c r="T169" s="40"/>
      <c r="U169" s="46" t="str">
        <f t="array" ref="U169">IF($D169="","",IFERROR(_xlfn.XLOOKUP($D169,'TIR店舗一覧'!$D:$D,'TIR店舗一覧'!$E:$E,""),""))</f>
        <v/>
      </c>
      <c r="V169" s="54" t="s">
        <v>2</v>
      </c>
      <c r="W169" s="54" t="s">
        <v>2</v>
      </c>
      <c r="X169" s="54" t="s">
        <v>2</v>
      </c>
      <c r="Y169" s="54" t="s">
        <v>2</v>
      </c>
      <c r="Z169" s="54" t="s">
        <v>2</v>
      </c>
      <c r="AA169" s="54" t="s">
        <v>2</v>
      </c>
      <c r="AB169" s="54" t="s">
        <v>2</v>
      </c>
      <c r="AC169" s="54" t="s">
        <v>2</v>
      </c>
      <c r="AD169" s="54" t="s">
        <v>2</v>
      </c>
      <c r="AE169" s="54" t="s">
        <v>2</v>
      </c>
      <c r="AF169" s="54" t="s">
        <v>2</v>
      </c>
      <c r="AG169" s="54" t="s">
        <v>2</v>
      </c>
    </row>
    <row r="170" ht="15.75" customHeight="1">
      <c r="B170" s="56"/>
      <c r="F170" s="40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0"/>
      <c r="T170" s="40"/>
      <c r="U170" s="46" t="str">
        <f t="array" ref="U170">IF($D170="","",IFERROR(_xlfn.XLOOKUP($D170,'TIR店舗一覧'!$D:$D,'TIR店舗一覧'!$E:$E,""),""))</f>
        <v/>
      </c>
      <c r="V170" s="54" t="s">
        <v>2</v>
      </c>
      <c r="W170" s="54" t="s">
        <v>2</v>
      </c>
      <c r="X170" s="54" t="s">
        <v>2</v>
      </c>
      <c r="Y170" s="54" t="s">
        <v>2</v>
      </c>
      <c r="Z170" s="54" t="s">
        <v>2</v>
      </c>
      <c r="AA170" s="54" t="s">
        <v>2</v>
      </c>
      <c r="AB170" s="54" t="s">
        <v>2</v>
      </c>
      <c r="AC170" s="54" t="s">
        <v>2</v>
      </c>
      <c r="AD170" s="54" t="s">
        <v>2</v>
      </c>
      <c r="AE170" s="54" t="s">
        <v>2</v>
      </c>
      <c r="AF170" s="54" t="s">
        <v>2</v>
      </c>
      <c r="AG170" s="54" t="s">
        <v>2</v>
      </c>
    </row>
    <row r="171" ht="15.75" customHeight="1">
      <c r="B171" s="56"/>
      <c r="F171" s="40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0"/>
      <c r="T171" s="40"/>
      <c r="U171" s="46" t="str">
        <f t="array" ref="U171">IF($D171="","",IFERROR(_xlfn.XLOOKUP($D171,'TIR店舗一覧'!$D:$D,'TIR店舗一覧'!$E:$E,""),""))</f>
        <v/>
      </c>
      <c r="V171" s="54" t="s">
        <v>2</v>
      </c>
      <c r="W171" s="54" t="s">
        <v>2</v>
      </c>
      <c r="X171" s="54" t="s">
        <v>2</v>
      </c>
      <c r="Y171" s="54" t="s">
        <v>2</v>
      </c>
      <c r="Z171" s="54" t="s">
        <v>2</v>
      </c>
      <c r="AA171" s="54" t="s">
        <v>2</v>
      </c>
      <c r="AB171" s="54" t="s">
        <v>2</v>
      </c>
      <c r="AC171" s="54" t="s">
        <v>2</v>
      </c>
      <c r="AD171" s="54" t="s">
        <v>2</v>
      </c>
      <c r="AE171" s="54" t="s">
        <v>2</v>
      </c>
      <c r="AF171" s="54" t="s">
        <v>2</v>
      </c>
      <c r="AG171" s="54" t="s">
        <v>2</v>
      </c>
    </row>
    <row r="172" ht="15.75" customHeight="1">
      <c r="B172" s="56"/>
      <c r="F172" s="40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0"/>
      <c r="T172" s="40"/>
      <c r="U172" s="46" t="str">
        <f t="array" ref="U172">IF($D172="","",IFERROR(_xlfn.XLOOKUP($D172,'TIR店舗一覧'!$D:$D,'TIR店舗一覧'!$E:$E,""),""))</f>
        <v/>
      </c>
      <c r="V172" s="54" t="s">
        <v>2</v>
      </c>
      <c r="W172" s="54" t="s">
        <v>2</v>
      </c>
      <c r="X172" s="54" t="s">
        <v>2</v>
      </c>
      <c r="Y172" s="54" t="s">
        <v>2</v>
      </c>
      <c r="Z172" s="54" t="s">
        <v>2</v>
      </c>
      <c r="AA172" s="54" t="s">
        <v>2</v>
      </c>
      <c r="AB172" s="54" t="s">
        <v>2</v>
      </c>
      <c r="AC172" s="54" t="s">
        <v>2</v>
      </c>
      <c r="AD172" s="54" t="s">
        <v>2</v>
      </c>
      <c r="AE172" s="54" t="s">
        <v>2</v>
      </c>
      <c r="AF172" s="54" t="s">
        <v>2</v>
      </c>
      <c r="AG172" s="54" t="s">
        <v>2</v>
      </c>
    </row>
    <row r="173" ht="15.75" customHeight="1">
      <c r="B173" s="56"/>
      <c r="F173" s="40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0"/>
      <c r="T173" s="40"/>
      <c r="U173" s="46" t="str">
        <f t="array" ref="U173">IF($D173="","",IFERROR(_xlfn.XLOOKUP($D173,'TIR店舗一覧'!$D:$D,'TIR店舗一覧'!$E:$E,""),""))</f>
        <v/>
      </c>
      <c r="V173" s="54" t="s">
        <v>2</v>
      </c>
      <c r="W173" s="54" t="s">
        <v>2</v>
      </c>
      <c r="X173" s="54" t="s">
        <v>2</v>
      </c>
      <c r="Y173" s="54" t="s">
        <v>2</v>
      </c>
      <c r="Z173" s="54" t="s">
        <v>2</v>
      </c>
      <c r="AA173" s="54" t="s">
        <v>2</v>
      </c>
      <c r="AB173" s="54" t="s">
        <v>2</v>
      </c>
      <c r="AC173" s="54" t="s">
        <v>2</v>
      </c>
      <c r="AD173" s="54" t="s">
        <v>2</v>
      </c>
      <c r="AE173" s="54" t="s">
        <v>2</v>
      </c>
      <c r="AF173" s="54" t="s">
        <v>2</v>
      </c>
      <c r="AG173" s="54" t="s">
        <v>2</v>
      </c>
    </row>
    <row r="174" ht="15.75" customHeight="1">
      <c r="B174" s="56"/>
      <c r="F174" s="40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0"/>
      <c r="T174" s="40"/>
      <c r="U174" s="46" t="str">
        <f t="array" ref="U174">IF($D174="","",IFERROR(_xlfn.XLOOKUP($D174,'TIR店舗一覧'!$D:$D,'TIR店舗一覧'!$E:$E,""),""))</f>
        <v/>
      </c>
      <c r="V174" s="54" t="s">
        <v>2</v>
      </c>
      <c r="W174" s="54" t="s">
        <v>2</v>
      </c>
      <c r="X174" s="54" t="s">
        <v>2</v>
      </c>
      <c r="Y174" s="54" t="s">
        <v>2</v>
      </c>
      <c r="Z174" s="54" t="s">
        <v>2</v>
      </c>
      <c r="AA174" s="54" t="s">
        <v>2</v>
      </c>
      <c r="AB174" s="54" t="s">
        <v>2</v>
      </c>
      <c r="AC174" s="54" t="s">
        <v>2</v>
      </c>
      <c r="AD174" s="54" t="s">
        <v>2</v>
      </c>
      <c r="AE174" s="54" t="s">
        <v>2</v>
      </c>
      <c r="AF174" s="54" t="s">
        <v>2</v>
      </c>
      <c r="AG174" s="54" t="s">
        <v>2</v>
      </c>
    </row>
    <row r="175" ht="15.75" customHeight="1">
      <c r="B175" s="56"/>
      <c r="F175" s="40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0"/>
      <c r="T175" s="40"/>
      <c r="U175" s="46" t="str">
        <f t="array" ref="U175">IF($D175="","",IFERROR(_xlfn.XLOOKUP($D175,'TIR店舗一覧'!$D:$D,'TIR店舗一覧'!$E:$E,""),""))</f>
        <v/>
      </c>
      <c r="V175" s="54" t="s">
        <v>2</v>
      </c>
      <c r="W175" s="54" t="s">
        <v>2</v>
      </c>
      <c r="X175" s="54" t="s">
        <v>2</v>
      </c>
      <c r="Y175" s="54" t="s">
        <v>2</v>
      </c>
      <c r="Z175" s="54" t="s">
        <v>2</v>
      </c>
      <c r="AA175" s="54" t="s">
        <v>2</v>
      </c>
      <c r="AB175" s="54" t="s">
        <v>2</v>
      </c>
      <c r="AC175" s="54" t="s">
        <v>2</v>
      </c>
      <c r="AD175" s="54" t="s">
        <v>2</v>
      </c>
      <c r="AE175" s="54" t="s">
        <v>2</v>
      </c>
      <c r="AF175" s="54" t="s">
        <v>2</v>
      </c>
      <c r="AG175" s="54" t="s">
        <v>2</v>
      </c>
    </row>
    <row r="176" ht="15.75" customHeight="1">
      <c r="B176" s="56"/>
      <c r="F176" s="40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0"/>
      <c r="T176" s="40"/>
      <c r="U176" s="46" t="str">
        <f t="array" ref="U176">IF($D176="","",IFERROR(_xlfn.XLOOKUP($D176,'TIR店舗一覧'!$D:$D,'TIR店舗一覧'!$E:$E,""),""))</f>
        <v/>
      </c>
      <c r="V176" s="54" t="s">
        <v>2</v>
      </c>
      <c r="W176" s="54" t="s">
        <v>2</v>
      </c>
      <c r="X176" s="54" t="s">
        <v>2</v>
      </c>
      <c r="Y176" s="54" t="s">
        <v>2</v>
      </c>
      <c r="Z176" s="54" t="s">
        <v>2</v>
      </c>
      <c r="AA176" s="54" t="s">
        <v>2</v>
      </c>
      <c r="AB176" s="54" t="s">
        <v>2</v>
      </c>
      <c r="AC176" s="54" t="s">
        <v>2</v>
      </c>
      <c r="AD176" s="54" t="s">
        <v>2</v>
      </c>
      <c r="AE176" s="54" t="s">
        <v>2</v>
      </c>
      <c r="AF176" s="54" t="s">
        <v>2</v>
      </c>
      <c r="AG176" s="54" t="s">
        <v>2</v>
      </c>
    </row>
    <row r="177" ht="15.75" customHeight="1">
      <c r="B177" s="56"/>
      <c r="F177" s="40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0"/>
      <c r="T177" s="40"/>
      <c r="U177" s="46" t="str">
        <f t="array" ref="U177">IF($D177="","",IFERROR(_xlfn.XLOOKUP($D177,'TIR店舗一覧'!$D:$D,'TIR店舗一覧'!$E:$E,""),""))</f>
        <v/>
      </c>
      <c r="V177" s="54" t="s">
        <v>2</v>
      </c>
      <c r="W177" s="54" t="s">
        <v>2</v>
      </c>
      <c r="X177" s="54" t="s">
        <v>2</v>
      </c>
      <c r="Y177" s="54" t="s">
        <v>2</v>
      </c>
      <c r="Z177" s="54" t="s">
        <v>2</v>
      </c>
      <c r="AA177" s="54" t="s">
        <v>2</v>
      </c>
      <c r="AB177" s="54" t="s">
        <v>2</v>
      </c>
      <c r="AC177" s="54" t="s">
        <v>2</v>
      </c>
      <c r="AD177" s="54" t="s">
        <v>2</v>
      </c>
      <c r="AE177" s="54" t="s">
        <v>2</v>
      </c>
      <c r="AF177" s="54" t="s">
        <v>2</v>
      </c>
      <c r="AG177" s="54" t="s">
        <v>2</v>
      </c>
    </row>
    <row r="178" ht="15.75" customHeight="1">
      <c r="B178" s="56"/>
      <c r="F178" s="40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0"/>
      <c r="T178" s="40"/>
      <c r="U178" s="46" t="str">
        <f t="array" ref="U178">IF($D178="","",IFERROR(_xlfn.XLOOKUP($D178,'TIR店舗一覧'!$D:$D,'TIR店舗一覧'!$E:$E,""),""))</f>
        <v/>
      </c>
      <c r="V178" s="54" t="s">
        <v>2</v>
      </c>
      <c r="W178" s="54" t="s">
        <v>2</v>
      </c>
      <c r="X178" s="54" t="s">
        <v>2</v>
      </c>
      <c r="Y178" s="54" t="s">
        <v>2</v>
      </c>
      <c r="Z178" s="54" t="s">
        <v>2</v>
      </c>
      <c r="AA178" s="54" t="s">
        <v>2</v>
      </c>
      <c r="AB178" s="54" t="s">
        <v>2</v>
      </c>
      <c r="AC178" s="54" t="s">
        <v>2</v>
      </c>
      <c r="AD178" s="54" t="s">
        <v>2</v>
      </c>
      <c r="AE178" s="54" t="s">
        <v>2</v>
      </c>
      <c r="AF178" s="54" t="s">
        <v>2</v>
      </c>
      <c r="AG178" s="54" t="s">
        <v>2</v>
      </c>
    </row>
    <row r="179" ht="15.75" customHeight="1">
      <c r="B179" s="56"/>
      <c r="F179" s="40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0"/>
      <c r="T179" s="40"/>
      <c r="U179" s="46" t="str">
        <f t="array" ref="U179">IF($D179="","",IFERROR(_xlfn.XLOOKUP($D179,'TIR店舗一覧'!$D:$D,'TIR店舗一覧'!$E:$E,""),""))</f>
        <v/>
      </c>
      <c r="V179" s="54" t="s">
        <v>2</v>
      </c>
      <c r="W179" s="54" t="s">
        <v>2</v>
      </c>
      <c r="X179" s="54" t="s">
        <v>2</v>
      </c>
      <c r="Y179" s="54" t="s">
        <v>2</v>
      </c>
      <c r="Z179" s="54" t="s">
        <v>2</v>
      </c>
      <c r="AA179" s="54" t="s">
        <v>2</v>
      </c>
      <c r="AB179" s="54" t="s">
        <v>2</v>
      </c>
      <c r="AC179" s="54" t="s">
        <v>2</v>
      </c>
      <c r="AD179" s="54" t="s">
        <v>2</v>
      </c>
      <c r="AE179" s="54" t="s">
        <v>2</v>
      </c>
      <c r="AF179" s="54" t="s">
        <v>2</v>
      </c>
      <c r="AG179" s="54" t="s">
        <v>2</v>
      </c>
    </row>
    <row r="180" ht="15.75" customHeight="1">
      <c r="B180" s="56"/>
      <c r="F180" s="40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0"/>
      <c r="T180" s="40"/>
      <c r="U180" s="46" t="str">
        <f t="array" ref="U180">IF($D180="","",IFERROR(_xlfn.XLOOKUP($D180,'TIR店舗一覧'!$D:$D,'TIR店舗一覧'!$E:$E,""),""))</f>
        <v/>
      </c>
      <c r="V180" s="54" t="s">
        <v>2</v>
      </c>
      <c r="W180" s="54" t="s">
        <v>2</v>
      </c>
      <c r="X180" s="54" t="s">
        <v>2</v>
      </c>
      <c r="Y180" s="54" t="s">
        <v>2</v>
      </c>
      <c r="Z180" s="54" t="s">
        <v>2</v>
      </c>
      <c r="AA180" s="54" t="s">
        <v>2</v>
      </c>
      <c r="AB180" s="54" t="s">
        <v>2</v>
      </c>
      <c r="AC180" s="54" t="s">
        <v>2</v>
      </c>
      <c r="AD180" s="54" t="s">
        <v>2</v>
      </c>
      <c r="AE180" s="54" t="s">
        <v>2</v>
      </c>
      <c r="AF180" s="54" t="s">
        <v>2</v>
      </c>
      <c r="AG180" s="54" t="s">
        <v>2</v>
      </c>
    </row>
    <row r="181" ht="15.75" customHeight="1">
      <c r="B181" s="56"/>
      <c r="F181" s="40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0"/>
      <c r="T181" s="40"/>
      <c r="U181" s="46" t="str">
        <f t="array" ref="U181">IF($D181="","",IFERROR(_xlfn.XLOOKUP($D181,'TIR店舗一覧'!$D:$D,'TIR店舗一覧'!$E:$E,""),""))</f>
        <v/>
      </c>
      <c r="V181" s="54" t="s">
        <v>2</v>
      </c>
      <c r="W181" s="54" t="s">
        <v>2</v>
      </c>
      <c r="X181" s="54" t="s">
        <v>2</v>
      </c>
      <c r="Y181" s="54" t="s">
        <v>2</v>
      </c>
      <c r="Z181" s="54" t="s">
        <v>2</v>
      </c>
      <c r="AA181" s="54" t="s">
        <v>2</v>
      </c>
      <c r="AB181" s="54" t="s">
        <v>2</v>
      </c>
      <c r="AC181" s="54" t="s">
        <v>2</v>
      </c>
      <c r="AD181" s="54" t="s">
        <v>2</v>
      </c>
      <c r="AE181" s="54" t="s">
        <v>2</v>
      </c>
      <c r="AF181" s="54" t="s">
        <v>2</v>
      </c>
      <c r="AG181" s="54" t="s">
        <v>2</v>
      </c>
    </row>
    <row r="182" ht="15.75" customHeight="1">
      <c r="B182" s="56"/>
      <c r="F182" s="40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0"/>
      <c r="T182" s="40"/>
      <c r="U182" s="46" t="str">
        <f t="array" ref="U182">IF($D182="","",IFERROR(_xlfn.XLOOKUP($D182,'TIR店舗一覧'!$D:$D,'TIR店舗一覧'!$E:$E,""),""))</f>
        <v/>
      </c>
      <c r="V182" s="54" t="s">
        <v>2</v>
      </c>
      <c r="W182" s="54" t="s">
        <v>2</v>
      </c>
      <c r="X182" s="54" t="s">
        <v>2</v>
      </c>
      <c r="Y182" s="54" t="s">
        <v>2</v>
      </c>
      <c r="Z182" s="54" t="s">
        <v>2</v>
      </c>
      <c r="AA182" s="54" t="s">
        <v>2</v>
      </c>
      <c r="AB182" s="54" t="s">
        <v>2</v>
      </c>
      <c r="AC182" s="54" t="s">
        <v>2</v>
      </c>
      <c r="AD182" s="54" t="s">
        <v>2</v>
      </c>
      <c r="AE182" s="54" t="s">
        <v>2</v>
      </c>
      <c r="AF182" s="54" t="s">
        <v>2</v>
      </c>
      <c r="AG182" s="54" t="s">
        <v>2</v>
      </c>
    </row>
    <row r="183" ht="15.75" customHeight="1">
      <c r="B183" s="56"/>
      <c r="F183" s="40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0"/>
      <c r="T183" s="40"/>
      <c r="U183" s="46" t="str">
        <f t="array" ref="U183">IF($D183="","",IFERROR(_xlfn.XLOOKUP($D183,'TIR店舗一覧'!$D:$D,'TIR店舗一覧'!$E:$E,""),""))</f>
        <v/>
      </c>
      <c r="V183" s="54" t="s">
        <v>2</v>
      </c>
      <c r="W183" s="54" t="s">
        <v>2</v>
      </c>
      <c r="X183" s="54" t="s">
        <v>2</v>
      </c>
      <c r="Y183" s="54" t="s">
        <v>2</v>
      </c>
      <c r="Z183" s="54" t="s">
        <v>2</v>
      </c>
      <c r="AA183" s="54" t="s">
        <v>2</v>
      </c>
      <c r="AB183" s="54" t="s">
        <v>2</v>
      </c>
      <c r="AC183" s="54" t="s">
        <v>2</v>
      </c>
      <c r="AD183" s="54" t="s">
        <v>2</v>
      </c>
      <c r="AE183" s="54" t="s">
        <v>2</v>
      </c>
      <c r="AF183" s="54" t="s">
        <v>2</v>
      </c>
      <c r="AG183" s="54" t="s">
        <v>2</v>
      </c>
    </row>
    <row r="184" ht="15.75" customHeight="1">
      <c r="B184" s="56"/>
      <c r="F184" s="40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0"/>
      <c r="T184" s="40"/>
      <c r="U184" s="46" t="str">
        <f t="array" ref="U184">IF($D184="","",IFERROR(_xlfn.XLOOKUP($D184,'TIR店舗一覧'!$D:$D,'TIR店舗一覧'!$E:$E,""),""))</f>
        <v/>
      </c>
      <c r="V184" s="54" t="s">
        <v>2</v>
      </c>
      <c r="W184" s="54" t="s">
        <v>2</v>
      </c>
      <c r="X184" s="54" t="s">
        <v>2</v>
      </c>
      <c r="Y184" s="54" t="s">
        <v>2</v>
      </c>
      <c r="Z184" s="54" t="s">
        <v>2</v>
      </c>
      <c r="AA184" s="54" t="s">
        <v>2</v>
      </c>
      <c r="AB184" s="54" t="s">
        <v>2</v>
      </c>
      <c r="AC184" s="54" t="s">
        <v>2</v>
      </c>
      <c r="AD184" s="54" t="s">
        <v>2</v>
      </c>
      <c r="AE184" s="54" t="s">
        <v>2</v>
      </c>
      <c r="AF184" s="54" t="s">
        <v>2</v>
      </c>
      <c r="AG184" s="54" t="s">
        <v>2</v>
      </c>
    </row>
    <row r="185" ht="15.75" customHeight="1">
      <c r="B185" s="56"/>
      <c r="F185" s="40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0"/>
      <c r="T185" s="40"/>
      <c r="U185" s="46" t="str">
        <f t="array" ref="U185">IF($D185="","",IFERROR(_xlfn.XLOOKUP($D185,'TIR店舗一覧'!$D:$D,'TIR店舗一覧'!$E:$E,""),""))</f>
        <v/>
      </c>
      <c r="V185" s="54" t="s">
        <v>2</v>
      </c>
      <c r="W185" s="54" t="s">
        <v>2</v>
      </c>
      <c r="X185" s="54" t="s">
        <v>2</v>
      </c>
      <c r="Y185" s="54" t="s">
        <v>2</v>
      </c>
      <c r="Z185" s="54" t="s">
        <v>2</v>
      </c>
      <c r="AA185" s="54" t="s">
        <v>2</v>
      </c>
      <c r="AB185" s="54" t="s">
        <v>2</v>
      </c>
      <c r="AC185" s="54" t="s">
        <v>2</v>
      </c>
      <c r="AD185" s="54" t="s">
        <v>2</v>
      </c>
      <c r="AE185" s="54" t="s">
        <v>2</v>
      </c>
      <c r="AF185" s="54" t="s">
        <v>2</v>
      </c>
      <c r="AG185" s="54" t="s">
        <v>2</v>
      </c>
    </row>
    <row r="186" ht="15.75" customHeight="1">
      <c r="B186" s="56"/>
      <c r="F186" s="40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0"/>
      <c r="T186" s="40"/>
      <c r="U186" s="46" t="str">
        <f t="array" ref="U186">IF($D186="","",IFERROR(_xlfn.XLOOKUP($D186,'TIR店舗一覧'!$D:$D,'TIR店舗一覧'!$E:$E,""),""))</f>
        <v/>
      </c>
      <c r="V186" s="54" t="s">
        <v>2</v>
      </c>
      <c r="W186" s="54" t="s">
        <v>2</v>
      </c>
      <c r="X186" s="54" t="s">
        <v>2</v>
      </c>
      <c r="Y186" s="54" t="s">
        <v>2</v>
      </c>
      <c r="Z186" s="54" t="s">
        <v>2</v>
      </c>
      <c r="AA186" s="54" t="s">
        <v>2</v>
      </c>
      <c r="AB186" s="54" t="s">
        <v>2</v>
      </c>
      <c r="AC186" s="54" t="s">
        <v>2</v>
      </c>
      <c r="AD186" s="54" t="s">
        <v>2</v>
      </c>
      <c r="AE186" s="54" t="s">
        <v>2</v>
      </c>
      <c r="AF186" s="54" t="s">
        <v>2</v>
      </c>
      <c r="AG186" s="54" t="s">
        <v>2</v>
      </c>
    </row>
    <row r="187" ht="15.75" customHeight="1">
      <c r="B187" s="56"/>
      <c r="F187" s="40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0"/>
      <c r="T187" s="40"/>
      <c r="U187" s="46" t="str">
        <f t="array" ref="U187">IF($D187="","",IFERROR(_xlfn.XLOOKUP($D187,'TIR店舗一覧'!$D:$D,'TIR店舗一覧'!$E:$E,""),""))</f>
        <v/>
      </c>
      <c r="V187" s="54" t="s">
        <v>2</v>
      </c>
      <c r="W187" s="54" t="s">
        <v>2</v>
      </c>
      <c r="X187" s="54" t="s">
        <v>2</v>
      </c>
      <c r="Y187" s="54" t="s">
        <v>2</v>
      </c>
      <c r="Z187" s="54" t="s">
        <v>2</v>
      </c>
      <c r="AA187" s="54" t="s">
        <v>2</v>
      </c>
      <c r="AB187" s="54" t="s">
        <v>2</v>
      </c>
      <c r="AC187" s="54" t="s">
        <v>2</v>
      </c>
      <c r="AD187" s="54" t="s">
        <v>2</v>
      </c>
      <c r="AE187" s="54" t="s">
        <v>2</v>
      </c>
      <c r="AF187" s="54" t="s">
        <v>2</v>
      </c>
      <c r="AG187" s="54" t="s">
        <v>2</v>
      </c>
    </row>
    <row r="188" ht="15.75" customHeight="1">
      <c r="B188" s="56"/>
      <c r="F188" s="40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0"/>
      <c r="T188" s="40"/>
      <c r="U188" s="46" t="str">
        <f t="array" ref="U188">IF($D188="","",IFERROR(_xlfn.XLOOKUP($D188,'TIR店舗一覧'!$D:$D,'TIR店舗一覧'!$E:$E,""),""))</f>
        <v/>
      </c>
      <c r="V188" s="54" t="s">
        <v>2</v>
      </c>
      <c r="W188" s="54" t="s">
        <v>2</v>
      </c>
      <c r="X188" s="54" t="s">
        <v>2</v>
      </c>
      <c r="Y188" s="54" t="s">
        <v>2</v>
      </c>
      <c r="Z188" s="54" t="s">
        <v>2</v>
      </c>
      <c r="AA188" s="54" t="s">
        <v>2</v>
      </c>
      <c r="AB188" s="54" t="s">
        <v>2</v>
      </c>
      <c r="AC188" s="54" t="s">
        <v>2</v>
      </c>
      <c r="AD188" s="54" t="s">
        <v>2</v>
      </c>
      <c r="AE188" s="54" t="s">
        <v>2</v>
      </c>
      <c r="AF188" s="54" t="s">
        <v>2</v>
      </c>
      <c r="AG188" s="54" t="s">
        <v>2</v>
      </c>
    </row>
    <row r="189" ht="15.75" customHeight="1">
      <c r="B189" s="56"/>
      <c r="F189" s="40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0"/>
      <c r="T189" s="40"/>
      <c r="U189" s="46" t="str">
        <f t="array" ref="U189">IF($D189="","",IFERROR(_xlfn.XLOOKUP($D189,'TIR店舗一覧'!$D:$D,'TIR店舗一覧'!$E:$E,""),""))</f>
        <v/>
      </c>
      <c r="V189" s="54" t="s">
        <v>2</v>
      </c>
      <c r="W189" s="54" t="s">
        <v>2</v>
      </c>
      <c r="X189" s="54" t="s">
        <v>2</v>
      </c>
      <c r="Y189" s="54" t="s">
        <v>2</v>
      </c>
      <c r="Z189" s="54" t="s">
        <v>2</v>
      </c>
      <c r="AA189" s="54" t="s">
        <v>2</v>
      </c>
      <c r="AB189" s="54" t="s">
        <v>2</v>
      </c>
      <c r="AC189" s="54" t="s">
        <v>2</v>
      </c>
      <c r="AD189" s="54" t="s">
        <v>2</v>
      </c>
      <c r="AE189" s="54" t="s">
        <v>2</v>
      </c>
      <c r="AF189" s="54" t="s">
        <v>2</v>
      </c>
      <c r="AG189" s="54" t="s">
        <v>2</v>
      </c>
    </row>
    <row r="190" ht="15.75" customHeight="1">
      <c r="B190" s="56"/>
      <c r="F190" s="40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0"/>
      <c r="T190" s="40"/>
      <c r="U190" s="46" t="str">
        <f t="array" ref="U190">IF($D190="","",IFERROR(_xlfn.XLOOKUP($D190,'TIR店舗一覧'!$D:$D,'TIR店舗一覧'!$E:$E,""),""))</f>
        <v/>
      </c>
      <c r="V190" s="54" t="s">
        <v>2</v>
      </c>
      <c r="W190" s="54" t="s">
        <v>2</v>
      </c>
      <c r="X190" s="54" t="s">
        <v>2</v>
      </c>
      <c r="Y190" s="54" t="s">
        <v>2</v>
      </c>
      <c r="Z190" s="54" t="s">
        <v>2</v>
      </c>
      <c r="AA190" s="54" t="s">
        <v>2</v>
      </c>
      <c r="AB190" s="54" t="s">
        <v>2</v>
      </c>
      <c r="AC190" s="54" t="s">
        <v>2</v>
      </c>
      <c r="AD190" s="54" t="s">
        <v>2</v>
      </c>
      <c r="AE190" s="54" t="s">
        <v>2</v>
      </c>
      <c r="AF190" s="54" t="s">
        <v>2</v>
      </c>
      <c r="AG190" s="54" t="s">
        <v>2</v>
      </c>
    </row>
    <row r="191" ht="15.75" customHeight="1">
      <c r="B191" s="56"/>
      <c r="F191" s="40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0"/>
      <c r="T191" s="40"/>
      <c r="U191" s="46" t="str">
        <f t="array" ref="U191">IF($D191="","",IFERROR(_xlfn.XLOOKUP($D191,'TIR店舗一覧'!$D:$D,'TIR店舗一覧'!$E:$E,""),""))</f>
        <v/>
      </c>
      <c r="V191" s="54" t="s">
        <v>2</v>
      </c>
      <c r="W191" s="54" t="s">
        <v>2</v>
      </c>
      <c r="X191" s="54" t="s">
        <v>2</v>
      </c>
      <c r="Y191" s="54" t="s">
        <v>2</v>
      </c>
      <c r="Z191" s="54" t="s">
        <v>2</v>
      </c>
      <c r="AA191" s="54" t="s">
        <v>2</v>
      </c>
      <c r="AB191" s="54" t="s">
        <v>2</v>
      </c>
      <c r="AC191" s="54" t="s">
        <v>2</v>
      </c>
      <c r="AD191" s="54" t="s">
        <v>2</v>
      </c>
      <c r="AE191" s="54" t="s">
        <v>2</v>
      </c>
      <c r="AF191" s="54" t="s">
        <v>2</v>
      </c>
      <c r="AG191" s="54" t="s">
        <v>2</v>
      </c>
    </row>
    <row r="192" ht="15.75" customHeight="1">
      <c r="B192" s="56"/>
      <c r="F192" s="40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0"/>
      <c r="T192" s="40"/>
      <c r="U192" s="46" t="str">
        <f t="array" ref="U192">IF($D192="","",IFERROR(_xlfn.XLOOKUP($D192,'TIR店舗一覧'!$D:$D,'TIR店舗一覧'!$E:$E,""),""))</f>
        <v/>
      </c>
      <c r="V192" s="54" t="s">
        <v>2</v>
      </c>
      <c r="W192" s="54" t="s">
        <v>2</v>
      </c>
      <c r="X192" s="54" t="s">
        <v>2</v>
      </c>
      <c r="Y192" s="54" t="s">
        <v>2</v>
      </c>
      <c r="Z192" s="54" t="s">
        <v>2</v>
      </c>
      <c r="AA192" s="54" t="s">
        <v>2</v>
      </c>
      <c r="AB192" s="54" t="s">
        <v>2</v>
      </c>
      <c r="AC192" s="54" t="s">
        <v>2</v>
      </c>
      <c r="AD192" s="54" t="s">
        <v>2</v>
      </c>
      <c r="AE192" s="54" t="s">
        <v>2</v>
      </c>
      <c r="AF192" s="54" t="s">
        <v>2</v>
      </c>
      <c r="AG192" s="54" t="s">
        <v>2</v>
      </c>
    </row>
    <row r="193" ht="15.75" customHeight="1">
      <c r="B193" s="56"/>
      <c r="F193" s="40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0"/>
      <c r="T193" s="40"/>
      <c r="U193" s="46" t="str">
        <f t="array" ref="U193">IF($D193="","",IFERROR(_xlfn.XLOOKUP($D193,'TIR店舗一覧'!$D:$D,'TIR店舗一覧'!$E:$E,""),""))</f>
        <v/>
      </c>
      <c r="V193" s="54" t="s">
        <v>2</v>
      </c>
      <c r="W193" s="54" t="s">
        <v>2</v>
      </c>
      <c r="X193" s="54" t="s">
        <v>2</v>
      </c>
      <c r="Y193" s="54" t="s">
        <v>2</v>
      </c>
      <c r="Z193" s="54" t="s">
        <v>2</v>
      </c>
      <c r="AA193" s="54" t="s">
        <v>2</v>
      </c>
      <c r="AB193" s="54" t="s">
        <v>2</v>
      </c>
      <c r="AC193" s="54" t="s">
        <v>2</v>
      </c>
      <c r="AD193" s="54" t="s">
        <v>2</v>
      </c>
      <c r="AE193" s="54" t="s">
        <v>2</v>
      </c>
      <c r="AF193" s="54" t="s">
        <v>2</v>
      </c>
      <c r="AG193" s="54" t="s">
        <v>2</v>
      </c>
    </row>
    <row r="194" ht="15.75" customHeight="1">
      <c r="B194" s="56"/>
      <c r="F194" s="40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0"/>
      <c r="T194" s="40"/>
      <c r="U194" s="46" t="str">
        <f t="array" ref="U194">IF($D194="","",IFERROR(_xlfn.XLOOKUP($D194,'TIR店舗一覧'!$D:$D,'TIR店舗一覧'!$E:$E,""),""))</f>
        <v/>
      </c>
      <c r="V194" s="54" t="s">
        <v>2</v>
      </c>
      <c r="W194" s="54" t="s">
        <v>2</v>
      </c>
      <c r="X194" s="54" t="s">
        <v>2</v>
      </c>
      <c r="Y194" s="54" t="s">
        <v>2</v>
      </c>
      <c r="Z194" s="54" t="s">
        <v>2</v>
      </c>
      <c r="AA194" s="54" t="s">
        <v>2</v>
      </c>
      <c r="AB194" s="54" t="s">
        <v>2</v>
      </c>
      <c r="AC194" s="54" t="s">
        <v>2</v>
      </c>
      <c r="AD194" s="54" t="s">
        <v>2</v>
      </c>
      <c r="AE194" s="54" t="s">
        <v>2</v>
      </c>
      <c r="AF194" s="54" t="s">
        <v>2</v>
      </c>
      <c r="AG194" s="54" t="s">
        <v>2</v>
      </c>
    </row>
    <row r="195" ht="15.75" customHeight="1">
      <c r="B195" s="56"/>
      <c r="F195" s="40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0"/>
      <c r="T195" s="40"/>
      <c r="U195" s="46" t="str">
        <f t="array" ref="U195">IF($D195="","",IFERROR(_xlfn.XLOOKUP($D195,'TIR店舗一覧'!$D:$D,'TIR店舗一覧'!$E:$E,""),""))</f>
        <v/>
      </c>
      <c r="V195" s="54" t="s">
        <v>2</v>
      </c>
      <c r="W195" s="54" t="s">
        <v>2</v>
      </c>
      <c r="X195" s="54" t="s">
        <v>2</v>
      </c>
      <c r="Y195" s="54" t="s">
        <v>2</v>
      </c>
      <c r="Z195" s="54" t="s">
        <v>2</v>
      </c>
      <c r="AA195" s="54" t="s">
        <v>2</v>
      </c>
      <c r="AB195" s="54" t="s">
        <v>2</v>
      </c>
      <c r="AC195" s="54" t="s">
        <v>2</v>
      </c>
      <c r="AD195" s="54" t="s">
        <v>2</v>
      </c>
      <c r="AE195" s="54" t="s">
        <v>2</v>
      </c>
      <c r="AF195" s="54" t="s">
        <v>2</v>
      </c>
      <c r="AG195" s="54" t="s">
        <v>2</v>
      </c>
    </row>
    <row r="196" ht="15.75" customHeight="1">
      <c r="B196" s="56"/>
      <c r="F196" s="40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0"/>
      <c r="T196" s="40"/>
      <c r="U196" s="46" t="str">
        <f t="array" ref="U196">IF($D196="","",IFERROR(_xlfn.XLOOKUP($D196,'TIR店舗一覧'!$D:$D,'TIR店舗一覧'!$E:$E,""),""))</f>
        <v/>
      </c>
      <c r="V196" s="54" t="s">
        <v>2</v>
      </c>
      <c r="W196" s="54" t="s">
        <v>2</v>
      </c>
      <c r="X196" s="54" t="s">
        <v>2</v>
      </c>
      <c r="Y196" s="54" t="s">
        <v>2</v>
      </c>
      <c r="Z196" s="54" t="s">
        <v>2</v>
      </c>
      <c r="AA196" s="54" t="s">
        <v>2</v>
      </c>
      <c r="AB196" s="54" t="s">
        <v>2</v>
      </c>
      <c r="AC196" s="54" t="s">
        <v>2</v>
      </c>
      <c r="AD196" s="54" t="s">
        <v>2</v>
      </c>
      <c r="AE196" s="54" t="s">
        <v>2</v>
      </c>
      <c r="AF196" s="54" t="s">
        <v>2</v>
      </c>
      <c r="AG196" s="54" t="s">
        <v>2</v>
      </c>
    </row>
    <row r="197" ht="15.75" customHeight="1">
      <c r="B197" s="56"/>
      <c r="F197" s="40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0"/>
      <c r="T197" s="40"/>
      <c r="U197" s="46" t="str">
        <f t="array" ref="U197">IF($D197="","",IFERROR(_xlfn.XLOOKUP($D197,'TIR店舗一覧'!$D:$D,'TIR店舗一覧'!$E:$E,""),""))</f>
        <v/>
      </c>
      <c r="V197" s="54" t="s">
        <v>2</v>
      </c>
      <c r="W197" s="54" t="s">
        <v>2</v>
      </c>
      <c r="X197" s="54" t="s">
        <v>2</v>
      </c>
      <c r="Y197" s="54" t="s">
        <v>2</v>
      </c>
      <c r="Z197" s="54" t="s">
        <v>2</v>
      </c>
      <c r="AA197" s="54" t="s">
        <v>2</v>
      </c>
      <c r="AB197" s="54" t="s">
        <v>2</v>
      </c>
      <c r="AC197" s="54" t="s">
        <v>2</v>
      </c>
      <c r="AD197" s="54" t="s">
        <v>2</v>
      </c>
      <c r="AE197" s="54" t="s">
        <v>2</v>
      </c>
      <c r="AF197" s="54" t="s">
        <v>2</v>
      </c>
      <c r="AG197" s="54" t="s">
        <v>2</v>
      </c>
    </row>
    <row r="198" ht="15.75" customHeight="1">
      <c r="B198" s="56"/>
      <c r="F198" s="40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0"/>
      <c r="T198" s="40"/>
      <c r="U198" s="46" t="str">
        <f t="array" ref="U198">IF($D198="","",IFERROR(_xlfn.XLOOKUP($D198,'TIR店舗一覧'!$D:$D,'TIR店舗一覧'!$E:$E,""),""))</f>
        <v/>
      </c>
      <c r="V198" s="54" t="s">
        <v>2</v>
      </c>
      <c r="W198" s="54" t="s">
        <v>2</v>
      </c>
      <c r="X198" s="54" t="s">
        <v>2</v>
      </c>
      <c r="Y198" s="54" t="s">
        <v>2</v>
      </c>
      <c r="Z198" s="54" t="s">
        <v>2</v>
      </c>
      <c r="AA198" s="54" t="s">
        <v>2</v>
      </c>
      <c r="AB198" s="54" t="s">
        <v>2</v>
      </c>
      <c r="AC198" s="54" t="s">
        <v>2</v>
      </c>
      <c r="AD198" s="54" t="s">
        <v>2</v>
      </c>
      <c r="AE198" s="54" t="s">
        <v>2</v>
      </c>
      <c r="AF198" s="54" t="s">
        <v>2</v>
      </c>
      <c r="AG198" s="54" t="s">
        <v>2</v>
      </c>
    </row>
    <row r="199" ht="15.75" customHeight="1">
      <c r="B199" s="56"/>
      <c r="F199" s="40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0"/>
      <c r="T199" s="40"/>
      <c r="U199" s="46" t="str">
        <f t="array" ref="U199">IF($D199="","",IFERROR(_xlfn.XLOOKUP($D199,'TIR店舗一覧'!$D:$D,'TIR店舗一覧'!$E:$E,""),""))</f>
        <v/>
      </c>
      <c r="V199" s="54" t="s">
        <v>2</v>
      </c>
      <c r="W199" s="54" t="s">
        <v>2</v>
      </c>
      <c r="X199" s="54" t="s">
        <v>2</v>
      </c>
      <c r="Y199" s="54" t="s">
        <v>2</v>
      </c>
      <c r="Z199" s="54" t="s">
        <v>2</v>
      </c>
      <c r="AA199" s="54" t="s">
        <v>2</v>
      </c>
      <c r="AB199" s="54" t="s">
        <v>2</v>
      </c>
      <c r="AC199" s="54" t="s">
        <v>2</v>
      </c>
      <c r="AD199" s="54" t="s">
        <v>2</v>
      </c>
      <c r="AE199" s="54" t="s">
        <v>2</v>
      </c>
      <c r="AF199" s="54" t="s">
        <v>2</v>
      </c>
      <c r="AG199" s="54" t="s">
        <v>2</v>
      </c>
    </row>
    <row r="200" ht="15.75" customHeight="1">
      <c r="B200" s="56"/>
      <c r="F200" s="40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0"/>
      <c r="T200" s="40"/>
      <c r="U200" s="46" t="str">
        <f t="array" ref="U200">IF($D200="","",IFERROR(_xlfn.XLOOKUP($D200,'TIR店舗一覧'!$D:$D,'TIR店舗一覧'!$E:$E,""),""))</f>
        <v/>
      </c>
      <c r="V200" s="54" t="s">
        <v>2</v>
      </c>
      <c r="W200" s="54" t="s">
        <v>2</v>
      </c>
      <c r="X200" s="54" t="s">
        <v>2</v>
      </c>
      <c r="Y200" s="54" t="s">
        <v>2</v>
      </c>
      <c r="Z200" s="54" t="s">
        <v>2</v>
      </c>
      <c r="AA200" s="54" t="s">
        <v>2</v>
      </c>
      <c r="AB200" s="54" t="s">
        <v>2</v>
      </c>
      <c r="AC200" s="54" t="s">
        <v>2</v>
      </c>
      <c r="AD200" s="54" t="s">
        <v>2</v>
      </c>
      <c r="AE200" s="54" t="s">
        <v>2</v>
      </c>
      <c r="AF200" s="54" t="s">
        <v>2</v>
      </c>
      <c r="AG200" s="54" t="s">
        <v>2</v>
      </c>
    </row>
    <row r="201" ht="15.75" customHeight="1">
      <c r="B201" s="56"/>
      <c r="F201" s="40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0"/>
      <c r="T201" s="40"/>
      <c r="U201" s="46" t="str">
        <f t="array" ref="U201">IF($D201="","",IFERROR(_xlfn.XLOOKUP($D201,'TIR店舗一覧'!$D:$D,'TIR店舗一覧'!$E:$E,""),""))</f>
        <v/>
      </c>
      <c r="V201" s="54" t="s">
        <v>2</v>
      </c>
      <c r="W201" s="54" t="s">
        <v>2</v>
      </c>
      <c r="X201" s="54" t="s">
        <v>2</v>
      </c>
      <c r="Y201" s="54" t="s">
        <v>2</v>
      </c>
      <c r="Z201" s="54" t="s">
        <v>2</v>
      </c>
      <c r="AA201" s="54" t="s">
        <v>2</v>
      </c>
      <c r="AB201" s="54" t="s">
        <v>2</v>
      </c>
      <c r="AC201" s="54" t="s">
        <v>2</v>
      </c>
      <c r="AD201" s="54" t="s">
        <v>2</v>
      </c>
      <c r="AE201" s="54" t="s">
        <v>2</v>
      </c>
      <c r="AF201" s="54" t="s">
        <v>2</v>
      </c>
      <c r="AG201" s="54" t="s">
        <v>2</v>
      </c>
    </row>
    <row r="202" ht="15.75" customHeight="1">
      <c r="B202" s="56"/>
      <c r="F202" s="40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0"/>
      <c r="T202" s="40"/>
      <c r="U202" s="46" t="str">
        <f t="array" ref="U202">IF($D202="","",IFERROR(_xlfn.XLOOKUP($D202,'TIR店舗一覧'!$D:$D,'TIR店舗一覧'!$E:$E,""),""))</f>
        <v/>
      </c>
      <c r="V202" s="54" t="s">
        <v>2</v>
      </c>
      <c r="W202" s="54" t="s">
        <v>2</v>
      </c>
      <c r="X202" s="54" t="s">
        <v>2</v>
      </c>
      <c r="Y202" s="54" t="s">
        <v>2</v>
      </c>
      <c r="Z202" s="54" t="s">
        <v>2</v>
      </c>
      <c r="AA202" s="54" t="s">
        <v>2</v>
      </c>
      <c r="AB202" s="54" t="s">
        <v>2</v>
      </c>
      <c r="AC202" s="54" t="s">
        <v>2</v>
      </c>
      <c r="AD202" s="54" t="s">
        <v>2</v>
      </c>
      <c r="AE202" s="54" t="s">
        <v>2</v>
      </c>
      <c r="AF202" s="54" t="s">
        <v>2</v>
      </c>
      <c r="AG202" s="54" t="s">
        <v>2</v>
      </c>
    </row>
    <row r="203" ht="15.75" customHeight="1">
      <c r="B203" s="56"/>
      <c r="F203" s="40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0"/>
      <c r="T203" s="40"/>
      <c r="U203" s="46" t="str">
        <f t="array" ref="U203">IF($D203="","",IFERROR(_xlfn.XLOOKUP($D203,'TIR店舗一覧'!$D:$D,'TIR店舗一覧'!$E:$E,""),""))</f>
        <v/>
      </c>
      <c r="V203" s="54" t="s">
        <v>2</v>
      </c>
      <c r="W203" s="54" t="s">
        <v>2</v>
      </c>
      <c r="X203" s="54" t="s">
        <v>2</v>
      </c>
      <c r="Y203" s="54" t="s">
        <v>2</v>
      </c>
      <c r="Z203" s="54" t="s">
        <v>2</v>
      </c>
      <c r="AA203" s="54" t="s">
        <v>2</v>
      </c>
      <c r="AB203" s="54" t="s">
        <v>2</v>
      </c>
      <c r="AC203" s="54" t="s">
        <v>2</v>
      </c>
      <c r="AD203" s="54" t="s">
        <v>2</v>
      </c>
      <c r="AE203" s="54" t="s">
        <v>2</v>
      </c>
      <c r="AF203" s="54" t="s">
        <v>2</v>
      </c>
      <c r="AG203" s="54" t="s">
        <v>2</v>
      </c>
    </row>
    <row r="204" ht="15.75" customHeight="1">
      <c r="B204" s="56"/>
      <c r="F204" s="40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0"/>
      <c r="T204" s="40"/>
      <c r="U204" s="46" t="str">
        <f t="array" ref="U204">IF($D204="","",IFERROR(_xlfn.XLOOKUP($D204,'TIR店舗一覧'!$D:$D,'TIR店舗一覧'!$E:$E,""),""))</f>
        <v/>
      </c>
      <c r="V204" s="54" t="s">
        <v>2</v>
      </c>
      <c r="W204" s="54" t="s">
        <v>2</v>
      </c>
      <c r="X204" s="54" t="s">
        <v>2</v>
      </c>
      <c r="Y204" s="54" t="s">
        <v>2</v>
      </c>
      <c r="Z204" s="54" t="s">
        <v>2</v>
      </c>
      <c r="AA204" s="54" t="s">
        <v>2</v>
      </c>
      <c r="AB204" s="54" t="s">
        <v>2</v>
      </c>
      <c r="AC204" s="54" t="s">
        <v>2</v>
      </c>
      <c r="AD204" s="54" t="s">
        <v>2</v>
      </c>
      <c r="AE204" s="54" t="s">
        <v>2</v>
      </c>
      <c r="AF204" s="54" t="s">
        <v>2</v>
      </c>
      <c r="AG204" s="54" t="s">
        <v>2</v>
      </c>
    </row>
    <row r="205" ht="15.75" customHeight="1">
      <c r="B205" s="56"/>
      <c r="F205" s="40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0"/>
      <c r="T205" s="40"/>
      <c r="U205" s="46" t="str">
        <f t="array" ref="U205">IF($D205="","",IFERROR(_xlfn.XLOOKUP($D205,'TIR店舗一覧'!$D:$D,'TIR店舗一覧'!$E:$E,""),""))</f>
        <v/>
      </c>
      <c r="V205" s="54" t="s">
        <v>2</v>
      </c>
      <c r="W205" s="54" t="s">
        <v>2</v>
      </c>
      <c r="X205" s="54" t="s">
        <v>2</v>
      </c>
      <c r="Y205" s="54" t="s">
        <v>2</v>
      </c>
      <c r="Z205" s="54" t="s">
        <v>2</v>
      </c>
      <c r="AA205" s="54" t="s">
        <v>2</v>
      </c>
      <c r="AB205" s="54" t="s">
        <v>2</v>
      </c>
      <c r="AC205" s="54" t="s">
        <v>2</v>
      </c>
      <c r="AD205" s="54" t="s">
        <v>2</v>
      </c>
      <c r="AE205" s="54" t="s">
        <v>2</v>
      </c>
      <c r="AF205" s="54" t="s">
        <v>2</v>
      </c>
      <c r="AG205" s="54" t="s">
        <v>2</v>
      </c>
    </row>
    <row r="206" ht="15.75" customHeight="1">
      <c r="B206" s="56"/>
      <c r="F206" s="40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0"/>
      <c r="T206" s="40"/>
      <c r="U206" s="46" t="str">
        <f t="array" ref="U206">IF($D206="","",IFERROR(_xlfn.XLOOKUP($D206,'TIR店舗一覧'!$D:$D,'TIR店舗一覧'!$E:$E,""),""))</f>
        <v/>
      </c>
      <c r="V206" s="54" t="s">
        <v>2</v>
      </c>
      <c r="W206" s="54" t="s">
        <v>2</v>
      </c>
      <c r="X206" s="54" t="s">
        <v>2</v>
      </c>
      <c r="Y206" s="54" t="s">
        <v>2</v>
      </c>
      <c r="Z206" s="54" t="s">
        <v>2</v>
      </c>
      <c r="AA206" s="54" t="s">
        <v>2</v>
      </c>
      <c r="AB206" s="54" t="s">
        <v>2</v>
      </c>
      <c r="AC206" s="54" t="s">
        <v>2</v>
      </c>
      <c r="AD206" s="54" t="s">
        <v>2</v>
      </c>
      <c r="AE206" s="54" t="s">
        <v>2</v>
      </c>
      <c r="AF206" s="54" t="s">
        <v>2</v>
      </c>
      <c r="AG206" s="54" t="s">
        <v>2</v>
      </c>
    </row>
    <row r="207" ht="15.75" customHeight="1">
      <c r="B207" s="56"/>
      <c r="F207" s="40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0"/>
      <c r="T207" s="40"/>
      <c r="U207" s="46" t="str">
        <f t="array" ref="U207">IF($D207="","",IFERROR(_xlfn.XLOOKUP($D207,'TIR店舗一覧'!$D:$D,'TIR店舗一覧'!$E:$E,""),""))</f>
        <v/>
      </c>
      <c r="V207" s="54" t="s">
        <v>2</v>
      </c>
      <c r="W207" s="54" t="s">
        <v>2</v>
      </c>
      <c r="X207" s="54" t="s">
        <v>2</v>
      </c>
      <c r="Y207" s="54" t="s">
        <v>2</v>
      </c>
      <c r="Z207" s="54" t="s">
        <v>2</v>
      </c>
      <c r="AA207" s="54" t="s">
        <v>2</v>
      </c>
      <c r="AB207" s="54" t="s">
        <v>2</v>
      </c>
      <c r="AC207" s="54" t="s">
        <v>2</v>
      </c>
      <c r="AD207" s="54" t="s">
        <v>2</v>
      </c>
      <c r="AE207" s="54" t="s">
        <v>2</v>
      </c>
      <c r="AF207" s="54" t="s">
        <v>2</v>
      </c>
      <c r="AG207" s="54" t="s">
        <v>2</v>
      </c>
    </row>
    <row r="208" ht="15.75" customHeight="1">
      <c r="B208" s="56"/>
      <c r="F208" s="40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0"/>
      <c r="T208" s="40"/>
      <c r="U208" s="46" t="str">
        <f t="array" ref="U208">IF($D208="","",IFERROR(_xlfn.XLOOKUP($D208,'TIR店舗一覧'!$D:$D,'TIR店舗一覧'!$E:$E,""),""))</f>
        <v/>
      </c>
      <c r="V208" s="54" t="s">
        <v>2</v>
      </c>
      <c r="W208" s="54" t="s">
        <v>2</v>
      </c>
      <c r="X208" s="54" t="s">
        <v>2</v>
      </c>
      <c r="Y208" s="54" t="s">
        <v>2</v>
      </c>
      <c r="Z208" s="54" t="s">
        <v>2</v>
      </c>
      <c r="AA208" s="54" t="s">
        <v>2</v>
      </c>
      <c r="AB208" s="54" t="s">
        <v>2</v>
      </c>
      <c r="AC208" s="54" t="s">
        <v>2</v>
      </c>
      <c r="AD208" s="54" t="s">
        <v>2</v>
      </c>
      <c r="AE208" s="54" t="s">
        <v>2</v>
      </c>
      <c r="AF208" s="54" t="s">
        <v>2</v>
      </c>
      <c r="AG208" s="54" t="s">
        <v>2</v>
      </c>
    </row>
    <row r="209" ht="15.75" customHeight="1">
      <c r="B209" s="56"/>
      <c r="F209" s="40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0"/>
      <c r="T209" s="40"/>
      <c r="U209" s="46" t="str">
        <f t="array" ref="U209">IF($D209="","",IFERROR(_xlfn.XLOOKUP($D209,'TIR店舗一覧'!$D:$D,'TIR店舗一覧'!$E:$E,""),""))</f>
        <v/>
      </c>
      <c r="V209" s="54" t="s">
        <v>2</v>
      </c>
      <c r="W209" s="54" t="s">
        <v>2</v>
      </c>
      <c r="X209" s="54" t="s">
        <v>2</v>
      </c>
      <c r="Y209" s="54" t="s">
        <v>2</v>
      </c>
      <c r="Z209" s="54" t="s">
        <v>2</v>
      </c>
      <c r="AA209" s="54" t="s">
        <v>2</v>
      </c>
      <c r="AB209" s="54" t="s">
        <v>2</v>
      </c>
      <c r="AC209" s="54" t="s">
        <v>2</v>
      </c>
      <c r="AD209" s="54" t="s">
        <v>2</v>
      </c>
      <c r="AE209" s="54" t="s">
        <v>2</v>
      </c>
      <c r="AF209" s="54" t="s">
        <v>2</v>
      </c>
      <c r="AG209" s="54" t="s">
        <v>2</v>
      </c>
    </row>
    <row r="210" ht="15.75" customHeight="1">
      <c r="B210" s="56"/>
      <c r="F210" s="40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0"/>
      <c r="T210" s="40"/>
      <c r="U210" s="46" t="str">
        <f t="array" ref="U210">IF($D210="","",IFERROR(_xlfn.XLOOKUP($D210,'TIR店舗一覧'!$D:$D,'TIR店舗一覧'!$E:$E,""),""))</f>
        <v/>
      </c>
      <c r="V210" s="54" t="s">
        <v>2</v>
      </c>
      <c r="W210" s="54" t="s">
        <v>2</v>
      </c>
      <c r="X210" s="54" t="s">
        <v>2</v>
      </c>
      <c r="Y210" s="54" t="s">
        <v>2</v>
      </c>
      <c r="Z210" s="54" t="s">
        <v>2</v>
      </c>
      <c r="AA210" s="54" t="s">
        <v>2</v>
      </c>
      <c r="AB210" s="54" t="s">
        <v>2</v>
      </c>
      <c r="AC210" s="54" t="s">
        <v>2</v>
      </c>
      <c r="AD210" s="54" t="s">
        <v>2</v>
      </c>
      <c r="AE210" s="54" t="s">
        <v>2</v>
      </c>
      <c r="AF210" s="54" t="s">
        <v>2</v>
      </c>
      <c r="AG210" s="54" t="s">
        <v>2</v>
      </c>
    </row>
    <row r="211" ht="15.75" customHeight="1">
      <c r="B211" s="56"/>
      <c r="F211" s="40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0"/>
      <c r="T211" s="40"/>
      <c r="U211" s="46" t="str">
        <f t="array" ref="U211">IF($D211="","",IFERROR(_xlfn.XLOOKUP($D211,'TIR店舗一覧'!$D:$D,'TIR店舗一覧'!$E:$E,""),""))</f>
        <v/>
      </c>
      <c r="V211" s="54" t="s">
        <v>2</v>
      </c>
      <c r="W211" s="54" t="s">
        <v>2</v>
      </c>
      <c r="X211" s="54" t="s">
        <v>2</v>
      </c>
      <c r="Y211" s="54" t="s">
        <v>2</v>
      </c>
      <c r="Z211" s="54" t="s">
        <v>2</v>
      </c>
      <c r="AA211" s="54" t="s">
        <v>2</v>
      </c>
      <c r="AB211" s="54" t="s">
        <v>2</v>
      </c>
      <c r="AC211" s="54" t="s">
        <v>2</v>
      </c>
      <c r="AD211" s="54" t="s">
        <v>2</v>
      </c>
      <c r="AE211" s="54" t="s">
        <v>2</v>
      </c>
      <c r="AF211" s="54" t="s">
        <v>2</v>
      </c>
      <c r="AG211" s="54" t="s">
        <v>2</v>
      </c>
    </row>
    <row r="212" ht="15.75" customHeight="1">
      <c r="B212" s="56"/>
      <c r="F212" s="40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0"/>
      <c r="T212" s="40"/>
      <c r="U212" s="46" t="str">
        <f t="array" ref="U212">IF($D212="","",IFERROR(_xlfn.XLOOKUP($D212,'TIR店舗一覧'!$D:$D,'TIR店舗一覧'!$E:$E,""),""))</f>
        <v/>
      </c>
      <c r="V212" s="54" t="s">
        <v>2</v>
      </c>
      <c r="W212" s="54" t="s">
        <v>2</v>
      </c>
      <c r="X212" s="54" t="s">
        <v>2</v>
      </c>
      <c r="Y212" s="54" t="s">
        <v>2</v>
      </c>
      <c r="Z212" s="54" t="s">
        <v>2</v>
      </c>
      <c r="AA212" s="54" t="s">
        <v>2</v>
      </c>
      <c r="AB212" s="54" t="s">
        <v>2</v>
      </c>
      <c r="AC212" s="54" t="s">
        <v>2</v>
      </c>
      <c r="AD212" s="54" t="s">
        <v>2</v>
      </c>
      <c r="AE212" s="54" t="s">
        <v>2</v>
      </c>
      <c r="AF212" s="54" t="s">
        <v>2</v>
      </c>
      <c r="AG212" s="54" t="s">
        <v>2</v>
      </c>
    </row>
    <row r="213" ht="15.75" customHeight="1">
      <c r="B213" s="56"/>
      <c r="F213" s="40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0"/>
      <c r="T213" s="40"/>
      <c r="U213" s="46" t="str">
        <f t="array" ref="U213">IF($D213="","",IFERROR(_xlfn.XLOOKUP($D213,'TIR店舗一覧'!$D:$D,'TIR店舗一覧'!$E:$E,""),""))</f>
        <v/>
      </c>
      <c r="V213" s="54" t="s">
        <v>2</v>
      </c>
      <c r="W213" s="54" t="s">
        <v>2</v>
      </c>
      <c r="X213" s="54" t="s">
        <v>2</v>
      </c>
      <c r="Y213" s="54" t="s">
        <v>2</v>
      </c>
      <c r="Z213" s="54" t="s">
        <v>2</v>
      </c>
      <c r="AA213" s="54" t="s">
        <v>2</v>
      </c>
      <c r="AB213" s="54" t="s">
        <v>2</v>
      </c>
      <c r="AC213" s="54" t="s">
        <v>2</v>
      </c>
      <c r="AD213" s="54" t="s">
        <v>2</v>
      </c>
      <c r="AE213" s="54" t="s">
        <v>2</v>
      </c>
      <c r="AF213" s="54" t="s">
        <v>2</v>
      </c>
      <c r="AG213" s="54" t="s">
        <v>2</v>
      </c>
    </row>
    <row r="214" ht="15.75" customHeight="1">
      <c r="B214" s="56"/>
      <c r="F214" s="40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0"/>
      <c r="T214" s="40"/>
      <c r="U214" s="46" t="str">
        <f t="array" ref="U214">IF($D214="","",IFERROR(_xlfn.XLOOKUP($D214,'TIR店舗一覧'!$D:$D,'TIR店舗一覧'!$E:$E,""),""))</f>
        <v/>
      </c>
      <c r="V214" s="54" t="s">
        <v>2</v>
      </c>
      <c r="W214" s="54" t="s">
        <v>2</v>
      </c>
      <c r="X214" s="54" t="s">
        <v>2</v>
      </c>
      <c r="Y214" s="54" t="s">
        <v>2</v>
      </c>
      <c r="Z214" s="54" t="s">
        <v>2</v>
      </c>
      <c r="AA214" s="54" t="s">
        <v>2</v>
      </c>
      <c r="AB214" s="54" t="s">
        <v>2</v>
      </c>
      <c r="AC214" s="54" t="s">
        <v>2</v>
      </c>
      <c r="AD214" s="54" t="s">
        <v>2</v>
      </c>
      <c r="AE214" s="54" t="s">
        <v>2</v>
      </c>
      <c r="AF214" s="54" t="s">
        <v>2</v>
      </c>
      <c r="AG214" s="54" t="s">
        <v>2</v>
      </c>
    </row>
    <row r="215" ht="15.75" customHeight="1">
      <c r="B215" s="56"/>
      <c r="F215" s="40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0"/>
      <c r="T215" s="40"/>
      <c r="U215" s="46" t="str">
        <f t="array" ref="U215">IF($D215="","",IFERROR(_xlfn.XLOOKUP($D215,'TIR店舗一覧'!$D:$D,'TIR店舗一覧'!$E:$E,""),""))</f>
        <v/>
      </c>
      <c r="V215" s="54" t="s">
        <v>2</v>
      </c>
      <c r="W215" s="54" t="s">
        <v>2</v>
      </c>
      <c r="X215" s="54" t="s">
        <v>2</v>
      </c>
      <c r="Y215" s="54" t="s">
        <v>2</v>
      </c>
      <c r="Z215" s="54" t="s">
        <v>2</v>
      </c>
      <c r="AA215" s="54" t="s">
        <v>2</v>
      </c>
      <c r="AB215" s="54" t="s">
        <v>2</v>
      </c>
      <c r="AC215" s="54" t="s">
        <v>2</v>
      </c>
      <c r="AD215" s="54" t="s">
        <v>2</v>
      </c>
      <c r="AE215" s="54" t="s">
        <v>2</v>
      </c>
      <c r="AF215" s="54" t="s">
        <v>2</v>
      </c>
      <c r="AG215" s="54" t="s">
        <v>2</v>
      </c>
    </row>
    <row r="216" ht="15.75" customHeight="1">
      <c r="B216" s="56"/>
      <c r="F216" s="40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0"/>
      <c r="T216" s="40"/>
      <c r="U216" s="46" t="str">
        <f t="array" ref="U216">IF($D216="","",IFERROR(_xlfn.XLOOKUP($D216,'TIR店舗一覧'!$D:$D,'TIR店舗一覧'!$E:$E,""),""))</f>
        <v/>
      </c>
      <c r="V216" s="54" t="s">
        <v>2</v>
      </c>
      <c r="W216" s="54" t="s">
        <v>2</v>
      </c>
      <c r="X216" s="54" t="s">
        <v>2</v>
      </c>
      <c r="Y216" s="54" t="s">
        <v>2</v>
      </c>
      <c r="Z216" s="54" t="s">
        <v>2</v>
      </c>
      <c r="AA216" s="54" t="s">
        <v>2</v>
      </c>
      <c r="AB216" s="54" t="s">
        <v>2</v>
      </c>
      <c r="AC216" s="54" t="s">
        <v>2</v>
      </c>
      <c r="AD216" s="54" t="s">
        <v>2</v>
      </c>
      <c r="AE216" s="54" t="s">
        <v>2</v>
      </c>
      <c r="AF216" s="54" t="s">
        <v>2</v>
      </c>
      <c r="AG216" s="54" t="s">
        <v>2</v>
      </c>
    </row>
    <row r="217" ht="15.75" customHeight="1">
      <c r="B217" s="56"/>
      <c r="F217" s="40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0"/>
      <c r="T217" s="40"/>
      <c r="U217" s="46" t="str">
        <f t="array" ref="U217">IF($D217="","",IFERROR(_xlfn.XLOOKUP($D217,'TIR店舗一覧'!$D:$D,'TIR店舗一覧'!$E:$E,""),""))</f>
        <v/>
      </c>
      <c r="V217" s="54" t="s">
        <v>2</v>
      </c>
      <c r="W217" s="54" t="s">
        <v>2</v>
      </c>
      <c r="X217" s="54" t="s">
        <v>2</v>
      </c>
      <c r="Y217" s="54" t="s">
        <v>2</v>
      </c>
      <c r="Z217" s="54" t="s">
        <v>2</v>
      </c>
      <c r="AA217" s="54" t="s">
        <v>2</v>
      </c>
      <c r="AB217" s="54" t="s">
        <v>2</v>
      </c>
      <c r="AC217" s="54" t="s">
        <v>2</v>
      </c>
      <c r="AD217" s="54" t="s">
        <v>2</v>
      </c>
      <c r="AE217" s="54" t="s">
        <v>2</v>
      </c>
      <c r="AF217" s="54" t="s">
        <v>2</v>
      </c>
      <c r="AG217" s="54" t="s">
        <v>2</v>
      </c>
    </row>
    <row r="218" ht="15.75" customHeight="1">
      <c r="B218" s="56"/>
      <c r="F218" s="40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0"/>
      <c r="T218" s="40"/>
      <c r="U218" s="46" t="str">
        <f t="array" ref="U218">IF($D218="","",IFERROR(_xlfn.XLOOKUP($D218,'TIR店舗一覧'!$D:$D,'TIR店舗一覧'!$E:$E,""),""))</f>
        <v/>
      </c>
      <c r="V218" s="54" t="s">
        <v>2</v>
      </c>
      <c r="W218" s="54" t="s">
        <v>2</v>
      </c>
      <c r="X218" s="54" t="s">
        <v>2</v>
      </c>
      <c r="Y218" s="54" t="s">
        <v>2</v>
      </c>
      <c r="Z218" s="54" t="s">
        <v>2</v>
      </c>
      <c r="AA218" s="54" t="s">
        <v>2</v>
      </c>
      <c r="AB218" s="54" t="s">
        <v>2</v>
      </c>
      <c r="AC218" s="54" t="s">
        <v>2</v>
      </c>
      <c r="AD218" s="54" t="s">
        <v>2</v>
      </c>
      <c r="AE218" s="54" t="s">
        <v>2</v>
      </c>
      <c r="AF218" s="54" t="s">
        <v>2</v>
      </c>
      <c r="AG218" s="54" t="s">
        <v>2</v>
      </c>
    </row>
    <row r="219" ht="15.75" customHeight="1">
      <c r="B219" s="56"/>
      <c r="F219" s="40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0"/>
      <c r="T219" s="40"/>
      <c r="U219" s="46" t="str">
        <f t="array" ref="U219">IF($D219="","",IFERROR(_xlfn.XLOOKUP($D219,'TIR店舗一覧'!$D:$D,'TIR店舗一覧'!$E:$E,""),""))</f>
        <v/>
      </c>
      <c r="V219" s="54" t="s">
        <v>2</v>
      </c>
      <c r="W219" s="54" t="s">
        <v>2</v>
      </c>
      <c r="X219" s="54" t="s">
        <v>2</v>
      </c>
      <c r="Y219" s="54" t="s">
        <v>2</v>
      </c>
      <c r="Z219" s="54" t="s">
        <v>2</v>
      </c>
      <c r="AA219" s="54" t="s">
        <v>2</v>
      </c>
      <c r="AB219" s="54" t="s">
        <v>2</v>
      </c>
      <c r="AC219" s="54" t="s">
        <v>2</v>
      </c>
      <c r="AD219" s="54" t="s">
        <v>2</v>
      </c>
      <c r="AE219" s="54" t="s">
        <v>2</v>
      </c>
      <c r="AF219" s="54" t="s">
        <v>2</v>
      </c>
      <c r="AG219" s="54" t="s">
        <v>2</v>
      </c>
    </row>
    <row r="220" ht="15.75" customHeight="1">
      <c r="B220" s="56"/>
      <c r="F220" s="40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0"/>
      <c r="T220" s="40"/>
      <c r="U220" s="46" t="str">
        <f t="array" ref="U220">IF($D220="","",IFERROR(_xlfn.XLOOKUP($D220,'TIR店舗一覧'!$D:$D,'TIR店舗一覧'!$E:$E,""),""))</f>
        <v/>
      </c>
      <c r="V220" s="54" t="s">
        <v>2</v>
      </c>
      <c r="W220" s="54" t="s">
        <v>2</v>
      </c>
      <c r="X220" s="54" t="s">
        <v>2</v>
      </c>
      <c r="Y220" s="54" t="s">
        <v>2</v>
      </c>
      <c r="Z220" s="54" t="s">
        <v>2</v>
      </c>
      <c r="AA220" s="54" t="s">
        <v>2</v>
      </c>
      <c r="AB220" s="54" t="s">
        <v>2</v>
      </c>
      <c r="AC220" s="54" t="s">
        <v>2</v>
      </c>
      <c r="AD220" s="54" t="s">
        <v>2</v>
      </c>
      <c r="AE220" s="54" t="s">
        <v>2</v>
      </c>
      <c r="AF220" s="54" t="s">
        <v>2</v>
      </c>
      <c r="AG220" s="54" t="s">
        <v>2</v>
      </c>
    </row>
    <row r="221" ht="15.75" customHeight="1">
      <c r="B221" s="56"/>
      <c r="U221" s="46" t="str">
        <f t="array" ref="U221">IF($D221="","",IFERROR(_xlfn.XLOOKUP($D221,'TIR店舗一覧'!$D:$D,'TIR店舗一覧'!$E:$E,""),""))</f>
        <v/>
      </c>
      <c r="V221" s="54" t="s">
        <v>2</v>
      </c>
      <c r="W221" s="54" t="s">
        <v>2</v>
      </c>
      <c r="X221" s="54" t="s">
        <v>2</v>
      </c>
      <c r="Y221" s="54" t="s">
        <v>2</v>
      </c>
      <c r="Z221" s="54" t="s">
        <v>2</v>
      </c>
      <c r="AA221" s="54" t="s">
        <v>2</v>
      </c>
      <c r="AB221" s="54" t="s">
        <v>2</v>
      </c>
      <c r="AC221" s="54" t="s">
        <v>2</v>
      </c>
      <c r="AD221" s="54" t="s">
        <v>2</v>
      </c>
      <c r="AE221" s="54" t="s">
        <v>2</v>
      </c>
      <c r="AF221" s="54" t="s">
        <v>2</v>
      </c>
      <c r="AG221" s="54" t="s">
        <v>2</v>
      </c>
    </row>
    <row r="222" ht="15.75" customHeight="1">
      <c r="B222" s="56"/>
      <c r="U222" s="46" t="str">
        <f t="array" ref="U222">IF($D222="","",IFERROR(_xlfn.XLOOKUP($D222,'TIR店舗一覧'!$D:$D,'TIR店舗一覧'!$E:$E,""),""))</f>
        <v/>
      </c>
      <c r="V222" s="54" t="s">
        <v>2</v>
      </c>
      <c r="W222" s="54" t="s">
        <v>2</v>
      </c>
      <c r="X222" s="54" t="s">
        <v>2</v>
      </c>
      <c r="Y222" s="54" t="s">
        <v>2</v>
      </c>
      <c r="Z222" s="54" t="s">
        <v>2</v>
      </c>
      <c r="AA222" s="54" t="s">
        <v>2</v>
      </c>
      <c r="AB222" s="54" t="s">
        <v>2</v>
      </c>
      <c r="AC222" s="54" t="s">
        <v>2</v>
      </c>
      <c r="AD222" s="54" t="s">
        <v>2</v>
      </c>
      <c r="AE222" s="54" t="s">
        <v>2</v>
      </c>
      <c r="AF222" s="54" t="s">
        <v>2</v>
      </c>
      <c r="AG222" s="54" t="s">
        <v>2</v>
      </c>
    </row>
    <row r="223" ht="15.75" customHeight="1">
      <c r="B223" s="56"/>
      <c r="U223" s="46" t="str">
        <f t="array" ref="U223">IF($D223="","",IFERROR(_xlfn.XLOOKUP($D223,'TIR店舗一覧'!$D:$D,'TIR店舗一覧'!$E:$E,""),""))</f>
        <v/>
      </c>
      <c r="V223" s="54" t="s">
        <v>2</v>
      </c>
      <c r="W223" s="54" t="s">
        <v>2</v>
      </c>
      <c r="X223" s="54" t="s">
        <v>2</v>
      </c>
      <c r="Y223" s="54" t="s">
        <v>2</v>
      </c>
      <c r="Z223" s="54" t="s">
        <v>2</v>
      </c>
      <c r="AA223" s="54" t="s">
        <v>2</v>
      </c>
      <c r="AB223" s="54" t="s">
        <v>2</v>
      </c>
      <c r="AC223" s="54" t="s">
        <v>2</v>
      </c>
      <c r="AD223" s="54" t="s">
        <v>2</v>
      </c>
      <c r="AE223" s="54" t="s">
        <v>2</v>
      </c>
      <c r="AF223" s="54" t="s">
        <v>2</v>
      </c>
      <c r="AG223" s="54" t="s">
        <v>2</v>
      </c>
    </row>
    <row r="224" ht="15.75" customHeight="1">
      <c r="B224" s="56"/>
      <c r="U224" s="46" t="str">
        <f t="array" ref="U224">IF($D224="","",IFERROR(_xlfn.XLOOKUP($D224,'TIR店舗一覧'!$D:$D,'TIR店舗一覧'!$E:$E,""),""))</f>
        <v/>
      </c>
      <c r="V224" s="54" t="s">
        <v>2</v>
      </c>
      <c r="W224" s="54" t="s">
        <v>2</v>
      </c>
      <c r="X224" s="54" t="s">
        <v>2</v>
      </c>
      <c r="Y224" s="54" t="s">
        <v>2</v>
      </c>
      <c r="Z224" s="54" t="s">
        <v>2</v>
      </c>
      <c r="AA224" s="54" t="s">
        <v>2</v>
      </c>
      <c r="AB224" s="54" t="s">
        <v>2</v>
      </c>
      <c r="AC224" s="54" t="s">
        <v>2</v>
      </c>
      <c r="AD224" s="54" t="s">
        <v>2</v>
      </c>
      <c r="AE224" s="54" t="s">
        <v>2</v>
      </c>
      <c r="AF224" s="54" t="s">
        <v>2</v>
      </c>
      <c r="AG224" s="54" t="s">
        <v>2</v>
      </c>
    </row>
    <row r="225" ht="15.75" customHeight="1">
      <c r="B225" s="56"/>
      <c r="U225" s="46" t="str">
        <f t="array" ref="U225">IF($D225="","",IFERROR(_xlfn.XLOOKUP($D225,'TIR店舗一覧'!$D:$D,'TIR店舗一覧'!$E:$E,""),""))</f>
        <v/>
      </c>
      <c r="V225" s="54" t="s">
        <v>2</v>
      </c>
      <c r="W225" s="54" t="s">
        <v>2</v>
      </c>
      <c r="X225" s="54" t="s">
        <v>2</v>
      </c>
      <c r="Y225" s="54" t="s">
        <v>2</v>
      </c>
      <c r="Z225" s="54" t="s">
        <v>2</v>
      </c>
      <c r="AA225" s="54" t="s">
        <v>2</v>
      </c>
      <c r="AB225" s="54" t="s">
        <v>2</v>
      </c>
      <c r="AC225" s="54" t="s">
        <v>2</v>
      </c>
      <c r="AD225" s="54" t="s">
        <v>2</v>
      </c>
      <c r="AE225" s="54" t="s">
        <v>2</v>
      </c>
      <c r="AF225" s="54" t="s">
        <v>2</v>
      </c>
      <c r="AG225" s="54" t="s">
        <v>2</v>
      </c>
    </row>
    <row r="226" ht="15.75" customHeight="1">
      <c r="B226" s="56"/>
      <c r="U226" s="46" t="str">
        <f t="array" ref="U226">IF($D226="","",IFERROR(_xlfn.XLOOKUP($D226,'TIR店舗一覧'!$D:$D,'TIR店舗一覧'!$E:$E,""),""))</f>
        <v/>
      </c>
      <c r="V226" s="54" t="s">
        <v>2</v>
      </c>
      <c r="W226" s="54" t="s">
        <v>2</v>
      </c>
      <c r="X226" s="54" t="s">
        <v>2</v>
      </c>
      <c r="Y226" s="54" t="s">
        <v>2</v>
      </c>
      <c r="Z226" s="54" t="s">
        <v>2</v>
      </c>
      <c r="AA226" s="54" t="s">
        <v>2</v>
      </c>
      <c r="AB226" s="54" t="s">
        <v>2</v>
      </c>
      <c r="AC226" s="54" t="s">
        <v>2</v>
      </c>
      <c r="AD226" s="54" t="s">
        <v>2</v>
      </c>
      <c r="AE226" s="54" t="s">
        <v>2</v>
      </c>
      <c r="AF226" s="54" t="s">
        <v>2</v>
      </c>
      <c r="AG226" s="54" t="s">
        <v>2</v>
      </c>
    </row>
    <row r="227" ht="15.75" customHeight="1">
      <c r="B227" s="56"/>
      <c r="U227" s="46" t="str">
        <f t="array" ref="U227">IF($D227="","",IFERROR(_xlfn.XLOOKUP($D227,'TIR店舗一覧'!$D:$D,'TIR店舗一覧'!$E:$E,""),""))</f>
        <v/>
      </c>
      <c r="V227" s="54" t="s">
        <v>2</v>
      </c>
      <c r="W227" s="54" t="s">
        <v>2</v>
      </c>
      <c r="X227" s="54" t="s">
        <v>2</v>
      </c>
      <c r="Y227" s="54" t="s">
        <v>2</v>
      </c>
      <c r="Z227" s="54" t="s">
        <v>2</v>
      </c>
      <c r="AA227" s="54" t="s">
        <v>2</v>
      </c>
      <c r="AB227" s="54" t="s">
        <v>2</v>
      </c>
      <c r="AC227" s="54" t="s">
        <v>2</v>
      </c>
      <c r="AD227" s="54" t="s">
        <v>2</v>
      </c>
      <c r="AE227" s="54" t="s">
        <v>2</v>
      </c>
      <c r="AF227" s="54" t="s">
        <v>2</v>
      </c>
      <c r="AG227" s="54" t="s">
        <v>2</v>
      </c>
    </row>
    <row r="228" ht="15.75" customHeight="1">
      <c r="B228" s="56"/>
      <c r="U228" s="46" t="str">
        <f t="array" ref="U228">IF($D228="","",IFERROR(_xlfn.XLOOKUP($D228,'TIR店舗一覧'!$D:$D,'TIR店舗一覧'!$E:$E,""),""))</f>
        <v/>
      </c>
      <c r="V228" s="54" t="s">
        <v>2</v>
      </c>
      <c r="W228" s="54" t="s">
        <v>2</v>
      </c>
      <c r="X228" s="54" t="s">
        <v>2</v>
      </c>
      <c r="Y228" s="54" t="s">
        <v>2</v>
      </c>
      <c r="Z228" s="54" t="s">
        <v>2</v>
      </c>
      <c r="AA228" s="54" t="s">
        <v>2</v>
      </c>
      <c r="AB228" s="54" t="s">
        <v>2</v>
      </c>
      <c r="AC228" s="54" t="s">
        <v>2</v>
      </c>
      <c r="AD228" s="54" t="s">
        <v>2</v>
      </c>
      <c r="AE228" s="54" t="s">
        <v>2</v>
      </c>
      <c r="AF228" s="54" t="s">
        <v>2</v>
      </c>
      <c r="AG228" s="54" t="s">
        <v>2</v>
      </c>
    </row>
    <row r="229" ht="15.75" customHeight="1">
      <c r="B229" s="56"/>
      <c r="U229" s="46" t="str">
        <f t="array" ref="U229">IF($D229="","",IFERROR(_xlfn.XLOOKUP($D229,'TIR店舗一覧'!$D:$D,'TIR店舗一覧'!$E:$E,""),""))</f>
        <v/>
      </c>
      <c r="V229" s="54" t="s">
        <v>2</v>
      </c>
      <c r="W229" s="54" t="s">
        <v>2</v>
      </c>
      <c r="X229" s="54" t="s">
        <v>2</v>
      </c>
      <c r="Y229" s="54" t="s">
        <v>2</v>
      </c>
      <c r="Z229" s="54" t="s">
        <v>2</v>
      </c>
      <c r="AA229" s="54" t="s">
        <v>2</v>
      </c>
      <c r="AB229" s="54" t="s">
        <v>2</v>
      </c>
      <c r="AC229" s="54" t="s">
        <v>2</v>
      </c>
      <c r="AD229" s="54" t="s">
        <v>2</v>
      </c>
      <c r="AE229" s="54" t="s">
        <v>2</v>
      </c>
      <c r="AF229" s="54" t="s">
        <v>2</v>
      </c>
      <c r="AG229" s="54" t="s">
        <v>2</v>
      </c>
    </row>
    <row r="230" ht="15.75" customHeight="1">
      <c r="B230" s="56"/>
      <c r="U230" s="46" t="str">
        <f t="array" ref="U230">IF($D230="","",IFERROR(_xlfn.XLOOKUP($D230,'TIR店舗一覧'!$D:$D,'TIR店舗一覧'!$E:$E,""),""))</f>
        <v/>
      </c>
      <c r="V230" s="54" t="s">
        <v>2</v>
      </c>
      <c r="W230" s="54" t="s">
        <v>2</v>
      </c>
      <c r="X230" s="54" t="s">
        <v>2</v>
      </c>
      <c r="Y230" s="54" t="s">
        <v>2</v>
      </c>
      <c r="Z230" s="54" t="s">
        <v>2</v>
      </c>
      <c r="AA230" s="54" t="s">
        <v>2</v>
      </c>
      <c r="AB230" s="54" t="s">
        <v>2</v>
      </c>
      <c r="AC230" s="54" t="s">
        <v>2</v>
      </c>
      <c r="AD230" s="54" t="s">
        <v>2</v>
      </c>
      <c r="AE230" s="54" t="s">
        <v>2</v>
      </c>
      <c r="AF230" s="54" t="s">
        <v>2</v>
      </c>
      <c r="AG230" s="54" t="s">
        <v>2</v>
      </c>
    </row>
    <row r="231" ht="15.75" customHeight="1">
      <c r="B231" s="56"/>
      <c r="U231" s="46" t="str">
        <f t="array" ref="U231">IF($D231="","",IFERROR(_xlfn.XLOOKUP($D231,'TIR店舗一覧'!$D:$D,'TIR店舗一覧'!$E:$E,""),""))</f>
        <v/>
      </c>
      <c r="V231" s="54" t="s">
        <v>2</v>
      </c>
      <c r="W231" s="54" t="s">
        <v>2</v>
      </c>
      <c r="X231" s="54" t="s">
        <v>2</v>
      </c>
      <c r="Y231" s="54" t="s">
        <v>2</v>
      </c>
      <c r="Z231" s="54" t="s">
        <v>2</v>
      </c>
      <c r="AA231" s="54" t="s">
        <v>2</v>
      </c>
      <c r="AB231" s="54" t="s">
        <v>2</v>
      </c>
      <c r="AC231" s="54" t="s">
        <v>2</v>
      </c>
      <c r="AD231" s="54" t="s">
        <v>2</v>
      </c>
      <c r="AE231" s="54" t="s">
        <v>2</v>
      </c>
      <c r="AF231" s="54" t="s">
        <v>2</v>
      </c>
      <c r="AG231" s="54" t="s">
        <v>2</v>
      </c>
    </row>
    <row r="232" ht="15.75" customHeight="1">
      <c r="B232" s="56"/>
      <c r="U232" s="46" t="str">
        <f t="array" ref="U232">IF($D232="","",IFERROR(_xlfn.XLOOKUP($D232,'TIR店舗一覧'!$D:$D,'TIR店舗一覧'!$E:$E,""),""))</f>
        <v/>
      </c>
      <c r="V232" s="54" t="s">
        <v>2</v>
      </c>
      <c r="W232" s="54" t="s">
        <v>2</v>
      </c>
      <c r="X232" s="54" t="s">
        <v>2</v>
      </c>
      <c r="Y232" s="54" t="s">
        <v>2</v>
      </c>
      <c r="Z232" s="54" t="s">
        <v>2</v>
      </c>
      <c r="AA232" s="54" t="s">
        <v>2</v>
      </c>
      <c r="AB232" s="54" t="s">
        <v>2</v>
      </c>
      <c r="AC232" s="54" t="s">
        <v>2</v>
      </c>
      <c r="AD232" s="54" t="s">
        <v>2</v>
      </c>
      <c r="AE232" s="54" t="s">
        <v>2</v>
      </c>
      <c r="AF232" s="54" t="s">
        <v>2</v>
      </c>
      <c r="AG232" s="54" t="s">
        <v>2</v>
      </c>
    </row>
    <row r="233" ht="15.75" customHeight="1">
      <c r="B233" s="56"/>
      <c r="U233" s="46" t="str">
        <f t="array" ref="U233">IF($D233="","",IFERROR(_xlfn.XLOOKUP($D233,'TIR店舗一覧'!$D:$D,'TIR店舗一覧'!$E:$E,""),""))</f>
        <v/>
      </c>
      <c r="V233" s="54" t="s">
        <v>2</v>
      </c>
      <c r="W233" s="54" t="s">
        <v>2</v>
      </c>
      <c r="X233" s="54" t="s">
        <v>2</v>
      </c>
      <c r="Y233" s="54" t="s">
        <v>2</v>
      </c>
      <c r="Z233" s="54" t="s">
        <v>2</v>
      </c>
      <c r="AA233" s="54" t="s">
        <v>2</v>
      </c>
      <c r="AB233" s="54" t="s">
        <v>2</v>
      </c>
      <c r="AC233" s="54" t="s">
        <v>2</v>
      </c>
      <c r="AD233" s="54" t="s">
        <v>2</v>
      </c>
      <c r="AE233" s="54" t="s">
        <v>2</v>
      </c>
      <c r="AF233" s="54" t="s">
        <v>2</v>
      </c>
      <c r="AG233" s="54" t="s">
        <v>2</v>
      </c>
    </row>
    <row r="234" ht="15.75" customHeight="1">
      <c r="B234" s="56"/>
      <c r="U234" s="46" t="str">
        <f t="array" ref="U234">IF($D234="","",IFERROR(_xlfn.XLOOKUP($D234,'TIR店舗一覧'!$D:$D,'TIR店舗一覧'!$E:$E,""),""))</f>
        <v/>
      </c>
      <c r="V234" s="54" t="s">
        <v>2</v>
      </c>
      <c r="W234" s="54" t="s">
        <v>2</v>
      </c>
      <c r="X234" s="54" t="s">
        <v>2</v>
      </c>
      <c r="Y234" s="54" t="s">
        <v>2</v>
      </c>
      <c r="Z234" s="54" t="s">
        <v>2</v>
      </c>
      <c r="AA234" s="54" t="s">
        <v>2</v>
      </c>
      <c r="AB234" s="54" t="s">
        <v>2</v>
      </c>
      <c r="AC234" s="54" t="s">
        <v>2</v>
      </c>
      <c r="AD234" s="54" t="s">
        <v>2</v>
      </c>
      <c r="AE234" s="54" t="s">
        <v>2</v>
      </c>
      <c r="AF234" s="54" t="s">
        <v>2</v>
      </c>
      <c r="AG234" s="54" t="s">
        <v>2</v>
      </c>
    </row>
    <row r="235" ht="15.75" customHeight="1">
      <c r="B235" s="56"/>
      <c r="U235" s="46" t="str">
        <f t="array" ref="U235">IF($D235="","",IFERROR(_xlfn.XLOOKUP($D235,'TIR店舗一覧'!$D:$D,'TIR店舗一覧'!$E:$E,""),""))</f>
        <v/>
      </c>
      <c r="V235" s="54" t="s">
        <v>2</v>
      </c>
      <c r="W235" s="54" t="s">
        <v>2</v>
      </c>
      <c r="X235" s="54" t="s">
        <v>2</v>
      </c>
      <c r="Y235" s="54" t="s">
        <v>2</v>
      </c>
      <c r="Z235" s="54" t="s">
        <v>2</v>
      </c>
      <c r="AA235" s="54" t="s">
        <v>2</v>
      </c>
      <c r="AB235" s="54" t="s">
        <v>2</v>
      </c>
      <c r="AC235" s="54" t="s">
        <v>2</v>
      </c>
      <c r="AD235" s="54" t="s">
        <v>2</v>
      </c>
      <c r="AE235" s="54" t="s">
        <v>2</v>
      </c>
      <c r="AF235" s="54" t="s">
        <v>2</v>
      </c>
      <c r="AG235" s="54" t="s">
        <v>2</v>
      </c>
    </row>
    <row r="236" ht="15.75" customHeight="1">
      <c r="B236" s="56"/>
      <c r="U236" s="46" t="str">
        <f t="array" ref="U236">IF($D236="","",IFERROR(_xlfn.XLOOKUP($D236,'TIR店舗一覧'!$D:$D,'TIR店舗一覧'!$E:$E,""),""))</f>
        <v/>
      </c>
      <c r="V236" s="54" t="s">
        <v>2</v>
      </c>
      <c r="W236" s="54" t="s">
        <v>2</v>
      </c>
      <c r="X236" s="54" t="s">
        <v>2</v>
      </c>
      <c r="Y236" s="54" t="s">
        <v>2</v>
      </c>
      <c r="Z236" s="54" t="s">
        <v>2</v>
      </c>
      <c r="AA236" s="54" t="s">
        <v>2</v>
      </c>
      <c r="AB236" s="54" t="s">
        <v>2</v>
      </c>
      <c r="AC236" s="54" t="s">
        <v>2</v>
      </c>
      <c r="AD236" s="54" t="s">
        <v>2</v>
      </c>
      <c r="AE236" s="54" t="s">
        <v>2</v>
      </c>
      <c r="AF236" s="54" t="s">
        <v>2</v>
      </c>
      <c r="AG236" s="54" t="s">
        <v>2</v>
      </c>
    </row>
    <row r="237" ht="15.75" customHeight="1">
      <c r="B237" s="56"/>
      <c r="U237" s="46" t="str">
        <f t="array" ref="U237">IF($D237="","",IFERROR(_xlfn.XLOOKUP($D237,'TIR店舗一覧'!$D:$D,'TIR店舗一覧'!$E:$E,""),""))</f>
        <v/>
      </c>
      <c r="V237" s="54" t="s">
        <v>2</v>
      </c>
      <c r="W237" s="54" t="s">
        <v>2</v>
      </c>
      <c r="X237" s="54" t="s">
        <v>2</v>
      </c>
      <c r="Y237" s="54" t="s">
        <v>2</v>
      </c>
      <c r="Z237" s="54" t="s">
        <v>2</v>
      </c>
      <c r="AA237" s="54" t="s">
        <v>2</v>
      </c>
      <c r="AB237" s="54" t="s">
        <v>2</v>
      </c>
      <c r="AC237" s="54" t="s">
        <v>2</v>
      </c>
      <c r="AD237" s="54" t="s">
        <v>2</v>
      </c>
      <c r="AE237" s="54" t="s">
        <v>2</v>
      </c>
      <c r="AF237" s="54" t="s">
        <v>2</v>
      </c>
      <c r="AG237" s="54" t="s">
        <v>2</v>
      </c>
    </row>
    <row r="238" ht="15.75" customHeight="1">
      <c r="B238" s="56"/>
      <c r="U238" s="46" t="str">
        <f t="array" ref="U238">IF($D238="","",IFERROR(_xlfn.XLOOKUP($D238,'TIR店舗一覧'!$D:$D,'TIR店舗一覧'!$E:$E,""),""))</f>
        <v/>
      </c>
      <c r="V238" s="54" t="s">
        <v>2</v>
      </c>
      <c r="W238" s="54" t="s">
        <v>2</v>
      </c>
      <c r="X238" s="54" t="s">
        <v>2</v>
      </c>
      <c r="Y238" s="54" t="s">
        <v>2</v>
      </c>
      <c r="Z238" s="54" t="s">
        <v>2</v>
      </c>
      <c r="AA238" s="54" t="s">
        <v>2</v>
      </c>
      <c r="AB238" s="54" t="s">
        <v>2</v>
      </c>
      <c r="AC238" s="54" t="s">
        <v>2</v>
      </c>
      <c r="AD238" s="54" t="s">
        <v>2</v>
      </c>
      <c r="AE238" s="54" t="s">
        <v>2</v>
      </c>
      <c r="AF238" s="54" t="s">
        <v>2</v>
      </c>
      <c r="AG238" s="54" t="s">
        <v>2</v>
      </c>
    </row>
    <row r="239" ht="15.75" customHeight="1">
      <c r="B239" s="56"/>
      <c r="U239" s="46" t="str">
        <f t="array" ref="U239">IF($D239="","",IFERROR(_xlfn.XLOOKUP($D239,'TIR店舗一覧'!$D:$D,'TIR店舗一覧'!$E:$E,""),""))</f>
        <v/>
      </c>
      <c r="V239" s="54" t="s">
        <v>2</v>
      </c>
      <c r="W239" s="54" t="s">
        <v>2</v>
      </c>
      <c r="X239" s="54" t="s">
        <v>2</v>
      </c>
      <c r="Y239" s="54" t="s">
        <v>2</v>
      </c>
      <c r="Z239" s="54" t="s">
        <v>2</v>
      </c>
      <c r="AA239" s="54" t="s">
        <v>2</v>
      </c>
      <c r="AB239" s="54" t="s">
        <v>2</v>
      </c>
      <c r="AC239" s="54" t="s">
        <v>2</v>
      </c>
      <c r="AD239" s="54" t="s">
        <v>2</v>
      </c>
      <c r="AE239" s="54" t="s">
        <v>2</v>
      </c>
      <c r="AF239" s="54" t="s">
        <v>2</v>
      </c>
      <c r="AG239" s="54" t="s">
        <v>2</v>
      </c>
    </row>
    <row r="240" ht="15.75" customHeight="1">
      <c r="B240" s="56"/>
      <c r="U240" s="46" t="str">
        <f t="array" ref="U240">IF($D240="","",IFERROR(_xlfn.XLOOKUP($D240,'TIR店舗一覧'!$D:$D,'TIR店舗一覧'!$E:$E,""),""))</f>
        <v/>
      </c>
      <c r="V240" s="54" t="s">
        <v>2</v>
      </c>
      <c r="W240" s="54" t="s">
        <v>2</v>
      </c>
      <c r="X240" s="54" t="s">
        <v>2</v>
      </c>
      <c r="Y240" s="54" t="s">
        <v>2</v>
      </c>
      <c r="Z240" s="54" t="s">
        <v>2</v>
      </c>
      <c r="AA240" s="54" t="s">
        <v>2</v>
      </c>
      <c r="AB240" s="54" t="s">
        <v>2</v>
      </c>
      <c r="AC240" s="54" t="s">
        <v>2</v>
      </c>
      <c r="AD240" s="54" t="s">
        <v>2</v>
      </c>
      <c r="AE240" s="54" t="s">
        <v>2</v>
      </c>
      <c r="AF240" s="54" t="s">
        <v>2</v>
      </c>
      <c r="AG240" s="54" t="s">
        <v>2</v>
      </c>
    </row>
    <row r="241" ht="15.75" customHeight="1">
      <c r="B241" s="56"/>
      <c r="U241" s="46" t="str">
        <f t="array" ref="U241">IF($D241="","",IFERROR(_xlfn.XLOOKUP($D241,'TIR店舗一覧'!$D:$D,'TIR店舗一覧'!$E:$E,""),""))</f>
        <v/>
      </c>
      <c r="V241" s="54" t="s">
        <v>2</v>
      </c>
      <c r="W241" s="54" t="s">
        <v>2</v>
      </c>
      <c r="X241" s="54" t="s">
        <v>2</v>
      </c>
      <c r="Y241" s="54" t="s">
        <v>2</v>
      </c>
      <c r="Z241" s="54" t="s">
        <v>2</v>
      </c>
      <c r="AA241" s="54" t="s">
        <v>2</v>
      </c>
      <c r="AB241" s="54" t="s">
        <v>2</v>
      </c>
      <c r="AC241" s="54" t="s">
        <v>2</v>
      </c>
      <c r="AD241" s="54" t="s">
        <v>2</v>
      </c>
      <c r="AE241" s="54" t="s">
        <v>2</v>
      </c>
      <c r="AF241" s="54" t="s">
        <v>2</v>
      </c>
      <c r="AG241" s="54" t="s">
        <v>2</v>
      </c>
    </row>
    <row r="242" ht="15.75" customHeight="1">
      <c r="B242" s="56"/>
      <c r="U242" s="46" t="str">
        <f t="array" ref="U242">IF($D242="","",IFERROR(_xlfn.XLOOKUP($D242,'TIR店舗一覧'!$D:$D,'TIR店舗一覧'!$E:$E,""),""))</f>
        <v/>
      </c>
      <c r="V242" s="54" t="s">
        <v>2</v>
      </c>
      <c r="W242" s="54" t="s">
        <v>2</v>
      </c>
      <c r="X242" s="54" t="s">
        <v>2</v>
      </c>
      <c r="Y242" s="54" t="s">
        <v>2</v>
      </c>
      <c r="Z242" s="54" t="s">
        <v>2</v>
      </c>
      <c r="AA242" s="54" t="s">
        <v>2</v>
      </c>
      <c r="AB242" s="54" t="s">
        <v>2</v>
      </c>
      <c r="AC242" s="54" t="s">
        <v>2</v>
      </c>
      <c r="AD242" s="54" t="s">
        <v>2</v>
      </c>
      <c r="AE242" s="54" t="s">
        <v>2</v>
      </c>
      <c r="AF242" s="54" t="s">
        <v>2</v>
      </c>
      <c r="AG242" s="54" t="s">
        <v>2</v>
      </c>
    </row>
    <row r="243" ht="15.75" customHeight="1">
      <c r="B243" s="56"/>
      <c r="U243" s="46" t="str">
        <f t="array" ref="U243">IF($D243="","",IFERROR(_xlfn.XLOOKUP($D243,'TIR店舗一覧'!$D:$D,'TIR店舗一覧'!$E:$E,""),""))</f>
        <v/>
      </c>
      <c r="V243" s="54" t="s">
        <v>2</v>
      </c>
      <c r="W243" s="54" t="s">
        <v>2</v>
      </c>
      <c r="X243" s="54" t="s">
        <v>2</v>
      </c>
      <c r="Y243" s="54" t="s">
        <v>2</v>
      </c>
      <c r="Z243" s="54" t="s">
        <v>2</v>
      </c>
      <c r="AA243" s="54" t="s">
        <v>2</v>
      </c>
      <c r="AB243" s="54" t="s">
        <v>2</v>
      </c>
      <c r="AC243" s="54" t="s">
        <v>2</v>
      </c>
      <c r="AD243" s="54" t="s">
        <v>2</v>
      </c>
      <c r="AE243" s="54" t="s">
        <v>2</v>
      </c>
      <c r="AF243" s="54" t="s">
        <v>2</v>
      </c>
      <c r="AG243" s="54" t="s">
        <v>2</v>
      </c>
    </row>
    <row r="244" ht="15.75" customHeight="1">
      <c r="B244" s="56"/>
      <c r="U244" s="46" t="str">
        <f t="array" ref="U244">IF($D244="","",IFERROR(_xlfn.XLOOKUP($D244,'TIR店舗一覧'!$D:$D,'TIR店舗一覧'!$E:$E,""),""))</f>
        <v/>
      </c>
      <c r="V244" s="54" t="s">
        <v>2</v>
      </c>
      <c r="W244" s="54" t="s">
        <v>2</v>
      </c>
      <c r="X244" s="54" t="s">
        <v>2</v>
      </c>
      <c r="Y244" s="54" t="s">
        <v>2</v>
      </c>
      <c r="Z244" s="54" t="s">
        <v>2</v>
      </c>
      <c r="AA244" s="54" t="s">
        <v>2</v>
      </c>
      <c r="AB244" s="54" t="s">
        <v>2</v>
      </c>
      <c r="AC244" s="54" t="s">
        <v>2</v>
      </c>
      <c r="AD244" s="54" t="s">
        <v>2</v>
      </c>
      <c r="AE244" s="54" t="s">
        <v>2</v>
      </c>
      <c r="AF244" s="54" t="s">
        <v>2</v>
      </c>
      <c r="AG244" s="54" t="s">
        <v>2</v>
      </c>
    </row>
    <row r="245" ht="15.75" customHeight="1">
      <c r="B245" s="56"/>
      <c r="U245" s="46" t="str">
        <f t="array" ref="U245">IF($D245="","",IFERROR(_xlfn.XLOOKUP($D245,'TIR店舗一覧'!$D:$D,'TIR店舗一覧'!$E:$E,""),""))</f>
        <v/>
      </c>
      <c r="V245" s="54" t="s">
        <v>2</v>
      </c>
      <c r="W245" s="54" t="s">
        <v>2</v>
      </c>
      <c r="X245" s="54" t="s">
        <v>2</v>
      </c>
      <c r="Y245" s="54" t="s">
        <v>2</v>
      </c>
      <c r="Z245" s="54" t="s">
        <v>2</v>
      </c>
      <c r="AA245" s="54" t="s">
        <v>2</v>
      </c>
      <c r="AB245" s="54" t="s">
        <v>2</v>
      </c>
      <c r="AC245" s="54" t="s">
        <v>2</v>
      </c>
      <c r="AD245" s="54" t="s">
        <v>2</v>
      </c>
      <c r="AE245" s="54" t="s">
        <v>2</v>
      </c>
      <c r="AF245" s="54" t="s">
        <v>2</v>
      </c>
      <c r="AG245" s="54" t="s">
        <v>2</v>
      </c>
    </row>
    <row r="246" ht="15.75" customHeight="1">
      <c r="B246" s="56"/>
      <c r="U246" s="46" t="str">
        <f t="array" ref="U246">IF($D246="","",IFERROR(_xlfn.XLOOKUP($D246,'TIR店舗一覧'!$D:$D,'TIR店舗一覧'!$E:$E,""),""))</f>
        <v/>
      </c>
      <c r="V246" s="54" t="s">
        <v>2</v>
      </c>
      <c r="W246" s="54" t="s">
        <v>2</v>
      </c>
      <c r="X246" s="54" t="s">
        <v>2</v>
      </c>
      <c r="Y246" s="54" t="s">
        <v>2</v>
      </c>
      <c r="Z246" s="54" t="s">
        <v>2</v>
      </c>
      <c r="AA246" s="54" t="s">
        <v>2</v>
      </c>
      <c r="AB246" s="54" t="s">
        <v>2</v>
      </c>
      <c r="AC246" s="54" t="s">
        <v>2</v>
      </c>
      <c r="AD246" s="54" t="s">
        <v>2</v>
      </c>
      <c r="AE246" s="54" t="s">
        <v>2</v>
      </c>
      <c r="AF246" s="54" t="s">
        <v>2</v>
      </c>
      <c r="AG246" s="54" t="s">
        <v>2</v>
      </c>
    </row>
    <row r="247" ht="15.75" customHeight="1">
      <c r="B247" s="56"/>
      <c r="U247" s="46" t="str">
        <f t="array" ref="U247">IF($D247="","",IFERROR(_xlfn.XLOOKUP($D247,'TIR店舗一覧'!$D:$D,'TIR店舗一覧'!$E:$E,""),""))</f>
        <v/>
      </c>
      <c r="V247" s="54" t="s">
        <v>2</v>
      </c>
      <c r="W247" s="54" t="s">
        <v>2</v>
      </c>
      <c r="X247" s="54" t="s">
        <v>2</v>
      </c>
      <c r="Y247" s="54" t="s">
        <v>2</v>
      </c>
      <c r="Z247" s="54" t="s">
        <v>2</v>
      </c>
      <c r="AA247" s="54" t="s">
        <v>2</v>
      </c>
      <c r="AB247" s="54" t="s">
        <v>2</v>
      </c>
      <c r="AC247" s="54" t="s">
        <v>2</v>
      </c>
      <c r="AD247" s="54" t="s">
        <v>2</v>
      </c>
      <c r="AE247" s="54" t="s">
        <v>2</v>
      </c>
      <c r="AF247" s="54" t="s">
        <v>2</v>
      </c>
      <c r="AG247" s="54" t="s">
        <v>2</v>
      </c>
    </row>
    <row r="248" ht="15.75" customHeight="1">
      <c r="B248" s="56"/>
      <c r="U248" s="46" t="str">
        <f t="array" ref="U248">IF($D248="","",IFERROR(_xlfn.XLOOKUP($D248,'TIR店舗一覧'!$D:$D,'TIR店舗一覧'!$E:$E,""),""))</f>
        <v/>
      </c>
      <c r="V248" s="54" t="s">
        <v>2</v>
      </c>
      <c r="W248" s="54" t="s">
        <v>2</v>
      </c>
      <c r="X248" s="54" t="s">
        <v>2</v>
      </c>
      <c r="Y248" s="54" t="s">
        <v>2</v>
      </c>
      <c r="Z248" s="54" t="s">
        <v>2</v>
      </c>
      <c r="AA248" s="54" t="s">
        <v>2</v>
      </c>
      <c r="AB248" s="54" t="s">
        <v>2</v>
      </c>
      <c r="AC248" s="54" t="s">
        <v>2</v>
      </c>
      <c r="AD248" s="54" t="s">
        <v>2</v>
      </c>
      <c r="AE248" s="54" t="s">
        <v>2</v>
      </c>
      <c r="AF248" s="54" t="s">
        <v>2</v>
      </c>
      <c r="AG248" s="54" t="s">
        <v>2</v>
      </c>
    </row>
    <row r="249" ht="15.75" customHeight="1">
      <c r="B249" s="56"/>
      <c r="U249" s="46" t="str">
        <f t="array" ref="U249">IF($D249="","",IFERROR(_xlfn.XLOOKUP($D249,'TIR店舗一覧'!$D:$D,'TIR店舗一覧'!$E:$E,""),""))</f>
        <v/>
      </c>
      <c r="V249" s="54" t="s">
        <v>2</v>
      </c>
      <c r="W249" s="54" t="s">
        <v>2</v>
      </c>
      <c r="X249" s="54" t="s">
        <v>2</v>
      </c>
      <c r="Y249" s="54" t="s">
        <v>2</v>
      </c>
      <c r="Z249" s="54" t="s">
        <v>2</v>
      </c>
      <c r="AA249" s="54" t="s">
        <v>2</v>
      </c>
      <c r="AB249" s="54" t="s">
        <v>2</v>
      </c>
      <c r="AC249" s="54" t="s">
        <v>2</v>
      </c>
      <c r="AD249" s="54" t="s">
        <v>2</v>
      </c>
      <c r="AE249" s="54" t="s">
        <v>2</v>
      </c>
      <c r="AF249" s="54" t="s">
        <v>2</v>
      </c>
      <c r="AG249" s="54" t="s">
        <v>2</v>
      </c>
    </row>
    <row r="250" ht="15.75" customHeight="1">
      <c r="B250" s="56"/>
      <c r="U250" s="46" t="str">
        <f t="array" ref="U250">IF($D250="","",IFERROR(_xlfn.XLOOKUP($D250,'TIR店舗一覧'!$D:$D,'TIR店舗一覧'!$E:$E,""),""))</f>
        <v/>
      </c>
      <c r="V250" s="54" t="s">
        <v>2</v>
      </c>
      <c r="W250" s="54" t="s">
        <v>2</v>
      </c>
      <c r="X250" s="54" t="s">
        <v>2</v>
      </c>
      <c r="Y250" s="54" t="s">
        <v>2</v>
      </c>
      <c r="Z250" s="54" t="s">
        <v>2</v>
      </c>
      <c r="AA250" s="54" t="s">
        <v>2</v>
      </c>
      <c r="AB250" s="54" t="s">
        <v>2</v>
      </c>
      <c r="AC250" s="54" t="s">
        <v>2</v>
      </c>
      <c r="AD250" s="54" t="s">
        <v>2</v>
      </c>
      <c r="AE250" s="54" t="s">
        <v>2</v>
      </c>
      <c r="AF250" s="54" t="s">
        <v>2</v>
      </c>
      <c r="AG250" s="54" t="s">
        <v>2</v>
      </c>
    </row>
    <row r="251" ht="15.75" customHeight="1">
      <c r="B251" s="56"/>
      <c r="U251" s="46" t="str">
        <f t="array" ref="U251">IF($D251="","",IFERROR(_xlfn.XLOOKUP($D251,'TIR店舗一覧'!$D:$D,'TIR店舗一覧'!$E:$E,""),""))</f>
        <v/>
      </c>
      <c r="V251" s="54" t="s">
        <v>2</v>
      </c>
      <c r="W251" s="54" t="s">
        <v>2</v>
      </c>
      <c r="X251" s="54" t="s">
        <v>2</v>
      </c>
      <c r="Y251" s="54" t="s">
        <v>2</v>
      </c>
      <c r="Z251" s="54" t="s">
        <v>2</v>
      </c>
      <c r="AA251" s="54" t="s">
        <v>2</v>
      </c>
      <c r="AB251" s="54" t="s">
        <v>2</v>
      </c>
      <c r="AC251" s="54" t="s">
        <v>2</v>
      </c>
      <c r="AD251" s="54" t="s">
        <v>2</v>
      </c>
      <c r="AE251" s="54" t="s">
        <v>2</v>
      </c>
      <c r="AF251" s="54" t="s">
        <v>2</v>
      </c>
      <c r="AG251" s="54" t="s">
        <v>2</v>
      </c>
    </row>
    <row r="252" ht="15.75" customHeight="1">
      <c r="B252" s="56"/>
      <c r="U252" s="46" t="str">
        <f t="array" ref="U252">IF($D252="","",IFERROR(_xlfn.XLOOKUP($D252,'TIR店舗一覧'!$D:$D,'TIR店舗一覧'!$E:$E,""),""))</f>
        <v/>
      </c>
      <c r="V252" s="54" t="s">
        <v>2</v>
      </c>
      <c r="W252" s="54" t="s">
        <v>2</v>
      </c>
      <c r="X252" s="54" t="s">
        <v>2</v>
      </c>
      <c r="Y252" s="54" t="s">
        <v>2</v>
      </c>
      <c r="Z252" s="54" t="s">
        <v>2</v>
      </c>
      <c r="AA252" s="54" t="s">
        <v>2</v>
      </c>
      <c r="AB252" s="54" t="s">
        <v>2</v>
      </c>
      <c r="AC252" s="54" t="s">
        <v>2</v>
      </c>
      <c r="AD252" s="54" t="s">
        <v>2</v>
      </c>
      <c r="AE252" s="54" t="s">
        <v>2</v>
      </c>
      <c r="AF252" s="54" t="s">
        <v>2</v>
      </c>
      <c r="AG252" s="54" t="s">
        <v>2</v>
      </c>
    </row>
    <row r="253" ht="15.75" customHeight="1">
      <c r="B253" s="56"/>
      <c r="U253" s="46" t="str">
        <f t="array" ref="U253">IF($D253="","",IFERROR(_xlfn.XLOOKUP($D253,'TIR店舗一覧'!$D:$D,'TIR店舗一覧'!$E:$E,""),""))</f>
        <v/>
      </c>
      <c r="V253" s="54" t="s">
        <v>2</v>
      </c>
      <c r="W253" s="54" t="s">
        <v>2</v>
      </c>
      <c r="X253" s="54" t="s">
        <v>2</v>
      </c>
      <c r="Y253" s="54" t="s">
        <v>2</v>
      </c>
      <c r="Z253" s="54" t="s">
        <v>2</v>
      </c>
      <c r="AA253" s="54" t="s">
        <v>2</v>
      </c>
      <c r="AB253" s="54" t="s">
        <v>2</v>
      </c>
      <c r="AC253" s="54" t="s">
        <v>2</v>
      </c>
      <c r="AD253" s="54" t="s">
        <v>2</v>
      </c>
      <c r="AE253" s="54" t="s">
        <v>2</v>
      </c>
      <c r="AF253" s="54" t="s">
        <v>2</v>
      </c>
      <c r="AG253" s="54" t="s">
        <v>2</v>
      </c>
    </row>
    <row r="254" ht="15.75" customHeight="1">
      <c r="B254" s="56"/>
      <c r="U254" s="46" t="str">
        <f t="array" ref="U254">IF($D254="","",IFERROR(_xlfn.XLOOKUP($D254,'TIR店舗一覧'!$D:$D,'TIR店舗一覧'!$E:$E,""),""))</f>
        <v/>
      </c>
      <c r="V254" s="54" t="s">
        <v>2</v>
      </c>
      <c r="W254" s="54" t="s">
        <v>2</v>
      </c>
      <c r="X254" s="54" t="s">
        <v>2</v>
      </c>
      <c r="Y254" s="54" t="s">
        <v>2</v>
      </c>
      <c r="Z254" s="54" t="s">
        <v>2</v>
      </c>
      <c r="AA254" s="54" t="s">
        <v>2</v>
      </c>
      <c r="AB254" s="54" t="s">
        <v>2</v>
      </c>
      <c r="AC254" s="54" t="s">
        <v>2</v>
      </c>
      <c r="AD254" s="54" t="s">
        <v>2</v>
      </c>
      <c r="AE254" s="54" t="s">
        <v>2</v>
      </c>
      <c r="AF254" s="54" t="s">
        <v>2</v>
      </c>
      <c r="AG254" s="54" t="s">
        <v>2</v>
      </c>
    </row>
    <row r="255" ht="15.75" customHeight="1">
      <c r="B255" s="56"/>
      <c r="U255" s="46" t="str">
        <f t="array" ref="U255">IF($D255="","",IFERROR(_xlfn.XLOOKUP($D255,'TIR店舗一覧'!$D:$D,'TIR店舗一覧'!$E:$E,""),""))</f>
        <v/>
      </c>
      <c r="V255" s="54" t="s">
        <v>2</v>
      </c>
      <c r="W255" s="54" t="s">
        <v>2</v>
      </c>
      <c r="X255" s="54" t="s">
        <v>2</v>
      </c>
      <c r="Y255" s="54" t="s">
        <v>2</v>
      </c>
      <c r="Z255" s="54" t="s">
        <v>2</v>
      </c>
      <c r="AA255" s="54" t="s">
        <v>2</v>
      </c>
      <c r="AB255" s="54" t="s">
        <v>2</v>
      </c>
      <c r="AC255" s="54" t="s">
        <v>2</v>
      </c>
      <c r="AD255" s="54" t="s">
        <v>2</v>
      </c>
      <c r="AE255" s="54" t="s">
        <v>2</v>
      </c>
      <c r="AF255" s="54" t="s">
        <v>2</v>
      </c>
      <c r="AG255" s="54" t="s">
        <v>2</v>
      </c>
    </row>
    <row r="256" ht="15.75" customHeight="1">
      <c r="B256" s="56"/>
      <c r="U256" s="46" t="str">
        <f t="array" ref="U256">IF($D256="","",IFERROR(_xlfn.XLOOKUP($D256,'TIR店舗一覧'!$D:$D,'TIR店舗一覧'!$E:$E,""),""))</f>
        <v/>
      </c>
      <c r="V256" s="54" t="s">
        <v>2</v>
      </c>
      <c r="W256" s="54" t="s">
        <v>2</v>
      </c>
      <c r="X256" s="54" t="s">
        <v>2</v>
      </c>
      <c r="Y256" s="54" t="s">
        <v>2</v>
      </c>
      <c r="Z256" s="54" t="s">
        <v>2</v>
      </c>
      <c r="AA256" s="54" t="s">
        <v>2</v>
      </c>
      <c r="AB256" s="54" t="s">
        <v>2</v>
      </c>
      <c r="AC256" s="54" t="s">
        <v>2</v>
      </c>
      <c r="AD256" s="54" t="s">
        <v>2</v>
      </c>
      <c r="AE256" s="54" t="s">
        <v>2</v>
      </c>
      <c r="AF256" s="54" t="s">
        <v>2</v>
      </c>
      <c r="AG256" s="54" t="s">
        <v>2</v>
      </c>
    </row>
    <row r="257" ht="15.75" customHeight="1">
      <c r="B257" s="56"/>
      <c r="U257" s="46" t="str">
        <f t="array" ref="U257">IF($D257="","",IFERROR(_xlfn.XLOOKUP($D257,'TIR店舗一覧'!$D:$D,'TIR店舗一覧'!$E:$E,""),""))</f>
        <v/>
      </c>
      <c r="V257" s="54" t="s">
        <v>2</v>
      </c>
      <c r="W257" s="54" t="s">
        <v>2</v>
      </c>
      <c r="X257" s="54" t="s">
        <v>2</v>
      </c>
      <c r="Y257" s="54" t="s">
        <v>2</v>
      </c>
      <c r="Z257" s="54" t="s">
        <v>2</v>
      </c>
      <c r="AA257" s="54" t="s">
        <v>2</v>
      </c>
      <c r="AB257" s="54" t="s">
        <v>2</v>
      </c>
      <c r="AC257" s="54" t="s">
        <v>2</v>
      </c>
      <c r="AD257" s="54" t="s">
        <v>2</v>
      </c>
      <c r="AE257" s="54" t="s">
        <v>2</v>
      </c>
      <c r="AF257" s="54" t="s">
        <v>2</v>
      </c>
      <c r="AG257" s="54" t="s">
        <v>2</v>
      </c>
    </row>
    <row r="258" ht="15.75" customHeight="1">
      <c r="B258" s="56"/>
      <c r="U258" s="46" t="str">
        <f t="array" ref="U258">IF($D258="","",IFERROR(_xlfn.XLOOKUP($D258,'TIR店舗一覧'!$D:$D,'TIR店舗一覧'!$E:$E,""),""))</f>
        <v/>
      </c>
      <c r="V258" s="54" t="s">
        <v>2</v>
      </c>
      <c r="W258" s="54" t="s">
        <v>2</v>
      </c>
      <c r="X258" s="54" t="s">
        <v>2</v>
      </c>
      <c r="Y258" s="54" t="s">
        <v>2</v>
      </c>
      <c r="Z258" s="54" t="s">
        <v>2</v>
      </c>
      <c r="AA258" s="54" t="s">
        <v>2</v>
      </c>
      <c r="AB258" s="54" t="s">
        <v>2</v>
      </c>
      <c r="AC258" s="54" t="s">
        <v>2</v>
      </c>
      <c r="AD258" s="54" t="s">
        <v>2</v>
      </c>
      <c r="AE258" s="54" t="s">
        <v>2</v>
      </c>
      <c r="AF258" s="54" t="s">
        <v>2</v>
      </c>
      <c r="AG258" s="54" t="s">
        <v>2</v>
      </c>
    </row>
    <row r="259" ht="15.75" customHeight="1">
      <c r="B259" s="56"/>
      <c r="U259" s="46" t="str">
        <f t="array" ref="U259">IF($D259="","",IFERROR(_xlfn.XLOOKUP($D259,'TIR店舗一覧'!$D:$D,'TIR店舗一覧'!$E:$E,""),""))</f>
        <v/>
      </c>
      <c r="V259" s="54" t="s">
        <v>2</v>
      </c>
      <c r="W259" s="54" t="s">
        <v>2</v>
      </c>
      <c r="X259" s="54" t="s">
        <v>2</v>
      </c>
      <c r="Y259" s="54" t="s">
        <v>2</v>
      </c>
      <c r="Z259" s="54" t="s">
        <v>2</v>
      </c>
      <c r="AA259" s="54" t="s">
        <v>2</v>
      </c>
      <c r="AB259" s="54" t="s">
        <v>2</v>
      </c>
      <c r="AC259" s="54" t="s">
        <v>2</v>
      </c>
      <c r="AD259" s="54" t="s">
        <v>2</v>
      </c>
      <c r="AE259" s="54" t="s">
        <v>2</v>
      </c>
      <c r="AF259" s="54" t="s">
        <v>2</v>
      </c>
      <c r="AG259" s="54" t="s">
        <v>2</v>
      </c>
    </row>
    <row r="260" ht="15.75" customHeight="1">
      <c r="B260" s="56"/>
      <c r="U260" s="46" t="str">
        <f t="array" ref="U260">IF($D260="","",IFERROR(_xlfn.XLOOKUP($D260,'TIR店舗一覧'!$D:$D,'TIR店舗一覧'!$E:$E,""),""))</f>
        <v/>
      </c>
      <c r="V260" s="54" t="s">
        <v>2</v>
      </c>
      <c r="W260" s="54" t="s">
        <v>2</v>
      </c>
      <c r="X260" s="54" t="s">
        <v>2</v>
      </c>
      <c r="Y260" s="54" t="s">
        <v>2</v>
      </c>
      <c r="Z260" s="54" t="s">
        <v>2</v>
      </c>
      <c r="AA260" s="54" t="s">
        <v>2</v>
      </c>
      <c r="AB260" s="54" t="s">
        <v>2</v>
      </c>
      <c r="AC260" s="54" t="s">
        <v>2</v>
      </c>
      <c r="AD260" s="54" t="s">
        <v>2</v>
      </c>
      <c r="AE260" s="54" t="s">
        <v>2</v>
      </c>
      <c r="AF260" s="54" t="s">
        <v>2</v>
      </c>
      <c r="AG260" s="54" t="s">
        <v>2</v>
      </c>
    </row>
    <row r="261" ht="15.75" customHeight="1">
      <c r="B261" s="56"/>
      <c r="U261" s="46" t="str">
        <f t="array" ref="U261">IF($D261="","",IFERROR(_xlfn.XLOOKUP($D261,'TIR店舗一覧'!$D:$D,'TIR店舗一覧'!$E:$E,""),""))</f>
        <v/>
      </c>
      <c r="V261" s="54" t="s">
        <v>2</v>
      </c>
      <c r="W261" s="54" t="s">
        <v>2</v>
      </c>
      <c r="X261" s="54" t="s">
        <v>2</v>
      </c>
      <c r="Y261" s="54" t="s">
        <v>2</v>
      </c>
      <c r="Z261" s="54" t="s">
        <v>2</v>
      </c>
      <c r="AA261" s="54" t="s">
        <v>2</v>
      </c>
      <c r="AB261" s="54" t="s">
        <v>2</v>
      </c>
      <c r="AC261" s="54" t="s">
        <v>2</v>
      </c>
      <c r="AD261" s="54" t="s">
        <v>2</v>
      </c>
      <c r="AE261" s="54" t="s">
        <v>2</v>
      </c>
      <c r="AF261" s="54" t="s">
        <v>2</v>
      </c>
      <c r="AG261" s="54" t="s">
        <v>2</v>
      </c>
    </row>
    <row r="262" ht="15.75" customHeight="1">
      <c r="B262" s="56"/>
      <c r="U262" s="46" t="str">
        <f t="array" ref="U262">IF($D262="","",IFERROR(_xlfn.XLOOKUP($D262,'TIR店舗一覧'!$D:$D,'TIR店舗一覧'!$E:$E,""),""))</f>
        <v/>
      </c>
      <c r="V262" s="54" t="s">
        <v>2</v>
      </c>
      <c r="W262" s="54" t="s">
        <v>2</v>
      </c>
      <c r="X262" s="54" t="s">
        <v>2</v>
      </c>
      <c r="Y262" s="54" t="s">
        <v>2</v>
      </c>
      <c r="Z262" s="54" t="s">
        <v>2</v>
      </c>
      <c r="AA262" s="54" t="s">
        <v>2</v>
      </c>
      <c r="AB262" s="54" t="s">
        <v>2</v>
      </c>
      <c r="AC262" s="54" t="s">
        <v>2</v>
      </c>
      <c r="AD262" s="54" t="s">
        <v>2</v>
      </c>
      <c r="AE262" s="54" t="s">
        <v>2</v>
      </c>
      <c r="AF262" s="54" t="s">
        <v>2</v>
      </c>
      <c r="AG262" s="54" t="s">
        <v>2</v>
      </c>
    </row>
    <row r="263" ht="15.75" customHeight="1">
      <c r="B263" s="56"/>
      <c r="U263" s="46" t="str">
        <f t="array" ref="U263">IF($D263="","",IFERROR(_xlfn.XLOOKUP($D263,'TIR店舗一覧'!$D:$D,'TIR店舗一覧'!$E:$E,""),""))</f>
        <v/>
      </c>
      <c r="V263" s="54" t="s">
        <v>2</v>
      </c>
      <c r="W263" s="54" t="s">
        <v>2</v>
      </c>
      <c r="X263" s="54" t="s">
        <v>2</v>
      </c>
      <c r="Y263" s="54" t="s">
        <v>2</v>
      </c>
      <c r="Z263" s="54" t="s">
        <v>2</v>
      </c>
      <c r="AA263" s="54" t="s">
        <v>2</v>
      </c>
      <c r="AB263" s="54" t="s">
        <v>2</v>
      </c>
      <c r="AC263" s="54" t="s">
        <v>2</v>
      </c>
      <c r="AD263" s="54" t="s">
        <v>2</v>
      </c>
      <c r="AE263" s="54" t="s">
        <v>2</v>
      </c>
      <c r="AF263" s="54" t="s">
        <v>2</v>
      </c>
      <c r="AG263" s="54" t="s">
        <v>2</v>
      </c>
    </row>
    <row r="264" ht="15.75" customHeight="1">
      <c r="B264" s="56"/>
      <c r="U264" s="46" t="str">
        <f t="array" ref="U264">IF($D264="","",IFERROR(_xlfn.XLOOKUP($D264,'TIR店舗一覧'!$D:$D,'TIR店舗一覧'!$E:$E,""),""))</f>
        <v/>
      </c>
      <c r="V264" s="54" t="s">
        <v>2</v>
      </c>
      <c r="W264" s="54" t="s">
        <v>2</v>
      </c>
      <c r="X264" s="54" t="s">
        <v>2</v>
      </c>
      <c r="Y264" s="54" t="s">
        <v>2</v>
      </c>
      <c r="Z264" s="54" t="s">
        <v>2</v>
      </c>
      <c r="AA264" s="54" t="s">
        <v>2</v>
      </c>
      <c r="AB264" s="54" t="s">
        <v>2</v>
      </c>
      <c r="AC264" s="54" t="s">
        <v>2</v>
      </c>
      <c r="AD264" s="54" t="s">
        <v>2</v>
      </c>
      <c r="AE264" s="54" t="s">
        <v>2</v>
      </c>
      <c r="AF264" s="54" t="s">
        <v>2</v>
      </c>
      <c r="AG264" s="54" t="s">
        <v>2</v>
      </c>
    </row>
    <row r="265" ht="15.75" customHeight="1">
      <c r="B265" s="56"/>
      <c r="U265" s="46" t="str">
        <f t="array" ref="U265">IF($D265="","",IFERROR(_xlfn.XLOOKUP($D265,'TIR店舗一覧'!$D:$D,'TIR店舗一覧'!$E:$E,""),""))</f>
        <v/>
      </c>
      <c r="V265" s="54" t="s">
        <v>2</v>
      </c>
      <c r="W265" s="54" t="s">
        <v>2</v>
      </c>
      <c r="X265" s="54" t="s">
        <v>2</v>
      </c>
      <c r="Y265" s="54" t="s">
        <v>2</v>
      </c>
      <c r="Z265" s="54" t="s">
        <v>2</v>
      </c>
      <c r="AA265" s="54" t="s">
        <v>2</v>
      </c>
      <c r="AB265" s="54" t="s">
        <v>2</v>
      </c>
      <c r="AC265" s="54" t="s">
        <v>2</v>
      </c>
      <c r="AD265" s="54" t="s">
        <v>2</v>
      </c>
      <c r="AE265" s="54" t="s">
        <v>2</v>
      </c>
      <c r="AF265" s="54" t="s">
        <v>2</v>
      </c>
      <c r="AG265" s="54" t="s">
        <v>2</v>
      </c>
    </row>
    <row r="266" ht="15.75" customHeight="1">
      <c r="B266" s="56"/>
      <c r="U266" s="46" t="str">
        <f t="array" ref="U266">IF($D266="","",IFERROR(_xlfn.XLOOKUP($D266,'TIR店舗一覧'!$D:$D,'TIR店舗一覧'!$E:$E,""),""))</f>
        <v/>
      </c>
      <c r="V266" s="54" t="s">
        <v>2</v>
      </c>
      <c r="W266" s="54" t="s">
        <v>2</v>
      </c>
      <c r="X266" s="54" t="s">
        <v>2</v>
      </c>
      <c r="Y266" s="54" t="s">
        <v>2</v>
      </c>
      <c r="Z266" s="54" t="s">
        <v>2</v>
      </c>
      <c r="AA266" s="54" t="s">
        <v>2</v>
      </c>
      <c r="AB266" s="54" t="s">
        <v>2</v>
      </c>
      <c r="AC266" s="54" t="s">
        <v>2</v>
      </c>
      <c r="AD266" s="54" t="s">
        <v>2</v>
      </c>
      <c r="AE266" s="54" t="s">
        <v>2</v>
      </c>
      <c r="AF266" s="54" t="s">
        <v>2</v>
      </c>
      <c r="AG266" s="54" t="s">
        <v>2</v>
      </c>
    </row>
    <row r="267" ht="15.75" customHeight="1">
      <c r="B267" s="56"/>
      <c r="U267" s="46" t="str">
        <f t="array" ref="U267">IF($D267="","",IFERROR(_xlfn.XLOOKUP($D267,'TIR店舗一覧'!$D:$D,'TIR店舗一覧'!$E:$E,""),""))</f>
        <v/>
      </c>
      <c r="V267" s="54" t="s">
        <v>2</v>
      </c>
      <c r="W267" s="54" t="s">
        <v>2</v>
      </c>
      <c r="X267" s="54" t="s">
        <v>2</v>
      </c>
      <c r="Y267" s="54" t="s">
        <v>2</v>
      </c>
      <c r="Z267" s="54" t="s">
        <v>2</v>
      </c>
      <c r="AA267" s="54" t="s">
        <v>2</v>
      </c>
      <c r="AB267" s="54" t="s">
        <v>2</v>
      </c>
      <c r="AC267" s="54" t="s">
        <v>2</v>
      </c>
      <c r="AD267" s="54" t="s">
        <v>2</v>
      </c>
      <c r="AE267" s="54" t="s">
        <v>2</v>
      </c>
      <c r="AF267" s="54" t="s">
        <v>2</v>
      </c>
      <c r="AG267" s="54" t="s">
        <v>2</v>
      </c>
    </row>
    <row r="268" ht="15.75" customHeight="1">
      <c r="B268" s="56"/>
      <c r="U268" s="46" t="str">
        <f t="array" ref="U268">IF($D268="","",IFERROR(_xlfn.XLOOKUP($D268,'TIR店舗一覧'!$D:$D,'TIR店舗一覧'!$E:$E,""),""))</f>
        <v/>
      </c>
      <c r="V268" s="54" t="s">
        <v>2</v>
      </c>
      <c r="W268" s="54" t="s">
        <v>2</v>
      </c>
      <c r="X268" s="54" t="s">
        <v>2</v>
      </c>
      <c r="Y268" s="54" t="s">
        <v>2</v>
      </c>
      <c r="Z268" s="54" t="s">
        <v>2</v>
      </c>
      <c r="AA268" s="54" t="s">
        <v>2</v>
      </c>
      <c r="AB268" s="54" t="s">
        <v>2</v>
      </c>
      <c r="AC268" s="54" t="s">
        <v>2</v>
      </c>
      <c r="AD268" s="54" t="s">
        <v>2</v>
      </c>
      <c r="AE268" s="54" t="s">
        <v>2</v>
      </c>
      <c r="AF268" s="54" t="s">
        <v>2</v>
      </c>
      <c r="AG268" s="54" t="s">
        <v>2</v>
      </c>
    </row>
    <row r="269" ht="15.75" customHeight="1">
      <c r="B269" s="56"/>
      <c r="U269" s="46" t="str">
        <f t="array" ref="U269">IF($D269="","",IFERROR(_xlfn.XLOOKUP($D269,'TIR店舗一覧'!$D:$D,'TIR店舗一覧'!$E:$E,""),""))</f>
        <v/>
      </c>
      <c r="V269" s="54" t="s">
        <v>2</v>
      </c>
      <c r="W269" s="54" t="s">
        <v>2</v>
      </c>
      <c r="X269" s="54" t="s">
        <v>2</v>
      </c>
      <c r="Y269" s="54" t="s">
        <v>2</v>
      </c>
      <c r="Z269" s="54" t="s">
        <v>2</v>
      </c>
      <c r="AA269" s="54" t="s">
        <v>2</v>
      </c>
      <c r="AB269" s="54" t="s">
        <v>2</v>
      </c>
      <c r="AC269" s="54" t="s">
        <v>2</v>
      </c>
      <c r="AD269" s="54" t="s">
        <v>2</v>
      </c>
      <c r="AE269" s="54" t="s">
        <v>2</v>
      </c>
      <c r="AF269" s="54" t="s">
        <v>2</v>
      </c>
      <c r="AG269" s="54" t="s">
        <v>2</v>
      </c>
    </row>
    <row r="270" ht="15.75" customHeight="1">
      <c r="B270" s="56"/>
      <c r="U270" s="46" t="str">
        <f t="array" ref="U270">IF($D270="","",IFERROR(_xlfn.XLOOKUP($D270,'TIR店舗一覧'!$D:$D,'TIR店舗一覧'!$E:$E,""),""))</f>
        <v/>
      </c>
      <c r="V270" s="54" t="s">
        <v>2</v>
      </c>
      <c r="W270" s="54" t="s">
        <v>2</v>
      </c>
      <c r="X270" s="54" t="s">
        <v>2</v>
      </c>
      <c r="Y270" s="54" t="s">
        <v>2</v>
      </c>
      <c r="Z270" s="54" t="s">
        <v>2</v>
      </c>
      <c r="AA270" s="54" t="s">
        <v>2</v>
      </c>
      <c r="AB270" s="54" t="s">
        <v>2</v>
      </c>
      <c r="AC270" s="54" t="s">
        <v>2</v>
      </c>
      <c r="AD270" s="54" t="s">
        <v>2</v>
      </c>
      <c r="AE270" s="54" t="s">
        <v>2</v>
      </c>
      <c r="AF270" s="54" t="s">
        <v>2</v>
      </c>
      <c r="AG270" s="54" t="s">
        <v>2</v>
      </c>
    </row>
    <row r="271" ht="15.75" customHeight="1">
      <c r="B271" s="56"/>
      <c r="U271" s="46" t="str">
        <f t="array" ref="U271">IF($D271="","",IFERROR(_xlfn.XLOOKUP($D271,'TIR店舗一覧'!$D:$D,'TIR店舗一覧'!$E:$E,""),""))</f>
        <v/>
      </c>
      <c r="V271" s="54" t="s">
        <v>2</v>
      </c>
      <c r="W271" s="54" t="s">
        <v>2</v>
      </c>
      <c r="X271" s="54" t="s">
        <v>2</v>
      </c>
      <c r="Y271" s="54" t="s">
        <v>2</v>
      </c>
      <c r="Z271" s="54" t="s">
        <v>2</v>
      </c>
      <c r="AA271" s="54" t="s">
        <v>2</v>
      </c>
      <c r="AB271" s="54" t="s">
        <v>2</v>
      </c>
      <c r="AC271" s="54" t="s">
        <v>2</v>
      </c>
      <c r="AD271" s="54" t="s">
        <v>2</v>
      </c>
      <c r="AE271" s="54" t="s">
        <v>2</v>
      </c>
      <c r="AF271" s="54" t="s">
        <v>2</v>
      </c>
      <c r="AG271" s="54" t="s">
        <v>2</v>
      </c>
    </row>
    <row r="272" ht="15.75" customHeight="1">
      <c r="B272" s="56"/>
      <c r="U272" s="46" t="str">
        <f t="array" ref="U272">IF($D272="","",IFERROR(_xlfn.XLOOKUP($D272,'TIR店舗一覧'!$D:$D,'TIR店舗一覧'!$E:$E,""),""))</f>
        <v/>
      </c>
      <c r="V272" s="54" t="s">
        <v>2</v>
      </c>
      <c r="W272" s="54" t="s">
        <v>2</v>
      </c>
      <c r="X272" s="54" t="s">
        <v>2</v>
      </c>
      <c r="Y272" s="54" t="s">
        <v>2</v>
      </c>
      <c r="Z272" s="54" t="s">
        <v>2</v>
      </c>
      <c r="AA272" s="54" t="s">
        <v>2</v>
      </c>
      <c r="AB272" s="54" t="s">
        <v>2</v>
      </c>
      <c r="AC272" s="54" t="s">
        <v>2</v>
      </c>
      <c r="AD272" s="54" t="s">
        <v>2</v>
      </c>
      <c r="AE272" s="54" t="s">
        <v>2</v>
      </c>
      <c r="AF272" s="54" t="s">
        <v>2</v>
      </c>
      <c r="AG272" s="54" t="s">
        <v>2</v>
      </c>
    </row>
    <row r="273" ht="15.75" customHeight="1">
      <c r="B273" s="56"/>
      <c r="U273" s="46" t="str">
        <f t="array" ref="U273">IF($D273="","",IFERROR(_xlfn.XLOOKUP($D273,'TIR店舗一覧'!$D:$D,'TIR店舗一覧'!$E:$E,""),""))</f>
        <v/>
      </c>
      <c r="V273" s="54" t="s">
        <v>2</v>
      </c>
      <c r="W273" s="54" t="s">
        <v>2</v>
      </c>
      <c r="X273" s="54" t="s">
        <v>2</v>
      </c>
      <c r="Y273" s="54" t="s">
        <v>2</v>
      </c>
      <c r="Z273" s="54" t="s">
        <v>2</v>
      </c>
      <c r="AA273" s="54" t="s">
        <v>2</v>
      </c>
      <c r="AB273" s="54" t="s">
        <v>2</v>
      </c>
      <c r="AC273" s="54" t="s">
        <v>2</v>
      </c>
      <c r="AD273" s="54" t="s">
        <v>2</v>
      </c>
      <c r="AE273" s="54" t="s">
        <v>2</v>
      </c>
      <c r="AF273" s="54" t="s">
        <v>2</v>
      </c>
      <c r="AG273" s="54" t="s">
        <v>2</v>
      </c>
    </row>
    <row r="274" ht="15.75" customHeight="1">
      <c r="B274" s="56"/>
      <c r="U274" s="46" t="str">
        <f t="array" ref="U274">IF($D274="","",IFERROR(_xlfn.XLOOKUP($D274,'TIR店舗一覧'!$D:$D,'TIR店舗一覧'!$E:$E,""),""))</f>
        <v/>
      </c>
      <c r="V274" s="54" t="s">
        <v>2</v>
      </c>
      <c r="W274" s="54" t="s">
        <v>2</v>
      </c>
      <c r="X274" s="54" t="s">
        <v>2</v>
      </c>
      <c r="Y274" s="54" t="s">
        <v>2</v>
      </c>
      <c r="Z274" s="54" t="s">
        <v>2</v>
      </c>
      <c r="AA274" s="54" t="s">
        <v>2</v>
      </c>
      <c r="AB274" s="54" t="s">
        <v>2</v>
      </c>
      <c r="AC274" s="54" t="s">
        <v>2</v>
      </c>
      <c r="AD274" s="54" t="s">
        <v>2</v>
      </c>
      <c r="AE274" s="54" t="s">
        <v>2</v>
      </c>
      <c r="AF274" s="54" t="s">
        <v>2</v>
      </c>
      <c r="AG274" s="54" t="s">
        <v>2</v>
      </c>
    </row>
    <row r="275" ht="15.75" customHeight="1">
      <c r="B275" s="56"/>
      <c r="U275" s="46" t="str">
        <f t="array" ref="U275">IF($D275="","",IFERROR(_xlfn.XLOOKUP($D275,'TIR店舗一覧'!$D:$D,'TIR店舗一覧'!$E:$E,""),""))</f>
        <v/>
      </c>
      <c r="V275" s="54" t="s">
        <v>2</v>
      </c>
      <c r="W275" s="54" t="s">
        <v>2</v>
      </c>
      <c r="X275" s="54" t="s">
        <v>2</v>
      </c>
      <c r="Y275" s="54" t="s">
        <v>2</v>
      </c>
      <c r="Z275" s="54" t="s">
        <v>2</v>
      </c>
      <c r="AA275" s="54" t="s">
        <v>2</v>
      </c>
      <c r="AB275" s="54" t="s">
        <v>2</v>
      </c>
      <c r="AC275" s="54" t="s">
        <v>2</v>
      </c>
      <c r="AD275" s="54" t="s">
        <v>2</v>
      </c>
      <c r="AE275" s="54" t="s">
        <v>2</v>
      </c>
      <c r="AF275" s="54" t="s">
        <v>2</v>
      </c>
      <c r="AG275" s="54" t="s">
        <v>2</v>
      </c>
    </row>
    <row r="276" ht="15.75" customHeight="1">
      <c r="B276" s="56"/>
      <c r="U276" s="46" t="str">
        <f t="array" ref="U276">IF($D276="","",IFERROR(_xlfn.XLOOKUP($D276,'TIR店舗一覧'!$D:$D,'TIR店舗一覧'!$E:$E,""),""))</f>
        <v/>
      </c>
      <c r="V276" s="54" t="s">
        <v>2</v>
      </c>
      <c r="W276" s="54" t="s">
        <v>2</v>
      </c>
      <c r="X276" s="54" t="s">
        <v>2</v>
      </c>
      <c r="Y276" s="54" t="s">
        <v>2</v>
      </c>
      <c r="Z276" s="54" t="s">
        <v>2</v>
      </c>
      <c r="AA276" s="54" t="s">
        <v>2</v>
      </c>
      <c r="AB276" s="54" t="s">
        <v>2</v>
      </c>
      <c r="AC276" s="54" t="s">
        <v>2</v>
      </c>
      <c r="AD276" s="54" t="s">
        <v>2</v>
      </c>
      <c r="AE276" s="54" t="s">
        <v>2</v>
      </c>
      <c r="AF276" s="54" t="s">
        <v>2</v>
      </c>
      <c r="AG276" s="54" t="s">
        <v>2</v>
      </c>
    </row>
    <row r="277" ht="15.75" customHeight="1">
      <c r="B277" s="56"/>
      <c r="U277" s="46" t="str">
        <f t="array" ref="U277">IF($D277="","",IFERROR(_xlfn.XLOOKUP($D277,'TIR店舗一覧'!$D:$D,'TIR店舗一覧'!$E:$E,""),""))</f>
        <v/>
      </c>
      <c r="V277" s="54" t="s">
        <v>2</v>
      </c>
      <c r="W277" s="54" t="s">
        <v>2</v>
      </c>
      <c r="X277" s="54" t="s">
        <v>2</v>
      </c>
      <c r="Y277" s="54" t="s">
        <v>2</v>
      </c>
      <c r="Z277" s="54" t="s">
        <v>2</v>
      </c>
      <c r="AA277" s="54" t="s">
        <v>2</v>
      </c>
      <c r="AB277" s="54" t="s">
        <v>2</v>
      </c>
      <c r="AC277" s="54" t="s">
        <v>2</v>
      </c>
      <c r="AD277" s="54" t="s">
        <v>2</v>
      </c>
      <c r="AE277" s="54" t="s">
        <v>2</v>
      </c>
      <c r="AF277" s="54" t="s">
        <v>2</v>
      </c>
      <c r="AG277" s="54" t="s">
        <v>2</v>
      </c>
    </row>
    <row r="278" ht="15.75" customHeight="1">
      <c r="B278" s="56"/>
      <c r="U278" s="46" t="str">
        <f t="array" ref="U278">IF($D278="","",IFERROR(_xlfn.XLOOKUP($D278,'TIR店舗一覧'!$D:$D,'TIR店舗一覧'!$E:$E,""),""))</f>
        <v/>
      </c>
      <c r="V278" s="54" t="s">
        <v>2</v>
      </c>
      <c r="W278" s="54" t="s">
        <v>2</v>
      </c>
      <c r="X278" s="54" t="s">
        <v>2</v>
      </c>
      <c r="Y278" s="54" t="s">
        <v>2</v>
      </c>
      <c r="Z278" s="54" t="s">
        <v>2</v>
      </c>
      <c r="AA278" s="54" t="s">
        <v>2</v>
      </c>
      <c r="AB278" s="54" t="s">
        <v>2</v>
      </c>
      <c r="AC278" s="54" t="s">
        <v>2</v>
      </c>
      <c r="AD278" s="54" t="s">
        <v>2</v>
      </c>
      <c r="AE278" s="54" t="s">
        <v>2</v>
      </c>
      <c r="AF278" s="54" t="s">
        <v>2</v>
      </c>
      <c r="AG278" s="54" t="s">
        <v>2</v>
      </c>
    </row>
    <row r="279" ht="15.75" customHeight="1">
      <c r="B279" s="56"/>
      <c r="U279" s="46" t="str">
        <f t="array" ref="U279">IF($D279="","",IFERROR(_xlfn.XLOOKUP($D279,'TIR店舗一覧'!$D:$D,'TIR店舗一覧'!$E:$E,""),""))</f>
        <v/>
      </c>
      <c r="V279" s="54" t="s">
        <v>2</v>
      </c>
      <c r="W279" s="54" t="s">
        <v>2</v>
      </c>
      <c r="X279" s="54" t="s">
        <v>2</v>
      </c>
      <c r="Y279" s="54" t="s">
        <v>2</v>
      </c>
      <c r="Z279" s="54" t="s">
        <v>2</v>
      </c>
      <c r="AA279" s="54" t="s">
        <v>2</v>
      </c>
      <c r="AB279" s="54" t="s">
        <v>2</v>
      </c>
      <c r="AC279" s="54" t="s">
        <v>2</v>
      </c>
      <c r="AD279" s="54" t="s">
        <v>2</v>
      </c>
      <c r="AE279" s="54" t="s">
        <v>2</v>
      </c>
      <c r="AF279" s="54" t="s">
        <v>2</v>
      </c>
      <c r="AG279" s="54" t="s">
        <v>2</v>
      </c>
    </row>
    <row r="280" ht="15.75" customHeight="1">
      <c r="B280" s="56"/>
      <c r="U280" s="46" t="str">
        <f t="array" ref="U280">IF($D280="","",IFERROR(_xlfn.XLOOKUP($D280,'TIR店舗一覧'!$D:$D,'TIR店舗一覧'!$E:$E,""),""))</f>
        <v/>
      </c>
      <c r="V280" s="54" t="s">
        <v>2</v>
      </c>
      <c r="W280" s="54" t="s">
        <v>2</v>
      </c>
      <c r="X280" s="54" t="s">
        <v>2</v>
      </c>
      <c r="Y280" s="54" t="s">
        <v>2</v>
      </c>
      <c r="Z280" s="54" t="s">
        <v>2</v>
      </c>
      <c r="AA280" s="54" t="s">
        <v>2</v>
      </c>
      <c r="AB280" s="54" t="s">
        <v>2</v>
      </c>
      <c r="AC280" s="54" t="s">
        <v>2</v>
      </c>
      <c r="AD280" s="54" t="s">
        <v>2</v>
      </c>
      <c r="AE280" s="54" t="s">
        <v>2</v>
      </c>
      <c r="AF280" s="54" t="s">
        <v>2</v>
      </c>
      <c r="AG280" s="54" t="s">
        <v>2</v>
      </c>
    </row>
    <row r="281" ht="15.75" customHeight="1">
      <c r="B281" s="56"/>
      <c r="U281" s="46" t="str">
        <f t="array" ref="U281">IF($D281="","",IFERROR(_xlfn.XLOOKUP($D281,'TIR店舗一覧'!$D:$D,'TIR店舗一覧'!$E:$E,""),""))</f>
        <v/>
      </c>
      <c r="V281" s="54" t="s">
        <v>2</v>
      </c>
      <c r="W281" s="54" t="s">
        <v>2</v>
      </c>
      <c r="X281" s="54" t="s">
        <v>2</v>
      </c>
      <c r="Y281" s="54" t="s">
        <v>2</v>
      </c>
      <c r="Z281" s="54" t="s">
        <v>2</v>
      </c>
      <c r="AA281" s="54" t="s">
        <v>2</v>
      </c>
      <c r="AB281" s="54" t="s">
        <v>2</v>
      </c>
      <c r="AC281" s="54" t="s">
        <v>2</v>
      </c>
      <c r="AD281" s="54" t="s">
        <v>2</v>
      </c>
      <c r="AE281" s="54" t="s">
        <v>2</v>
      </c>
      <c r="AF281" s="54" t="s">
        <v>2</v>
      </c>
      <c r="AG281" s="54" t="s">
        <v>2</v>
      </c>
    </row>
    <row r="282" ht="15.75" customHeight="1">
      <c r="B282" s="56"/>
      <c r="U282" s="46" t="str">
        <f t="array" ref="U282">IF($D282="","",IFERROR(_xlfn.XLOOKUP($D282,'TIR店舗一覧'!$D:$D,'TIR店舗一覧'!$E:$E,""),""))</f>
        <v/>
      </c>
      <c r="V282" s="54" t="s">
        <v>2</v>
      </c>
      <c r="W282" s="54" t="s">
        <v>2</v>
      </c>
      <c r="X282" s="54" t="s">
        <v>2</v>
      </c>
      <c r="Y282" s="54" t="s">
        <v>2</v>
      </c>
      <c r="Z282" s="54" t="s">
        <v>2</v>
      </c>
      <c r="AA282" s="54" t="s">
        <v>2</v>
      </c>
      <c r="AB282" s="54" t="s">
        <v>2</v>
      </c>
      <c r="AC282" s="54" t="s">
        <v>2</v>
      </c>
      <c r="AD282" s="54" t="s">
        <v>2</v>
      </c>
      <c r="AE282" s="54" t="s">
        <v>2</v>
      </c>
      <c r="AF282" s="54" t="s">
        <v>2</v>
      </c>
      <c r="AG282" s="54" t="s">
        <v>2</v>
      </c>
    </row>
    <row r="283" ht="15.75" customHeight="1">
      <c r="B283" s="56"/>
      <c r="U283" s="46" t="str">
        <f t="array" ref="U283">IF($D283="","",IFERROR(_xlfn.XLOOKUP($D283,'TIR店舗一覧'!$D:$D,'TIR店舗一覧'!$E:$E,""),""))</f>
        <v/>
      </c>
      <c r="V283" s="54" t="s">
        <v>2</v>
      </c>
      <c r="W283" s="54" t="s">
        <v>2</v>
      </c>
      <c r="X283" s="54" t="s">
        <v>2</v>
      </c>
      <c r="Y283" s="54" t="s">
        <v>2</v>
      </c>
      <c r="Z283" s="54" t="s">
        <v>2</v>
      </c>
      <c r="AA283" s="54" t="s">
        <v>2</v>
      </c>
      <c r="AB283" s="54" t="s">
        <v>2</v>
      </c>
      <c r="AC283" s="54" t="s">
        <v>2</v>
      </c>
      <c r="AD283" s="54" t="s">
        <v>2</v>
      </c>
      <c r="AE283" s="54" t="s">
        <v>2</v>
      </c>
      <c r="AF283" s="54" t="s">
        <v>2</v>
      </c>
      <c r="AG283" s="54" t="s">
        <v>2</v>
      </c>
    </row>
    <row r="284" ht="15.75" customHeight="1">
      <c r="B284" s="56"/>
      <c r="U284" s="46" t="str">
        <f t="array" ref="U284">IF($D284="","",IFERROR(_xlfn.XLOOKUP($D284,'TIR店舗一覧'!$D:$D,'TIR店舗一覧'!$E:$E,""),""))</f>
        <v/>
      </c>
      <c r="V284" s="54" t="s">
        <v>2</v>
      </c>
      <c r="W284" s="54" t="s">
        <v>2</v>
      </c>
      <c r="X284" s="54" t="s">
        <v>2</v>
      </c>
      <c r="Y284" s="54" t="s">
        <v>2</v>
      </c>
      <c r="Z284" s="54" t="s">
        <v>2</v>
      </c>
      <c r="AA284" s="54" t="s">
        <v>2</v>
      </c>
      <c r="AB284" s="54" t="s">
        <v>2</v>
      </c>
      <c r="AC284" s="54" t="s">
        <v>2</v>
      </c>
      <c r="AD284" s="54" t="s">
        <v>2</v>
      </c>
      <c r="AE284" s="54" t="s">
        <v>2</v>
      </c>
      <c r="AF284" s="54" t="s">
        <v>2</v>
      </c>
      <c r="AG284" s="54" t="s">
        <v>2</v>
      </c>
    </row>
    <row r="285" ht="15.75" customHeight="1">
      <c r="B285" s="56"/>
      <c r="U285" s="46" t="str">
        <f t="array" ref="U285">IF($D285="","",IFERROR(_xlfn.XLOOKUP($D285,'TIR店舗一覧'!$D:$D,'TIR店舗一覧'!$E:$E,""),""))</f>
        <v/>
      </c>
      <c r="V285" s="54" t="s">
        <v>2</v>
      </c>
      <c r="W285" s="54" t="s">
        <v>2</v>
      </c>
      <c r="X285" s="54" t="s">
        <v>2</v>
      </c>
      <c r="Y285" s="54" t="s">
        <v>2</v>
      </c>
      <c r="Z285" s="54" t="s">
        <v>2</v>
      </c>
      <c r="AA285" s="54" t="s">
        <v>2</v>
      </c>
      <c r="AB285" s="54" t="s">
        <v>2</v>
      </c>
      <c r="AC285" s="54" t="s">
        <v>2</v>
      </c>
      <c r="AD285" s="54" t="s">
        <v>2</v>
      </c>
      <c r="AE285" s="54" t="s">
        <v>2</v>
      </c>
      <c r="AF285" s="54" t="s">
        <v>2</v>
      </c>
      <c r="AG285" s="54" t="s">
        <v>2</v>
      </c>
    </row>
    <row r="286" ht="15.75" customHeight="1">
      <c r="B286" s="56"/>
      <c r="U286" s="46" t="str">
        <f t="array" ref="U286">IF($D286="","",IFERROR(_xlfn.XLOOKUP($D286,'TIR店舗一覧'!$D:$D,'TIR店舗一覧'!$E:$E,""),""))</f>
        <v/>
      </c>
      <c r="V286" s="54" t="s">
        <v>2</v>
      </c>
      <c r="W286" s="54" t="s">
        <v>2</v>
      </c>
      <c r="X286" s="54" t="s">
        <v>2</v>
      </c>
      <c r="Y286" s="54" t="s">
        <v>2</v>
      </c>
      <c r="Z286" s="54" t="s">
        <v>2</v>
      </c>
      <c r="AA286" s="54" t="s">
        <v>2</v>
      </c>
      <c r="AB286" s="54" t="s">
        <v>2</v>
      </c>
      <c r="AC286" s="54" t="s">
        <v>2</v>
      </c>
      <c r="AD286" s="54" t="s">
        <v>2</v>
      </c>
      <c r="AE286" s="54" t="s">
        <v>2</v>
      </c>
      <c r="AF286" s="54" t="s">
        <v>2</v>
      </c>
      <c r="AG286" s="54" t="s">
        <v>2</v>
      </c>
    </row>
    <row r="287" ht="15.75" customHeight="1">
      <c r="B287" s="56"/>
      <c r="U287" s="46" t="str">
        <f t="array" ref="U287">IF($D287="","",IFERROR(_xlfn.XLOOKUP($D287,'TIR店舗一覧'!$D:$D,'TIR店舗一覧'!$E:$E,""),""))</f>
        <v/>
      </c>
      <c r="V287" s="54" t="s">
        <v>2</v>
      </c>
      <c r="W287" s="54" t="s">
        <v>2</v>
      </c>
      <c r="X287" s="54" t="s">
        <v>2</v>
      </c>
      <c r="Y287" s="54" t="s">
        <v>2</v>
      </c>
      <c r="Z287" s="54" t="s">
        <v>2</v>
      </c>
      <c r="AA287" s="54" t="s">
        <v>2</v>
      </c>
      <c r="AB287" s="54" t="s">
        <v>2</v>
      </c>
      <c r="AC287" s="54" t="s">
        <v>2</v>
      </c>
      <c r="AD287" s="54" t="s">
        <v>2</v>
      </c>
      <c r="AE287" s="54" t="s">
        <v>2</v>
      </c>
      <c r="AF287" s="54" t="s">
        <v>2</v>
      </c>
      <c r="AG287" s="54" t="s">
        <v>2</v>
      </c>
    </row>
    <row r="288" ht="15.75" customHeight="1">
      <c r="B288" s="56"/>
      <c r="U288" s="46" t="str">
        <f t="array" ref="U288">IF($D288="","",IFERROR(_xlfn.XLOOKUP($D288,'TIR店舗一覧'!$D:$D,'TIR店舗一覧'!$E:$E,""),""))</f>
        <v/>
      </c>
      <c r="V288" s="54" t="s">
        <v>2</v>
      </c>
      <c r="W288" s="54" t="s">
        <v>2</v>
      </c>
      <c r="X288" s="54" t="s">
        <v>2</v>
      </c>
      <c r="Y288" s="54" t="s">
        <v>2</v>
      </c>
      <c r="Z288" s="54" t="s">
        <v>2</v>
      </c>
      <c r="AA288" s="54" t="s">
        <v>2</v>
      </c>
      <c r="AB288" s="54" t="s">
        <v>2</v>
      </c>
      <c r="AC288" s="54" t="s">
        <v>2</v>
      </c>
      <c r="AD288" s="54" t="s">
        <v>2</v>
      </c>
      <c r="AE288" s="54" t="s">
        <v>2</v>
      </c>
      <c r="AF288" s="54" t="s">
        <v>2</v>
      </c>
      <c r="AG288" s="54" t="s">
        <v>2</v>
      </c>
    </row>
    <row r="289" ht="15.75" customHeight="1">
      <c r="B289" s="56"/>
      <c r="U289" s="46" t="str">
        <f t="array" ref="U289">IF($D289="","",IFERROR(_xlfn.XLOOKUP($D289,'TIR店舗一覧'!$D:$D,'TIR店舗一覧'!$E:$E,""),""))</f>
        <v/>
      </c>
      <c r="V289" s="54" t="s">
        <v>2</v>
      </c>
      <c r="W289" s="54" t="s">
        <v>2</v>
      </c>
      <c r="X289" s="54" t="s">
        <v>2</v>
      </c>
      <c r="Y289" s="54" t="s">
        <v>2</v>
      </c>
      <c r="Z289" s="54" t="s">
        <v>2</v>
      </c>
      <c r="AA289" s="54" t="s">
        <v>2</v>
      </c>
      <c r="AB289" s="54" t="s">
        <v>2</v>
      </c>
      <c r="AC289" s="54" t="s">
        <v>2</v>
      </c>
      <c r="AD289" s="54" t="s">
        <v>2</v>
      </c>
      <c r="AE289" s="54" t="s">
        <v>2</v>
      </c>
      <c r="AF289" s="54" t="s">
        <v>2</v>
      </c>
      <c r="AG289" s="54" t="s">
        <v>2</v>
      </c>
    </row>
    <row r="290" ht="15.75" customHeight="1">
      <c r="B290" s="56"/>
      <c r="U290" s="46" t="str">
        <f t="array" ref="U290">IF($D290="","",IFERROR(_xlfn.XLOOKUP($D290,'TIR店舗一覧'!$D:$D,'TIR店舗一覧'!$E:$E,""),""))</f>
        <v/>
      </c>
      <c r="V290" s="54" t="s">
        <v>2</v>
      </c>
      <c r="W290" s="54" t="s">
        <v>2</v>
      </c>
      <c r="X290" s="54" t="s">
        <v>2</v>
      </c>
      <c r="Y290" s="54" t="s">
        <v>2</v>
      </c>
      <c r="Z290" s="54" t="s">
        <v>2</v>
      </c>
      <c r="AA290" s="54" t="s">
        <v>2</v>
      </c>
      <c r="AB290" s="54" t="s">
        <v>2</v>
      </c>
      <c r="AC290" s="54" t="s">
        <v>2</v>
      </c>
      <c r="AD290" s="54" t="s">
        <v>2</v>
      </c>
      <c r="AE290" s="54" t="s">
        <v>2</v>
      </c>
      <c r="AF290" s="54" t="s">
        <v>2</v>
      </c>
      <c r="AG290" s="54" t="s">
        <v>2</v>
      </c>
    </row>
    <row r="291" ht="15.75" customHeight="1">
      <c r="B291" s="56"/>
      <c r="U291" s="46" t="str">
        <f t="array" ref="U291">IF($D291="","",IFERROR(_xlfn.XLOOKUP($D291,'TIR店舗一覧'!$D:$D,'TIR店舗一覧'!$E:$E,""),""))</f>
        <v/>
      </c>
      <c r="V291" s="54" t="s">
        <v>2</v>
      </c>
      <c r="W291" s="54" t="s">
        <v>2</v>
      </c>
      <c r="X291" s="54" t="s">
        <v>2</v>
      </c>
      <c r="Y291" s="54" t="s">
        <v>2</v>
      </c>
      <c r="Z291" s="54" t="s">
        <v>2</v>
      </c>
      <c r="AA291" s="54" t="s">
        <v>2</v>
      </c>
      <c r="AB291" s="54" t="s">
        <v>2</v>
      </c>
      <c r="AC291" s="54" t="s">
        <v>2</v>
      </c>
      <c r="AD291" s="54" t="s">
        <v>2</v>
      </c>
      <c r="AE291" s="54" t="s">
        <v>2</v>
      </c>
      <c r="AF291" s="54" t="s">
        <v>2</v>
      </c>
      <c r="AG291" s="54" t="s">
        <v>2</v>
      </c>
    </row>
    <row r="292" ht="15.75" customHeight="1">
      <c r="B292" s="56"/>
      <c r="U292" s="46" t="str">
        <f t="array" ref="U292">IF($D292="","",IFERROR(_xlfn.XLOOKUP($D292,'TIR店舗一覧'!$D:$D,'TIR店舗一覧'!$E:$E,""),""))</f>
        <v/>
      </c>
      <c r="V292" s="54" t="s">
        <v>2</v>
      </c>
      <c r="W292" s="54" t="s">
        <v>2</v>
      </c>
      <c r="X292" s="54" t="s">
        <v>2</v>
      </c>
      <c r="Y292" s="54" t="s">
        <v>2</v>
      </c>
      <c r="Z292" s="54" t="s">
        <v>2</v>
      </c>
      <c r="AA292" s="54" t="s">
        <v>2</v>
      </c>
      <c r="AB292" s="54" t="s">
        <v>2</v>
      </c>
      <c r="AC292" s="54" t="s">
        <v>2</v>
      </c>
      <c r="AD292" s="54" t="s">
        <v>2</v>
      </c>
      <c r="AE292" s="54" t="s">
        <v>2</v>
      </c>
      <c r="AF292" s="54" t="s">
        <v>2</v>
      </c>
      <c r="AG292" s="54" t="s">
        <v>2</v>
      </c>
    </row>
    <row r="293" ht="15.75" customHeight="1">
      <c r="B293" s="56"/>
      <c r="U293" s="46" t="str">
        <f t="array" ref="U293">IF($D293="","",IFERROR(_xlfn.XLOOKUP($D293,'TIR店舗一覧'!$D:$D,'TIR店舗一覧'!$E:$E,""),""))</f>
        <v/>
      </c>
      <c r="V293" s="54" t="s">
        <v>2</v>
      </c>
      <c r="W293" s="54" t="s">
        <v>2</v>
      </c>
      <c r="X293" s="54" t="s">
        <v>2</v>
      </c>
      <c r="Y293" s="54" t="s">
        <v>2</v>
      </c>
      <c r="Z293" s="54" t="s">
        <v>2</v>
      </c>
      <c r="AA293" s="54" t="s">
        <v>2</v>
      </c>
      <c r="AB293" s="54" t="s">
        <v>2</v>
      </c>
      <c r="AC293" s="54" t="s">
        <v>2</v>
      </c>
      <c r="AD293" s="54" t="s">
        <v>2</v>
      </c>
      <c r="AE293" s="54" t="s">
        <v>2</v>
      </c>
      <c r="AF293" s="54" t="s">
        <v>2</v>
      </c>
      <c r="AG293" s="54" t="s">
        <v>2</v>
      </c>
    </row>
    <row r="294" ht="15.75" customHeight="1">
      <c r="B294" s="56"/>
      <c r="U294" s="46" t="str">
        <f t="array" ref="U294">IF($D294="","",IFERROR(_xlfn.XLOOKUP($D294,'TIR店舗一覧'!$D:$D,'TIR店舗一覧'!$E:$E,""),""))</f>
        <v/>
      </c>
      <c r="V294" s="54" t="s">
        <v>2</v>
      </c>
      <c r="W294" s="54" t="s">
        <v>2</v>
      </c>
      <c r="X294" s="54" t="s">
        <v>2</v>
      </c>
      <c r="Y294" s="54" t="s">
        <v>2</v>
      </c>
      <c r="Z294" s="54" t="s">
        <v>2</v>
      </c>
      <c r="AA294" s="54" t="s">
        <v>2</v>
      </c>
      <c r="AB294" s="54" t="s">
        <v>2</v>
      </c>
      <c r="AC294" s="54" t="s">
        <v>2</v>
      </c>
      <c r="AD294" s="54" t="s">
        <v>2</v>
      </c>
      <c r="AE294" s="54" t="s">
        <v>2</v>
      </c>
      <c r="AF294" s="54" t="s">
        <v>2</v>
      </c>
      <c r="AG294" s="54" t="s">
        <v>2</v>
      </c>
    </row>
    <row r="295" ht="15.75" customHeight="1">
      <c r="B295" s="56"/>
      <c r="U295" s="46" t="str">
        <f t="array" ref="U295">IF($D295="","",IFERROR(_xlfn.XLOOKUP($D295,'TIR店舗一覧'!$D:$D,'TIR店舗一覧'!$E:$E,""),""))</f>
        <v/>
      </c>
      <c r="V295" s="54" t="s">
        <v>2</v>
      </c>
      <c r="W295" s="54" t="s">
        <v>2</v>
      </c>
      <c r="X295" s="54" t="s">
        <v>2</v>
      </c>
      <c r="Y295" s="54" t="s">
        <v>2</v>
      </c>
      <c r="Z295" s="54" t="s">
        <v>2</v>
      </c>
      <c r="AA295" s="54" t="s">
        <v>2</v>
      </c>
      <c r="AB295" s="54" t="s">
        <v>2</v>
      </c>
      <c r="AC295" s="54" t="s">
        <v>2</v>
      </c>
      <c r="AD295" s="54" t="s">
        <v>2</v>
      </c>
      <c r="AE295" s="54" t="s">
        <v>2</v>
      </c>
      <c r="AF295" s="54" t="s">
        <v>2</v>
      </c>
      <c r="AG295" s="54" t="s">
        <v>2</v>
      </c>
    </row>
    <row r="296" ht="15.75" customHeight="1">
      <c r="B296" s="56"/>
      <c r="U296" s="46" t="str">
        <f t="array" ref="U296">IF($D296="","",IFERROR(_xlfn.XLOOKUP($D296,'TIR店舗一覧'!$D:$D,'TIR店舗一覧'!$E:$E,""),""))</f>
        <v/>
      </c>
      <c r="V296" s="54" t="s">
        <v>2</v>
      </c>
      <c r="W296" s="54" t="s">
        <v>2</v>
      </c>
      <c r="X296" s="54" t="s">
        <v>2</v>
      </c>
      <c r="Y296" s="54" t="s">
        <v>2</v>
      </c>
      <c r="Z296" s="54" t="s">
        <v>2</v>
      </c>
      <c r="AA296" s="54" t="s">
        <v>2</v>
      </c>
      <c r="AB296" s="54" t="s">
        <v>2</v>
      </c>
      <c r="AC296" s="54" t="s">
        <v>2</v>
      </c>
      <c r="AD296" s="54" t="s">
        <v>2</v>
      </c>
      <c r="AE296" s="54" t="s">
        <v>2</v>
      </c>
      <c r="AF296" s="54" t="s">
        <v>2</v>
      </c>
      <c r="AG296" s="54" t="s">
        <v>2</v>
      </c>
    </row>
    <row r="297" ht="15.75" customHeight="1">
      <c r="B297" s="56"/>
      <c r="U297" s="46" t="str">
        <f t="array" ref="U297">IF($D297="","",IFERROR(_xlfn.XLOOKUP($D297,'TIR店舗一覧'!$D:$D,'TIR店舗一覧'!$E:$E,""),""))</f>
        <v/>
      </c>
      <c r="V297" s="54" t="s">
        <v>2</v>
      </c>
      <c r="W297" s="54" t="s">
        <v>2</v>
      </c>
      <c r="X297" s="54" t="s">
        <v>2</v>
      </c>
      <c r="Y297" s="54" t="s">
        <v>2</v>
      </c>
      <c r="Z297" s="54" t="s">
        <v>2</v>
      </c>
      <c r="AA297" s="54" t="s">
        <v>2</v>
      </c>
      <c r="AB297" s="54" t="s">
        <v>2</v>
      </c>
      <c r="AC297" s="54" t="s">
        <v>2</v>
      </c>
      <c r="AD297" s="54" t="s">
        <v>2</v>
      </c>
      <c r="AE297" s="54" t="s">
        <v>2</v>
      </c>
      <c r="AF297" s="54" t="s">
        <v>2</v>
      </c>
      <c r="AG297" s="54" t="s">
        <v>2</v>
      </c>
    </row>
    <row r="298" ht="15.75" customHeight="1">
      <c r="B298" s="56"/>
      <c r="U298" s="46" t="str">
        <f t="array" ref="U298">IF($D298="","",IFERROR(_xlfn.XLOOKUP($D298,'TIR店舗一覧'!$D:$D,'TIR店舗一覧'!$E:$E,""),""))</f>
        <v/>
      </c>
      <c r="V298" s="54" t="s">
        <v>2</v>
      </c>
      <c r="W298" s="54" t="s">
        <v>2</v>
      </c>
      <c r="X298" s="54" t="s">
        <v>2</v>
      </c>
      <c r="Y298" s="54" t="s">
        <v>2</v>
      </c>
      <c r="Z298" s="54" t="s">
        <v>2</v>
      </c>
      <c r="AA298" s="54" t="s">
        <v>2</v>
      </c>
      <c r="AB298" s="54" t="s">
        <v>2</v>
      </c>
      <c r="AC298" s="54" t="s">
        <v>2</v>
      </c>
      <c r="AD298" s="54" t="s">
        <v>2</v>
      </c>
      <c r="AE298" s="54" t="s">
        <v>2</v>
      </c>
      <c r="AF298" s="54" t="s">
        <v>2</v>
      </c>
      <c r="AG298" s="54" t="s">
        <v>2</v>
      </c>
    </row>
    <row r="299" ht="15.75" customHeight="1">
      <c r="B299" s="56"/>
      <c r="U299" s="46" t="str">
        <f t="array" ref="U299">IF($D299="","",IFERROR(_xlfn.XLOOKUP($D299,'TIR店舗一覧'!$D:$D,'TIR店舗一覧'!$E:$E,""),""))</f>
        <v/>
      </c>
      <c r="V299" s="54" t="s">
        <v>2</v>
      </c>
      <c r="W299" s="54" t="s">
        <v>2</v>
      </c>
      <c r="X299" s="54" t="s">
        <v>2</v>
      </c>
      <c r="Y299" s="54" t="s">
        <v>2</v>
      </c>
      <c r="Z299" s="54" t="s">
        <v>2</v>
      </c>
      <c r="AA299" s="54" t="s">
        <v>2</v>
      </c>
      <c r="AB299" s="54" t="s">
        <v>2</v>
      </c>
      <c r="AC299" s="54" t="s">
        <v>2</v>
      </c>
      <c r="AD299" s="54" t="s">
        <v>2</v>
      </c>
      <c r="AE299" s="54" t="s">
        <v>2</v>
      </c>
      <c r="AF299" s="54" t="s">
        <v>2</v>
      </c>
      <c r="AG299" s="54" t="s">
        <v>2</v>
      </c>
    </row>
    <row r="300" ht="15.75" customHeight="1">
      <c r="B300" s="56"/>
      <c r="U300" s="46" t="str">
        <f t="array" ref="U300">IF($D300="","",IFERROR(_xlfn.XLOOKUP($D300,'TIR店舗一覧'!$D:$D,'TIR店舗一覧'!$E:$E,""),""))</f>
        <v/>
      </c>
      <c r="V300" s="54" t="s">
        <v>2</v>
      </c>
      <c r="W300" s="54" t="s">
        <v>2</v>
      </c>
      <c r="X300" s="54" t="s">
        <v>2</v>
      </c>
      <c r="Y300" s="54" t="s">
        <v>2</v>
      </c>
      <c r="Z300" s="54" t="s">
        <v>2</v>
      </c>
      <c r="AA300" s="54" t="s">
        <v>2</v>
      </c>
      <c r="AB300" s="54" t="s">
        <v>2</v>
      </c>
      <c r="AC300" s="54" t="s">
        <v>2</v>
      </c>
      <c r="AD300" s="54" t="s">
        <v>2</v>
      </c>
      <c r="AE300" s="54" t="s">
        <v>2</v>
      </c>
      <c r="AF300" s="54" t="s">
        <v>2</v>
      </c>
      <c r="AG300" s="54" t="s">
        <v>2</v>
      </c>
    </row>
    <row r="301" ht="15.75" customHeight="1">
      <c r="B301" s="56"/>
      <c r="U301" s="46" t="str">
        <f t="array" ref="U301">IF($D301="","",IFERROR(_xlfn.XLOOKUP($D301,'TIR店舗一覧'!$D:$D,'TIR店舗一覧'!$E:$E,""),""))</f>
        <v/>
      </c>
      <c r="V301" s="54" t="s">
        <v>2</v>
      </c>
      <c r="W301" s="54" t="s">
        <v>2</v>
      </c>
      <c r="X301" s="54" t="s">
        <v>2</v>
      </c>
      <c r="Y301" s="54" t="s">
        <v>2</v>
      </c>
      <c r="Z301" s="54" t="s">
        <v>2</v>
      </c>
      <c r="AA301" s="54" t="s">
        <v>2</v>
      </c>
      <c r="AB301" s="54" t="s">
        <v>2</v>
      </c>
      <c r="AC301" s="54" t="s">
        <v>2</v>
      </c>
      <c r="AD301" s="54" t="s">
        <v>2</v>
      </c>
      <c r="AE301" s="54" t="s">
        <v>2</v>
      </c>
      <c r="AF301" s="54" t="s">
        <v>2</v>
      </c>
      <c r="AG301" s="54" t="s">
        <v>2</v>
      </c>
    </row>
    <row r="302" ht="15.75" customHeight="1">
      <c r="B302" s="56"/>
      <c r="U302" s="46" t="str">
        <f t="array" ref="U302">IF($D302="","",IFERROR(_xlfn.XLOOKUP($D302,'TIR店舗一覧'!$D:$D,'TIR店舗一覧'!$E:$E,""),""))</f>
        <v/>
      </c>
      <c r="V302" s="54" t="s">
        <v>2</v>
      </c>
      <c r="W302" s="54" t="s">
        <v>2</v>
      </c>
      <c r="X302" s="54" t="s">
        <v>2</v>
      </c>
      <c r="Y302" s="54" t="s">
        <v>2</v>
      </c>
      <c r="Z302" s="54" t="s">
        <v>2</v>
      </c>
      <c r="AA302" s="54" t="s">
        <v>2</v>
      </c>
      <c r="AB302" s="54" t="s">
        <v>2</v>
      </c>
      <c r="AC302" s="54" t="s">
        <v>2</v>
      </c>
      <c r="AD302" s="54" t="s">
        <v>2</v>
      </c>
      <c r="AE302" s="54" t="s">
        <v>2</v>
      </c>
      <c r="AF302" s="54" t="s">
        <v>2</v>
      </c>
      <c r="AG302" s="54" t="s">
        <v>2</v>
      </c>
    </row>
    <row r="303" ht="15.75" customHeight="1">
      <c r="B303" s="56"/>
      <c r="U303" s="46" t="str">
        <f t="array" ref="U303">IF($D303="","",IFERROR(_xlfn.XLOOKUP($D303,'TIR店舗一覧'!$D:$D,'TIR店舗一覧'!$E:$E,""),""))</f>
        <v/>
      </c>
      <c r="V303" s="54" t="s">
        <v>2</v>
      </c>
      <c r="W303" s="54" t="s">
        <v>2</v>
      </c>
      <c r="X303" s="54" t="s">
        <v>2</v>
      </c>
      <c r="Y303" s="54" t="s">
        <v>2</v>
      </c>
      <c r="Z303" s="54" t="s">
        <v>2</v>
      </c>
      <c r="AA303" s="54" t="s">
        <v>2</v>
      </c>
      <c r="AB303" s="54" t="s">
        <v>2</v>
      </c>
      <c r="AC303" s="54" t="s">
        <v>2</v>
      </c>
      <c r="AD303" s="54" t="s">
        <v>2</v>
      </c>
      <c r="AE303" s="54" t="s">
        <v>2</v>
      </c>
      <c r="AF303" s="54" t="s">
        <v>2</v>
      </c>
      <c r="AG303" s="54" t="s">
        <v>2</v>
      </c>
    </row>
    <row r="304" ht="15.75" customHeight="1">
      <c r="B304" s="56"/>
      <c r="U304" s="46" t="str">
        <f t="array" ref="U304">IF($D304="","",IFERROR(_xlfn.XLOOKUP($D304,'TIR店舗一覧'!$D:$D,'TIR店舗一覧'!$E:$E,""),""))</f>
        <v/>
      </c>
      <c r="V304" s="54" t="s">
        <v>2</v>
      </c>
      <c r="W304" s="54" t="s">
        <v>2</v>
      </c>
      <c r="X304" s="54" t="s">
        <v>2</v>
      </c>
      <c r="Y304" s="54" t="s">
        <v>2</v>
      </c>
      <c r="Z304" s="54" t="s">
        <v>2</v>
      </c>
      <c r="AA304" s="54" t="s">
        <v>2</v>
      </c>
      <c r="AB304" s="54" t="s">
        <v>2</v>
      </c>
      <c r="AC304" s="54" t="s">
        <v>2</v>
      </c>
      <c r="AD304" s="54" t="s">
        <v>2</v>
      </c>
      <c r="AE304" s="54" t="s">
        <v>2</v>
      </c>
      <c r="AF304" s="54" t="s">
        <v>2</v>
      </c>
      <c r="AG304" s="54" t="s">
        <v>2</v>
      </c>
    </row>
    <row r="305" ht="15.75" customHeight="1">
      <c r="B305" s="56"/>
      <c r="U305" s="46" t="str">
        <f t="array" ref="U305">IF($D305="","",IFERROR(_xlfn.XLOOKUP($D305,'TIR店舗一覧'!$D:$D,'TIR店舗一覧'!$E:$E,""),""))</f>
        <v/>
      </c>
      <c r="V305" s="54" t="s">
        <v>2</v>
      </c>
      <c r="W305" s="54" t="s">
        <v>2</v>
      </c>
      <c r="X305" s="54" t="s">
        <v>2</v>
      </c>
      <c r="Y305" s="54" t="s">
        <v>2</v>
      </c>
      <c r="Z305" s="54" t="s">
        <v>2</v>
      </c>
      <c r="AA305" s="54" t="s">
        <v>2</v>
      </c>
      <c r="AB305" s="54" t="s">
        <v>2</v>
      </c>
      <c r="AC305" s="54" t="s">
        <v>2</v>
      </c>
      <c r="AD305" s="54" t="s">
        <v>2</v>
      </c>
      <c r="AE305" s="54" t="s">
        <v>2</v>
      </c>
      <c r="AF305" s="54" t="s">
        <v>2</v>
      </c>
      <c r="AG305" s="54" t="s">
        <v>2</v>
      </c>
    </row>
    <row r="306" ht="15.75" customHeight="1">
      <c r="B306" s="56"/>
      <c r="U306" s="46" t="str">
        <f t="array" ref="U306">IF($D306="","",IFERROR(_xlfn.XLOOKUP($D306,'TIR店舗一覧'!$D:$D,'TIR店舗一覧'!$E:$E,""),""))</f>
        <v/>
      </c>
      <c r="V306" s="54" t="s">
        <v>2</v>
      </c>
      <c r="W306" s="54" t="s">
        <v>2</v>
      </c>
      <c r="X306" s="54" t="s">
        <v>2</v>
      </c>
      <c r="Y306" s="54" t="s">
        <v>2</v>
      </c>
      <c r="Z306" s="54" t="s">
        <v>2</v>
      </c>
      <c r="AA306" s="54" t="s">
        <v>2</v>
      </c>
      <c r="AB306" s="54" t="s">
        <v>2</v>
      </c>
      <c r="AC306" s="54" t="s">
        <v>2</v>
      </c>
      <c r="AD306" s="54" t="s">
        <v>2</v>
      </c>
      <c r="AE306" s="54" t="s">
        <v>2</v>
      </c>
      <c r="AF306" s="54" t="s">
        <v>2</v>
      </c>
      <c r="AG306" s="54" t="s">
        <v>2</v>
      </c>
    </row>
    <row r="307" ht="15.75" customHeight="1">
      <c r="B307" s="56"/>
      <c r="U307" s="46" t="str">
        <f t="array" ref="U307">IF($D307="","",IFERROR(_xlfn.XLOOKUP($D307,'TIR店舗一覧'!$D:$D,'TIR店舗一覧'!$E:$E,""),""))</f>
        <v/>
      </c>
      <c r="V307" s="54" t="s">
        <v>2</v>
      </c>
      <c r="W307" s="54" t="s">
        <v>2</v>
      </c>
      <c r="X307" s="54" t="s">
        <v>2</v>
      </c>
      <c r="Y307" s="54" t="s">
        <v>2</v>
      </c>
      <c r="Z307" s="54" t="s">
        <v>2</v>
      </c>
      <c r="AA307" s="54" t="s">
        <v>2</v>
      </c>
      <c r="AB307" s="54" t="s">
        <v>2</v>
      </c>
      <c r="AC307" s="54" t="s">
        <v>2</v>
      </c>
      <c r="AD307" s="54" t="s">
        <v>2</v>
      </c>
      <c r="AE307" s="54" t="s">
        <v>2</v>
      </c>
      <c r="AF307" s="54" t="s">
        <v>2</v>
      </c>
      <c r="AG307" s="54" t="s">
        <v>2</v>
      </c>
    </row>
    <row r="308" ht="15.75" customHeight="1">
      <c r="B308" s="56"/>
      <c r="U308" s="46" t="str">
        <f t="array" ref="U308">IF($D308="","",IFERROR(_xlfn.XLOOKUP($D308,'TIR店舗一覧'!$D:$D,'TIR店舗一覧'!$E:$E,""),""))</f>
        <v/>
      </c>
      <c r="V308" s="54" t="s">
        <v>2</v>
      </c>
      <c r="W308" s="54" t="s">
        <v>2</v>
      </c>
      <c r="X308" s="54" t="s">
        <v>2</v>
      </c>
      <c r="Y308" s="54" t="s">
        <v>2</v>
      </c>
      <c r="Z308" s="54" t="s">
        <v>2</v>
      </c>
      <c r="AA308" s="54" t="s">
        <v>2</v>
      </c>
      <c r="AB308" s="54" t="s">
        <v>2</v>
      </c>
      <c r="AC308" s="54" t="s">
        <v>2</v>
      </c>
      <c r="AD308" s="54" t="s">
        <v>2</v>
      </c>
      <c r="AE308" s="54" t="s">
        <v>2</v>
      </c>
      <c r="AF308" s="54" t="s">
        <v>2</v>
      </c>
      <c r="AG308" s="54" t="s">
        <v>2</v>
      </c>
    </row>
    <row r="309" ht="15.75" customHeight="1">
      <c r="B309" s="56"/>
      <c r="U309" s="46" t="str">
        <f t="array" ref="U309">IF($D309="","",IFERROR(_xlfn.XLOOKUP($D309,'TIR店舗一覧'!$D:$D,'TIR店舗一覧'!$E:$E,""),""))</f>
        <v/>
      </c>
      <c r="V309" s="54" t="s">
        <v>2</v>
      </c>
      <c r="W309" s="54" t="s">
        <v>2</v>
      </c>
      <c r="X309" s="54" t="s">
        <v>2</v>
      </c>
      <c r="Y309" s="54" t="s">
        <v>2</v>
      </c>
      <c r="Z309" s="54" t="s">
        <v>2</v>
      </c>
      <c r="AA309" s="54" t="s">
        <v>2</v>
      </c>
      <c r="AB309" s="54" t="s">
        <v>2</v>
      </c>
      <c r="AC309" s="54" t="s">
        <v>2</v>
      </c>
      <c r="AD309" s="54" t="s">
        <v>2</v>
      </c>
      <c r="AE309" s="54" t="s">
        <v>2</v>
      </c>
      <c r="AF309" s="54" t="s">
        <v>2</v>
      </c>
      <c r="AG309" s="54" t="s">
        <v>2</v>
      </c>
    </row>
    <row r="310" ht="15.75" customHeight="1">
      <c r="B310" s="56"/>
      <c r="U310" s="46" t="str">
        <f t="array" ref="U310">IF($D310="","",IFERROR(_xlfn.XLOOKUP($D310,'TIR店舗一覧'!$D:$D,'TIR店舗一覧'!$E:$E,""),""))</f>
        <v/>
      </c>
      <c r="V310" s="54" t="s">
        <v>2</v>
      </c>
      <c r="W310" s="54" t="s">
        <v>2</v>
      </c>
      <c r="X310" s="54" t="s">
        <v>2</v>
      </c>
      <c r="Y310" s="54" t="s">
        <v>2</v>
      </c>
      <c r="Z310" s="54" t="s">
        <v>2</v>
      </c>
      <c r="AA310" s="54" t="s">
        <v>2</v>
      </c>
      <c r="AB310" s="54" t="s">
        <v>2</v>
      </c>
      <c r="AC310" s="54" t="s">
        <v>2</v>
      </c>
      <c r="AD310" s="54" t="s">
        <v>2</v>
      </c>
      <c r="AE310" s="54" t="s">
        <v>2</v>
      </c>
      <c r="AF310" s="54" t="s">
        <v>2</v>
      </c>
      <c r="AG310" s="54" t="s">
        <v>2</v>
      </c>
    </row>
    <row r="311" ht="15.75" customHeight="1">
      <c r="B311" s="56"/>
      <c r="U311" s="46" t="str">
        <f t="array" ref="U311">IF($D311="","",IFERROR(_xlfn.XLOOKUP($D311,'TIR店舗一覧'!$D:$D,'TIR店舗一覧'!$E:$E,""),""))</f>
        <v/>
      </c>
      <c r="V311" s="54" t="s">
        <v>2</v>
      </c>
      <c r="W311" s="54" t="s">
        <v>2</v>
      </c>
      <c r="X311" s="54" t="s">
        <v>2</v>
      </c>
      <c r="Y311" s="54" t="s">
        <v>2</v>
      </c>
      <c r="Z311" s="54" t="s">
        <v>2</v>
      </c>
      <c r="AA311" s="54" t="s">
        <v>2</v>
      </c>
      <c r="AB311" s="54" t="s">
        <v>2</v>
      </c>
      <c r="AC311" s="54" t="s">
        <v>2</v>
      </c>
      <c r="AD311" s="54" t="s">
        <v>2</v>
      </c>
      <c r="AE311" s="54" t="s">
        <v>2</v>
      </c>
      <c r="AF311" s="54" t="s">
        <v>2</v>
      </c>
      <c r="AG311" s="54" t="s">
        <v>2</v>
      </c>
    </row>
    <row r="312" ht="15.75" customHeight="1">
      <c r="B312" s="56"/>
      <c r="U312" s="46" t="str">
        <f t="array" ref="U312">IF($D312="","",IFERROR(_xlfn.XLOOKUP($D312,'TIR店舗一覧'!$D:$D,'TIR店舗一覧'!$E:$E,""),""))</f>
        <v/>
      </c>
      <c r="V312" s="54" t="s">
        <v>2</v>
      </c>
      <c r="W312" s="54" t="s">
        <v>2</v>
      </c>
      <c r="X312" s="54" t="s">
        <v>2</v>
      </c>
      <c r="Y312" s="54" t="s">
        <v>2</v>
      </c>
      <c r="Z312" s="54" t="s">
        <v>2</v>
      </c>
      <c r="AA312" s="54" t="s">
        <v>2</v>
      </c>
      <c r="AB312" s="54" t="s">
        <v>2</v>
      </c>
      <c r="AC312" s="54" t="s">
        <v>2</v>
      </c>
      <c r="AD312" s="54" t="s">
        <v>2</v>
      </c>
      <c r="AE312" s="54" t="s">
        <v>2</v>
      </c>
      <c r="AF312" s="54" t="s">
        <v>2</v>
      </c>
      <c r="AG312" s="54" t="s">
        <v>2</v>
      </c>
    </row>
    <row r="313" ht="15.75" customHeight="1">
      <c r="B313" s="56"/>
      <c r="U313" s="46" t="str">
        <f t="array" ref="U313">IF($D313="","",IFERROR(_xlfn.XLOOKUP($D313,'TIR店舗一覧'!$D:$D,'TIR店舗一覧'!$E:$E,""),""))</f>
        <v/>
      </c>
      <c r="V313" s="54" t="s">
        <v>2</v>
      </c>
      <c r="W313" s="54" t="s">
        <v>2</v>
      </c>
      <c r="X313" s="54" t="s">
        <v>2</v>
      </c>
      <c r="Y313" s="54" t="s">
        <v>2</v>
      </c>
      <c r="Z313" s="54" t="s">
        <v>2</v>
      </c>
      <c r="AA313" s="54" t="s">
        <v>2</v>
      </c>
      <c r="AB313" s="54" t="s">
        <v>2</v>
      </c>
      <c r="AC313" s="54" t="s">
        <v>2</v>
      </c>
      <c r="AD313" s="54" t="s">
        <v>2</v>
      </c>
      <c r="AE313" s="54" t="s">
        <v>2</v>
      </c>
      <c r="AF313" s="54" t="s">
        <v>2</v>
      </c>
      <c r="AG313" s="54" t="s">
        <v>2</v>
      </c>
    </row>
    <row r="314" ht="15.75" customHeight="1">
      <c r="B314" s="56"/>
      <c r="U314" s="46" t="str">
        <f t="array" ref="U314">IF($D314="","",IFERROR(_xlfn.XLOOKUP($D314,'TIR店舗一覧'!$D:$D,'TIR店舗一覧'!$E:$E,""),""))</f>
        <v/>
      </c>
      <c r="V314" s="54" t="s">
        <v>2</v>
      </c>
      <c r="W314" s="54" t="s">
        <v>2</v>
      </c>
      <c r="X314" s="54" t="s">
        <v>2</v>
      </c>
      <c r="Y314" s="54" t="s">
        <v>2</v>
      </c>
      <c r="Z314" s="54" t="s">
        <v>2</v>
      </c>
      <c r="AA314" s="54" t="s">
        <v>2</v>
      </c>
      <c r="AB314" s="54" t="s">
        <v>2</v>
      </c>
      <c r="AC314" s="54" t="s">
        <v>2</v>
      </c>
      <c r="AD314" s="54" t="s">
        <v>2</v>
      </c>
      <c r="AE314" s="54" t="s">
        <v>2</v>
      </c>
      <c r="AF314" s="54" t="s">
        <v>2</v>
      </c>
      <c r="AG314" s="54" t="s">
        <v>2</v>
      </c>
    </row>
    <row r="315" ht="15.75" customHeight="1">
      <c r="B315" s="56"/>
      <c r="U315" s="46" t="str">
        <f t="array" ref="U315">IF($D315="","",IFERROR(_xlfn.XLOOKUP($D315,'TIR店舗一覧'!$D:$D,'TIR店舗一覧'!$E:$E,""),""))</f>
        <v/>
      </c>
      <c r="V315" s="54" t="s">
        <v>2</v>
      </c>
      <c r="W315" s="54" t="s">
        <v>2</v>
      </c>
      <c r="X315" s="54" t="s">
        <v>2</v>
      </c>
      <c r="Y315" s="54" t="s">
        <v>2</v>
      </c>
      <c r="Z315" s="54" t="s">
        <v>2</v>
      </c>
      <c r="AA315" s="54" t="s">
        <v>2</v>
      </c>
      <c r="AB315" s="54" t="s">
        <v>2</v>
      </c>
      <c r="AC315" s="54" t="s">
        <v>2</v>
      </c>
      <c r="AD315" s="54" t="s">
        <v>2</v>
      </c>
      <c r="AE315" s="54" t="s">
        <v>2</v>
      </c>
      <c r="AF315" s="54" t="s">
        <v>2</v>
      </c>
      <c r="AG315" s="54" t="s">
        <v>2</v>
      </c>
    </row>
    <row r="316" ht="15.75" customHeight="1">
      <c r="B316" s="56"/>
      <c r="U316" s="46" t="str">
        <f t="array" ref="U316">IF($D316="","",IFERROR(_xlfn.XLOOKUP($D316,'TIR店舗一覧'!$D:$D,'TIR店舗一覧'!$E:$E,""),""))</f>
        <v/>
      </c>
      <c r="V316" s="54" t="s">
        <v>2</v>
      </c>
      <c r="W316" s="54" t="s">
        <v>2</v>
      </c>
      <c r="X316" s="54" t="s">
        <v>2</v>
      </c>
      <c r="Y316" s="54" t="s">
        <v>2</v>
      </c>
      <c r="Z316" s="54" t="s">
        <v>2</v>
      </c>
      <c r="AA316" s="54" t="s">
        <v>2</v>
      </c>
      <c r="AB316" s="54" t="s">
        <v>2</v>
      </c>
      <c r="AC316" s="54" t="s">
        <v>2</v>
      </c>
      <c r="AD316" s="54" t="s">
        <v>2</v>
      </c>
      <c r="AE316" s="54" t="s">
        <v>2</v>
      </c>
      <c r="AF316" s="54" t="s">
        <v>2</v>
      </c>
      <c r="AG316" s="54" t="s">
        <v>2</v>
      </c>
    </row>
    <row r="317" ht="15.75" customHeight="1">
      <c r="B317" s="56"/>
      <c r="U317" s="46" t="str">
        <f t="array" ref="U317">IF($D317="","",IFERROR(_xlfn.XLOOKUP($D317,'TIR店舗一覧'!$D:$D,'TIR店舗一覧'!$E:$E,""),""))</f>
        <v/>
      </c>
      <c r="V317" s="54" t="s">
        <v>2</v>
      </c>
      <c r="W317" s="54" t="s">
        <v>2</v>
      </c>
      <c r="X317" s="54" t="s">
        <v>2</v>
      </c>
      <c r="Y317" s="54" t="s">
        <v>2</v>
      </c>
      <c r="Z317" s="54" t="s">
        <v>2</v>
      </c>
      <c r="AA317" s="54" t="s">
        <v>2</v>
      </c>
      <c r="AB317" s="54" t="s">
        <v>2</v>
      </c>
      <c r="AC317" s="54" t="s">
        <v>2</v>
      </c>
      <c r="AD317" s="54" t="s">
        <v>2</v>
      </c>
      <c r="AE317" s="54" t="s">
        <v>2</v>
      </c>
      <c r="AF317" s="54" t="s">
        <v>2</v>
      </c>
      <c r="AG317" s="54" t="s">
        <v>2</v>
      </c>
    </row>
    <row r="318" ht="15.75" customHeight="1">
      <c r="B318" s="56"/>
      <c r="U318" s="46" t="str">
        <f t="array" ref="U318">IF($D318="","",IFERROR(_xlfn.XLOOKUP($D318,'TIR店舗一覧'!$D:$D,'TIR店舗一覧'!$E:$E,""),""))</f>
        <v/>
      </c>
      <c r="V318" s="54" t="s">
        <v>2</v>
      </c>
      <c r="W318" s="54" t="s">
        <v>2</v>
      </c>
      <c r="X318" s="54" t="s">
        <v>2</v>
      </c>
      <c r="Y318" s="54" t="s">
        <v>2</v>
      </c>
      <c r="Z318" s="54" t="s">
        <v>2</v>
      </c>
      <c r="AA318" s="54" t="s">
        <v>2</v>
      </c>
      <c r="AB318" s="54" t="s">
        <v>2</v>
      </c>
      <c r="AC318" s="54" t="s">
        <v>2</v>
      </c>
      <c r="AD318" s="54" t="s">
        <v>2</v>
      </c>
      <c r="AE318" s="54" t="s">
        <v>2</v>
      </c>
      <c r="AF318" s="54" t="s">
        <v>2</v>
      </c>
      <c r="AG318" s="54" t="s">
        <v>2</v>
      </c>
    </row>
    <row r="319" ht="15.75" customHeight="1">
      <c r="B319" s="56"/>
      <c r="U319" s="46" t="str">
        <f t="array" ref="U319">IF($D319="","",IFERROR(_xlfn.XLOOKUP($D319,'TIR店舗一覧'!$D:$D,'TIR店舗一覧'!$E:$E,""),""))</f>
        <v/>
      </c>
      <c r="V319" s="54" t="s">
        <v>2</v>
      </c>
      <c r="W319" s="54" t="s">
        <v>2</v>
      </c>
      <c r="X319" s="54" t="s">
        <v>2</v>
      </c>
      <c r="Y319" s="54" t="s">
        <v>2</v>
      </c>
      <c r="Z319" s="54" t="s">
        <v>2</v>
      </c>
      <c r="AA319" s="54" t="s">
        <v>2</v>
      </c>
      <c r="AB319" s="54" t="s">
        <v>2</v>
      </c>
      <c r="AC319" s="54" t="s">
        <v>2</v>
      </c>
      <c r="AD319" s="54" t="s">
        <v>2</v>
      </c>
      <c r="AE319" s="54" t="s">
        <v>2</v>
      </c>
      <c r="AF319" s="54" t="s">
        <v>2</v>
      </c>
      <c r="AG319" s="54" t="s">
        <v>2</v>
      </c>
    </row>
    <row r="320" ht="15.75" customHeight="1">
      <c r="B320" s="56"/>
      <c r="U320" s="46" t="str">
        <f t="array" ref="U320">IF($D320="","",IFERROR(_xlfn.XLOOKUP($D320,'TIR店舗一覧'!$D:$D,'TIR店舗一覧'!$E:$E,""),""))</f>
        <v/>
      </c>
      <c r="V320" s="54" t="s">
        <v>2</v>
      </c>
      <c r="W320" s="54" t="s">
        <v>2</v>
      </c>
      <c r="X320" s="54" t="s">
        <v>2</v>
      </c>
      <c r="Y320" s="54" t="s">
        <v>2</v>
      </c>
      <c r="Z320" s="54" t="s">
        <v>2</v>
      </c>
      <c r="AA320" s="54" t="s">
        <v>2</v>
      </c>
      <c r="AB320" s="54" t="s">
        <v>2</v>
      </c>
      <c r="AC320" s="54" t="s">
        <v>2</v>
      </c>
      <c r="AD320" s="54" t="s">
        <v>2</v>
      </c>
      <c r="AE320" s="54" t="s">
        <v>2</v>
      </c>
      <c r="AF320" s="54" t="s">
        <v>2</v>
      </c>
      <c r="AG320" s="54" t="s">
        <v>2</v>
      </c>
    </row>
    <row r="321" ht="15.75" customHeight="1">
      <c r="B321" s="56"/>
      <c r="U321" s="46" t="str">
        <f t="array" ref="U321">IF($D321="","",IFERROR(_xlfn.XLOOKUP($D321,'TIR店舗一覧'!$D:$D,'TIR店舗一覧'!$E:$E,""),""))</f>
        <v/>
      </c>
      <c r="V321" s="54" t="s">
        <v>2</v>
      </c>
      <c r="W321" s="54" t="s">
        <v>2</v>
      </c>
      <c r="X321" s="54" t="s">
        <v>2</v>
      </c>
      <c r="Y321" s="54" t="s">
        <v>2</v>
      </c>
      <c r="Z321" s="54" t="s">
        <v>2</v>
      </c>
      <c r="AA321" s="54" t="s">
        <v>2</v>
      </c>
      <c r="AB321" s="54" t="s">
        <v>2</v>
      </c>
      <c r="AC321" s="54" t="s">
        <v>2</v>
      </c>
      <c r="AD321" s="54" t="s">
        <v>2</v>
      </c>
      <c r="AE321" s="54" t="s">
        <v>2</v>
      </c>
      <c r="AF321" s="54" t="s">
        <v>2</v>
      </c>
      <c r="AG321" s="54" t="s">
        <v>2</v>
      </c>
    </row>
    <row r="322" ht="15.75" customHeight="1">
      <c r="B322" s="56"/>
      <c r="U322" s="46" t="str">
        <f t="array" ref="U322">IF($D322="","",IFERROR(_xlfn.XLOOKUP($D322,'TIR店舗一覧'!$D:$D,'TIR店舗一覧'!$E:$E,""),""))</f>
        <v/>
      </c>
      <c r="V322" s="54" t="s">
        <v>2</v>
      </c>
      <c r="W322" s="54" t="s">
        <v>2</v>
      </c>
      <c r="X322" s="54" t="s">
        <v>2</v>
      </c>
      <c r="Y322" s="54" t="s">
        <v>2</v>
      </c>
      <c r="Z322" s="54" t="s">
        <v>2</v>
      </c>
      <c r="AA322" s="54" t="s">
        <v>2</v>
      </c>
      <c r="AB322" s="54" t="s">
        <v>2</v>
      </c>
      <c r="AC322" s="54" t="s">
        <v>2</v>
      </c>
      <c r="AD322" s="54" t="s">
        <v>2</v>
      </c>
      <c r="AE322" s="54" t="s">
        <v>2</v>
      </c>
      <c r="AF322" s="54" t="s">
        <v>2</v>
      </c>
      <c r="AG322" s="54" t="s">
        <v>2</v>
      </c>
    </row>
    <row r="323" ht="15.75" customHeight="1">
      <c r="B323" s="56"/>
      <c r="U323" s="46" t="str">
        <f t="array" ref="U323">IF($D323="","",IFERROR(_xlfn.XLOOKUP($D323,'TIR店舗一覧'!$D:$D,'TIR店舗一覧'!$E:$E,""),""))</f>
        <v/>
      </c>
      <c r="V323" s="54" t="s">
        <v>2</v>
      </c>
      <c r="W323" s="54" t="s">
        <v>2</v>
      </c>
      <c r="X323" s="54" t="s">
        <v>2</v>
      </c>
      <c r="Y323" s="54" t="s">
        <v>2</v>
      </c>
      <c r="Z323" s="54" t="s">
        <v>2</v>
      </c>
      <c r="AA323" s="54" t="s">
        <v>2</v>
      </c>
      <c r="AB323" s="54" t="s">
        <v>2</v>
      </c>
      <c r="AC323" s="54" t="s">
        <v>2</v>
      </c>
      <c r="AD323" s="54" t="s">
        <v>2</v>
      </c>
      <c r="AE323" s="54" t="s">
        <v>2</v>
      </c>
      <c r="AF323" s="54" t="s">
        <v>2</v>
      </c>
      <c r="AG323" s="54" t="s">
        <v>2</v>
      </c>
    </row>
    <row r="324" ht="15.75" customHeight="1">
      <c r="B324" s="56"/>
      <c r="U324" s="46" t="str">
        <f t="array" ref="U324">IF($D324="","",IFERROR(_xlfn.XLOOKUP($D324,'TIR店舗一覧'!$D:$D,'TIR店舗一覧'!$E:$E,""),""))</f>
        <v/>
      </c>
      <c r="V324" s="54" t="s">
        <v>2</v>
      </c>
      <c r="W324" s="54" t="s">
        <v>2</v>
      </c>
      <c r="X324" s="54" t="s">
        <v>2</v>
      </c>
      <c r="Y324" s="54" t="s">
        <v>2</v>
      </c>
      <c r="Z324" s="54" t="s">
        <v>2</v>
      </c>
      <c r="AA324" s="54" t="s">
        <v>2</v>
      </c>
      <c r="AB324" s="54" t="s">
        <v>2</v>
      </c>
      <c r="AC324" s="54" t="s">
        <v>2</v>
      </c>
      <c r="AD324" s="54" t="s">
        <v>2</v>
      </c>
      <c r="AE324" s="54" t="s">
        <v>2</v>
      </c>
      <c r="AF324" s="54" t="s">
        <v>2</v>
      </c>
      <c r="AG324" s="54" t="s">
        <v>2</v>
      </c>
    </row>
    <row r="325" ht="15.75" customHeight="1">
      <c r="B325" s="56"/>
      <c r="U325" s="46" t="str">
        <f t="array" ref="U325">IF($D325="","",IFERROR(_xlfn.XLOOKUP($D325,'TIR店舗一覧'!$D:$D,'TIR店舗一覧'!$E:$E,""),""))</f>
        <v/>
      </c>
      <c r="V325" s="54" t="s">
        <v>2</v>
      </c>
      <c r="W325" s="54" t="s">
        <v>2</v>
      </c>
      <c r="X325" s="54" t="s">
        <v>2</v>
      </c>
      <c r="Y325" s="54" t="s">
        <v>2</v>
      </c>
      <c r="Z325" s="54" t="s">
        <v>2</v>
      </c>
      <c r="AA325" s="54" t="s">
        <v>2</v>
      </c>
      <c r="AB325" s="54" t="s">
        <v>2</v>
      </c>
      <c r="AC325" s="54" t="s">
        <v>2</v>
      </c>
      <c r="AD325" s="54" t="s">
        <v>2</v>
      </c>
      <c r="AE325" s="54" t="s">
        <v>2</v>
      </c>
      <c r="AF325" s="54" t="s">
        <v>2</v>
      </c>
      <c r="AG325" s="54" t="s">
        <v>2</v>
      </c>
    </row>
    <row r="326" ht="15.75" customHeight="1">
      <c r="B326" s="56"/>
      <c r="U326" s="46" t="str">
        <f t="array" ref="U326">IF($D326="","",IFERROR(_xlfn.XLOOKUP($D326,'TIR店舗一覧'!$D:$D,'TIR店舗一覧'!$E:$E,""),""))</f>
        <v/>
      </c>
      <c r="V326" s="54" t="s">
        <v>2</v>
      </c>
      <c r="W326" s="54" t="s">
        <v>2</v>
      </c>
      <c r="X326" s="54" t="s">
        <v>2</v>
      </c>
      <c r="Y326" s="54" t="s">
        <v>2</v>
      </c>
      <c r="Z326" s="54" t="s">
        <v>2</v>
      </c>
      <c r="AA326" s="54" t="s">
        <v>2</v>
      </c>
      <c r="AB326" s="54" t="s">
        <v>2</v>
      </c>
      <c r="AC326" s="54" t="s">
        <v>2</v>
      </c>
      <c r="AD326" s="54" t="s">
        <v>2</v>
      </c>
      <c r="AE326" s="54" t="s">
        <v>2</v>
      </c>
      <c r="AF326" s="54" t="s">
        <v>2</v>
      </c>
      <c r="AG326" s="54" t="s">
        <v>2</v>
      </c>
    </row>
    <row r="327" ht="15.75" customHeight="1">
      <c r="B327" s="56"/>
      <c r="U327" s="46" t="str">
        <f t="array" ref="U327">IF($D327="","",IFERROR(_xlfn.XLOOKUP($D327,'TIR店舗一覧'!$D:$D,'TIR店舗一覧'!$E:$E,""),""))</f>
        <v/>
      </c>
      <c r="V327" s="54" t="s">
        <v>2</v>
      </c>
      <c r="W327" s="54" t="s">
        <v>2</v>
      </c>
      <c r="X327" s="54" t="s">
        <v>2</v>
      </c>
      <c r="Y327" s="54" t="s">
        <v>2</v>
      </c>
      <c r="Z327" s="54" t="s">
        <v>2</v>
      </c>
      <c r="AA327" s="54" t="s">
        <v>2</v>
      </c>
      <c r="AB327" s="54" t="s">
        <v>2</v>
      </c>
      <c r="AC327" s="54" t="s">
        <v>2</v>
      </c>
      <c r="AD327" s="54" t="s">
        <v>2</v>
      </c>
      <c r="AE327" s="54" t="s">
        <v>2</v>
      </c>
      <c r="AF327" s="54" t="s">
        <v>2</v>
      </c>
      <c r="AG327" s="54" t="s">
        <v>2</v>
      </c>
    </row>
    <row r="328" ht="15.75" customHeight="1">
      <c r="B328" s="56"/>
      <c r="U328" s="46" t="str">
        <f t="array" ref="U328">IF($D328="","",IFERROR(_xlfn.XLOOKUP($D328,'TIR店舗一覧'!$D:$D,'TIR店舗一覧'!$E:$E,""),""))</f>
        <v/>
      </c>
      <c r="V328" s="54" t="s">
        <v>2</v>
      </c>
      <c r="W328" s="54" t="s">
        <v>2</v>
      </c>
      <c r="X328" s="54" t="s">
        <v>2</v>
      </c>
      <c r="Y328" s="54" t="s">
        <v>2</v>
      </c>
      <c r="Z328" s="54" t="s">
        <v>2</v>
      </c>
      <c r="AA328" s="54" t="s">
        <v>2</v>
      </c>
      <c r="AB328" s="54" t="s">
        <v>2</v>
      </c>
      <c r="AC328" s="54" t="s">
        <v>2</v>
      </c>
      <c r="AD328" s="54" t="s">
        <v>2</v>
      </c>
      <c r="AE328" s="54" t="s">
        <v>2</v>
      </c>
      <c r="AF328" s="54" t="s">
        <v>2</v>
      </c>
      <c r="AG328" s="54" t="s">
        <v>2</v>
      </c>
    </row>
    <row r="329" ht="15.75" customHeight="1">
      <c r="B329" s="56"/>
      <c r="U329" s="46" t="str">
        <f t="array" ref="U329">IF($D329="","",IFERROR(_xlfn.XLOOKUP($D329,'TIR店舗一覧'!$D:$D,'TIR店舗一覧'!$E:$E,""),""))</f>
        <v/>
      </c>
      <c r="V329" s="54" t="s">
        <v>2</v>
      </c>
      <c r="W329" s="54" t="s">
        <v>2</v>
      </c>
      <c r="X329" s="54" t="s">
        <v>2</v>
      </c>
      <c r="Y329" s="54" t="s">
        <v>2</v>
      </c>
      <c r="Z329" s="54" t="s">
        <v>2</v>
      </c>
      <c r="AA329" s="54" t="s">
        <v>2</v>
      </c>
      <c r="AB329" s="54" t="s">
        <v>2</v>
      </c>
      <c r="AC329" s="54" t="s">
        <v>2</v>
      </c>
      <c r="AD329" s="54" t="s">
        <v>2</v>
      </c>
      <c r="AE329" s="54" t="s">
        <v>2</v>
      </c>
      <c r="AF329" s="54" t="s">
        <v>2</v>
      </c>
      <c r="AG329" s="54" t="s">
        <v>2</v>
      </c>
    </row>
    <row r="330" ht="15.75" customHeight="1">
      <c r="B330" s="56"/>
      <c r="U330" s="46" t="str">
        <f t="array" ref="U330">IF($D330="","",IFERROR(_xlfn.XLOOKUP($D330,'TIR店舗一覧'!$D:$D,'TIR店舗一覧'!$E:$E,""),""))</f>
        <v/>
      </c>
      <c r="V330" s="54" t="s">
        <v>2</v>
      </c>
      <c r="W330" s="54" t="s">
        <v>2</v>
      </c>
      <c r="X330" s="54" t="s">
        <v>2</v>
      </c>
      <c r="Y330" s="54" t="s">
        <v>2</v>
      </c>
      <c r="Z330" s="54" t="s">
        <v>2</v>
      </c>
      <c r="AA330" s="54" t="s">
        <v>2</v>
      </c>
      <c r="AB330" s="54" t="s">
        <v>2</v>
      </c>
      <c r="AC330" s="54" t="s">
        <v>2</v>
      </c>
      <c r="AD330" s="54" t="s">
        <v>2</v>
      </c>
      <c r="AE330" s="54" t="s">
        <v>2</v>
      </c>
      <c r="AF330" s="54" t="s">
        <v>2</v>
      </c>
      <c r="AG330" s="54" t="s">
        <v>2</v>
      </c>
    </row>
    <row r="331" ht="15.75" customHeight="1">
      <c r="B331" s="56"/>
      <c r="U331" s="46" t="str">
        <f t="array" ref="U331">IF($D331="","",IFERROR(_xlfn.XLOOKUP($D331,'TIR店舗一覧'!$D:$D,'TIR店舗一覧'!$E:$E,""),""))</f>
        <v/>
      </c>
      <c r="V331" s="54" t="s">
        <v>2</v>
      </c>
      <c r="W331" s="54" t="s">
        <v>2</v>
      </c>
      <c r="X331" s="54" t="s">
        <v>2</v>
      </c>
      <c r="Y331" s="54" t="s">
        <v>2</v>
      </c>
      <c r="Z331" s="54" t="s">
        <v>2</v>
      </c>
      <c r="AA331" s="54" t="s">
        <v>2</v>
      </c>
      <c r="AB331" s="54" t="s">
        <v>2</v>
      </c>
      <c r="AC331" s="54" t="s">
        <v>2</v>
      </c>
      <c r="AD331" s="54" t="s">
        <v>2</v>
      </c>
      <c r="AE331" s="54" t="s">
        <v>2</v>
      </c>
      <c r="AF331" s="54" t="s">
        <v>2</v>
      </c>
      <c r="AG331" s="54" t="s">
        <v>2</v>
      </c>
    </row>
    <row r="332" ht="15.75" customHeight="1">
      <c r="B332" s="56"/>
      <c r="U332" s="46" t="str">
        <f t="array" ref="U332">IF($D332="","",IFERROR(_xlfn.XLOOKUP($D332,'TIR店舗一覧'!$D:$D,'TIR店舗一覧'!$E:$E,""),""))</f>
        <v/>
      </c>
      <c r="V332" s="54" t="s">
        <v>2</v>
      </c>
      <c r="W332" s="54" t="s">
        <v>2</v>
      </c>
      <c r="X332" s="54" t="s">
        <v>2</v>
      </c>
      <c r="Y332" s="54" t="s">
        <v>2</v>
      </c>
      <c r="Z332" s="54" t="s">
        <v>2</v>
      </c>
      <c r="AA332" s="54" t="s">
        <v>2</v>
      </c>
      <c r="AB332" s="54" t="s">
        <v>2</v>
      </c>
      <c r="AC332" s="54" t="s">
        <v>2</v>
      </c>
      <c r="AD332" s="54" t="s">
        <v>2</v>
      </c>
      <c r="AE332" s="54" t="s">
        <v>2</v>
      </c>
      <c r="AF332" s="54" t="s">
        <v>2</v>
      </c>
      <c r="AG332" s="54" t="s">
        <v>2</v>
      </c>
    </row>
    <row r="333" ht="15.75" customHeight="1">
      <c r="B333" s="56"/>
      <c r="U333" s="46" t="str">
        <f t="array" ref="U333">IF($D333="","",IFERROR(_xlfn.XLOOKUP($D333,'TIR店舗一覧'!$D:$D,'TIR店舗一覧'!$E:$E,""),""))</f>
        <v/>
      </c>
      <c r="V333" s="54" t="s">
        <v>2</v>
      </c>
      <c r="W333" s="54" t="s">
        <v>2</v>
      </c>
      <c r="X333" s="54" t="s">
        <v>2</v>
      </c>
      <c r="Y333" s="54" t="s">
        <v>2</v>
      </c>
      <c r="Z333" s="54" t="s">
        <v>2</v>
      </c>
      <c r="AA333" s="54" t="s">
        <v>2</v>
      </c>
      <c r="AB333" s="54" t="s">
        <v>2</v>
      </c>
      <c r="AC333" s="54" t="s">
        <v>2</v>
      </c>
      <c r="AD333" s="54" t="s">
        <v>2</v>
      </c>
      <c r="AE333" s="54" t="s">
        <v>2</v>
      </c>
      <c r="AF333" s="54" t="s">
        <v>2</v>
      </c>
      <c r="AG333" s="54" t="s">
        <v>2</v>
      </c>
    </row>
    <row r="334" ht="15.75" customHeight="1">
      <c r="B334" s="56"/>
      <c r="U334" s="46" t="str">
        <f t="array" ref="U334">IF($D334="","",IFERROR(_xlfn.XLOOKUP($D334,'TIR店舗一覧'!$D:$D,'TIR店舗一覧'!$E:$E,""),""))</f>
        <v/>
      </c>
      <c r="V334" s="54" t="s">
        <v>2</v>
      </c>
      <c r="W334" s="54" t="s">
        <v>2</v>
      </c>
      <c r="X334" s="54" t="s">
        <v>2</v>
      </c>
      <c r="Y334" s="54" t="s">
        <v>2</v>
      </c>
      <c r="Z334" s="54" t="s">
        <v>2</v>
      </c>
      <c r="AA334" s="54" t="s">
        <v>2</v>
      </c>
      <c r="AB334" s="54" t="s">
        <v>2</v>
      </c>
      <c r="AC334" s="54" t="s">
        <v>2</v>
      </c>
      <c r="AD334" s="54" t="s">
        <v>2</v>
      </c>
      <c r="AE334" s="54" t="s">
        <v>2</v>
      </c>
      <c r="AF334" s="54" t="s">
        <v>2</v>
      </c>
      <c r="AG334" s="54" t="s">
        <v>2</v>
      </c>
    </row>
    <row r="335" ht="15.75" customHeight="1">
      <c r="B335" s="56"/>
      <c r="U335" s="46" t="str">
        <f t="array" ref="U335">IF($D335="","",IFERROR(_xlfn.XLOOKUP($D335,'TIR店舗一覧'!$D:$D,'TIR店舗一覧'!$E:$E,""),""))</f>
        <v/>
      </c>
      <c r="V335" s="54" t="s">
        <v>2</v>
      </c>
      <c r="W335" s="54" t="s">
        <v>2</v>
      </c>
      <c r="X335" s="54" t="s">
        <v>2</v>
      </c>
      <c r="Y335" s="54" t="s">
        <v>2</v>
      </c>
      <c r="Z335" s="54" t="s">
        <v>2</v>
      </c>
      <c r="AA335" s="54" t="s">
        <v>2</v>
      </c>
      <c r="AB335" s="54" t="s">
        <v>2</v>
      </c>
      <c r="AC335" s="54" t="s">
        <v>2</v>
      </c>
      <c r="AD335" s="54" t="s">
        <v>2</v>
      </c>
      <c r="AE335" s="54" t="s">
        <v>2</v>
      </c>
      <c r="AF335" s="54" t="s">
        <v>2</v>
      </c>
      <c r="AG335" s="54" t="s">
        <v>2</v>
      </c>
    </row>
    <row r="336" ht="15.75" customHeight="1">
      <c r="B336" s="56"/>
      <c r="U336" s="46" t="str">
        <f t="array" ref="U336">IF($D336="","",IFERROR(_xlfn.XLOOKUP($D336,'TIR店舗一覧'!$D:$D,'TIR店舗一覧'!$E:$E,""),""))</f>
        <v/>
      </c>
      <c r="V336" s="54" t="s">
        <v>2</v>
      </c>
      <c r="W336" s="54" t="s">
        <v>2</v>
      </c>
      <c r="X336" s="54" t="s">
        <v>2</v>
      </c>
      <c r="Y336" s="54" t="s">
        <v>2</v>
      </c>
      <c r="Z336" s="54" t="s">
        <v>2</v>
      </c>
      <c r="AA336" s="54" t="s">
        <v>2</v>
      </c>
      <c r="AB336" s="54" t="s">
        <v>2</v>
      </c>
      <c r="AC336" s="54" t="s">
        <v>2</v>
      </c>
      <c r="AD336" s="54" t="s">
        <v>2</v>
      </c>
      <c r="AE336" s="54" t="s">
        <v>2</v>
      </c>
      <c r="AF336" s="54" t="s">
        <v>2</v>
      </c>
      <c r="AG336" s="54" t="s">
        <v>2</v>
      </c>
    </row>
    <row r="337" ht="15.75" customHeight="1">
      <c r="B337" s="56"/>
      <c r="U337" s="46" t="str">
        <f t="array" ref="U337">IF($D337="","",IFERROR(_xlfn.XLOOKUP($D337,'TIR店舗一覧'!$D:$D,'TIR店舗一覧'!$E:$E,""),""))</f>
        <v/>
      </c>
      <c r="V337" s="54" t="s">
        <v>2</v>
      </c>
      <c r="W337" s="54" t="s">
        <v>2</v>
      </c>
      <c r="X337" s="54" t="s">
        <v>2</v>
      </c>
      <c r="Y337" s="54" t="s">
        <v>2</v>
      </c>
      <c r="Z337" s="54" t="s">
        <v>2</v>
      </c>
      <c r="AA337" s="54" t="s">
        <v>2</v>
      </c>
      <c r="AB337" s="54" t="s">
        <v>2</v>
      </c>
      <c r="AC337" s="54" t="s">
        <v>2</v>
      </c>
      <c r="AD337" s="54" t="s">
        <v>2</v>
      </c>
      <c r="AE337" s="54" t="s">
        <v>2</v>
      </c>
      <c r="AF337" s="54" t="s">
        <v>2</v>
      </c>
      <c r="AG337" s="54" t="s">
        <v>2</v>
      </c>
    </row>
    <row r="338" ht="15.75" customHeight="1">
      <c r="B338" s="56"/>
      <c r="U338" s="46" t="str">
        <f t="array" ref="U338">IF($D338="","",IFERROR(_xlfn.XLOOKUP($D338,'TIR店舗一覧'!$D:$D,'TIR店舗一覧'!$E:$E,""),""))</f>
        <v/>
      </c>
      <c r="V338" s="54" t="s">
        <v>2</v>
      </c>
      <c r="W338" s="54" t="s">
        <v>2</v>
      </c>
      <c r="X338" s="54" t="s">
        <v>2</v>
      </c>
      <c r="Y338" s="54" t="s">
        <v>2</v>
      </c>
      <c r="Z338" s="54" t="s">
        <v>2</v>
      </c>
      <c r="AA338" s="54" t="s">
        <v>2</v>
      </c>
      <c r="AB338" s="54" t="s">
        <v>2</v>
      </c>
      <c r="AC338" s="54" t="s">
        <v>2</v>
      </c>
      <c r="AD338" s="54" t="s">
        <v>2</v>
      </c>
      <c r="AE338" s="54" t="s">
        <v>2</v>
      </c>
      <c r="AF338" s="54" t="s">
        <v>2</v>
      </c>
      <c r="AG338" s="54" t="s">
        <v>2</v>
      </c>
    </row>
    <row r="339" ht="15.75" customHeight="1">
      <c r="B339" s="56"/>
      <c r="U339" s="46" t="str">
        <f t="array" ref="U339">IF($D339="","",IFERROR(_xlfn.XLOOKUP($D339,'TIR店舗一覧'!$D:$D,'TIR店舗一覧'!$E:$E,""),""))</f>
        <v/>
      </c>
      <c r="V339" s="54" t="s">
        <v>2</v>
      </c>
      <c r="W339" s="54" t="s">
        <v>2</v>
      </c>
      <c r="X339" s="54" t="s">
        <v>2</v>
      </c>
      <c r="Y339" s="54" t="s">
        <v>2</v>
      </c>
      <c r="Z339" s="54" t="s">
        <v>2</v>
      </c>
      <c r="AA339" s="54" t="s">
        <v>2</v>
      </c>
      <c r="AB339" s="54" t="s">
        <v>2</v>
      </c>
      <c r="AC339" s="54" t="s">
        <v>2</v>
      </c>
      <c r="AD339" s="54" t="s">
        <v>2</v>
      </c>
      <c r="AE339" s="54" t="s">
        <v>2</v>
      </c>
      <c r="AF339" s="54" t="s">
        <v>2</v>
      </c>
      <c r="AG339" s="54" t="s">
        <v>2</v>
      </c>
    </row>
    <row r="340" ht="15.75" customHeight="1">
      <c r="B340" s="56"/>
      <c r="U340" s="46" t="str">
        <f t="array" ref="U340">IF($D340="","",IFERROR(_xlfn.XLOOKUP($D340,'TIR店舗一覧'!$D:$D,'TIR店舗一覧'!$E:$E,""),""))</f>
        <v/>
      </c>
      <c r="V340" s="54" t="s">
        <v>2</v>
      </c>
      <c r="W340" s="54" t="s">
        <v>2</v>
      </c>
      <c r="X340" s="54" t="s">
        <v>2</v>
      </c>
      <c r="Y340" s="54" t="s">
        <v>2</v>
      </c>
      <c r="Z340" s="54" t="s">
        <v>2</v>
      </c>
      <c r="AA340" s="54" t="s">
        <v>2</v>
      </c>
      <c r="AB340" s="54" t="s">
        <v>2</v>
      </c>
      <c r="AC340" s="54" t="s">
        <v>2</v>
      </c>
      <c r="AD340" s="54" t="s">
        <v>2</v>
      </c>
      <c r="AE340" s="54" t="s">
        <v>2</v>
      </c>
      <c r="AF340" s="54" t="s">
        <v>2</v>
      </c>
      <c r="AG340" s="54" t="s">
        <v>2</v>
      </c>
    </row>
    <row r="341" ht="15.75" customHeight="1">
      <c r="B341" s="56"/>
      <c r="U341" s="46" t="str">
        <f t="array" ref="U341">IF($D341="","",IFERROR(_xlfn.XLOOKUP($D341,'TIR店舗一覧'!$D:$D,'TIR店舗一覧'!$E:$E,""),""))</f>
        <v/>
      </c>
      <c r="V341" s="54" t="s">
        <v>2</v>
      </c>
      <c r="W341" s="54" t="s">
        <v>2</v>
      </c>
      <c r="X341" s="54" t="s">
        <v>2</v>
      </c>
      <c r="Y341" s="54" t="s">
        <v>2</v>
      </c>
      <c r="Z341" s="54" t="s">
        <v>2</v>
      </c>
      <c r="AA341" s="54" t="s">
        <v>2</v>
      </c>
      <c r="AB341" s="54" t="s">
        <v>2</v>
      </c>
      <c r="AC341" s="54" t="s">
        <v>2</v>
      </c>
      <c r="AD341" s="54" t="s">
        <v>2</v>
      </c>
      <c r="AE341" s="54" t="s">
        <v>2</v>
      </c>
      <c r="AF341" s="54" t="s">
        <v>2</v>
      </c>
      <c r="AG341" s="54" t="s">
        <v>2</v>
      </c>
    </row>
    <row r="342" ht="15.75" customHeight="1">
      <c r="B342" s="56"/>
      <c r="U342" s="46" t="str">
        <f t="array" ref="U342">IF($D342="","",IFERROR(_xlfn.XLOOKUP($D342,'TIR店舗一覧'!$D:$D,'TIR店舗一覧'!$E:$E,""),""))</f>
        <v/>
      </c>
      <c r="V342" s="54" t="s">
        <v>2</v>
      </c>
      <c r="W342" s="54" t="s">
        <v>2</v>
      </c>
      <c r="X342" s="54" t="s">
        <v>2</v>
      </c>
      <c r="Y342" s="54" t="s">
        <v>2</v>
      </c>
      <c r="Z342" s="54" t="s">
        <v>2</v>
      </c>
      <c r="AA342" s="54" t="s">
        <v>2</v>
      </c>
      <c r="AB342" s="54" t="s">
        <v>2</v>
      </c>
      <c r="AC342" s="54" t="s">
        <v>2</v>
      </c>
      <c r="AD342" s="54" t="s">
        <v>2</v>
      </c>
      <c r="AE342" s="54" t="s">
        <v>2</v>
      </c>
      <c r="AF342" s="54" t="s">
        <v>2</v>
      </c>
      <c r="AG342" s="54" t="s">
        <v>2</v>
      </c>
    </row>
    <row r="343" ht="15.75" customHeight="1">
      <c r="B343" s="56"/>
      <c r="U343" s="46" t="str">
        <f t="array" ref="U343">IF($D343="","",IFERROR(_xlfn.XLOOKUP($D343,'TIR店舗一覧'!$D:$D,'TIR店舗一覧'!$E:$E,""),""))</f>
        <v/>
      </c>
      <c r="V343" s="54" t="s">
        <v>2</v>
      </c>
      <c r="W343" s="54" t="s">
        <v>2</v>
      </c>
      <c r="X343" s="54" t="s">
        <v>2</v>
      </c>
      <c r="Y343" s="54" t="s">
        <v>2</v>
      </c>
      <c r="Z343" s="54" t="s">
        <v>2</v>
      </c>
      <c r="AA343" s="54" t="s">
        <v>2</v>
      </c>
      <c r="AB343" s="54" t="s">
        <v>2</v>
      </c>
      <c r="AC343" s="54" t="s">
        <v>2</v>
      </c>
      <c r="AD343" s="54" t="s">
        <v>2</v>
      </c>
      <c r="AE343" s="54" t="s">
        <v>2</v>
      </c>
      <c r="AF343" s="54" t="s">
        <v>2</v>
      </c>
      <c r="AG343" s="54" t="s">
        <v>2</v>
      </c>
    </row>
    <row r="344" ht="15.75" customHeight="1">
      <c r="B344" s="56"/>
      <c r="U344" s="46" t="str">
        <f t="array" ref="U344">IF($D344="","",IFERROR(_xlfn.XLOOKUP($D344,'TIR店舗一覧'!$D:$D,'TIR店舗一覧'!$E:$E,""),""))</f>
        <v/>
      </c>
      <c r="V344" s="54" t="s">
        <v>2</v>
      </c>
      <c r="W344" s="54" t="s">
        <v>2</v>
      </c>
      <c r="X344" s="54" t="s">
        <v>2</v>
      </c>
      <c r="Y344" s="54" t="s">
        <v>2</v>
      </c>
      <c r="Z344" s="54" t="s">
        <v>2</v>
      </c>
      <c r="AA344" s="54" t="s">
        <v>2</v>
      </c>
      <c r="AB344" s="54" t="s">
        <v>2</v>
      </c>
      <c r="AC344" s="54" t="s">
        <v>2</v>
      </c>
      <c r="AD344" s="54" t="s">
        <v>2</v>
      </c>
      <c r="AE344" s="54" t="s">
        <v>2</v>
      </c>
      <c r="AF344" s="54" t="s">
        <v>2</v>
      </c>
      <c r="AG344" s="54" t="s">
        <v>2</v>
      </c>
    </row>
    <row r="345" ht="15.75" customHeight="1">
      <c r="B345" s="56"/>
      <c r="U345" s="46" t="str">
        <f t="array" ref="U345">IF($D345="","",IFERROR(_xlfn.XLOOKUP($D345,'TIR店舗一覧'!$D:$D,'TIR店舗一覧'!$E:$E,""),""))</f>
        <v/>
      </c>
      <c r="V345" s="54" t="s">
        <v>2</v>
      </c>
      <c r="W345" s="54" t="s">
        <v>2</v>
      </c>
      <c r="X345" s="54" t="s">
        <v>2</v>
      </c>
      <c r="Y345" s="54" t="s">
        <v>2</v>
      </c>
      <c r="Z345" s="54" t="s">
        <v>2</v>
      </c>
      <c r="AA345" s="54" t="s">
        <v>2</v>
      </c>
      <c r="AB345" s="54" t="s">
        <v>2</v>
      </c>
      <c r="AC345" s="54" t="s">
        <v>2</v>
      </c>
      <c r="AD345" s="54" t="s">
        <v>2</v>
      </c>
      <c r="AE345" s="54" t="s">
        <v>2</v>
      </c>
      <c r="AF345" s="54" t="s">
        <v>2</v>
      </c>
      <c r="AG345" s="54" t="s">
        <v>2</v>
      </c>
    </row>
    <row r="346" ht="15.75" customHeight="1">
      <c r="B346" s="56"/>
      <c r="U346" s="46" t="str">
        <f t="array" ref="U346">IF($D346="","",IFERROR(_xlfn.XLOOKUP($D346,'TIR店舗一覧'!$D:$D,'TIR店舗一覧'!$E:$E,""),""))</f>
        <v/>
      </c>
      <c r="V346" s="54" t="s">
        <v>2</v>
      </c>
      <c r="W346" s="54" t="s">
        <v>2</v>
      </c>
      <c r="X346" s="54" t="s">
        <v>2</v>
      </c>
      <c r="Y346" s="54" t="s">
        <v>2</v>
      </c>
      <c r="Z346" s="54" t="s">
        <v>2</v>
      </c>
      <c r="AA346" s="54" t="s">
        <v>2</v>
      </c>
      <c r="AB346" s="54" t="s">
        <v>2</v>
      </c>
      <c r="AC346" s="54" t="s">
        <v>2</v>
      </c>
      <c r="AD346" s="54" t="s">
        <v>2</v>
      </c>
      <c r="AE346" s="54" t="s">
        <v>2</v>
      </c>
      <c r="AF346" s="54" t="s">
        <v>2</v>
      </c>
      <c r="AG346" s="54" t="s">
        <v>2</v>
      </c>
    </row>
    <row r="347" ht="15.75" customHeight="1">
      <c r="B347" s="56"/>
      <c r="U347" s="46" t="str">
        <f t="array" ref="U347">IF($D347="","",IFERROR(_xlfn.XLOOKUP($D347,'TIR店舗一覧'!$D:$D,'TIR店舗一覧'!$E:$E,""),""))</f>
        <v/>
      </c>
      <c r="V347" s="54" t="s">
        <v>2</v>
      </c>
      <c r="W347" s="54" t="s">
        <v>2</v>
      </c>
      <c r="X347" s="54" t="s">
        <v>2</v>
      </c>
      <c r="Y347" s="54" t="s">
        <v>2</v>
      </c>
      <c r="Z347" s="54" t="s">
        <v>2</v>
      </c>
      <c r="AA347" s="54" t="s">
        <v>2</v>
      </c>
      <c r="AB347" s="54" t="s">
        <v>2</v>
      </c>
      <c r="AC347" s="54" t="s">
        <v>2</v>
      </c>
      <c r="AD347" s="54" t="s">
        <v>2</v>
      </c>
      <c r="AE347" s="54" t="s">
        <v>2</v>
      </c>
      <c r="AF347" s="54" t="s">
        <v>2</v>
      </c>
      <c r="AG347" s="54" t="s">
        <v>2</v>
      </c>
    </row>
    <row r="348" ht="15.75" customHeight="1">
      <c r="B348" s="56"/>
      <c r="U348" s="46" t="str">
        <f t="array" ref="U348">IF($D348="","",IFERROR(_xlfn.XLOOKUP($D348,'TIR店舗一覧'!$D:$D,'TIR店舗一覧'!$E:$E,""),""))</f>
        <v/>
      </c>
      <c r="V348" s="54" t="s">
        <v>2</v>
      </c>
      <c r="W348" s="54" t="s">
        <v>2</v>
      </c>
      <c r="X348" s="54" t="s">
        <v>2</v>
      </c>
      <c r="Y348" s="54" t="s">
        <v>2</v>
      </c>
      <c r="Z348" s="54" t="s">
        <v>2</v>
      </c>
      <c r="AA348" s="54" t="s">
        <v>2</v>
      </c>
      <c r="AB348" s="54" t="s">
        <v>2</v>
      </c>
      <c r="AC348" s="54" t="s">
        <v>2</v>
      </c>
      <c r="AD348" s="54" t="s">
        <v>2</v>
      </c>
      <c r="AE348" s="54" t="s">
        <v>2</v>
      </c>
      <c r="AF348" s="54" t="s">
        <v>2</v>
      </c>
      <c r="AG348" s="54" t="s">
        <v>2</v>
      </c>
    </row>
    <row r="349" ht="15.75" customHeight="1">
      <c r="B349" s="56"/>
      <c r="U349" s="46" t="str">
        <f t="array" ref="U349">IF($D349="","",IFERROR(_xlfn.XLOOKUP($D349,'TIR店舗一覧'!$D:$D,'TIR店舗一覧'!$E:$E,""),""))</f>
        <v/>
      </c>
      <c r="V349" s="54" t="s">
        <v>2</v>
      </c>
      <c r="W349" s="54" t="s">
        <v>2</v>
      </c>
      <c r="X349" s="54" t="s">
        <v>2</v>
      </c>
      <c r="Y349" s="54" t="s">
        <v>2</v>
      </c>
      <c r="Z349" s="54" t="s">
        <v>2</v>
      </c>
      <c r="AA349" s="54" t="s">
        <v>2</v>
      </c>
      <c r="AB349" s="54" t="s">
        <v>2</v>
      </c>
      <c r="AC349" s="54" t="s">
        <v>2</v>
      </c>
      <c r="AD349" s="54" t="s">
        <v>2</v>
      </c>
      <c r="AE349" s="54" t="s">
        <v>2</v>
      </c>
      <c r="AF349" s="54" t="s">
        <v>2</v>
      </c>
      <c r="AG349" s="54" t="s">
        <v>2</v>
      </c>
    </row>
    <row r="350" ht="15.75" customHeight="1">
      <c r="B350" s="56"/>
      <c r="U350" s="46" t="str">
        <f t="array" ref="U350">IF($D350="","",IFERROR(_xlfn.XLOOKUP($D350,'TIR店舗一覧'!$D:$D,'TIR店舗一覧'!$E:$E,""),""))</f>
        <v/>
      </c>
      <c r="V350" s="54" t="s">
        <v>2</v>
      </c>
      <c r="W350" s="54" t="s">
        <v>2</v>
      </c>
      <c r="X350" s="54" t="s">
        <v>2</v>
      </c>
      <c r="Y350" s="54" t="s">
        <v>2</v>
      </c>
      <c r="Z350" s="54" t="s">
        <v>2</v>
      </c>
      <c r="AA350" s="54" t="s">
        <v>2</v>
      </c>
      <c r="AB350" s="54" t="s">
        <v>2</v>
      </c>
      <c r="AC350" s="54" t="s">
        <v>2</v>
      </c>
      <c r="AD350" s="54" t="s">
        <v>2</v>
      </c>
      <c r="AE350" s="54" t="s">
        <v>2</v>
      </c>
      <c r="AF350" s="54" t="s">
        <v>2</v>
      </c>
      <c r="AG350" s="54" t="s">
        <v>2</v>
      </c>
    </row>
    <row r="351" ht="15.75" customHeight="1">
      <c r="B351" s="56"/>
      <c r="U351" s="46" t="str">
        <f t="array" ref="U351">IF($D351="","",IFERROR(_xlfn.XLOOKUP($D351,'TIR店舗一覧'!$D:$D,'TIR店舗一覧'!$E:$E,""),""))</f>
        <v/>
      </c>
      <c r="V351" s="54" t="s">
        <v>2</v>
      </c>
      <c r="W351" s="54" t="s">
        <v>2</v>
      </c>
      <c r="X351" s="54" t="s">
        <v>2</v>
      </c>
      <c r="Y351" s="54" t="s">
        <v>2</v>
      </c>
      <c r="Z351" s="54" t="s">
        <v>2</v>
      </c>
      <c r="AA351" s="54" t="s">
        <v>2</v>
      </c>
      <c r="AB351" s="54" t="s">
        <v>2</v>
      </c>
      <c r="AC351" s="54" t="s">
        <v>2</v>
      </c>
      <c r="AD351" s="54" t="s">
        <v>2</v>
      </c>
      <c r="AE351" s="54" t="s">
        <v>2</v>
      </c>
      <c r="AF351" s="54" t="s">
        <v>2</v>
      </c>
      <c r="AG351" s="54" t="s">
        <v>2</v>
      </c>
    </row>
    <row r="352" ht="15.75" customHeight="1">
      <c r="B352" s="56"/>
      <c r="U352" s="46" t="str">
        <f t="array" ref="U352">IF($D352="","",IFERROR(_xlfn.XLOOKUP($D352,'TIR店舗一覧'!$D:$D,'TIR店舗一覧'!$E:$E,""),""))</f>
        <v/>
      </c>
      <c r="V352" s="54" t="s">
        <v>2</v>
      </c>
      <c r="W352" s="54" t="s">
        <v>2</v>
      </c>
      <c r="X352" s="54" t="s">
        <v>2</v>
      </c>
      <c r="Y352" s="54" t="s">
        <v>2</v>
      </c>
      <c r="Z352" s="54" t="s">
        <v>2</v>
      </c>
      <c r="AA352" s="54" t="s">
        <v>2</v>
      </c>
      <c r="AB352" s="54" t="s">
        <v>2</v>
      </c>
      <c r="AC352" s="54" t="s">
        <v>2</v>
      </c>
      <c r="AD352" s="54" t="s">
        <v>2</v>
      </c>
      <c r="AE352" s="54" t="s">
        <v>2</v>
      </c>
      <c r="AF352" s="54" t="s">
        <v>2</v>
      </c>
      <c r="AG352" s="54" t="s">
        <v>2</v>
      </c>
    </row>
    <row r="353" ht="15.75" customHeight="1">
      <c r="B353" s="56"/>
      <c r="U353" s="46" t="str">
        <f t="array" ref="U353">IF($D353="","",IFERROR(_xlfn.XLOOKUP($D353,'TIR店舗一覧'!$D:$D,'TIR店舗一覧'!$E:$E,""),""))</f>
        <v/>
      </c>
      <c r="V353" s="54" t="s">
        <v>2</v>
      </c>
      <c r="W353" s="54" t="s">
        <v>2</v>
      </c>
      <c r="X353" s="54" t="s">
        <v>2</v>
      </c>
      <c r="Y353" s="54" t="s">
        <v>2</v>
      </c>
      <c r="Z353" s="54" t="s">
        <v>2</v>
      </c>
      <c r="AA353" s="54" t="s">
        <v>2</v>
      </c>
      <c r="AB353" s="54" t="s">
        <v>2</v>
      </c>
      <c r="AC353" s="54" t="s">
        <v>2</v>
      </c>
      <c r="AD353" s="54" t="s">
        <v>2</v>
      </c>
      <c r="AE353" s="54" t="s">
        <v>2</v>
      </c>
      <c r="AF353" s="54" t="s">
        <v>2</v>
      </c>
      <c r="AG353" s="54" t="s">
        <v>2</v>
      </c>
    </row>
    <row r="354" ht="15.75" customHeight="1">
      <c r="B354" s="56"/>
      <c r="U354" s="46" t="str">
        <f t="array" ref="U354">IF($D354="","",IFERROR(_xlfn.XLOOKUP($D354,'TIR店舗一覧'!$D:$D,'TIR店舗一覧'!$E:$E,""),""))</f>
        <v/>
      </c>
      <c r="V354" s="54" t="s">
        <v>2</v>
      </c>
      <c r="W354" s="54" t="s">
        <v>2</v>
      </c>
      <c r="X354" s="54" t="s">
        <v>2</v>
      </c>
      <c r="Y354" s="54" t="s">
        <v>2</v>
      </c>
      <c r="Z354" s="54" t="s">
        <v>2</v>
      </c>
      <c r="AA354" s="54" t="s">
        <v>2</v>
      </c>
      <c r="AB354" s="54" t="s">
        <v>2</v>
      </c>
      <c r="AC354" s="54" t="s">
        <v>2</v>
      </c>
      <c r="AD354" s="54" t="s">
        <v>2</v>
      </c>
      <c r="AE354" s="54" t="s">
        <v>2</v>
      </c>
      <c r="AF354" s="54" t="s">
        <v>2</v>
      </c>
      <c r="AG354" s="54" t="s">
        <v>2</v>
      </c>
    </row>
    <row r="355" ht="15.75" customHeight="1">
      <c r="B355" s="56"/>
      <c r="U355" s="46" t="str">
        <f t="array" ref="U355">IF($D355="","",IFERROR(_xlfn.XLOOKUP($D355,'TIR店舗一覧'!$D:$D,'TIR店舗一覧'!$E:$E,""),""))</f>
        <v/>
      </c>
      <c r="V355" s="54" t="s">
        <v>2</v>
      </c>
      <c r="W355" s="54" t="s">
        <v>2</v>
      </c>
      <c r="X355" s="54" t="s">
        <v>2</v>
      </c>
      <c r="Y355" s="54" t="s">
        <v>2</v>
      </c>
      <c r="Z355" s="54" t="s">
        <v>2</v>
      </c>
      <c r="AA355" s="54" t="s">
        <v>2</v>
      </c>
      <c r="AB355" s="54" t="s">
        <v>2</v>
      </c>
      <c r="AC355" s="54" t="s">
        <v>2</v>
      </c>
      <c r="AD355" s="54" t="s">
        <v>2</v>
      </c>
      <c r="AE355" s="54" t="s">
        <v>2</v>
      </c>
      <c r="AF355" s="54" t="s">
        <v>2</v>
      </c>
      <c r="AG355" s="54" t="s">
        <v>2</v>
      </c>
    </row>
    <row r="356" ht="15.75" customHeight="1">
      <c r="B356" s="56"/>
      <c r="U356" s="46" t="str">
        <f t="array" ref="U356">IF($D356="","",IFERROR(_xlfn.XLOOKUP($D356,'TIR店舗一覧'!$D:$D,'TIR店舗一覧'!$E:$E,""),""))</f>
        <v/>
      </c>
      <c r="V356" s="54" t="s">
        <v>2</v>
      </c>
      <c r="W356" s="54" t="s">
        <v>2</v>
      </c>
      <c r="X356" s="54" t="s">
        <v>2</v>
      </c>
      <c r="Y356" s="54" t="s">
        <v>2</v>
      </c>
      <c r="Z356" s="54" t="s">
        <v>2</v>
      </c>
      <c r="AA356" s="54" t="s">
        <v>2</v>
      </c>
      <c r="AB356" s="54" t="s">
        <v>2</v>
      </c>
      <c r="AC356" s="54" t="s">
        <v>2</v>
      </c>
      <c r="AD356" s="54" t="s">
        <v>2</v>
      </c>
      <c r="AE356" s="54" t="s">
        <v>2</v>
      </c>
      <c r="AF356" s="54" t="s">
        <v>2</v>
      </c>
      <c r="AG356" s="54" t="s">
        <v>2</v>
      </c>
    </row>
    <row r="357" ht="15.75" customHeight="1">
      <c r="B357" s="56"/>
      <c r="U357" s="46" t="str">
        <f t="array" ref="U357">IF($D357="","",IFERROR(_xlfn.XLOOKUP($D357,'TIR店舗一覧'!$D:$D,'TIR店舗一覧'!$E:$E,""),""))</f>
        <v/>
      </c>
      <c r="V357" s="54" t="s">
        <v>2</v>
      </c>
      <c r="W357" s="54" t="s">
        <v>2</v>
      </c>
      <c r="X357" s="54" t="s">
        <v>2</v>
      </c>
      <c r="Y357" s="54" t="s">
        <v>2</v>
      </c>
      <c r="Z357" s="54" t="s">
        <v>2</v>
      </c>
      <c r="AA357" s="54" t="s">
        <v>2</v>
      </c>
      <c r="AB357" s="54" t="s">
        <v>2</v>
      </c>
      <c r="AC357" s="54" t="s">
        <v>2</v>
      </c>
      <c r="AD357" s="54" t="s">
        <v>2</v>
      </c>
      <c r="AE357" s="54" t="s">
        <v>2</v>
      </c>
      <c r="AF357" s="54" t="s">
        <v>2</v>
      </c>
      <c r="AG357" s="54" t="s">
        <v>2</v>
      </c>
    </row>
    <row r="358" ht="15.75" customHeight="1">
      <c r="B358" s="56"/>
      <c r="U358" s="46" t="str">
        <f t="array" ref="U358">IF($D358="","",IFERROR(_xlfn.XLOOKUP($D358,'TIR店舗一覧'!$D:$D,'TIR店舗一覧'!$E:$E,""),""))</f>
        <v/>
      </c>
      <c r="V358" s="54" t="s">
        <v>2</v>
      </c>
      <c r="W358" s="54" t="s">
        <v>2</v>
      </c>
      <c r="X358" s="54" t="s">
        <v>2</v>
      </c>
      <c r="Y358" s="54" t="s">
        <v>2</v>
      </c>
      <c r="Z358" s="54" t="s">
        <v>2</v>
      </c>
      <c r="AA358" s="54" t="s">
        <v>2</v>
      </c>
      <c r="AB358" s="54" t="s">
        <v>2</v>
      </c>
      <c r="AC358" s="54" t="s">
        <v>2</v>
      </c>
      <c r="AD358" s="54" t="s">
        <v>2</v>
      </c>
      <c r="AE358" s="54" t="s">
        <v>2</v>
      </c>
      <c r="AF358" s="54" t="s">
        <v>2</v>
      </c>
      <c r="AG358" s="54" t="s">
        <v>2</v>
      </c>
    </row>
    <row r="359" ht="15.75" customHeight="1">
      <c r="B359" s="56"/>
      <c r="U359" s="46" t="str">
        <f t="array" ref="U359">IF($D359="","",IFERROR(_xlfn.XLOOKUP($D359,'TIR店舗一覧'!$D:$D,'TIR店舗一覧'!$E:$E,""),""))</f>
        <v/>
      </c>
      <c r="V359" s="54" t="s">
        <v>2</v>
      </c>
      <c r="W359" s="54" t="s">
        <v>2</v>
      </c>
      <c r="X359" s="54" t="s">
        <v>2</v>
      </c>
      <c r="Y359" s="54" t="s">
        <v>2</v>
      </c>
      <c r="Z359" s="54" t="s">
        <v>2</v>
      </c>
      <c r="AA359" s="54" t="s">
        <v>2</v>
      </c>
      <c r="AB359" s="54" t="s">
        <v>2</v>
      </c>
      <c r="AC359" s="54" t="s">
        <v>2</v>
      </c>
      <c r="AD359" s="54" t="s">
        <v>2</v>
      </c>
      <c r="AE359" s="54" t="s">
        <v>2</v>
      </c>
      <c r="AF359" s="54" t="s">
        <v>2</v>
      </c>
      <c r="AG359" s="54" t="s">
        <v>2</v>
      </c>
    </row>
    <row r="360" ht="15.75" customHeight="1">
      <c r="B360" s="56"/>
      <c r="U360" s="46" t="str">
        <f t="array" ref="U360">IF($D360="","",IFERROR(_xlfn.XLOOKUP($D360,'TIR店舗一覧'!$D:$D,'TIR店舗一覧'!$E:$E,""),""))</f>
        <v/>
      </c>
      <c r="V360" s="54" t="s">
        <v>2</v>
      </c>
      <c r="W360" s="54" t="s">
        <v>2</v>
      </c>
      <c r="X360" s="54" t="s">
        <v>2</v>
      </c>
      <c r="Y360" s="54" t="s">
        <v>2</v>
      </c>
      <c r="Z360" s="54" t="s">
        <v>2</v>
      </c>
      <c r="AA360" s="54" t="s">
        <v>2</v>
      </c>
      <c r="AB360" s="54" t="s">
        <v>2</v>
      </c>
      <c r="AC360" s="54" t="s">
        <v>2</v>
      </c>
      <c r="AD360" s="54" t="s">
        <v>2</v>
      </c>
      <c r="AE360" s="54" t="s">
        <v>2</v>
      </c>
      <c r="AF360" s="54" t="s">
        <v>2</v>
      </c>
      <c r="AG360" s="54" t="s">
        <v>2</v>
      </c>
    </row>
    <row r="361" ht="15.75" customHeight="1">
      <c r="B361" s="56"/>
      <c r="U361" s="46" t="str">
        <f t="array" ref="U361">IF($D361="","",IFERROR(_xlfn.XLOOKUP($D361,'TIR店舗一覧'!$D:$D,'TIR店舗一覧'!$E:$E,""),""))</f>
        <v/>
      </c>
      <c r="V361" s="54" t="s">
        <v>2</v>
      </c>
      <c r="W361" s="54" t="s">
        <v>2</v>
      </c>
      <c r="X361" s="54" t="s">
        <v>2</v>
      </c>
      <c r="Y361" s="54" t="s">
        <v>2</v>
      </c>
      <c r="Z361" s="54" t="s">
        <v>2</v>
      </c>
      <c r="AA361" s="54" t="s">
        <v>2</v>
      </c>
      <c r="AB361" s="54" t="s">
        <v>2</v>
      </c>
      <c r="AC361" s="54" t="s">
        <v>2</v>
      </c>
      <c r="AD361" s="54" t="s">
        <v>2</v>
      </c>
      <c r="AE361" s="54" t="s">
        <v>2</v>
      </c>
      <c r="AF361" s="54" t="s">
        <v>2</v>
      </c>
      <c r="AG361" s="54" t="s">
        <v>2</v>
      </c>
    </row>
    <row r="362" ht="15.75" customHeight="1">
      <c r="B362" s="56"/>
      <c r="U362" s="46" t="str">
        <f t="array" ref="U362">IF($D362="","",IFERROR(_xlfn.XLOOKUP($D362,'TIR店舗一覧'!$D:$D,'TIR店舗一覧'!$E:$E,""),""))</f>
        <v/>
      </c>
      <c r="V362" s="54" t="s">
        <v>2</v>
      </c>
      <c r="W362" s="54" t="s">
        <v>2</v>
      </c>
      <c r="X362" s="54" t="s">
        <v>2</v>
      </c>
      <c r="Y362" s="54" t="s">
        <v>2</v>
      </c>
      <c r="Z362" s="54" t="s">
        <v>2</v>
      </c>
      <c r="AA362" s="54" t="s">
        <v>2</v>
      </c>
      <c r="AB362" s="54" t="s">
        <v>2</v>
      </c>
      <c r="AC362" s="54" t="s">
        <v>2</v>
      </c>
      <c r="AD362" s="54" t="s">
        <v>2</v>
      </c>
      <c r="AE362" s="54" t="s">
        <v>2</v>
      </c>
      <c r="AF362" s="54" t="s">
        <v>2</v>
      </c>
      <c r="AG362" s="54" t="s">
        <v>2</v>
      </c>
    </row>
    <row r="363" ht="15.75" customHeight="1">
      <c r="B363" s="56"/>
      <c r="U363" s="46" t="str">
        <f t="array" ref="U363">IF($D363="","",IFERROR(_xlfn.XLOOKUP($D363,'TIR店舗一覧'!$D:$D,'TIR店舗一覧'!$E:$E,""),""))</f>
        <v/>
      </c>
      <c r="V363" s="54" t="s">
        <v>2</v>
      </c>
      <c r="W363" s="54" t="s">
        <v>2</v>
      </c>
      <c r="X363" s="54" t="s">
        <v>2</v>
      </c>
      <c r="Y363" s="54" t="s">
        <v>2</v>
      </c>
      <c r="Z363" s="54" t="s">
        <v>2</v>
      </c>
      <c r="AA363" s="54" t="s">
        <v>2</v>
      </c>
      <c r="AB363" s="54" t="s">
        <v>2</v>
      </c>
      <c r="AC363" s="54" t="s">
        <v>2</v>
      </c>
      <c r="AD363" s="54" t="s">
        <v>2</v>
      </c>
      <c r="AE363" s="54" t="s">
        <v>2</v>
      </c>
      <c r="AF363" s="54" t="s">
        <v>2</v>
      </c>
      <c r="AG363" s="54" t="s">
        <v>2</v>
      </c>
    </row>
    <row r="364" ht="15.75" customHeight="1">
      <c r="B364" s="56"/>
      <c r="U364" s="46" t="str">
        <f t="array" ref="U364">IF($D364="","",IFERROR(_xlfn.XLOOKUP($D364,'TIR店舗一覧'!$D:$D,'TIR店舗一覧'!$E:$E,""),""))</f>
        <v/>
      </c>
      <c r="V364" s="54" t="s">
        <v>2</v>
      </c>
      <c r="W364" s="54" t="s">
        <v>2</v>
      </c>
      <c r="X364" s="54" t="s">
        <v>2</v>
      </c>
      <c r="Y364" s="54" t="s">
        <v>2</v>
      </c>
      <c r="Z364" s="54" t="s">
        <v>2</v>
      </c>
      <c r="AA364" s="54" t="s">
        <v>2</v>
      </c>
      <c r="AB364" s="54" t="s">
        <v>2</v>
      </c>
      <c r="AC364" s="54" t="s">
        <v>2</v>
      </c>
      <c r="AD364" s="54" t="s">
        <v>2</v>
      </c>
      <c r="AE364" s="54" t="s">
        <v>2</v>
      </c>
      <c r="AF364" s="54" t="s">
        <v>2</v>
      </c>
      <c r="AG364" s="54" t="s">
        <v>2</v>
      </c>
    </row>
    <row r="365" ht="15.75" customHeight="1">
      <c r="B365" s="56"/>
      <c r="U365" s="46" t="str">
        <f t="array" ref="U365">IF($D365="","",IFERROR(_xlfn.XLOOKUP($D365,'TIR店舗一覧'!$D:$D,'TIR店舗一覧'!$E:$E,""),""))</f>
        <v/>
      </c>
      <c r="V365" s="54" t="s">
        <v>2</v>
      </c>
      <c r="W365" s="54" t="s">
        <v>2</v>
      </c>
      <c r="X365" s="54" t="s">
        <v>2</v>
      </c>
      <c r="Y365" s="54" t="s">
        <v>2</v>
      </c>
      <c r="Z365" s="54" t="s">
        <v>2</v>
      </c>
      <c r="AA365" s="54" t="s">
        <v>2</v>
      </c>
      <c r="AB365" s="54" t="s">
        <v>2</v>
      </c>
      <c r="AC365" s="54" t="s">
        <v>2</v>
      </c>
      <c r="AD365" s="54" t="s">
        <v>2</v>
      </c>
      <c r="AE365" s="54" t="s">
        <v>2</v>
      </c>
      <c r="AF365" s="54" t="s">
        <v>2</v>
      </c>
      <c r="AG365" s="54" t="s">
        <v>2</v>
      </c>
    </row>
    <row r="366" ht="15.75" customHeight="1">
      <c r="B366" s="56"/>
      <c r="U366" s="46" t="str">
        <f t="array" ref="U366">IF($D366="","",IFERROR(_xlfn.XLOOKUP($D366,'TIR店舗一覧'!$D:$D,'TIR店舗一覧'!$E:$E,""),""))</f>
        <v/>
      </c>
      <c r="V366" s="54" t="s">
        <v>2</v>
      </c>
      <c r="W366" s="54" t="s">
        <v>2</v>
      </c>
      <c r="X366" s="54" t="s">
        <v>2</v>
      </c>
      <c r="Y366" s="54" t="s">
        <v>2</v>
      </c>
      <c r="Z366" s="54" t="s">
        <v>2</v>
      </c>
      <c r="AA366" s="54" t="s">
        <v>2</v>
      </c>
      <c r="AB366" s="54" t="s">
        <v>2</v>
      </c>
      <c r="AC366" s="54" t="s">
        <v>2</v>
      </c>
      <c r="AD366" s="54" t="s">
        <v>2</v>
      </c>
      <c r="AE366" s="54" t="s">
        <v>2</v>
      </c>
      <c r="AF366" s="54" t="s">
        <v>2</v>
      </c>
      <c r="AG366" s="54" t="s">
        <v>2</v>
      </c>
    </row>
    <row r="367" ht="15.75" customHeight="1">
      <c r="B367" s="56"/>
      <c r="U367" s="46" t="str">
        <f t="array" ref="U367">IF($D367="","",IFERROR(_xlfn.XLOOKUP($D367,'TIR店舗一覧'!$D:$D,'TIR店舗一覧'!$E:$E,""),""))</f>
        <v/>
      </c>
      <c r="V367" s="54" t="s">
        <v>2</v>
      </c>
      <c r="W367" s="54" t="s">
        <v>2</v>
      </c>
      <c r="X367" s="54" t="s">
        <v>2</v>
      </c>
      <c r="Y367" s="54" t="s">
        <v>2</v>
      </c>
      <c r="Z367" s="54" t="s">
        <v>2</v>
      </c>
      <c r="AA367" s="54" t="s">
        <v>2</v>
      </c>
      <c r="AB367" s="54" t="s">
        <v>2</v>
      </c>
      <c r="AC367" s="54" t="s">
        <v>2</v>
      </c>
      <c r="AD367" s="54" t="s">
        <v>2</v>
      </c>
      <c r="AE367" s="54" t="s">
        <v>2</v>
      </c>
      <c r="AF367" s="54" t="s">
        <v>2</v>
      </c>
      <c r="AG367" s="54" t="s">
        <v>2</v>
      </c>
    </row>
    <row r="368" ht="15.75" customHeight="1">
      <c r="B368" s="56"/>
      <c r="U368" s="46" t="str">
        <f t="array" ref="U368">IF($D368="","",IFERROR(_xlfn.XLOOKUP($D368,'TIR店舗一覧'!$D:$D,'TIR店舗一覧'!$E:$E,""),""))</f>
        <v/>
      </c>
      <c r="V368" s="54" t="s">
        <v>2</v>
      </c>
      <c r="W368" s="54" t="s">
        <v>2</v>
      </c>
      <c r="X368" s="54" t="s">
        <v>2</v>
      </c>
      <c r="Y368" s="54" t="s">
        <v>2</v>
      </c>
      <c r="Z368" s="54" t="s">
        <v>2</v>
      </c>
      <c r="AA368" s="54" t="s">
        <v>2</v>
      </c>
      <c r="AB368" s="54" t="s">
        <v>2</v>
      </c>
      <c r="AC368" s="54" t="s">
        <v>2</v>
      </c>
      <c r="AD368" s="54" t="s">
        <v>2</v>
      </c>
      <c r="AE368" s="54" t="s">
        <v>2</v>
      </c>
      <c r="AF368" s="54" t="s">
        <v>2</v>
      </c>
      <c r="AG368" s="54" t="s">
        <v>2</v>
      </c>
    </row>
    <row r="369" ht="15.75" customHeight="1">
      <c r="B369" s="56"/>
      <c r="U369" s="46" t="str">
        <f t="array" ref="U369">IF($D369="","",IFERROR(_xlfn.XLOOKUP($D369,'TIR店舗一覧'!$D:$D,'TIR店舗一覧'!$E:$E,""),""))</f>
        <v/>
      </c>
      <c r="V369" s="54" t="s">
        <v>2</v>
      </c>
      <c r="W369" s="54" t="s">
        <v>2</v>
      </c>
      <c r="X369" s="54" t="s">
        <v>2</v>
      </c>
      <c r="Y369" s="54" t="s">
        <v>2</v>
      </c>
      <c r="Z369" s="54" t="s">
        <v>2</v>
      </c>
      <c r="AA369" s="54" t="s">
        <v>2</v>
      </c>
      <c r="AB369" s="54" t="s">
        <v>2</v>
      </c>
      <c r="AC369" s="54" t="s">
        <v>2</v>
      </c>
      <c r="AD369" s="54" t="s">
        <v>2</v>
      </c>
      <c r="AE369" s="54" t="s">
        <v>2</v>
      </c>
      <c r="AF369" s="54" t="s">
        <v>2</v>
      </c>
      <c r="AG369" s="54" t="s">
        <v>2</v>
      </c>
    </row>
    <row r="370" ht="15.75" customHeight="1">
      <c r="B370" s="56"/>
      <c r="U370" s="46" t="str">
        <f t="array" ref="U370">IF($D370="","",IFERROR(_xlfn.XLOOKUP($D370,'TIR店舗一覧'!$D:$D,'TIR店舗一覧'!$E:$E,""),""))</f>
        <v/>
      </c>
      <c r="V370" s="54" t="s">
        <v>2</v>
      </c>
      <c r="W370" s="54" t="s">
        <v>2</v>
      </c>
      <c r="X370" s="54" t="s">
        <v>2</v>
      </c>
      <c r="Y370" s="54" t="s">
        <v>2</v>
      </c>
      <c r="Z370" s="54" t="s">
        <v>2</v>
      </c>
      <c r="AA370" s="54" t="s">
        <v>2</v>
      </c>
      <c r="AB370" s="54" t="s">
        <v>2</v>
      </c>
      <c r="AC370" s="54" t="s">
        <v>2</v>
      </c>
      <c r="AD370" s="54" t="s">
        <v>2</v>
      </c>
      <c r="AE370" s="54" t="s">
        <v>2</v>
      </c>
      <c r="AF370" s="54" t="s">
        <v>2</v>
      </c>
      <c r="AG370" s="54" t="s">
        <v>2</v>
      </c>
    </row>
    <row r="371" ht="15.75" customHeight="1">
      <c r="B371" s="56"/>
      <c r="U371" s="46" t="str">
        <f t="array" ref="U371">IF($D371="","",IFERROR(_xlfn.XLOOKUP($D371,'TIR店舗一覧'!$D:$D,'TIR店舗一覧'!$E:$E,""),""))</f>
        <v/>
      </c>
      <c r="V371" s="54" t="s">
        <v>2</v>
      </c>
      <c r="W371" s="54" t="s">
        <v>2</v>
      </c>
      <c r="X371" s="54" t="s">
        <v>2</v>
      </c>
      <c r="Y371" s="54" t="s">
        <v>2</v>
      </c>
      <c r="Z371" s="54" t="s">
        <v>2</v>
      </c>
      <c r="AA371" s="54" t="s">
        <v>2</v>
      </c>
      <c r="AB371" s="54" t="s">
        <v>2</v>
      </c>
      <c r="AC371" s="54" t="s">
        <v>2</v>
      </c>
      <c r="AD371" s="54" t="s">
        <v>2</v>
      </c>
      <c r="AE371" s="54" t="s">
        <v>2</v>
      </c>
      <c r="AF371" s="54" t="s">
        <v>2</v>
      </c>
      <c r="AG371" s="54" t="s">
        <v>2</v>
      </c>
    </row>
    <row r="372" ht="15.75" customHeight="1">
      <c r="B372" s="56"/>
      <c r="U372" s="46" t="str">
        <f t="array" ref="U372">IF($D372="","",IFERROR(_xlfn.XLOOKUP($D372,'TIR店舗一覧'!$D:$D,'TIR店舗一覧'!$E:$E,""),""))</f>
        <v/>
      </c>
      <c r="V372" s="54" t="s">
        <v>2</v>
      </c>
      <c r="W372" s="54" t="s">
        <v>2</v>
      </c>
      <c r="X372" s="54" t="s">
        <v>2</v>
      </c>
      <c r="Y372" s="54" t="s">
        <v>2</v>
      </c>
      <c r="Z372" s="54" t="s">
        <v>2</v>
      </c>
      <c r="AA372" s="54" t="s">
        <v>2</v>
      </c>
      <c r="AB372" s="54" t="s">
        <v>2</v>
      </c>
      <c r="AC372" s="54" t="s">
        <v>2</v>
      </c>
      <c r="AD372" s="54" t="s">
        <v>2</v>
      </c>
      <c r="AE372" s="54" t="s">
        <v>2</v>
      </c>
      <c r="AF372" s="54" t="s">
        <v>2</v>
      </c>
      <c r="AG372" s="54" t="s">
        <v>2</v>
      </c>
    </row>
    <row r="373" ht="15.75" customHeight="1">
      <c r="B373" s="56"/>
      <c r="U373" s="46" t="str">
        <f t="array" ref="U373">IF($D373="","",IFERROR(_xlfn.XLOOKUP($D373,'TIR店舗一覧'!$D:$D,'TIR店舗一覧'!$E:$E,""),""))</f>
        <v/>
      </c>
      <c r="V373" s="54" t="s">
        <v>2</v>
      </c>
      <c r="W373" s="54" t="s">
        <v>2</v>
      </c>
      <c r="X373" s="54" t="s">
        <v>2</v>
      </c>
      <c r="Y373" s="54" t="s">
        <v>2</v>
      </c>
      <c r="Z373" s="54" t="s">
        <v>2</v>
      </c>
      <c r="AA373" s="54" t="s">
        <v>2</v>
      </c>
      <c r="AB373" s="54" t="s">
        <v>2</v>
      </c>
      <c r="AC373" s="54" t="s">
        <v>2</v>
      </c>
      <c r="AD373" s="54" t="s">
        <v>2</v>
      </c>
      <c r="AE373" s="54" t="s">
        <v>2</v>
      </c>
      <c r="AF373" s="54" t="s">
        <v>2</v>
      </c>
      <c r="AG373" s="54" t="s">
        <v>2</v>
      </c>
    </row>
    <row r="374" ht="15.75" customHeight="1">
      <c r="B374" s="56"/>
      <c r="U374" s="46" t="str">
        <f t="array" ref="U374">IF($D374="","",IFERROR(_xlfn.XLOOKUP($D374,'TIR店舗一覧'!$D:$D,'TIR店舗一覧'!$E:$E,""),""))</f>
        <v/>
      </c>
      <c r="V374" s="54" t="s">
        <v>2</v>
      </c>
      <c r="W374" s="54" t="s">
        <v>2</v>
      </c>
      <c r="X374" s="54" t="s">
        <v>2</v>
      </c>
      <c r="Y374" s="54" t="s">
        <v>2</v>
      </c>
      <c r="Z374" s="54" t="s">
        <v>2</v>
      </c>
      <c r="AA374" s="54" t="s">
        <v>2</v>
      </c>
      <c r="AB374" s="54" t="s">
        <v>2</v>
      </c>
      <c r="AC374" s="54" t="s">
        <v>2</v>
      </c>
      <c r="AD374" s="54" t="s">
        <v>2</v>
      </c>
      <c r="AE374" s="54" t="s">
        <v>2</v>
      </c>
      <c r="AF374" s="54" t="s">
        <v>2</v>
      </c>
      <c r="AG374" s="54" t="s">
        <v>2</v>
      </c>
    </row>
    <row r="375" ht="15.75" customHeight="1">
      <c r="B375" s="56"/>
      <c r="U375" s="46" t="str">
        <f t="array" ref="U375">IF($D375="","",IFERROR(_xlfn.XLOOKUP($D375,'TIR店舗一覧'!$D:$D,'TIR店舗一覧'!$E:$E,""),""))</f>
        <v/>
      </c>
      <c r="V375" s="54" t="s">
        <v>2</v>
      </c>
      <c r="W375" s="54" t="s">
        <v>2</v>
      </c>
      <c r="X375" s="54" t="s">
        <v>2</v>
      </c>
      <c r="Y375" s="54" t="s">
        <v>2</v>
      </c>
      <c r="Z375" s="54" t="s">
        <v>2</v>
      </c>
      <c r="AA375" s="54" t="s">
        <v>2</v>
      </c>
      <c r="AB375" s="54" t="s">
        <v>2</v>
      </c>
      <c r="AC375" s="54" t="s">
        <v>2</v>
      </c>
      <c r="AD375" s="54" t="s">
        <v>2</v>
      </c>
      <c r="AE375" s="54" t="s">
        <v>2</v>
      </c>
      <c r="AF375" s="54" t="s">
        <v>2</v>
      </c>
      <c r="AG375" s="54" t="s">
        <v>2</v>
      </c>
    </row>
    <row r="376" ht="15.75" customHeight="1">
      <c r="B376" s="56"/>
      <c r="U376" s="46" t="str">
        <f t="array" ref="U376">IF($D376="","",IFERROR(_xlfn.XLOOKUP($D376,'TIR店舗一覧'!$D:$D,'TIR店舗一覧'!$E:$E,""),""))</f>
        <v/>
      </c>
      <c r="V376" s="54" t="s">
        <v>2</v>
      </c>
      <c r="W376" s="54" t="s">
        <v>2</v>
      </c>
      <c r="X376" s="54" t="s">
        <v>2</v>
      </c>
      <c r="Y376" s="54" t="s">
        <v>2</v>
      </c>
      <c r="Z376" s="54" t="s">
        <v>2</v>
      </c>
      <c r="AA376" s="54" t="s">
        <v>2</v>
      </c>
      <c r="AB376" s="54" t="s">
        <v>2</v>
      </c>
      <c r="AC376" s="54" t="s">
        <v>2</v>
      </c>
      <c r="AD376" s="54" t="s">
        <v>2</v>
      </c>
      <c r="AE376" s="54" t="s">
        <v>2</v>
      </c>
      <c r="AF376" s="54" t="s">
        <v>2</v>
      </c>
      <c r="AG376" s="54" t="s">
        <v>2</v>
      </c>
    </row>
    <row r="377" ht="15.75" customHeight="1">
      <c r="B377" s="56"/>
      <c r="U377" s="46" t="str">
        <f t="array" ref="U377">IF($D377="","",IFERROR(_xlfn.XLOOKUP($D377,'TIR店舗一覧'!$D:$D,'TIR店舗一覧'!$E:$E,""),""))</f>
        <v/>
      </c>
      <c r="V377" s="54" t="s">
        <v>2</v>
      </c>
      <c r="W377" s="54" t="s">
        <v>2</v>
      </c>
      <c r="X377" s="54" t="s">
        <v>2</v>
      </c>
      <c r="Y377" s="54" t="s">
        <v>2</v>
      </c>
      <c r="Z377" s="54" t="s">
        <v>2</v>
      </c>
      <c r="AA377" s="54" t="s">
        <v>2</v>
      </c>
      <c r="AB377" s="54" t="s">
        <v>2</v>
      </c>
      <c r="AC377" s="54" t="s">
        <v>2</v>
      </c>
      <c r="AD377" s="54" t="s">
        <v>2</v>
      </c>
      <c r="AE377" s="54" t="s">
        <v>2</v>
      </c>
      <c r="AF377" s="54" t="s">
        <v>2</v>
      </c>
      <c r="AG377" s="54" t="s">
        <v>2</v>
      </c>
    </row>
    <row r="378" ht="15.75" customHeight="1">
      <c r="B378" s="56"/>
      <c r="U378" s="46" t="str">
        <f t="array" ref="U378">IF($D378="","",IFERROR(_xlfn.XLOOKUP($D378,'TIR店舗一覧'!$D:$D,'TIR店舗一覧'!$E:$E,""),""))</f>
        <v/>
      </c>
      <c r="V378" s="54" t="s">
        <v>2</v>
      </c>
      <c r="W378" s="54" t="s">
        <v>2</v>
      </c>
      <c r="X378" s="54" t="s">
        <v>2</v>
      </c>
      <c r="Y378" s="54" t="s">
        <v>2</v>
      </c>
      <c r="Z378" s="54" t="s">
        <v>2</v>
      </c>
      <c r="AA378" s="54" t="s">
        <v>2</v>
      </c>
      <c r="AB378" s="54" t="s">
        <v>2</v>
      </c>
      <c r="AC378" s="54" t="s">
        <v>2</v>
      </c>
      <c r="AD378" s="54" t="s">
        <v>2</v>
      </c>
      <c r="AE378" s="54" t="s">
        <v>2</v>
      </c>
      <c r="AF378" s="54" t="s">
        <v>2</v>
      </c>
      <c r="AG378" s="54" t="s">
        <v>2</v>
      </c>
    </row>
    <row r="379" ht="15.75" customHeight="1">
      <c r="B379" s="56"/>
      <c r="U379" s="46" t="str">
        <f t="array" ref="U379">IF($D379="","",IFERROR(_xlfn.XLOOKUP($D379,'TIR店舗一覧'!$D:$D,'TIR店舗一覧'!$E:$E,""),""))</f>
        <v/>
      </c>
      <c r="V379" s="54" t="s">
        <v>2</v>
      </c>
      <c r="W379" s="54" t="s">
        <v>2</v>
      </c>
      <c r="X379" s="54" t="s">
        <v>2</v>
      </c>
      <c r="Y379" s="54" t="s">
        <v>2</v>
      </c>
      <c r="Z379" s="54" t="s">
        <v>2</v>
      </c>
      <c r="AA379" s="54" t="s">
        <v>2</v>
      </c>
      <c r="AB379" s="54" t="s">
        <v>2</v>
      </c>
      <c r="AC379" s="54" t="s">
        <v>2</v>
      </c>
      <c r="AD379" s="54" t="s">
        <v>2</v>
      </c>
      <c r="AE379" s="54" t="s">
        <v>2</v>
      </c>
      <c r="AF379" s="54" t="s">
        <v>2</v>
      </c>
      <c r="AG379" s="54" t="s">
        <v>2</v>
      </c>
    </row>
    <row r="380" ht="15.75" customHeight="1">
      <c r="B380" s="56"/>
      <c r="U380" s="46" t="str">
        <f t="array" ref="U380">IF($D380="","",IFERROR(_xlfn.XLOOKUP($D380,'TIR店舗一覧'!$D:$D,'TIR店舗一覧'!$E:$E,""),""))</f>
        <v/>
      </c>
      <c r="V380" s="54" t="s">
        <v>2</v>
      </c>
      <c r="W380" s="54" t="s">
        <v>2</v>
      </c>
      <c r="X380" s="54" t="s">
        <v>2</v>
      </c>
      <c r="Y380" s="54" t="s">
        <v>2</v>
      </c>
      <c r="Z380" s="54" t="s">
        <v>2</v>
      </c>
      <c r="AA380" s="54" t="s">
        <v>2</v>
      </c>
      <c r="AB380" s="54" t="s">
        <v>2</v>
      </c>
      <c r="AC380" s="54" t="s">
        <v>2</v>
      </c>
      <c r="AD380" s="54" t="s">
        <v>2</v>
      </c>
      <c r="AE380" s="54" t="s">
        <v>2</v>
      </c>
      <c r="AF380" s="54" t="s">
        <v>2</v>
      </c>
      <c r="AG380" s="54" t="s">
        <v>2</v>
      </c>
    </row>
    <row r="381" ht="15.75" customHeight="1">
      <c r="B381" s="56"/>
      <c r="U381" s="46" t="str">
        <f t="array" ref="U381">IF($D381="","",IFERROR(_xlfn.XLOOKUP($D381,'TIR店舗一覧'!$D:$D,'TIR店舗一覧'!$E:$E,""),""))</f>
        <v/>
      </c>
      <c r="V381" s="54" t="s">
        <v>2</v>
      </c>
      <c r="W381" s="54" t="s">
        <v>2</v>
      </c>
      <c r="X381" s="54" t="s">
        <v>2</v>
      </c>
      <c r="Y381" s="54" t="s">
        <v>2</v>
      </c>
      <c r="Z381" s="54" t="s">
        <v>2</v>
      </c>
      <c r="AA381" s="54" t="s">
        <v>2</v>
      </c>
      <c r="AB381" s="54" t="s">
        <v>2</v>
      </c>
      <c r="AC381" s="54" t="s">
        <v>2</v>
      </c>
      <c r="AD381" s="54" t="s">
        <v>2</v>
      </c>
      <c r="AE381" s="54" t="s">
        <v>2</v>
      </c>
      <c r="AF381" s="54" t="s">
        <v>2</v>
      </c>
      <c r="AG381" s="54" t="s">
        <v>2</v>
      </c>
    </row>
    <row r="382" ht="15.75" customHeight="1">
      <c r="B382" s="56"/>
      <c r="U382" s="46" t="str">
        <f t="array" ref="U382">IF($D382="","",IFERROR(_xlfn.XLOOKUP($D382,'TIR店舗一覧'!$D:$D,'TIR店舗一覧'!$E:$E,""),""))</f>
        <v/>
      </c>
      <c r="V382" s="54" t="s">
        <v>2</v>
      </c>
      <c r="W382" s="54" t="s">
        <v>2</v>
      </c>
      <c r="X382" s="54" t="s">
        <v>2</v>
      </c>
      <c r="Y382" s="54" t="s">
        <v>2</v>
      </c>
      <c r="Z382" s="54" t="s">
        <v>2</v>
      </c>
      <c r="AA382" s="54" t="s">
        <v>2</v>
      </c>
      <c r="AB382" s="54" t="s">
        <v>2</v>
      </c>
      <c r="AC382" s="54" t="s">
        <v>2</v>
      </c>
      <c r="AD382" s="54" t="s">
        <v>2</v>
      </c>
      <c r="AE382" s="54" t="s">
        <v>2</v>
      </c>
      <c r="AF382" s="54" t="s">
        <v>2</v>
      </c>
      <c r="AG382" s="54" t="s">
        <v>2</v>
      </c>
    </row>
    <row r="383" ht="15.75" customHeight="1">
      <c r="B383" s="56"/>
      <c r="U383" s="46" t="str">
        <f t="array" ref="U383">IF($D383="","",IFERROR(_xlfn.XLOOKUP($D383,'TIR店舗一覧'!$D:$D,'TIR店舗一覧'!$E:$E,""),""))</f>
        <v/>
      </c>
      <c r="V383" s="54" t="s">
        <v>2</v>
      </c>
      <c r="W383" s="54" t="s">
        <v>2</v>
      </c>
      <c r="X383" s="54" t="s">
        <v>2</v>
      </c>
      <c r="Y383" s="54" t="s">
        <v>2</v>
      </c>
      <c r="Z383" s="54" t="s">
        <v>2</v>
      </c>
      <c r="AA383" s="54" t="s">
        <v>2</v>
      </c>
      <c r="AB383" s="54" t="s">
        <v>2</v>
      </c>
      <c r="AC383" s="54" t="s">
        <v>2</v>
      </c>
      <c r="AD383" s="54" t="s">
        <v>2</v>
      </c>
      <c r="AE383" s="54" t="s">
        <v>2</v>
      </c>
      <c r="AF383" s="54" t="s">
        <v>2</v>
      </c>
      <c r="AG383" s="54" t="s">
        <v>2</v>
      </c>
    </row>
    <row r="384" ht="15.75" customHeight="1">
      <c r="B384" s="56"/>
      <c r="U384" s="46" t="str">
        <f t="array" ref="U384">IF($D384="","",IFERROR(_xlfn.XLOOKUP($D384,'TIR店舗一覧'!$D:$D,'TIR店舗一覧'!$E:$E,""),""))</f>
        <v/>
      </c>
      <c r="V384" s="54" t="s">
        <v>2</v>
      </c>
      <c r="W384" s="54" t="s">
        <v>2</v>
      </c>
      <c r="X384" s="54" t="s">
        <v>2</v>
      </c>
      <c r="Y384" s="54" t="s">
        <v>2</v>
      </c>
      <c r="Z384" s="54" t="s">
        <v>2</v>
      </c>
      <c r="AA384" s="54" t="s">
        <v>2</v>
      </c>
      <c r="AB384" s="54" t="s">
        <v>2</v>
      </c>
      <c r="AC384" s="54" t="s">
        <v>2</v>
      </c>
      <c r="AD384" s="54" t="s">
        <v>2</v>
      </c>
      <c r="AE384" s="54" t="s">
        <v>2</v>
      </c>
      <c r="AF384" s="54" t="s">
        <v>2</v>
      </c>
      <c r="AG384" s="54" t="s">
        <v>2</v>
      </c>
    </row>
    <row r="385" ht="15.75" customHeight="1">
      <c r="B385" s="56"/>
      <c r="U385" s="46" t="str">
        <f t="array" ref="U385">IF($D385="","",IFERROR(_xlfn.XLOOKUP($D385,'TIR店舗一覧'!$D:$D,'TIR店舗一覧'!$E:$E,""),""))</f>
        <v/>
      </c>
      <c r="V385" s="54" t="s">
        <v>2</v>
      </c>
      <c r="W385" s="54" t="s">
        <v>2</v>
      </c>
      <c r="X385" s="54" t="s">
        <v>2</v>
      </c>
      <c r="Y385" s="54" t="s">
        <v>2</v>
      </c>
      <c r="Z385" s="54" t="s">
        <v>2</v>
      </c>
      <c r="AA385" s="54" t="s">
        <v>2</v>
      </c>
      <c r="AB385" s="54" t="s">
        <v>2</v>
      </c>
      <c r="AC385" s="54" t="s">
        <v>2</v>
      </c>
      <c r="AD385" s="54" t="s">
        <v>2</v>
      </c>
      <c r="AE385" s="54" t="s">
        <v>2</v>
      </c>
      <c r="AF385" s="54" t="s">
        <v>2</v>
      </c>
      <c r="AG385" s="54" t="s">
        <v>2</v>
      </c>
    </row>
    <row r="386" ht="15.75" customHeight="1">
      <c r="B386" s="56"/>
      <c r="U386" s="46" t="str">
        <f t="array" ref="U386">IF($D386="","",IFERROR(_xlfn.XLOOKUP($D386,'TIR店舗一覧'!$D:$D,'TIR店舗一覧'!$E:$E,""),""))</f>
        <v/>
      </c>
      <c r="V386" s="54" t="s">
        <v>2</v>
      </c>
      <c r="W386" s="54" t="s">
        <v>2</v>
      </c>
      <c r="X386" s="54" t="s">
        <v>2</v>
      </c>
      <c r="Y386" s="54" t="s">
        <v>2</v>
      </c>
      <c r="Z386" s="54" t="s">
        <v>2</v>
      </c>
      <c r="AA386" s="54" t="s">
        <v>2</v>
      </c>
      <c r="AB386" s="54" t="s">
        <v>2</v>
      </c>
      <c r="AC386" s="54" t="s">
        <v>2</v>
      </c>
      <c r="AD386" s="54" t="s">
        <v>2</v>
      </c>
      <c r="AE386" s="54" t="s">
        <v>2</v>
      </c>
      <c r="AF386" s="54" t="s">
        <v>2</v>
      </c>
      <c r="AG386" s="54" t="s">
        <v>2</v>
      </c>
    </row>
    <row r="387" ht="15.75" customHeight="1">
      <c r="B387" s="56"/>
      <c r="U387" s="46" t="str">
        <f t="array" ref="U387">IF($D387="","",IFERROR(_xlfn.XLOOKUP($D387,'TIR店舗一覧'!$D:$D,'TIR店舗一覧'!$E:$E,""),""))</f>
        <v/>
      </c>
      <c r="V387" s="54" t="s">
        <v>2</v>
      </c>
      <c r="W387" s="54" t="s">
        <v>2</v>
      </c>
      <c r="X387" s="54" t="s">
        <v>2</v>
      </c>
      <c r="Y387" s="54" t="s">
        <v>2</v>
      </c>
      <c r="Z387" s="54" t="s">
        <v>2</v>
      </c>
      <c r="AA387" s="54" t="s">
        <v>2</v>
      </c>
      <c r="AB387" s="54" t="s">
        <v>2</v>
      </c>
      <c r="AC387" s="54" t="s">
        <v>2</v>
      </c>
      <c r="AD387" s="54" t="s">
        <v>2</v>
      </c>
      <c r="AE387" s="54" t="s">
        <v>2</v>
      </c>
      <c r="AF387" s="54" t="s">
        <v>2</v>
      </c>
      <c r="AG387" s="54" t="s">
        <v>2</v>
      </c>
    </row>
    <row r="388" ht="15.75" customHeight="1">
      <c r="B388" s="56"/>
      <c r="U388" s="46" t="str">
        <f t="array" ref="U388">IF($D388="","",IFERROR(_xlfn.XLOOKUP($D388,'TIR店舗一覧'!$D:$D,'TIR店舗一覧'!$E:$E,""),""))</f>
        <v/>
      </c>
      <c r="V388" s="54" t="s">
        <v>2</v>
      </c>
      <c r="W388" s="54" t="s">
        <v>2</v>
      </c>
      <c r="X388" s="54" t="s">
        <v>2</v>
      </c>
      <c r="Y388" s="54" t="s">
        <v>2</v>
      </c>
      <c r="Z388" s="54" t="s">
        <v>2</v>
      </c>
      <c r="AA388" s="54" t="s">
        <v>2</v>
      </c>
      <c r="AB388" s="54" t="s">
        <v>2</v>
      </c>
      <c r="AC388" s="54" t="s">
        <v>2</v>
      </c>
      <c r="AD388" s="54" t="s">
        <v>2</v>
      </c>
      <c r="AE388" s="54" t="s">
        <v>2</v>
      </c>
      <c r="AF388" s="54" t="s">
        <v>2</v>
      </c>
      <c r="AG388" s="54" t="s">
        <v>2</v>
      </c>
    </row>
    <row r="389" ht="15.75" customHeight="1">
      <c r="B389" s="56"/>
      <c r="U389" s="46" t="str">
        <f t="array" ref="U389">IF($D389="","",IFERROR(_xlfn.XLOOKUP($D389,'TIR店舗一覧'!$D:$D,'TIR店舗一覧'!$E:$E,""),""))</f>
        <v/>
      </c>
      <c r="V389" s="54" t="s">
        <v>2</v>
      </c>
      <c r="W389" s="54" t="s">
        <v>2</v>
      </c>
      <c r="X389" s="54" t="s">
        <v>2</v>
      </c>
      <c r="Y389" s="54" t="s">
        <v>2</v>
      </c>
      <c r="Z389" s="54" t="s">
        <v>2</v>
      </c>
      <c r="AA389" s="54" t="s">
        <v>2</v>
      </c>
      <c r="AB389" s="54" t="s">
        <v>2</v>
      </c>
      <c r="AC389" s="54" t="s">
        <v>2</v>
      </c>
      <c r="AD389" s="54" t="s">
        <v>2</v>
      </c>
      <c r="AE389" s="54" t="s">
        <v>2</v>
      </c>
      <c r="AF389" s="54" t="s">
        <v>2</v>
      </c>
      <c r="AG389" s="54" t="s">
        <v>2</v>
      </c>
    </row>
    <row r="390" ht="15.75" customHeight="1">
      <c r="B390" s="56"/>
      <c r="U390" s="46" t="str">
        <f t="array" ref="U390">IF($D390="","",IFERROR(_xlfn.XLOOKUP($D390,'TIR店舗一覧'!$D:$D,'TIR店舗一覧'!$E:$E,""),""))</f>
        <v/>
      </c>
      <c r="V390" s="54" t="s">
        <v>2</v>
      </c>
      <c r="W390" s="54" t="s">
        <v>2</v>
      </c>
      <c r="X390" s="54" t="s">
        <v>2</v>
      </c>
      <c r="Y390" s="54" t="s">
        <v>2</v>
      </c>
      <c r="Z390" s="54" t="s">
        <v>2</v>
      </c>
      <c r="AA390" s="54" t="s">
        <v>2</v>
      </c>
      <c r="AB390" s="54" t="s">
        <v>2</v>
      </c>
      <c r="AC390" s="54" t="s">
        <v>2</v>
      </c>
      <c r="AD390" s="54" t="s">
        <v>2</v>
      </c>
      <c r="AE390" s="54" t="s">
        <v>2</v>
      </c>
      <c r="AF390" s="54" t="s">
        <v>2</v>
      </c>
      <c r="AG390" s="54" t="s">
        <v>2</v>
      </c>
    </row>
    <row r="391" ht="15.75" customHeight="1">
      <c r="B391" s="56"/>
      <c r="U391" s="46" t="str">
        <f t="array" ref="U391">IF($D391="","",IFERROR(_xlfn.XLOOKUP($D391,'TIR店舗一覧'!$D:$D,'TIR店舗一覧'!$E:$E,""),""))</f>
        <v/>
      </c>
      <c r="V391" s="54" t="s">
        <v>2</v>
      </c>
      <c r="W391" s="54" t="s">
        <v>2</v>
      </c>
      <c r="X391" s="54" t="s">
        <v>2</v>
      </c>
      <c r="Y391" s="54" t="s">
        <v>2</v>
      </c>
      <c r="Z391" s="54" t="s">
        <v>2</v>
      </c>
      <c r="AA391" s="54" t="s">
        <v>2</v>
      </c>
      <c r="AB391" s="54" t="s">
        <v>2</v>
      </c>
      <c r="AC391" s="54" t="s">
        <v>2</v>
      </c>
      <c r="AD391" s="54" t="s">
        <v>2</v>
      </c>
      <c r="AE391" s="54" t="s">
        <v>2</v>
      </c>
      <c r="AF391" s="54" t="s">
        <v>2</v>
      </c>
      <c r="AG391" s="54" t="s">
        <v>2</v>
      </c>
    </row>
    <row r="392" ht="15.75" customHeight="1">
      <c r="B392" s="56"/>
      <c r="U392" s="46" t="str">
        <f t="array" ref="U392">IF($D392="","",IFERROR(_xlfn.XLOOKUP($D392,'TIR店舗一覧'!$D:$D,'TIR店舗一覧'!$E:$E,""),""))</f>
        <v/>
      </c>
      <c r="V392" s="54" t="s">
        <v>2</v>
      </c>
      <c r="W392" s="54" t="s">
        <v>2</v>
      </c>
      <c r="X392" s="54" t="s">
        <v>2</v>
      </c>
      <c r="Y392" s="54" t="s">
        <v>2</v>
      </c>
      <c r="Z392" s="54" t="s">
        <v>2</v>
      </c>
      <c r="AA392" s="54" t="s">
        <v>2</v>
      </c>
      <c r="AB392" s="54" t="s">
        <v>2</v>
      </c>
      <c r="AC392" s="54" t="s">
        <v>2</v>
      </c>
      <c r="AD392" s="54" t="s">
        <v>2</v>
      </c>
      <c r="AE392" s="54" t="s">
        <v>2</v>
      </c>
      <c r="AF392" s="54" t="s">
        <v>2</v>
      </c>
      <c r="AG392" s="54" t="s">
        <v>2</v>
      </c>
    </row>
    <row r="393" ht="15.75" customHeight="1">
      <c r="B393" s="56"/>
      <c r="U393" s="46" t="str">
        <f t="array" ref="U393">IF($D393="","",IFERROR(_xlfn.XLOOKUP($D393,'TIR店舗一覧'!$D:$D,'TIR店舗一覧'!$E:$E,""),""))</f>
        <v/>
      </c>
      <c r="V393" s="54" t="s">
        <v>2</v>
      </c>
      <c r="W393" s="54" t="s">
        <v>2</v>
      </c>
      <c r="X393" s="54" t="s">
        <v>2</v>
      </c>
      <c r="Y393" s="54" t="s">
        <v>2</v>
      </c>
      <c r="Z393" s="54" t="s">
        <v>2</v>
      </c>
      <c r="AA393" s="54" t="s">
        <v>2</v>
      </c>
      <c r="AB393" s="54" t="s">
        <v>2</v>
      </c>
      <c r="AC393" s="54" t="s">
        <v>2</v>
      </c>
      <c r="AD393" s="54" t="s">
        <v>2</v>
      </c>
      <c r="AE393" s="54" t="s">
        <v>2</v>
      </c>
      <c r="AF393" s="54" t="s">
        <v>2</v>
      </c>
      <c r="AG393" s="54" t="s">
        <v>2</v>
      </c>
    </row>
    <row r="394" ht="15.75" customHeight="1">
      <c r="B394" s="56"/>
      <c r="U394" s="46" t="str">
        <f t="array" ref="U394">IF($D394="","",IFERROR(_xlfn.XLOOKUP($D394,'TIR店舗一覧'!$D:$D,'TIR店舗一覧'!$E:$E,""),""))</f>
        <v/>
      </c>
      <c r="V394" s="54" t="s">
        <v>2</v>
      </c>
      <c r="W394" s="54" t="s">
        <v>2</v>
      </c>
      <c r="X394" s="54" t="s">
        <v>2</v>
      </c>
      <c r="Y394" s="54" t="s">
        <v>2</v>
      </c>
      <c r="Z394" s="54" t="s">
        <v>2</v>
      </c>
      <c r="AA394" s="54" t="s">
        <v>2</v>
      </c>
      <c r="AB394" s="54" t="s">
        <v>2</v>
      </c>
      <c r="AC394" s="54" t="s">
        <v>2</v>
      </c>
      <c r="AD394" s="54" t="s">
        <v>2</v>
      </c>
      <c r="AE394" s="54" t="s">
        <v>2</v>
      </c>
      <c r="AF394" s="54" t="s">
        <v>2</v>
      </c>
      <c r="AG394" s="54" t="s">
        <v>2</v>
      </c>
    </row>
    <row r="395" ht="15.75" customHeight="1">
      <c r="B395" s="56"/>
      <c r="U395" s="46" t="str">
        <f t="array" ref="U395">IF($D395="","",IFERROR(_xlfn.XLOOKUP($D395,'TIR店舗一覧'!$D:$D,'TIR店舗一覧'!$E:$E,""),""))</f>
        <v/>
      </c>
      <c r="V395" s="54" t="s">
        <v>2</v>
      </c>
      <c r="W395" s="54" t="s">
        <v>2</v>
      </c>
      <c r="X395" s="54" t="s">
        <v>2</v>
      </c>
      <c r="Y395" s="54" t="s">
        <v>2</v>
      </c>
      <c r="Z395" s="54" t="s">
        <v>2</v>
      </c>
      <c r="AA395" s="54" t="s">
        <v>2</v>
      </c>
      <c r="AB395" s="54" t="s">
        <v>2</v>
      </c>
      <c r="AC395" s="54" t="s">
        <v>2</v>
      </c>
      <c r="AD395" s="54" t="s">
        <v>2</v>
      </c>
      <c r="AE395" s="54" t="s">
        <v>2</v>
      </c>
      <c r="AF395" s="54" t="s">
        <v>2</v>
      </c>
      <c r="AG395" s="54" t="s">
        <v>2</v>
      </c>
    </row>
    <row r="396" ht="15.75" customHeight="1">
      <c r="B396" s="56"/>
      <c r="U396" s="46" t="str">
        <f t="array" ref="U396">IF($D396="","",IFERROR(_xlfn.XLOOKUP($D396,'TIR店舗一覧'!$D:$D,'TIR店舗一覧'!$E:$E,""),""))</f>
        <v/>
      </c>
      <c r="V396" s="54" t="s">
        <v>2</v>
      </c>
      <c r="W396" s="54" t="s">
        <v>2</v>
      </c>
      <c r="X396" s="54" t="s">
        <v>2</v>
      </c>
      <c r="Y396" s="54" t="s">
        <v>2</v>
      </c>
      <c r="Z396" s="54" t="s">
        <v>2</v>
      </c>
      <c r="AA396" s="54" t="s">
        <v>2</v>
      </c>
      <c r="AB396" s="54" t="s">
        <v>2</v>
      </c>
      <c r="AC396" s="54" t="s">
        <v>2</v>
      </c>
      <c r="AD396" s="54" t="s">
        <v>2</v>
      </c>
      <c r="AE396" s="54" t="s">
        <v>2</v>
      </c>
      <c r="AF396" s="54" t="s">
        <v>2</v>
      </c>
      <c r="AG396" s="54" t="s">
        <v>2</v>
      </c>
    </row>
    <row r="397" ht="15.75" customHeight="1">
      <c r="B397" s="56"/>
      <c r="U397" s="46" t="str">
        <f t="array" ref="U397">IF($D397="","",IFERROR(_xlfn.XLOOKUP($D397,'TIR店舗一覧'!$D:$D,'TIR店舗一覧'!$E:$E,""),""))</f>
        <v/>
      </c>
      <c r="V397" s="54" t="s">
        <v>2</v>
      </c>
      <c r="W397" s="54" t="s">
        <v>2</v>
      </c>
      <c r="X397" s="54" t="s">
        <v>2</v>
      </c>
      <c r="Y397" s="54" t="s">
        <v>2</v>
      </c>
      <c r="Z397" s="54" t="s">
        <v>2</v>
      </c>
      <c r="AA397" s="54" t="s">
        <v>2</v>
      </c>
      <c r="AB397" s="54" t="s">
        <v>2</v>
      </c>
      <c r="AC397" s="54" t="s">
        <v>2</v>
      </c>
      <c r="AD397" s="54" t="s">
        <v>2</v>
      </c>
      <c r="AE397" s="54" t="s">
        <v>2</v>
      </c>
      <c r="AF397" s="54" t="s">
        <v>2</v>
      </c>
      <c r="AG397" s="54" t="s">
        <v>2</v>
      </c>
    </row>
    <row r="398" ht="15.75" customHeight="1">
      <c r="B398" s="56"/>
      <c r="U398" s="46" t="str">
        <f t="array" ref="U398">IF($D398="","",IFERROR(_xlfn.XLOOKUP($D398,'TIR店舗一覧'!$D:$D,'TIR店舗一覧'!$E:$E,""),""))</f>
        <v/>
      </c>
      <c r="V398" s="54" t="s">
        <v>2</v>
      </c>
      <c r="W398" s="54" t="s">
        <v>2</v>
      </c>
      <c r="X398" s="54" t="s">
        <v>2</v>
      </c>
      <c r="Y398" s="54" t="s">
        <v>2</v>
      </c>
      <c r="Z398" s="54" t="s">
        <v>2</v>
      </c>
      <c r="AA398" s="54" t="s">
        <v>2</v>
      </c>
      <c r="AB398" s="54" t="s">
        <v>2</v>
      </c>
      <c r="AC398" s="54" t="s">
        <v>2</v>
      </c>
      <c r="AD398" s="54" t="s">
        <v>2</v>
      </c>
      <c r="AE398" s="54" t="s">
        <v>2</v>
      </c>
      <c r="AF398" s="54" t="s">
        <v>2</v>
      </c>
      <c r="AG398" s="54" t="s">
        <v>2</v>
      </c>
    </row>
    <row r="399" ht="15.75" customHeight="1">
      <c r="B399" s="56"/>
      <c r="U399" s="46" t="str">
        <f t="array" ref="U399">IF($D399="","",IFERROR(_xlfn.XLOOKUP($D399,'TIR店舗一覧'!$D:$D,'TIR店舗一覧'!$E:$E,""),""))</f>
        <v/>
      </c>
      <c r="V399" s="54" t="s">
        <v>2</v>
      </c>
      <c r="W399" s="54" t="s">
        <v>2</v>
      </c>
      <c r="X399" s="54" t="s">
        <v>2</v>
      </c>
      <c r="Y399" s="54" t="s">
        <v>2</v>
      </c>
      <c r="Z399" s="54" t="s">
        <v>2</v>
      </c>
      <c r="AA399" s="54" t="s">
        <v>2</v>
      </c>
      <c r="AB399" s="54" t="s">
        <v>2</v>
      </c>
      <c r="AC399" s="54" t="s">
        <v>2</v>
      </c>
      <c r="AD399" s="54" t="s">
        <v>2</v>
      </c>
      <c r="AE399" s="54" t="s">
        <v>2</v>
      </c>
      <c r="AF399" s="54" t="s">
        <v>2</v>
      </c>
      <c r="AG399" s="54" t="s">
        <v>2</v>
      </c>
    </row>
    <row r="400" ht="15.75" customHeight="1">
      <c r="B400" s="56"/>
      <c r="U400" s="46" t="str">
        <f t="array" ref="U400">IF($D400="","",IFERROR(_xlfn.XLOOKUP($D400,'TIR店舗一覧'!$D:$D,'TIR店舗一覧'!$E:$E,""),""))</f>
        <v/>
      </c>
      <c r="V400" s="54" t="s">
        <v>2</v>
      </c>
      <c r="W400" s="54" t="s">
        <v>2</v>
      </c>
      <c r="X400" s="54" t="s">
        <v>2</v>
      </c>
      <c r="Y400" s="54" t="s">
        <v>2</v>
      </c>
      <c r="Z400" s="54" t="s">
        <v>2</v>
      </c>
      <c r="AA400" s="54" t="s">
        <v>2</v>
      </c>
      <c r="AB400" s="54" t="s">
        <v>2</v>
      </c>
      <c r="AC400" s="54" t="s">
        <v>2</v>
      </c>
      <c r="AD400" s="54" t="s">
        <v>2</v>
      </c>
      <c r="AE400" s="54" t="s">
        <v>2</v>
      </c>
      <c r="AF400" s="54" t="s">
        <v>2</v>
      </c>
      <c r="AG400" s="54" t="s">
        <v>2</v>
      </c>
    </row>
    <row r="401" ht="15.75" customHeight="1">
      <c r="B401" s="56"/>
      <c r="U401" s="46" t="str">
        <f t="array" ref="U401">IF($D401="","",IFERROR(_xlfn.XLOOKUP($D401,'TIR店舗一覧'!$D:$D,'TIR店舗一覧'!$E:$E,""),""))</f>
        <v/>
      </c>
      <c r="V401" s="54" t="s">
        <v>2</v>
      </c>
      <c r="W401" s="54" t="s">
        <v>2</v>
      </c>
      <c r="X401" s="54" t="s">
        <v>2</v>
      </c>
      <c r="Y401" s="54" t="s">
        <v>2</v>
      </c>
      <c r="Z401" s="54" t="s">
        <v>2</v>
      </c>
      <c r="AA401" s="54" t="s">
        <v>2</v>
      </c>
      <c r="AB401" s="54" t="s">
        <v>2</v>
      </c>
      <c r="AC401" s="54" t="s">
        <v>2</v>
      </c>
      <c r="AD401" s="54" t="s">
        <v>2</v>
      </c>
      <c r="AE401" s="54" t="s">
        <v>2</v>
      </c>
      <c r="AF401" s="54" t="s">
        <v>2</v>
      </c>
      <c r="AG401" s="54" t="s">
        <v>2</v>
      </c>
    </row>
    <row r="402" ht="15.75" customHeight="1">
      <c r="B402" s="56"/>
      <c r="U402" s="46" t="str">
        <f t="array" ref="U402">IF($D402="","",IFERROR(_xlfn.XLOOKUP($D402,'TIR店舗一覧'!$D:$D,'TIR店舗一覧'!$E:$E,""),""))</f>
        <v/>
      </c>
      <c r="V402" s="54" t="s">
        <v>2</v>
      </c>
      <c r="W402" s="54" t="s">
        <v>2</v>
      </c>
      <c r="X402" s="54" t="s">
        <v>2</v>
      </c>
      <c r="Y402" s="54" t="s">
        <v>2</v>
      </c>
      <c r="Z402" s="54" t="s">
        <v>2</v>
      </c>
      <c r="AA402" s="54" t="s">
        <v>2</v>
      </c>
      <c r="AB402" s="54" t="s">
        <v>2</v>
      </c>
      <c r="AC402" s="54" t="s">
        <v>2</v>
      </c>
      <c r="AD402" s="54" t="s">
        <v>2</v>
      </c>
      <c r="AE402" s="54" t="s">
        <v>2</v>
      </c>
      <c r="AF402" s="54" t="s">
        <v>2</v>
      </c>
      <c r="AG402" s="54" t="s">
        <v>2</v>
      </c>
    </row>
    <row r="403" ht="15.75" customHeight="1">
      <c r="B403" s="56"/>
      <c r="U403" s="46" t="str">
        <f t="array" ref="U403">IF($D403="","",IFERROR(_xlfn.XLOOKUP($D403,'TIR店舗一覧'!$D:$D,'TIR店舗一覧'!$E:$E,""),""))</f>
        <v/>
      </c>
      <c r="V403" s="54" t="s">
        <v>2</v>
      </c>
      <c r="W403" s="54" t="s">
        <v>2</v>
      </c>
      <c r="X403" s="54" t="s">
        <v>2</v>
      </c>
      <c r="Y403" s="54" t="s">
        <v>2</v>
      </c>
      <c r="Z403" s="54" t="s">
        <v>2</v>
      </c>
      <c r="AA403" s="54" t="s">
        <v>2</v>
      </c>
      <c r="AB403" s="54" t="s">
        <v>2</v>
      </c>
      <c r="AC403" s="54" t="s">
        <v>2</v>
      </c>
      <c r="AD403" s="54" t="s">
        <v>2</v>
      </c>
      <c r="AE403" s="54" t="s">
        <v>2</v>
      </c>
      <c r="AF403" s="54" t="s">
        <v>2</v>
      </c>
      <c r="AG403" s="54" t="s">
        <v>2</v>
      </c>
    </row>
    <row r="404" ht="15.75" customHeight="1">
      <c r="B404" s="56"/>
      <c r="U404" s="46" t="str">
        <f t="array" ref="U404">IF($D404="","",IFERROR(_xlfn.XLOOKUP($D404,'TIR店舗一覧'!$D:$D,'TIR店舗一覧'!$E:$E,""),""))</f>
        <v/>
      </c>
      <c r="V404" s="54" t="s">
        <v>2</v>
      </c>
      <c r="W404" s="54" t="s">
        <v>2</v>
      </c>
      <c r="X404" s="54" t="s">
        <v>2</v>
      </c>
      <c r="Y404" s="54" t="s">
        <v>2</v>
      </c>
      <c r="Z404" s="54" t="s">
        <v>2</v>
      </c>
      <c r="AA404" s="54" t="s">
        <v>2</v>
      </c>
      <c r="AB404" s="54" t="s">
        <v>2</v>
      </c>
      <c r="AC404" s="54" t="s">
        <v>2</v>
      </c>
      <c r="AD404" s="54" t="s">
        <v>2</v>
      </c>
      <c r="AE404" s="54" t="s">
        <v>2</v>
      </c>
      <c r="AF404" s="54" t="s">
        <v>2</v>
      </c>
      <c r="AG404" s="54" t="s">
        <v>2</v>
      </c>
    </row>
    <row r="405" ht="15.75" customHeight="1">
      <c r="B405" s="56"/>
      <c r="U405" s="46" t="str">
        <f t="array" ref="U405">IF($D405="","",IFERROR(_xlfn.XLOOKUP($D405,'TIR店舗一覧'!$D:$D,'TIR店舗一覧'!$E:$E,""),""))</f>
        <v/>
      </c>
      <c r="V405" s="54" t="s">
        <v>2</v>
      </c>
      <c r="W405" s="54" t="s">
        <v>2</v>
      </c>
      <c r="X405" s="54" t="s">
        <v>2</v>
      </c>
      <c r="Y405" s="54" t="s">
        <v>2</v>
      </c>
      <c r="Z405" s="54" t="s">
        <v>2</v>
      </c>
      <c r="AA405" s="54" t="s">
        <v>2</v>
      </c>
      <c r="AB405" s="54" t="s">
        <v>2</v>
      </c>
      <c r="AC405" s="54" t="s">
        <v>2</v>
      </c>
      <c r="AD405" s="54" t="s">
        <v>2</v>
      </c>
      <c r="AE405" s="54" t="s">
        <v>2</v>
      </c>
      <c r="AF405" s="54" t="s">
        <v>2</v>
      </c>
      <c r="AG405" s="54" t="s">
        <v>2</v>
      </c>
    </row>
    <row r="406" ht="15.75" customHeight="1">
      <c r="B406" s="56"/>
      <c r="U406" s="46" t="str">
        <f t="array" ref="U406">IF($D406="","",IFERROR(_xlfn.XLOOKUP($D406,'TIR店舗一覧'!$D:$D,'TIR店舗一覧'!$E:$E,""),""))</f>
        <v/>
      </c>
      <c r="V406" s="54" t="s">
        <v>2</v>
      </c>
      <c r="W406" s="54" t="s">
        <v>2</v>
      </c>
      <c r="X406" s="54" t="s">
        <v>2</v>
      </c>
      <c r="Y406" s="54" t="s">
        <v>2</v>
      </c>
      <c r="Z406" s="54" t="s">
        <v>2</v>
      </c>
      <c r="AA406" s="54" t="s">
        <v>2</v>
      </c>
      <c r="AB406" s="54" t="s">
        <v>2</v>
      </c>
      <c r="AC406" s="54" t="s">
        <v>2</v>
      </c>
      <c r="AD406" s="54" t="s">
        <v>2</v>
      </c>
      <c r="AE406" s="54" t="s">
        <v>2</v>
      </c>
      <c r="AF406" s="54" t="s">
        <v>2</v>
      </c>
      <c r="AG406" s="54" t="s">
        <v>2</v>
      </c>
    </row>
    <row r="407" ht="15.75" customHeight="1">
      <c r="B407" s="56"/>
      <c r="U407" s="46" t="str">
        <f t="array" ref="U407">IF($D407="","",IFERROR(_xlfn.XLOOKUP($D407,'TIR店舗一覧'!$D:$D,'TIR店舗一覧'!$E:$E,""),""))</f>
        <v/>
      </c>
      <c r="V407" s="54" t="s">
        <v>2</v>
      </c>
      <c r="W407" s="54" t="s">
        <v>2</v>
      </c>
      <c r="X407" s="54" t="s">
        <v>2</v>
      </c>
      <c r="Y407" s="54" t="s">
        <v>2</v>
      </c>
      <c r="Z407" s="54" t="s">
        <v>2</v>
      </c>
      <c r="AA407" s="54" t="s">
        <v>2</v>
      </c>
      <c r="AB407" s="54" t="s">
        <v>2</v>
      </c>
      <c r="AC407" s="54" t="s">
        <v>2</v>
      </c>
      <c r="AD407" s="54" t="s">
        <v>2</v>
      </c>
      <c r="AE407" s="54" t="s">
        <v>2</v>
      </c>
      <c r="AF407" s="54" t="s">
        <v>2</v>
      </c>
      <c r="AG407" s="54" t="s">
        <v>2</v>
      </c>
    </row>
    <row r="408" ht="15.75" customHeight="1">
      <c r="B408" s="56"/>
      <c r="U408" s="46" t="str">
        <f t="array" ref="U408">IF($D408="","",IFERROR(_xlfn.XLOOKUP($D408,'TIR店舗一覧'!$D:$D,'TIR店舗一覧'!$E:$E,""),""))</f>
        <v/>
      </c>
      <c r="V408" s="54" t="s">
        <v>2</v>
      </c>
      <c r="W408" s="54" t="s">
        <v>2</v>
      </c>
      <c r="X408" s="54" t="s">
        <v>2</v>
      </c>
      <c r="Y408" s="54" t="s">
        <v>2</v>
      </c>
      <c r="Z408" s="54" t="s">
        <v>2</v>
      </c>
      <c r="AA408" s="54" t="s">
        <v>2</v>
      </c>
      <c r="AB408" s="54" t="s">
        <v>2</v>
      </c>
      <c r="AC408" s="54" t="s">
        <v>2</v>
      </c>
      <c r="AD408" s="54" t="s">
        <v>2</v>
      </c>
      <c r="AE408" s="54" t="s">
        <v>2</v>
      </c>
      <c r="AF408" s="54" t="s">
        <v>2</v>
      </c>
      <c r="AG408" s="54" t="s">
        <v>2</v>
      </c>
    </row>
    <row r="409" ht="15.75" customHeight="1">
      <c r="B409" s="56"/>
      <c r="U409" s="46" t="str">
        <f t="array" ref="U409">IF($D409="","",IFERROR(_xlfn.XLOOKUP($D409,'TIR店舗一覧'!$D:$D,'TIR店舗一覧'!$E:$E,""),""))</f>
        <v/>
      </c>
      <c r="V409" s="54" t="s">
        <v>2</v>
      </c>
      <c r="W409" s="54" t="s">
        <v>2</v>
      </c>
      <c r="X409" s="54" t="s">
        <v>2</v>
      </c>
      <c r="Y409" s="54" t="s">
        <v>2</v>
      </c>
      <c r="Z409" s="54" t="s">
        <v>2</v>
      </c>
      <c r="AA409" s="54" t="s">
        <v>2</v>
      </c>
      <c r="AB409" s="54" t="s">
        <v>2</v>
      </c>
      <c r="AC409" s="54" t="s">
        <v>2</v>
      </c>
      <c r="AD409" s="54" t="s">
        <v>2</v>
      </c>
      <c r="AE409" s="54" t="s">
        <v>2</v>
      </c>
      <c r="AF409" s="54" t="s">
        <v>2</v>
      </c>
      <c r="AG409" s="54" t="s">
        <v>2</v>
      </c>
    </row>
    <row r="410" ht="15.75" customHeight="1">
      <c r="B410" s="56"/>
      <c r="U410" s="46" t="str">
        <f t="array" ref="U410">IF($D410="","",IFERROR(_xlfn.XLOOKUP($D410,'TIR店舗一覧'!$D:$D,'TIR店舗一覧'!$E:$E,""),""))</f>
        <v/>
      </c>
      <c r="V410" s="54" t="s">
        <v>2</v>
      </c>
      <c r="W410" s="54" t="s">
        <v>2</v>
      </c>
      <c r="X410" s="54" t="s">
        <v>2</v>
      </c>
      <c r="Y410" s="54" t="s">
        <v>2</v>
      </c>
      <c r="Z410" s="54" t="s">
        <v>2</v>
      </c>
      <c r="AA410" s="54" t="s">
        <v>2</v>
      </c>
      <c r="AB410" s="54" t="s">
        <v>2</v>
      </c>
      <c r="AC410" s="54" t="s">
        <v>2</v>
      </c>
      <c r="AD410" s="54" t="s">
        <v>2</v>
      </c>
      <c r="AE410" s="54" t="s">
        <v>2</v>
      </c>
      <c r="AF410" s="54" t="s">
        <v>2</v>
      </c>
      <c r="AG410" s="54" t="s">
        <v>2</v>
      </c>
    </row>
    <row r="411" ht="15.75" customHeight="1">
      <c r="B411" s="56"/>
      <c r="U411" s="46" t="str">
        <f t="array" ref="U411">IF($D411="","",IFERROR(_xlfn.XLOOKUP($D411,'TIR店舗一覧'!$D:$D,'TIR店舗一覧'!$E:$E,""),""))</f>
        <v/>
      </c>
      <c r="V411" s="54" t="s">
        <v>2</v>
      </c>
      <c r="W411" s="54" t="s">
        <v>2</v>
      </c>
      <c r="X411" s="54" t="s">
        <v>2</v>
      </c>
      <c r="Y411" s="54" t="s">
        <v>2</v>
      </c>
      <c r="Z411" s="54" t="s">
        <v>2</v>
      </c>
      <c r="AA411" s="54" t="s">
        <v>2</v>
      </c>
      <c r="AB411" s="54" t="s">
        <v>2</v>
      </c>
      <c r="AC411" s="54" t="s">
        <v>2</v>
      </c>
      <c r="AD411" s="54" t="s">
        <v>2</v>
      </c>
      <c r="AE411" s="54" t="s">
        <v>2</v>
      </c>
      <c r="AF411" s="54" t="s">
        <v>2</v>
      </c>
      <c r="AG411" s="54" t="s">
        <v>2</v>
      </c>
    </row>
    <row r="412" ht="15.75" customHeight="1">
      <c r="B412" s="56"/>
      <c r="U412" s="46" t="str">
        <f t="array" ref="U412">IF($D412="","",IFERROR(_xlfn.XLOOKUP($D412,'TIR店舗一覧'!$D:$D,'TIR店舗一覧'!$E:$E,""),""))</f>
        <v/>
      </c>
      <c r="V412" s="54" t="s">
        <v>2</v>
      </c>
      <c r="W412" s="54" t="s">
        <v>2</v>
      </c>
      <c r="X412" s="54" t="s">
        <v>2</v>
      </c>
      <c r="Y412" s="54" t="s">
        <v>2</v>
      </c>
      <c r="Z412" s="54" t="s">
        <v>2</v>
      </c>
      <c r="AA412" s="54" t="s">
        <v>2</v>
      </c>
      <c r="AB412" s="54" t="s">
        <v>2</v>
      </c>
      <c r="AC412" s="54" t="s">
        <v>2</v>
      </c>
      <c r="AD412" s="54" t="s">
        <v>2</v>
      </c>
      <c r="AE412" s="54" t="s">
        <v>2</v>
      </c>
      <c r="AF412" s="54" t="s">
        <v>2</v>
      </c>
      <c r="AG412" s="54" t="s">
        <v>2</v>
      </c>
    </row>
    <row r="413" ht="15.75" customHeight="1">
      <c r="B413" s="56"/>
      <c r="U413" s="46" t="str">
        <f t="array" ref="U413">IF($D413="","",IFERROR(_xlfn.XLOOKUP($D413,'TIR店舗一覧'!$D:$D,'TIR店舗一覧'!$E:$E,""),""))</f>
        <v/>
      </c>
      <c r="V413" s="54" t="s">
        <v>2</v>
      </c>
      <c r="W413" s="54" t="s">
        <v>2</v>
      </c>
      <c r="X413" s="54" t="s">
        <v>2</v>
      </c>
      <c r="Y413" s="54" t="s">
        <v>2</v>
      </c>
      <c r="Z413" s="54" t="s">
        <v>2</v>
      </c>
      <c r="AA413" s="54" t="s">
        <v>2</v>
      </c>
      <c r="AB413" s="54" t="s">
        <v>2</v>
      </c>
      <c r="AC413" s="54" t="s">
        <v>2</v>
      </c>
      <c r="AD413" s="54" t="s">
        <v>2</v>
      </c>
      <c r="AE413" s="54" t="s">
        <v>2</v>
      </c>
      <c r="AF413" s="54" t="s">
        <v>2</v>
      </c>
      <c r="AG413" s="54" t="s">
        <v>2</v>
      </c>
    </row>
    <row r="414" ht="15.75" customHeight="1">
      <c r="B414" s="56"/>
      <c r="U414" s="46" t="str">
        <f t="array" ref="U414">IF($D414="","",IFERROR(_xlfn.XLOOKUP($D414,'TIR店舗一覧'!$D:$D,'TIR店舗一覧'!$E:$E,""),""))</f>
        <v/>
      </c>
      <c r="V414" s="54" t="s">
        <v>2</v>
      </c>
      <c r="W414" s="54" t="s">
        <v>2</v>
      </c>
      <c r="X414" s="54" t="s">
        <v>2</v>
      </c>
      <c r="Y414" s="54" t="s">
        <v>2</v>
      </c>
      <c r="Z414" s="54" t="s">
        <v>2</v>
      </c>
      <c r="AA414" s="54" t="s">
        <v>2</v>
      </c>
      <c r="AB414" s="54" t="s">
        <v>2</v>
      </c>
      <c r="AC414" s="54" t="s">
        <v>2</v>
      </c>
      <c r="AD414" s="54" t="s">
        <v>2</v>
      </c>
      <c r="AE414" s="54" t="s">
        <v>2</v>
      </c>
      <c r="AF414" s="54" t="s">
        <v>2</v>
      </c>
      <c r="AG414" s="54" t="s">
        <v>2</v>
      </c>
    </row>
    <row r="415" ht="15.75" customHeight="1">
      <c r="B415" s="56"/>
      <c r="U415" s="46" t="str">
        <f t="array" ref="U415">IF($D415="","",IFERROR(_xlfn.XLOOKUP($D415,'TIR店舗一覧'!$D:$D,'TIR店舗一覧'!$E:$E,""),""))</f>
        <v/>
      </c>
      <c r="V415" s="54" t="s">
        <v>2</v>
      </c>
      <c r="W415" s="54" t="s">
        <v>2</v>
      </c>
      <c r="X415" s="54" t="s">
        <v>2</v>
      </c>
      <c r="Y415" s="54" t="s">
        <v>2</v>
      </c>
      <c r="Z415" s="54" t="s">
        <v>2</v>
      </c>
      <c r="AA415" s="54" t="s">
        <v>2</v>
      </c>
      <c r="AB415" s="54" t="s">
        <v>2</v>
      </c>
      <c r="AC415" s="54" t="s">
        <v>2</v>
      </c>
      <c r="AD415" s="54" t="s">
        <v>2</v>
      </c>
      <c r="AE415" s="54" t="s">
        <v>2</v>
      </c>
      <c r="AF415" s="54" t="s">
        <v>2</v>
      </c>
      <c r="AG415" s="54" t="s">
        <v>2</v>
      </c>
    </row>
    <row r="416" ht="15.75" customHeight="1">
      <c r="B416" s="56"/>
      <c r="U416" s="46" t="str">
        <f t="array" ref="U416">IF($D416="","",IFERROR(_xlfn.XLOOKUP($D416,'TIR店舗一覧'!$D:$D,'TIR店舗一覧'!$E:$E,""),""))</f>
        <v/>
      </c>
      <c r="V416" s="54" t="s">
        <v>2</v>
      </c>
      <c r="W416" s="54" t="s">
        <v>2</v>
      </c>
      <c r="X416" s="54" t="s">
        <v>2</v>
      </c>
      <c r="Y416" s="54" t="s">
        <v>2</v>
      </c>
      <c r="Z416" s="54" t="s">
        <v>2</v>
      </c>
      <c r="AA416" s="54" t="s">
        <v>2</v>
      </c>
      <c r="AB416" s="54" t="s">
        <v>2</v>
      </c>
      <c r="AC416" s="54" t="s">
        <v>2</v>
      </c>
      <c r="AD416" s="54" t="s">
        <v>2</v>
      </c>
      <c r="AE416" s="54" t="s">
        <v>2</v>
      </c>
      <c r="AF416" s="54" t="s">
        <v>2</v>
      </c>
      <c r="AG416" s="54" t="s">
        <v>2</v>
      </c>
    </row>
    <row r="417" ht="15.75" customHeight="1">
      <c r="B417" s="56"/>
      <c r="U417" s="46" t="str">
        <f t="array" ref="U417">IF($D417="","",IFERROR(_xlfn.XLOOKUP($D417,'TIR店舗一覧'!$D:$D,'TIR店舗一覧'!$E:$E,""),""))</f>
        <v/>
      </c>
      <c r="V417" s="54" t="s">
        <v>2</v>
      </c>
      <c r="W417" s="54" t="s">
        <v>2</v>
      </c>
      <c r="X417" s="54" t="s">
        <v>2</v>
      </c>
      <c r="Y417" s="54" t="s">
        <v>2</v>
      </c>
      <c r="Z417" s="54" t="s">
        <v>2</v>
      </c>
      <c r="AA417" s="54" t="s">
        <v>2</v>
      </c>
      <c r="AB417" s="54" t="s">
        <v>2</v>
      </c>
      <c r="AC417" s="54" t="s">
        <v>2</v>
      </c>
      <c r="AD417" s="54" t="s">
        <v>2</v>
      </c>
      <c r="AE417" s="54" t="s">
        <v>2</v>
      </c>
      <c r="AF417" s="54" t="s">
        <v>2</v>
      </c>
      <c r="AG417" s="54" t="s">
        <v>2</v>
      </c>
    </row>
    <row r="418" ht="15.75" customHeight="1">
      <c r="B418" s="56"/>
      <c r="U418" s="46" t="str">
        <f t="array" ref="U418">IF($D418="","",IFERROR(_xlfn.XLOOKUP($D418,'TIR店舗一覧'!$D:$D,'TIR店舗一覧'!$E:$E,""),""))</f>
        <v/>
      </c>
      <c r="V418" s="54" t="s">
        <v>2</v>
      </c>
      <c r="W418" s="54" t="s">
        <v>2</v>
      </c>
      <c r="X418" s="54" t="s">
        <v>2</v>
      </c>
      <c r="Y418" s="54" t="s">
        <v>2</v>
      </c>
      <c r="Z418" s="54" t="s">
        <v>2</v>
      </c>
      <c r="AA418" s="54" t="s">
        <v>2</v>
      </c>
      <c r="AB418" s="54" t="s">
        <v>2</v>
      </c>
      <c r="AC418" s="54" t="s">
        <v>2</v>
      </c>
      <c r="AD418" s="54" t="s">
        <v>2</v>
      </c>
      <c r="AE418" s="54" t="s">
        <v>2</v>
      </c>
      <c r="AF418" s="54" t="s">
        <v>2</v>
      </c>
      <c r="AG418" s="54" t="s">
        <v>2</v>
      </c>
    </row>
    <row r="419" ht="15.75" customHeight="1">
      <c r="B419" s="56"/>
      <c r="U419" s="46" t="str">
        <f t="array" ref="U419">IF($D419="","",IFERROR(_xlfn.XLOOKUP($D419,'TIR店舗一覧'!$D:$D,'TIR店舗一覧'!$E:$E,""),""))</f>
        <v/>
      </c>
      <c r="V419" s="54" t="s">
        <v>2</v>
      </c>
      <c r="W419" s="54" t="s">
        <v>2</v>
      </c>
      <c r="X419" s="54" t="s">
        <v>2</v>
      </c>
      <c r="Y419" s="54" t="s">
        <v>2</v>
      </c>
      <c r="Z419" s="54" t="s">
        <v>2</v>
      </c>
      <c r="AA419" s="54" t="s">
        <v>2</v>
      </c>
      <c r="AB419" s="54" t="s">
        <v>2</v>
      </c>
      <c r="AC419" s="54" t="s">
        <v>2</v>
      </c>
      <c r="AD419" s="54" t="s">
        <v>2</v>
      </c>
      <c r="AE419" s="54" t="s">
        <v>2</v>
      </c>
      <c r="AF419" s="54" t="s">
        <v>2</v>
      </c>
      <c r="AG419" s="54" t="s">
        <v>2</v>
      </c>
    </row>
    <row r="420" ht="15.75" customHeight="1">
      <c r="B420" s="56"/>
      <c r="U420" s="46" t="str">
        <f t="array" ref="U420">IF($D420="","",IFERROR(_xlfn.XLOOKUP($D420,'TIR店舗一覧'!$D:$D,'TIR店舗一覧'!$E:$E,""),""))</f>
        <v/>
      </c>
      <c r="V420" s="54" t="s">
        <v>2</v>
      </c>
      <c r="W420" s="54" t="s">
        <v>2</v>
      </c>
      <c r="X420" s="54" t="s">
        <v>2</v>
      </c>
      <c r="Y420" s="54" t="s">
        <v>2</v>
      </c>
      <c r="Z420" s="54" t="s">
        <v>2</v>
      </c>
      <c r="AA420" s="54" t="s">
        <v>2</v>
      </c>
      <c r="AB420" s="54" t="s">
        <v>2</v>
      </c>
      <c r="AC420" s="54" t="s">
        <v>2</v>
      </c>
      <c r="AD420" s="54" t="s">
        <v>2</v>
      </c>
      <c r="AE420" s="54" t="s">
        <v>2</v>
      </c>
      <c r="AF420" s="54" t="s">
        <v>2</v>
      </c>
      <c r="AG420" s="54" t="s">
        <v>2</v>
      </c>
    </row>
    <row r="421" ht="15.75" customHeight="1">
      <c r="B421" s="56"/>
      <c r="U421" s="46" t="str">
        <f t="array" ref="U421">IF($D421="","",IFERROR(_xlfn.XLOOKUP($D421,'TIR店舗一覧'!$D:$D,'TIR店舗一覧'!$E:$E,""),""))</f>
        <v/>
      </c>
      <c r="V421" s="54" t="s">
        <v>2</v>
      </c>
      <c r="W421" s="54" t="s">
        <v>2</v>
      </c>
      <c r="X421" s="54" t="s">
        <v>2</v>
      </c>
      <c r="Y421" s="54" t="s">
        <v>2</v>
      </c>
      <c r="Z421" s="54" t="s">
        <v>2</v>
      </c>
      <c r="AA421" s="54" t="s">
        <v>2</v>
      </c>
      <c r="AB421" s="54" t="s">
        <v>2</v>
      </c>
      <c r="AC421" s="54" t="s">
        <v>2</v>
      </c>
      <c r="AD421" s="54" t="s">
        <v>2</v>
      </c>
      <c r="AE421" s="54" t="s">
        <v>2</v>
      </c>
      <c r="AF421" s="54" t="s">
        <v>2</v>
      </c>
      <c r="AG421" s="54" t="s">
        <v>2</v>
      </c>
    </row>
    <row r="422" ht="15.75" customHeight="1">
      <c r="B422" s="56"/>
      <c r="U422" s="46" t="str">
        <f t="array" ref="U422">IF($D422="","",IFERROR(_xlfn.XLOOKUP($D422,'TIR店舗一覧'!$D:$D,'TIR店舗一覧'!$E:$E,""),""))</f>
        <v/>
      </c>
      <c r="V422" s="54" t="s">
        <v>2</v>
      </c>
      <c r="W422" s="54" t="s">
        <v>2</v>
      </c>
      <c r="X422" s="54" t="s">
        <v>2</v>
      </c>
      <c r="Y422" s="54" t="s">
        <v>2</v>
      </c>
      <c r="Z422" s="54" t="s">
        <v>2</v>
      </c>
      <c r="AA422" s="54" t="s">
        <v>2</v>
      </c>
      <c r="AB422" s="54" t="s">
        <v>2</v>
      </c>
      <c r="AC422" s="54" t="s">
        <v>2</v>
      </c>
      <c r="AD422" s="54" t="s">
        <v>2</v>
      </c>
      <c r="AE422" s="54" t="s">
        <v>2</v>
      </c>
      <c r="AF422" s="54" t="s">
        <v>2</v>
      </c>
      <c r="AG422" s="54" t="s">
        <v>2</v>
      </c>
    </row>
    <row r="423" ht="15.75" customHeight="1">
      <c r="B423" s="56"/>
      <c r="U423" s="46" t="str">
        <f t="array" ref="U423">IF($D423="","",IFERROR(_xlfn.XLOOKUP($D423,'TIR店舗一覧'!$D:$D,'TIR店舗一覧'!$E:$E,""),""))</f>
        <v/>
      </c>
      <c r="V423" s="54" t="s">
        <v>2</v>
      </c>
      <c r="W423" s="54" t="s">
        <v>2</v>
      </c>
      <c r="X423" s="54" t="s">
        <v>2</v>
      </c>
      <c r="Y423" s="54" t="s">
        <v>2</v>
      </c>
      <c r="Z423" s="54" t="s">
        <v>2</v>
      </c>
      <c r="AA423" s="54" t="s">
        <v>2</v>
      </c>
      <c r="AB423" s="54" t="s">
        <v>2</v>
      </c>
      <c r="AC423" s="54" t="s">
        <v>2</v>
      </c>
      <c r="AD423" s="54" t="s">
        <v>2</v>
      </c>
      <c r="AE423" s="54" t="s">
        <v>2</v>
      </c>
      <c r="AF423" s="54" t="s">
        <v>2</v>
      </c>
      <c r="AG423" s="54" t="s">
        <v>2</v>
      </c>
    </row>
    <row r="424" ht="15.75" customHeight="1">
      <c r="B424" s="56"/>
      <c r="U424" s="46" t="str">
        <f t="array" ref="U424">IF($D424="","",IFERROR(_xlfn.XLOOKUP($D424,'TIR店舗一覧'!$D:$D,'TIR店舗一覧'!$E:$E,""),""))</f>
        <v/>
      </c>
      <c r="V424" s="54" t="s">
        <v>2</v>
      </c>
      <c r="W424" s="54" t="s">
        <v>2</v>
      </c>
      <c r="X424" s="54" t="s">
        <v>2</v>
      </c>
      <c r="Y424" s="54" t="s">
        <v>2</v>
      </c>
      <c r="Z424" s="54" t="s">
        <v>2</v>
      </c>
      <c r="AA424" s="54" t="s">
        <v>2</v>
      </c>
      <c r="AB424" s="54" t="s">
        <v>2</v>
      </c>
      <c r="AC424" s="54" t="s">
        <v>2</v>
      </c>
      <c r="AD424" s="54" t="s">
        <v>2</v>
      </c>
      <c r="AE424" s="54" t="s">
        <v>2</v>
      </c>
      <c r="AF424" s="54" t="s">
        <v>2</v>
      </c>
      <c r="AG424" s="54" t="s">
        <v>2</v>
      </c>
    </row>
    <row r="425" ht="15.75" customHeight="1">
      <c r="B425" s="56"/>
      <c r="U425" s="46" t="str">
        <f t="array" ref="U425">IF($D425="","",IFERROR(_xlfn.XLOOKUP($D425,'TIR店舗一覧'!$D:$D,'TIR店舗一覧'!$E:$E,""),""))</f>
        <v/>
      </c>
      <c r="V425" s="54" t="s">
        <v>2</v>
      </c>
      <c r="W425" s="54" t="s">
        <v>2</v>
      </c>
      <c r="X425" s="54" t="s">
        <v>2</v>
      </c>
      <c r="Y425" s="54" t="s">
        <v>2</v>
      </c>
      <c r="Z425" s="54" t="s">
        <v>2</v>
      </c>
      <c r="AA425" s="54" t="s">
        <v>2</v>
      </c>
      <c r="AB425" s="54" t="s">
        <v>2</v>
      </c>
      <c r="AC425" s="54" t="s">
        <v>2</v>
      </c>
      <c r="AD425" s="54" t="s">
        <v>2</v>
      </c>
      <c r="AE425" s="54" t="s">
        <v>2</v>
      </c>
      <c r="AF425" s="54" t="s">
        <v>2</v>
      </c>
      <c r="AG425" s="54" t="s">
        <v>2</v>
      </c>
    </row>
    <row r="426" ht="15.75" customHeight="1">
      <c r="B426" s="56"/>
      <c r="U426" s="46" t="str">
        <f t="array" ref="U426">IF($D426="","",IFERROR(_xlfn.XLOOKUP($D426,'TIR店舗一覧'!$D:$D,'TIR店舗一覧'!$E:$E,""),""))</f>
        <v/>
      </c>
      <c r="V426" s="54" t="s">
        <v>2</v>
      </c>
      <c r="W426" s="54" t="s">
        <v>2</v>
      </c>
      <c r="X426" s="54" t="s">
        <v>2</v>
      </c>
      <c r="Y426" s="54" t="s">
        <v>2</v>
      </c>
      <c r="Z426" s="54" t="s">
        <v>2</v>
      </c>
      <c r="AA426" s="54" t="s">
        <v>2</v>
      </c>
      <c r="AB426" s="54" t="s">
        <v>2</v>
      </c>
      <c r="AC426" s="54" t="s">
        <v>2</v>
      </c>
      <c r="AD426" s="54" t="s">
        <v>2</v>
      </c>
      <c r="AE426" s="54" t="s">
        <v>2</v>
      </c>
      <c r="AF426" s="54" t="s">
        <v>2</v>
      </c>
      <c r="AG426" s="54" t="s">
        <v>2</v>
      </c>
    </row>
    <row r="427" ht="15.75" customHeight="1">
      <c r="B427" s="56"/>
      <c r="U427" s="46" t="str">
        <f t="array" ref="U427">IF($D427="","",IFERROR(_xlfn.XLOOKUP($D427,'TIR店舗一覧'!$D:$D,'TIR店舗一覧'!$E:$E,""),""))</f>
        <v/>
      </c>
      <c r="V427" s="54" t="s">
        <v>2</v>
      </c>
      <c r="W427" s="54" t="s">
        <v>2</v>
      </c>
      <c r="X427" s="54" t="s">
        <v>2</v>
      </c>
      <c r="Y427" s="54" t="s">
        <v>2</v>
      </c>
      <c r="Z427" s="54" t="s">
        <v>2</v>
      </c>
      <c r="AA427" s="54" t="s">
        <v>2</v>
      </c>
      <c r="AB427" s="54" t="s">
        <v>2</v>
      </c>
      <c r="AC427" s="54" t="s">
        <v>2</v>
      </c>
      <c r="AD427" s="54" t="s">
        <v>2</v>
      </c>
      <c r="AE427" s="54" t="s">
        <v>2</v>
      </c>
      <c r="AF427" s="54" t="s">
        <v>2</v>
      </c>
      <c r="AG427" s="54" t="s">
        <v>2</v>
      </c>
    </row>
    <row r="428" ht="15.75" customHeight="1">
      <c r="B428" s="56"/>
      <c r="U428" s="46" t="str">
        <f t="array" ref="U428">IF($D428="","",IFERROR(_xlfn.XLOOKUP($D428,'TIR店舗一覧'!$D:$D,'TIR店舗一覧'!$E:$E,""),""))</f>
        <v/>
      </c>
      <c r="V428" s="54" t="s">
        <v>2</v>
      </c>
      <c r="W428" s="54" t="s">
        <v>2</v>
      </c>
      <c r="X428" s="54" t="s">
        <v>2</v>
      </c>
      <c r="Y428" s="54" t="s">
        <v>2</v>
      </c>
      <c r="Z428" s="54" t="s">
        <v>2</v>
      </c>
      <c r="AA428" s="54" t="s">
        <v>2</v>
      </c>
      <c r="AB428" s="54" t="s">
        <v>2</v>
      </c>
      <c r="AC428" s="54" t="s">
        <v>2</v>
      </c>
      <c r="AD428" s="54" t="s">
        <v>2</v>
      </c>
      <c r="AE428" s="54" t="s">
        <v>2</v>
      </c>
      <c r="AF428" s="54" t="s">
        <v>2</v>
      </c>
      <c r="AG428" s="54" t="s">
        <v>2</v>
      </c>
    </row>
    <row r="429" ht="15.75" customHeight="1">
      <c r="B429" s="56"/>
      <c r="U429" s="46" t="str">
        <f t="array" ref="U429">IF($D429="","",IFERROR(_xlfn.XLOOKUP($D429,'TIR店舗一覧'!$D:$D,'TIR店舗一覧'!$E:$E,""),""))</f>
        <v/>
      </c>
      <c r="V429" s="54" t="s">
        <v>2</v>
      </c>
      <c r="W429" s="54" t="s">
        <v>2</v>
      </c>
      <c r="X429" s="54" t="s">
        <v>2</v>
      </c>
      <c r="Y429" s="54" t="s">
        <v>2</v>
      </c>
      <c r="Z429" s="54" t="s">
        <v>2</v>
      </c>
      <c r="AA429" s="54" t="s">
        <v>2</v>
      </c>
      <c r="AB429" s="54" t="s">
        <v>2</v>
      </c>
      <c r="AC429" s="54" t="s">
        <v>2</v>
      </c>
      <c r="AD429" s="54" t="s">
        <v>2</v>
      </c>
      <c r="AE429" s="54" t="s">
        <v>2</v>
      </c>
      <c r="AF429" s="54" t="s">
        <v>2</v>
      </c>
      <c r="AG429" s="54" t="s">
        <v>2</v>
      </c>
    </row>
    <row r="430" ht="15.75" customHeight="1">
      <c r="B430" s="56"/>
      <c r="U430" s="46" t="str">
        <f t="array" ref="U430">IF($D430="","",IFERROR(_xlfn.XLOOKUP($D430,'TIR店舗一覧'!$D:$D,'TIR店舗一覧'!$E:$E,""),""))</f>
        <v/>
      </c>
      <c r="V430" s="54" t="s">
        <v>2</v>
      </c>
      <c r="W430" s="54" t="s">
        <v>2</v>
      </c>
      <c r="X430" s="54" t="s">
        <v>2</v>
      </c>
      <c r="Y430" s="54" t="s">
        <v>2</v>
      </c>
      <c r="Z430" s="54" t="s">
        <v>2</v>
      </c>
      <c r="AA430" s="54" t="s">
        <v>2</v>
      </c>
      <c r="AB430" s="54" t="s">
        <v>2</v>
      </c>
      <c r="AC430" s="54" t="s">
        <v>2</v>
      </c>
      <c r="AD430" s="54" t="s">
        <v>2</v>
      </c>
      <c r="AE430" s="54" t="s">
        <v>2</v>
      </c>
      <c r="AF430" s="54" t="s">
        <v>2</v>
      </c>
      <c r="AG430" s="54" t="s">
        <v>2</v>
      </c>
    </row>
    <row r="431" ht="15.75" customHeight="1">
      <c r="B431" s="56"/>
      <c r="U431" s="46" t="str">
        <f t="array" ref="U431">IF($D431="","",IFERROR(_xlfn.XLOOKUP($D431,'TIR店舗一覧'!$D:$D,'TIR店舗一覧'!$E:$E,""),""))</f>
        <v/>
      </c>
      <c r="V431" s="54" t="s">
        <v>2</v>
      </c>
      <c r="W431" s="54" t="s">
        <v>2</v>
      </c>
      <c r="X431" s="54" t="s">
        <v>2</v>
      </c>
      <c r="Y431" s="54" t="s">
        <v>2</v>
      </c>
      <c r="Z431" s="54" t="s">
        <v>2</v>
      </c>
      <c r="AA431" s="54" t="s">
        <v>2</v>
      </c>
      <c r="AB431" s="54" t="s">
        <v>2</v>
      </c>
      <c r="AC431" s="54" t="s">
        <v>2</v>
      </c>
      <c r="AD431" s="54" t="s">
        <v>2</v>
      </c>
      <c r="AE431" s="54" t="s">
        <v>2</v>
      </c>
      <c r="AF431" s="54" t="s">
        <v>2</v>
      </c>
      <c r="AG431" s="54" t="s">
        <v>2</v>
      </c>
    </row>
    <row r="432" ht="15.75" customHeight="1">
      <c r="B432" s="56"/>
      <c r="U432" s="46" t="str">
        <f t="array" ref="U432">IF($D432="","",IFERROR(_xlfn.XLOOKUP($D432,'TIR店舗一覧'!$D:$D,'TIR店舗一覧'!$E:$E,""),""))</f>
        <v/>
      </c>
      <c r="V432" s="54" t="s">
        <v>2</v>
      </c>
      <c r="W432" s="54" t="s">
        <v>2</v>
      </c>
      <c r="X432" s="54" t="s">
        <v>2</v>
      </c>
      <c r="Y432" s="54" t="s">
        <v>2</v>
      </c>
      <c r="Z432" s="54" t="s">
        <v>2</v>
      </c>
      <c r="AA432" s="54" t="s">
        <v>2</v>
      </c>
      <c r="AB432" s="54" t="s">
        <v>2</v>
      </c>
      <c r="AC432" s="54" t="s">
        <v>2</v>
      </c>
      <c r="AD432" s="54" t="s">
        <v>2</v>
      </c>
      <c r="AE432" s="54" t="s">
        <v>2</v>
      </c>
      <c r="AF432" s="54" t="s">
        <v>2</v>
      </c>
      <c r="AG432" s="54" t="s">
        <v>2</v>
      </c>
    </row>
    <row r="433" ht="15.75" customHeight="1">
      <c r="B433" s="56"/>
      <c r="U433" s="46" t="str">
        <f t="array" ref="U433">IF($D433="","",IFERROR(_xlfn.XLOOKUP($D433,'TIR店舗一覧'!$D:$D,'TIR店舗一覧'!$E:$E,""),""))</f>
        <v/>
      </c>
      <c r="V433" s="54" t="s">
        <v>2</v>
      </c>
      <c r="W433" s="54" t="s">
        <v>2</v>
      </c>
      <c r="X433" s="54" t="s">
        <v>2</v>
      </c>
      <c r="Y433" s="54" t="s">
        <v>2</v>
      </c>
      <c r="Z433" s="54" t="s">
        <v>2</v>
      </c>
      <c r="AA433" s="54" t="s">
        <v>2</v>
      </c>
      <c r="AB433" s="54" t="s">
        <v>2</v>
      </c>
      <c r="AC433" s="54" t="s">
        <v>2</v>
      </c>
      <c r="AD433" s="54" t="s">
        <v>2</v>
      </c>
      <c r="AE433" s="54" t="s">
        <v>2</v>
      </c>
      <c r="AF433" s="54" t="s">
        <v>2</v>
      </c>
      <c r="AG433" s="54" t="s">
        <v>2</v>
      </c>
    </row>
    <row r="434" ht="15.75" customHeight="1">
      <c r="B434" s="56"/>
      <c r="U434" s="46" t="str">
        <f t="array" ref="U434">IF($D434="","",IFERROR(_xlfn.XLOOKUP($D434,'TIR店舗一覧'!$D:$D,'TIR店舗一覧'!$E:$E,""),""))</f>
        <v/>
      </c>
      <c r="V434" s="54" t="s">
        <v>2</v>
      </c>
      <c r="W434" s="54" t="s">
        <v>2</v>
      </c>
      <c r="X434" s="54" t="s">
        <v>2</v>
      </c>
      <c r="Y434" s="54" t="s">
        <v>2</v>
      </c>
      <c r="Z434" s="54" t="s">
        <v>2</v>
      </c>
      <c r="AA434" s="54" t="s">
        <v>2</v>
      </c>
      <c r="AB434" s="54" t="s">
        <v>2</v>
      </c>
      <c r="AC434" s="54" t="s">
        <v>2</v>
      </c>
      <c r="AD434" s="54" t="s">
        <v>2</v>
      </c>
      <c r="AE434" s="54" t="s">
        <v>2</v>
      </c>
      <c r="AF434" s="54" t="s">
        <v>2</v>
      </c>
      <c r="AG434" s="54" t="s">
        <v>2</v>
      </c>
    </row>
    <row r="435" ht="15.75" customHeight="1">
      <c r="B435" s="56"/>
      <c r="U435" s="46" t="str">
        <f t="array" ref="U435">IF($D435="","",IFERROR(_xlfn.XLOOKUP($D435,'TIR店舗一覧'!$D:$D,'TIR店舗一覧'!$E:$E,""),""))</f>
        <v/>
      </c>
      <c r="V435" s="54" t="s">
        <v>2</v>
      </c>
      <c r="W435" s="54" t="s">
        <v>2</v>
      </c>
      <c r="X435" s="54" t="s">
        <v>2</v>
      </c>
      <c r="Y435" s="54" t="s">
        <v>2</v>
      </c>
      <c r="Z435" s="54" t="s">
        <v>2</v>
      </c>
      <c r="AA435" s="54" t="s">
        <v>2</v>
      </c>
      <c r="AB435" s="54" t="s">
        <v>2</v>
      </c>
      <c r="AC435" s="54" t="s">
        <v>2</v>
      </c>
      <c r="AD435" s="54" t="s">
        <v>2</v>
      </c>
      <c r="AE435" s="54" t="s">
        <v>2</v>
      </c>
      <c r="AF435" s="54" t="s">
        <v>2</v>
      </c>
      <c r="AG435" s="54" t="s">
        <v>2</v>
      </c>
    </row>
    <row r="436" ht="15.75" customHeight="1">
      <c r="B436" s="56"/>
      <c r="U436" s="46" t="str">
        <f t="array" ref="U436">IF($D436="","",IFERROR(_xlfn.XLOOKUP($D436,'TIR店舗一覧'!$D:$D,'TIR店舗一覧'!$E:$E,""),""))</f>
        <v/>
      </c>
      <c r="V436" s="54" t="s">
        <v>2</v>
      </c>
      <c r="W436" s="54" t="s">
        <v>2</v>
      </c>
      <c r="X436" s="54" t="s">
        <v>2</v>
      </c>
      <c r="Y436" s="54" t="s">
        <v>2</v>
      </c>
      <c r="Z436" s="54" t="s">
        <v>2</v>
      </c>
      <c r="AA436" s="54" t="s">
        <v>2</v>
      </c>
      <c r="AB436" s="54" t="s">
        <v>2</v>
      </c>
      <c r="AC436" s="54" t="s">
        <v>2</v>
      </c>
      <c r="AD436" s="54" t="s">
        <v>2</v>
      </c>
      <c r="AE436" s="54" t="s">
        <v>2</v>
      </c>
      <c r="AF436" s="54" t="s">
        <v>2</v>
      </c>
      <c r="AG436" s="54" t="s">
        <v>2</v>
      </c>
    </row>
    <row r="437" ht="15.75" customHeight="1">
      <c r="B437" s="56"/>
      <c r="U437" s="46" t="str">
        <f t="array" ref="U437">IF($D437="","",IFERROR(_xlfn.XLOOKUP($D437,'TIR店舗一覧'!$D:$D,'TIR店舗一覧'!$E:$E,""),""))</f>
        <v/>
      </c>
      <c r="V437" s="54" t="s">
        <v>2</v>
      </c>
      <c r="W437" s="54" t="s">
        <v>2</v>
      </c>
      <c r="X437" s="54" t="s">
        <v>2</v>
      </c>
      <c r="Y437" s="54" t="s">
        <v>2</v>
      </c>
      <c r="Z437" s="54" t="s">
        <v>2</v>
      </c>
      <c r="AA437" s="54" t="s">
        <v>2</v>
      </c>
      <c r="AB437" s="54" t="s">
        <v>2</v>
      </c>
      <c r="AC437" s="54" t="s">
        <v>2</v>
      </c>
      <c r="AD437" s="54" t="s">
        <v>2</v>
      </c>
      <c r="AE437" s="54" t="s">
        <v>2</v>
      </c>
      <c r="AF437" s="54" t="s">
        <v>2</v>
      </c>
      <c r="AG437" s="54" t="s">
        <v>2</v>
      </c>
    </row>
    <row r="438" ht="15.75" customHeight="1">
      <c r="B438" s="56"/>
      <c r="U438" s="46" t="str">
        <f t="array" ref="U438">IF($D438="","",IFERROR(_xlfn.XLOOKUP($D438,'TIR店舗一覧'!$D:$D,'TIR店舗一覧'!$E:$E,""),""))</f>
        <v/>
      </c>
      <c r="V438" s="54" t="s">
        <v>2</v>
      </c>
      <c r="W438" s="54" t="s">
        <v>2</v>
      </c>
      <c r="X438" s="54" t="s">
        <v>2</v>
      </c>
      <c r="Y438" s="54" t="s">
        <v>2</v>
      </c>
      <c r="Z438" s="54" t="s">
        <v>2</v>
      </c>
      <c r="AA438" s="54" t="s">
        <v>2</v>
      </c>
      <c r="AB438" s="54" t="s">
        <v>2</v>
      </c>
      <c r="AC438" s="54" t="s">
        <v>2</v>
      </c>
      <c r="AD438" s="54" t="s">
        <v>2</v>
      </c>
      <c r="AE438" s="54" t="s">
        <v>2</v>
      </c>
      <c r="AF438" s="54" t="s">
        <v>2</v>
      </c>
      <c r="AG438" s="54" t="s">
        <v>2</v>
      </c>
    </row>
    <row r="439" ht="15.75" customHeight="1">
      <c r="B439" s="56"/>
      <c r="U439" s="46" t="str">
        <f t="array" ref="U439">IF($D439="","",IFERROR(_xlfn.XLOOKUP($D439,'TIR店舗一覧'!$D:$D,'TIR店舗一覧'!$E:$E,""),""))</f>
        <v/>
      </c>
      <c r="V439" s="54" t="s">
        <v>2</v>
      </c>
      <c r="W439" s="54" t="s">
        <v>2</v>
      </c>
      <c r="X439" s="54" t="s">
        <v>2</v>
      </c>
      <c r="Y439" s="54" t="s">
        <v>2</v>
      </c>
      <c r="Z439" s="54" t="s">
        <v>2</v>
      </c>
      <c r="AA439" s="54" t="s">
        <v>2</v>
      </c>
      <c r="AB439" s="54" t="s">
        <v>2</v>
      </c>
      <c r="AC439" s="54" t="s">
        <v>2</v>
      </c>
      <c r="AD439" s="54" t="s">
        <v>2</v>
      </c>
      <c r="AE439" s="54" t="s">
        <v>2</v>
      </c>
      <c r="AF439" s="54" t="s">
        <v>2</v>
      </c>
      <c r="AG439" s="54" t="s">
        <v>2</v>
      </c>
    </row>
    <row r="440" ht="15.75" customHeight="1">
      <c r="B440" s="56"/>
      <c r="U440" s="46" t="str">
        <f t="array" ref="U440">IF($D440="","",IFERROR(_xlfn.XLOOKUP($D440,'TIR店舗一覧'!$D:$D,'TIR店舗一覧'!$E:$E,""),""))</f>
        <v/>
      </c>
      <c r="V440" s="54" t="s">
        <v>2</v>
      </c>
      <c r="W440" s="54" t="s">
        <v>2</v>
      </c>
      <c r="X440" s="54" t="s">
        <v>2</v>
      </c>
      <c r="Y440" s="54" t="s">
        <v>2</v>
      </c>
      <c r="Z440" s="54" t="s">
        <v>2</v>
      </c>
      <c r="AA440" s="54" t="s">
        <v>2</v>
      </c>
      <c r="AB440" s="54" t="s">
        <v>2</v>
      </c>
      <c r="AC440" s="54" t="s">
        <v>2</v>
      </c>
      <c r="AD440" s="54" t="s">
        <v>2</v>
      </c>
      <c r="AE440" s="54" t="s">
        <v>2</v>
      </c>
      <c r="AF440" s="54" t="s">
        <v>2</v>
      </c>
      <c r="AG440" s="54" t="s">
        <v>2</v>
      </c>
    </row>
    <row r="441" ht="15.75" customHeight="1">
      <c r="B441" s="56"/>
      <c r="U441" s="46" t="str">
        <f t="array" ref="U441">IF($D441="","",IFERROR(_xlfn.XLOOKUP($D441,'TIR店舗一覧'!$D:$D,'TIR店舗一覧'!$E:$E,""),""))</f>
        <v/>
      </c>
      <c r="V441" s="54" t="s">
        <v>2</v>
      </c>
      <c r="W441" s="54" t="s">
        <v>2</v>
      </c>
      <c r="X441" s="54" t="s">
        <v>2</v>
      </c>
      <c r="Y441" s="54" t="s">
        <v>2</v>
      </c>
      <c r="Z441" s="54" t="s">
        <v>2</v>
      </c>
      <c r="AA441" s="54" t="s">
        <v>2</v>
      </c>
      <c r="AB441" s="54" t="s">
        <v>2</v>
      </c>
      <c r="AC441" s="54" t="s">
        <v>2</v>
      </c>
      <c r="AD441" s="54" t="s">
        <v>2</v>
      </c>
      <c r="AE441" s="54" t="s">
        <v>2</v>
      </c>
      <c r="AF441" s="54" t="s">
        <v>2</v>
      </c>
      <c r="AG441" s="54" t="s">
        <v>2</v>
      </c>
    </row>
    <row r="442" ht="15.75" customHeight="1">
      <c r="B442" s="56"/>
      <c r="U442" s="46" t="str">
        <f t="array" ref="U442">IF($D442="","",IFERROR(_xlfn.XLOOKUP($D442,'TIR店舗一覧'!$D:$D,'TIR店舗一覧'!$E:$E,""),""))</f>
        <v/>
      </c>
      <c r="V442" s="54" t="s">
        <v>2</v>
      </c>
      <c r="W442" s="54" t="s">
        <v>2</v>
      </c>
      <c r="X442" s="54" t="s">
        <v>2</v>
      </c>
      <c r="Y442" s="54" t="s">
        <v>2</v>
      </c>
      <c r="Z442" s="54" t="s">
        <v>2</v>
      </c>
      <c r="AA442" s="54" t="s">
        <v>2</v>
      </c>
      <c r="AB442" s="54" t="s">
        <v>2</v>
      </c>
      <c r="AC442" s="54" t="s">
        <v>2</v>
      </c>
      <c r="AD442" s="54" t="s">
        <v>2</v>
      </c>
      <c r="AE442" s="54" t="s">
        <v>2</v>
      </c>
      <c r="AF442" s="54" t="s">
        <v>2</v>
      </c>
      <c r="AG442" s="54" t="s">
        <v>2</v>
      </c>
    </row>
    <row r="443" ht="15.75" customHeight="1">
      <c r="B443" s="56"/>
      <c r="U443" s="46" t="str">
        <f t="array" ref="U443">IF($D443="","",IFERROR(_xlfn.XLOOKUP($D443,'TIR店舗一覧'!$D:$D,'TIR店舗一覧'!$E:$E,""),""))</f>
        <v/>
      </c>
      <c r="V443" s="54" t="s">
        <v>2</v>
      </c>
      <c r="W443" s="54" t="s">
        <v>2</v>
      </c>
      <c r="X443" s="54" t="s">
        <v>2</v>
      </c>
      <c r="Y443" s="54" t="s">
        <v>2</v>
      </c>
      <c r="Z443" s="54" t="s">
        <v>2</v>
      </c>
      <c r="AA443" s="54" t="s">
        <v>2</v>
      </c>
      <c r="AB443" s="54" t="s">
        <v>2</v>
      </c>
      <c r="AC443" s="54" t="s">
        <v>2</v>
      </c>
      <c r="AD443" s="54" t="s">
        <v>2</v>
      </c>
      <c r="AE443" s="54" t="s">
        <v>2</v>
      </c>
      <c r="AF443" s="54" t="s">
        <v>2</v>
      </c>
      <c r="AG443" s="54" t="s">
        <v>2</v>
      </c>
    </row>
    <row r="444" ht="15.75" customHeight="1">
      <c r="B444" s="56"/>
      <c r="U444" s="46" t="str">
        <f t="array" ref="U444">IF($D444="","",IFERROR(_xlfn.XLOOKUP($D444,'TIR店舗一覧'!$D:$D,'TIR店舗一覧'!$E:$E,""),""))</f>
        <v/>
      </c>
      <c r="V444" s="54" t="s">
        <v>2</v>
      </c>
      <c r="W444" s="54" t="s">
        <v>2</v>
      </c>
      <c r="X444" s="54" t="s">
        <v>2</v>
      </c>
      <c r="Y444" s="54" t="s">
        <v>2</v>
      </c>
      <c r="Z444" s="54" t="s">
        <v>2</v>
      </c>
      <c r="AA444" s="54" t="s">
        <v>2</v>
      </c>
      <c r="AB444" s="54" t="s">
        <v>2</v>
      </c>
      <c r="AC444" s="54" t="s">
        <v>2</v>
      </c>
      <c r="AD444" s="54" t="s">
        <v>2</v>
      </c>
      <c r="AE444" s="54" t="s">
        <v>2</v>
      </c>
      <c r="AF444" s="54" t="s">
        <v>2</v>
      </c>
      <c r="AG444" s="54" t="s">
        <v>2</v>
      </c>
    </row>
    <row r="445" ht="15.75" customHeight="1">
      <c r="B445" s="56"/>
      <c r="U445" s="46" t="str">
        <f t="array" ref="U445">IF($D445="","",IFERROR(_xlfn.XLOOKUP($D445,'TIR店舗一覧'!$D:$D,'TIR店舗一覧'!$E:$E,""),""))</f>
        <v/>
      </c>
      <c r="V445" s="54" t="s">
        <v>2</v>
      </c>
      <c r="W445" s="54" t="s">
        <v>2</v>
      </c>
      <c r="X445" s="54" t="s">
        <v>2</v>
      </c>
      <c r="Y445" s="54" t="s">
        <v>2</v>
      </c>
      <c r="Z445" s="54" t="s">
        <v>2</v>
      </c>
      <c r="AA445" s="54" t="s">
        <v>2</v>
      </c>
      <c r="AB445" s="54" t="s">
        <v>2</v>
      </c>
      <c r="AC445" s="54" t="s">
        <v>2</v>
      </c>
      <c r="AD445" s="54" t="s">
        <v>2</v>
      </c>
      <c r="AE445" s="54" t="s">
        <v>2</v>
      </c>
      <c r="AF445" s="54" t="s">
        <v>2</v>
      </c>
      <c r="AG445" s="54" t="s">
        <v>2</v>
      </c>
    </row>
    <row r="446" ht="15.75" customHeight="1">
      <c r="B446" s="56"/>
      <c r="U446" s="46" t="str">
        <f t="array" ref="U446">IF($D446="","",IFERROR(_xlfn.XLOOKUP($D446,'TIR店舗一覧'!$D:$D,'TIR店舗一覧'!$E:$E,""),""))</f>
        <v/>
      </c>
      <c r="V446" s="54" t="s">
        <v>2</v>
      </c>
      <c r="W446" s="54" t="s">
        <v>2</v>
      </c>
      <c r="X446" s="54" t="s">
        <v>2</v>
      </c>
      <c r="Y446" s="54" t="s">
        <v>2</v>
      </c>
      <c r="Z446" s="54" t="s">
        <v>2</v>
      </c>
      <c r="AA446" s="54" t="s">
        <v>2</v>
      </c>
      <c r="AB446" s="54" t="s">
        <v>2</v>
      </c>
      <c r="AC446" s="54" t="s">
        <v>2</v>
      </c>
      <c r="AD446" s="54" t="s">
        <v>2</v>
      </c>
      <c r="AE446" s="54" t="s">
        <v>2</v>
      </c>
      <c r="AF446" s="54" t="s">
        <v>2</v>
      </c>
      <c r="AG446" s="54" t="s">
        <v>2</v>
      </c>
    </row>
    <row r="447" ht="15.75" customHeight="1">
      <c r="B447" s="56"/>
      <c r="U447" s="46" t="str">
        <f t="array" ref="U447">IF($D447="","",IFERROR(_xlfn.XLOOKUP($D447,'TIR店舗一覧'!$D:$D,'TIR店舗一覧'!$E:$E,""),""))</f>
        <v/>
      </c>
      <c r="V447" s="54" t="s">
        <v>2</v>
      </c>
      <c r="W447" s="54" t="s">
        <v>2</v>
      </c>
      <c r="X447" s="54" t="s">
        <v>2</v>
      </c>
      <c r="Y447" s="54" t="s">
        <v>2</v>
      </c>
      <c r="Z447" s="54" t="s">
        <v>2</v>
      </c>
      <c r="AA447" s="54" t="s">
        <v>2</v>
      </c>
      <c r="AB447" s="54" t="s">
        <v>2</v>
      </c>
      <c r="AC447" s="54" t="s">
        <v>2</v>
      </c>
      <c r="AD447" s="54" t="s">
        <v>2</v>
      </c>
      <c r="AE447" s="54" t="s">
        <v>2</v>
      </c>
      <c r="AF447" s="54" t="s">
        <v>2</v>
      </c>
      <c r="AG447" s="54" t="s">
        <v>2</v>
      </c>
    </row>
    <row r="448" ht="15.75" customHeight="1">
      <c r="B448" s="56"/>
      <c r="U448" s="46" t="str">
        <f t="array" ref="U448">IF($D448="","",IFERROR(_xlfn.XLOOKUP($D448,'TIR店舗一覧'!$D:$D,'TIR店舗一覧'!$E:$E,""),""))</f>
        <v/>
      </c>
      <c r="V448" s="54" t="s">
        <v>2</v>
      </c>
      <c r="W448" s="54" t="s">
        <v>2</v>
      </c>
      <c r="X448" s="54" t="s">
        <v>2</v>
      </c>
      <c r="Y448" s="54" t="s">
        <v>2</v>
      </c>
      <c r="Z448" s="54" t="s">
        <v>2</v>
      </c>
      <c r="AA448" s="54" t="s">
        <v>2</v>
      </c>
      <c r="AB448" s="54" t="s">
        <v>2</v>
      </c>
      <c r="AC448" s="54" t="s">
        <v>2</v>
      </c>
      <c r="AD448" s="54" t="s">
        <v>2</v>
      </c>
      <c r="AE448" s="54" t="s">
        <v>2</v>
      </c>
      <c r="AF448" s="54" t="s">
        <v>2</v>
      </c>
      <c r="AG448" s="54" t="s">
        <v>2</v>
      </c>
    </row>
    <row r="449" ht="15.75" customHeight="1">
      <c r="B449" s="56"/>
      <c r="U449" s="46" t="str">
        <f t="array" ref="U449">IF($D449="","",IFERROR(_xlfn.XLOOKUP($D449,'TIR店舗一覧'!$D:$D,'TIR店舗一覧'!$E:$E,""),""))</f>
        <v/>
      </c>
      <c r="V449" s="54" t="s">
        <v>2</v>
      </c>
      <c r="W449" s="54" t="s">
        <v>2</v>
      </c>
      <c r="X449" s="54" t="s">
        <v>2</v>
      </c>
      <c r="Y449" s="54" t="s">
        <v>2</v>
      </c>
      <c r="Z449" s="54" t="s">
        <v>2</v>
      </c>
      <c r="AA449" s="54" t="s">
        <v>2</v>
      </c>
      <c r="AB449" s="54" t="s">
        <v>2</v>
      </c>
      <c r="AC449" s="54" t="s">
        <v>2</v>
      </c>
      <c r="AD449" s="54" t="s">
        <v>2</v>
      </c>
      <c r="AE449" s="54" t="s">
        <v>2</v>
      </c>
      <c r="AF449" s="54" t="s">
        <v>2</v>
      </c>
      <c r="AG449" s="54" t="s">
        <v>2</v>
      </c>
    </row>
    <row r="450" ht="15.75" customHeight="1">
      <c r="B450" s="56"/>
      <c r="U450" s="46" t="str">
        <f t="array" ref="U450">IF($D450="","",IFERROR(_xlfn.XLOOKUP($D450,'TIR店舗一覧'!$D:$D,'TIR店舗一覧'!$E:$E,""),""))</f>
        <v/>
      </c>
      <c r="V450" s="54" t="s">
        <v>2</v>
      </c>
      <c r="W450" s="54" t="s">
        <v>2</v>
      </c>
      <c r="X450" s="54" t="s">
        <v>2</v>
      </c>
      <c r="Y450" s="54" t="s">
        <v>2</v>
      </c>
      <c r="Z450" s="54" t="s">
        <v>2</v>
      </c>
      <c r="AA450" s="54" t="s">
        <v>2</v>
      </c>
      <c r="AB450" s="54" t="s">
        <v>2</v>
      </c>
      <c r="AC450" s="54" t="s">
        <v>2</v>
      </c>
      <c r="AD450" s="54" t="s">
        <v>2</v>
      </c>
      <c r="AE450" s="54" t="s">
        <v>2</v>
      </c>
      <c r="AF450" s="54" t="s">
        <v>2</v>
      </c>
      <c r="AG450" s="54" t="s">
        <v>2</v>
      </c>
    </row>
    <row r="451" ht="15.75" customHeight="1">
      <c r="B451" s="56"/>
      <c r="U451" s="46" t="str">
        <f t="array" ref="U451">IF($D451="","",IFERROR(_xlfn.XLOOKUP($D451,'TIR店舗一覧'!$D:$D,'TIR店舗一覧'!$E:$E,""),""))</f>
        <v/>
      </c>
      <c r="V451" s="54" t="s">
        <v>2</v>
      </c>
      <c r="W451" s="54" t="s">
        <v>2</v>
      </c>
      <c r="X451" s="54" t="s">
        <v>2</v>
      </c>
      <c r="Y451" s="54" t="s">
        <v>2</v>
      </c>
      <c r="Z451" s="54" t="s">
        <v>2</v>
      </c>
      <c r="AA451" s="54" t="s">
        <v>2</v>
      </c>
      <c r="AB451" s="54" t="s">
        <v>2</v>
      </c>
      <c r="AC451" s="54" t="s">
        <v>2</v>
      </c>
      <c r="AD451" s="54" t="s">
        <v>2</v>
      </c>
      <c r="AE451" s="54" t="s">
        <v>2</v>
      </c>
      <c r="AF451" s="54" t="s">
        <v>2</v>
      </c>
      <c r="AG451" s="54" t="s">
        <v>2</v>
      </c>
    </row>
    <row r="452" ht="15.75" customHeight="1">
      <c r="B452" s="56"/>
      <c r="U452" s="46" t="str">
        <f t="array" ref="U452">IF($D452="","",IFERROR(_xlfn.XLOOKUP($D452,'TIR店舗一覧'!$D:$D,'TIR店舗一覧'!$E:$E,""),""))</f>
        <v/>
      </c>
      <c r="V452" s="54" t="s">
        <v>2</v>
      </c>
      <c r="W452" s="54" t="s">
        <v>2</v>
      </c>
      <c r="X452" s="54" t="s">
        <v>2</v>
      </c>
      <c r="Y452" s="54" t="s">
        <v>2</v>
      </c>
      <c r="Z452" s="54" t="s">
        <v>2</v>
      </c>
      <c r="AA452" s="54" t="s">
        <v>2</v>
      </c>
      <c r="AB452" s="54" t="s">
        <v>2</v>
      </c>
      <c r="AC452" s="54" t="s">
        <v>2</v>
      </c>
      <c r="AD452" s="54" t="s">
        <v>2</v>
      </c>
      <c r="AE452" s="54" t="s">
        <v>2</v>
      </c>
      <c r="AF452" s="54" t="s">
        <v>2</v>
      </c>
      <c r="AG452" s="54" t="s">
        <v>2</v>
      </c>
    </row>
    <row r="453" ht="15.75" customHeight="1">
      <c r="B453" s="56"/>
      <c r="U453" s="46" t="str">
        <f t="array" ref="U453">IF($D453="","",IFERROR(_xlfn.XLOOKUP($D453,'TIR店舗一覧'!$D:$D,'TIR店舗一覧'!$E:$E,""),""))</f>
        <v/>
      </c>
      <c r="V453" s="54" t="s">
        <v>2</v>
      </c>
      <c r="W453" s="54" t="s">
        <v>2</v>
      </c>
      <c r="X453" s="54" t="s">
        <v>2</v>
      </c>
      <c r="Y453" s="54" t="s">
        <v>2</v>
      </c>
      <c r="Z453" s="54" t="s">
        <v>2</v>
      </c>
      <c r="AA453" s="54" t="s">
        <v>2</v>
      </c>
      <c r="AB453" s="54" t="s">
        <v>2</v>
      </c>
      <c r="AC453" s="54" t="s">
        <v>2</v>
      </c>
      <c r="AD453" s="54" t="s">
        <v>2</v>
      </c>
      <c r="AE453" s="54" t="s">
        <v>2</v>
      </c>
      <c r="AF453" s="54" t="s">
        <v>2</v>
      </c>
      <c r="AG453" s="54" t="s">
        <v>2</v>
      </c>
    </row>
    <row r="454" ht="15.75" customHeight="1">
      <c r="B454" s="56"/>
      <c r="U454" s="46" t="str">
        <f t="array" ref="U454">IF($D454="","",IFERROR(_xlfn.XLOOKUP($D454,'TIR店舗一覧'!$D:$D,'TIR店舗一覧'!$E:$E,""),""))</f>
        <v/>
      </c>
      <c r="V454" s="54" t="s">
        <v>2</v>
      </c>
      <c r="W454" s="54" t="s">
        <v>2</v>
      </c>
      <c r="X454" s="54" t="s">
        <v>2</v>
      </c>
      <c r="Y454" s="54" t="s">
        <v>2</v>
      </c>
      <c r="Z454" s="54" t="s">
        <v>2</v>
      </c>
      <c r="AA454" s="54" t="s">
        <v>2</v>
      </c>
      <c r="AB454" s="54" t="s">
        <v>2</v>
      </c>
      <c r="AC454" s="54" t="s">
        <v>2</v>
      </c>
      <c r="AD454" s="54" t="s">
        <v>2</v>
      </c>
      <c r="AE454" s="54" t="s">
        <v>2</v>
      </c>
      <c r="AF454" s="54" t="s">
        <v>2</v>
      </c>
      <c r="AG454" s="54" t="s">
        <v>2</v>
      </c>
    </row>
    <row r="455" ht="15.75" customHeight="1">
      <c r="B455" s="56"/>
      <c r="U455" s="46" t="str">
        <f t="array" ref="U455">IF($D455="","",IFERROR(_xlfn.XLOOKUP($D455,'TIR店舗一覧'!$D:$D,'TIR店舗一覧'!$E:$E,""),""))</f>
        <v/>
      </c>
      <c r="V455" s="54" t="s">
        <v>2</v>
      </c>
      <c r="W455" s="54" t="s">
        <v>2</v>
      </c>
      <c r="X455" s="54" t="s">
        <v>2</v>
      </c>
      <c r="Y455" s="54" t="s">
        <v>2</v>
      </c>
      <c r="Z455" s="54" t="s">
        <v>2</v>
      </c>
      <c r="AA455" s="54" t="s">
        <v>2</v>
      </c>
      <c r="AB455" s="54" t="s">
        <v>2</v>
      </c>
      <c r="AC455" s="54" t="s">
        <v>2</v>
      </c>
      <c r="AD455" s="54" t="s">
        <v>2</v>
      </c>
      <c r="AE455" s="54" t="s">
        <v>2</v>
      </c>
      <c r="AF455" s="54" t="s">
        <v>2</v>
      </c>
      <c r="AG455" s="54" t="s">
        <v>2</v>
      </c>
    </row>
    <row r="456" ht="15.75" customHeight="1">
      <c r="B456" s="56"/>
      <c r="U456" s="46" t="str">
        <f t="array" ref="U456">IF($D456="","",IFERROR(_xlfn.XLOOKUP($D456,'TIR店舗一覧'!$D:$D,'TIR店舗一覧'!$E:$E,""),""))</f>
        <v/>
      </c>
      <c r="V456" s="54" t="s">
        <v>2</v>
      </c>
      <c r="W456" s="54" t="s">
        <v>2</v>
      </c>
      <c r="X456" s="54" t="s">
        <v>2</v>
      </c>
      <c r="Y456" s="54" t="s">
        <v>2</v>
      </c>
      <c r="Z456" s="54" t="s">
        <v>2</v>
      </c>
      <c r="AA456" s="54" t="s">
        <v>2</v>
      </c>
      <c r="AB456" s="54" t="s">
        <v>2</v>
      </c>
      <c r="AC456" s="54" t="s">
        <v>2</v>
      </c>
      <c r="AD456" s="54" t="s">
        <v>2</v>
      </c>
      <c r="AE456" s="54" t="s">
        <v>2</v>
      </c>
      <c r="AF456" s="54" t="s">
        <v>2</v>
      </c>
      <c r="AG456" s="54" t="s">
        <v>2</v>
      </c>
    </row>
    <row r="457" ht="15.75" customHeight="1">
      <c r="B457" s="56"/>
      <c r="U457" s="46" t="str">
        <f t="array" ref="U457">IF($D457="","",IFERROR(_xlfn.XLOOKUP($D457,'TIR店舗一覧'!$D:$D,'TIR店舗一覧'!$E:$E,""),""))</f>
        <v/>
      </c>
      <c r="V457" s="54" t="s">
        <v>2</v>
      </c>
      <c r="W457" s="54" t="s">
        <v>2</v>
      </c>
      <c r="X457" s="54" t="s">
        <v>2</v>
      </c>
      <c r="Y457" s="54" t="s">
        <v>2</v>
      </c>
      <c r="Z457" s="54" t="s">
        <v>2</v>
      </c>
      <c r="AA457" s="54" t="s">
        <v>2</v>
      </c>
      <c r="AB457" s="54" t="s">
        <v>2</v>
      </c>
      <c r="AC457" s="54" t="s">
        <v>2</v>
      </c>
      <c r="AD457" s="54" t="s">
        <v>2</v>
      </c>
      <c r="AE457" s="54" t="s">
        <v>2</v>
      </c>
      <c r="AF457" s="54" t="s">
        <v>2</v>
      </c>
      <c r="AG457" s="54" t="s">
        <v>2</v>
      </c>
    </row>
    <row r="458" ht="15.75" customHeight="1">
      <c r="B458" s="56"/>
      <c r="U458" s="46" t="str">
        <f t="array" ref="U458">IF($D458="","",IFERROR(_xlfn.XLOOKUP($D458,'TIR店舗一覧'!$D:$D,'TIR店舗一覧'!$E:$E,""),""))</f>
        <v/>
      </c>
      <c r="V458" s="54" t="s">
        <v>2</v>
      </c>
      <c r="W458" s="54" t="s">
        <v>2</v>
      </c>
      <c r="X458" s="54" t="s">
        <v>2</v>
      </c>
      <c r="Y458" s="54" t="s">
        <v>2</v>
      </c>
      <c r="Z458" s="54" t="s">
        <v>2</v>
      </c>
      <c r="AA458" s="54" t="s">
        <v>2</v>
      </c>
      <c r="AB458" s="54" t="s">
        <v>2</v>
      </c>
      <c r="AC458" s="54" t="s">
        <v>2</v>
      </c>
      <c r="AD458" s="54" t="s">
        <v>2</v>
      </c>
      <c r="AE458" s="54" t="s">
        <v>2</v>
      </c>
      <c r="AF458" s="54" t="s">
        <v>2</v>
      </c>
      <c r="AG458" s="54" t="s">
        <v>2</v>
      </c>
    </row>
    <row r="459" ht="15.75" customHeight="1">
      <c r="B459" s="56"/>
      <c r="U459" s="46" t="str">
        <f t="array" ref="U459">IF($D459="","",IFERROR(_xlfn.XLOOKUP($D459,'TIR店舗一覧'!$D:$D,'TIR店舗一覧'!$E:$E,""),""))</f>
        <v/>
      </c>
      <c r="V459" s="54" t="s">
        <v>2</v>
      </c>
      <c r="W459" s="54" t="s">
        <v>2</v>
      </c>
      <c r="X459" s="54" t="s">
        <v>2</v>
      </c>
      <c r="Y459" s="54" t="s">
        <v>2</v>
      </c>
      <c r="Z459" s="54" t="s">
        <v>2</v>
      </c>
      <c r="AA459" s="54" t="s">
        <v>2</v>
      </c>
      <c r="AB459" s="54" t="s">
        <v>2</v>
      </c>
      <c r="AC459" s="54" t="s">
        <v>2</v>
      </c>
      <c r="AD459" s="54" t="s">
        <v>2</v>
      </c>
      <c r="AE459" s="54" t="s">
        <v>2</v>
      </c>
      <c r="AF459" s="54" t="s">
        <v>2</v>
      </c>
      <c r="AG459" s="54" t="s">
        <v>2</v>
      </c>
    </row>
    <row r="460" ht="15.75" customHeight="1">
      <c r="B460" s="56"/>
      <c r="U460" s="46" t="str">
        <f t="array" ref="U460">IF($D460="","",IFERROR(_xlfn.XLOOKUP($D460,'TIR店舗一覧'!$D:$D,'TIR店舗一覧'!$E:$E,""),""))</f>
        <v/>
      </c>
      <c r="V460" s="54" t="s">
        <v>2</v>
      </c>
      <c r="W460" s="54" t="s">
        <v>2</v>
      </c>
      <c r="X460" s="54" t="s">
        <v>2</v>
      </c>
      <c r="Y460" s="54" t="s">
        <v>2</v>
      </c>
      <c r="Z460" s="54" t="s">
        <v>2</v>
      </c>
      <c r="AA460" s="54" t="s">
        <v>2</v>
      </c>
      <c r="AB460" s="54" t="s">
        <v>2</v>
      </c>
      <c r="AC460" s="54" t="s">
        <v>2</v>
      </c>
      <c r="AD460" s="54" t="s">
        <v>2</v>
      </c>
      <c r="AE460" s="54" t="s">
        <v>2</v>
      </c>
      <c r="AF460" s="54" t="s">
        <v>2</v>
      </c>
      <c r="AG460" s="54" t="s">
        <v>2</v>
      </c>
    </row>
    <row r="461" ht="15.75" customHeight="1">
      <c r="B461" s="56"/>
      <c r="U461" s="46" t="str">
        <f t="array" ref="U461">IF($D461="","",IFERROR(_xlfn.XLOOKUP($D461,'TIR店舗一覧'!$D:$D,'TIR店舗一覧'!$E:$E,""),""))</f>
        <v/>
      </c>
      <c r="V461" s="54" t="s">
        <v>2</v>
      </c>
      <c r="W461" s="54" t="s">
        <v>2</v>
      </c>
      <c r="X461" s="54" t="s">
        <v>2</v>
      </c>
      <c r="Y461" s="54" t="s">
        <v>2</v>
      </c>
      <c r="Z461" s="54" t="s">
        <v>2</v>
      </c>
      <c r="AA461" s="54" t="s">
        <v>2</v>
      </c>
      <c r="AB461" s="54" t="s">
        <v>2</v>
      </c>
      <c r="AC461" s="54" t="s">
        <v>2</v>
      </c>
      <c r="AD461" s="54" t="s">
        <v>2</v>
      </c>
      <c r="AE461" s="54" t="s">
        <v>2</v>
      </c>
      <c r="AF461" s="54" t="s">
        <v>2</v>
      </c>
      <c r="AG461" s="54" t="s">
        <v>2</v>
      </c>
    </row>
    <row r="462" ht="15.75" customHeight="1">
      <c r="B462" s="56"/>
      <c r="U462" s="46" t="str">
        <f t="array" ref="U462">IF($D462="","",IFERROR(_xlfn.XLOOKUP($D462,'TIR店舗一覧'!$D:$D,'TIR店舗一覧'!$E:$E,""),""))</f>
        <v/>
      </c>
      <c r="V462" s="54" t="s">
        <v>2</v>
      </c>
      <c r="W462" s="54" t="s">
        <v>2</v>
      </c>
      <c r="X462" s="54" t="s">
        <v>2</v>
      </c>
      <c r="Y462" s="54" t="s">
        <v>2</v>
      </c>
      <c r="Z462" s="54" t="s">
        <v>2</v>
      </c>
      <c r="AA462" s="54" t="s">
        <v>2</v>
      </c>
      <c r="AB462" s="54" t="s">
        <v>2</v>
      </c>
      <c r="AC462" s="54" t="s">
        <v>2</v>
      </c>
      <c r="AD462" s="54" t="s">
        <v>2</v>
      </c>
      <c r="AE462" s="54" t="s">
        <v>2</v>
      </c>
      <c r="AF462" s="54" t="s">
        <v>2</v>
      </c>
      <c r="AG462" s="54" t="s">
        <v>2</v>
      </c>
    </row>
    <row r="463" ht="15.75" customHeight="1">
      <c r="B463" s="56"/>
      <c r="U463" s="46" t="str">
        <f t="array" ref="U463">IF($D463="","",IFERROR(_xlfn.XLOOKUP($D463,'TIR店舗一覧'!$D:$D,'TIR店舗一覧'!$E:$E,""),""))</f>
        <v/>
      </c>
      <c r="V463" s="54" t="s">
        <v>2</v>
      </c>
      <c r="W463" s="54" t="s">
        <v>2</v>
      </c>
      <c r="X463" s="54" t="s">
        <v>2</v>
      </c>
      <c r="Y463" s="54" t="s">
        <v>2</v>
      </c>
      <c r="Z463" s="54" t="s">
        <v>2</v>
      </c>
      <c r="AA463" s="54" t="s">
        <v>2</v>
      </c>
      <c r="AB463" s="54" t="s">
        <v>2</v>
      </c>
      <c r="AC463" s="54" t="s">
        <v>2</v>
      </c>
      <c r="AD463" s="54" t="s">
        <v>2</v>
      </c>
      <c r="AE463" s="54" t="s">
        <v>2</v>
      </c>
      <c r="AF463" s="54" t="s">
        <v>2</v>
      </c>
      <c r="AG463" s="54" t="s">
        <v>2</v>
      </c>
    </row>
    <row r="464" ht="15.75" customHeight="1">
      <c r="B464" s="56"/>
      <c r="U464" s="46" t="str">
        <f t="array" ref="U464">IF($D464="","",IFERROR(_xlfn.XLOOKUP($D464,'TIR店舗一覧'!$D:$D,'TIR店舗一覧'!$E:$E,""),""))</f>
        <v/>
      </c>
      <c r="V464" s="54" t="s">
        <v>2</v>
      </c>
      <c r="W464" s="54" t="s">
        <v>2</v>
      </c>
      <c r="X464" s="54" t="s">
        <v>2</v>
      </c>
      <c r="Y464" s="54" t="s">
        <v>2</v>
      </c>
      <c r="Z464" s="54" t="s">
        <v>2</v>
      </c>
      <c r="AA464" s="54" t="s">
        <v>2</v>
      </c>
      <c r="AB464" s="54" t="s">
        <v>2</v>
      </c>
      <c r="AC464" s="54" t="s">
        <v>2</v>
      </c>
      <c r="AD464" s="54" t="s">
        <v>2</v>
      </c>
      <c r="AE464" s="54" t="s">
        <v>2</v>
      </c>
      <c r="AF464" s="54" t="s">
        <v>2</v>
      </c>
      <c r="AG464" s="54" t="s">
        <v>2</v>
      </c>
    </row>
    <row r="465" ht="15.75" customHeight="1">
      <c r="B465" s="56"/>
      <c r="U465" s="46" t="str">
        <f t="array" ref="U465">IF($D465="","",IFERROR(_xlfn.XLOOKUP($D465,'TIR店舗一覧'!$D:$D,'TIR店舗一覧'!$E:$E,""),""))</f>
        <v/>
      </c>
      <c r="V465" s="54" t="s">
        <v>2</v>
      </c>
      <c r="W465" s="54" t="s">
        <v>2</v>
      </c>
      <c r="X465" s="54" t="s">
        <v>2</v>
      </c>
      <c r="Y465" s="54" t="s">
        <v>2</v>
      </c>
      <c r="Z465" s="54" t="s">
        <v>2</v>
      </c>
      <c r="AA465" s="54" t="s">
        <v>2</v>
      </c>
      <c r="AB465" s="54" t="s">
        <v>2</v>
      </c>
      <c r="AC465" s="54" t="s">
        <v>2</v>
      </c>
      <c r="AD465" s="54" t="s">
        <v>2</v>
      </c>
      <c r="AE465" s="54" t="s">
        <v>2</v>
      </c>
      <c r="AF465" s="54" t="s">
        <v>2</v>
      </c>
      <c r="AG465" s="54" t="s">
        <v>2</v>
      </c>
    </row>
    <row r="466" ht="15.75" customHeight="1">
      <c r="B466" s="56"/>
      <c r="U466" s="46" t="str">
        <f t="array" ref="U466">IF($D466="","",IFERROR(_xlfn.XLOOKUP($D466,'TIR店舗一覧'!$D:$D,'TIR店舗一覧'!$E:$E,""),""))</f>
        <v/>
      </c>
      <c r="V466" s="54" t="s">
        <v>2</v>
      </c>
      <c r="W466" s="54" t="s">
        <v>2</v>
      </c>
      <c r="X466" s="54" t="s">
        <v>2</v>
      </c>
      <c r="Y466" s="54" t="s">
        <v>2</v>
      </c>
      <c r="Z466" s="54" t="s">
        <v>2</v>
      </c>
      <c r="AA466" s="54" t="s">
        <v>2</v>
      </c>
      <c r="AB466" s="54" t="s">
        <v>2</v>
      </c>
      <c r="AC466" s="54" t="s">
        <v>2</v>
      </c>
      <c r="AD466" s="54" t="s">
        <v>2</v>
      </c>
      <c r="AE466" s="54" t="s">
        <v>2</v>
      </c>
      <c r="AF466" s="54" t="s">
        <v>2</v>
      </c>
      <c r="AG466" s="54" t="s">
        <v>2</v>
      </c>
    </row>
    <row r="467" ht="15.75" customHeight="1">
      <c r="B467" s="56"/>
      <c r="U467" s="46" t="str">
        <f t="array" ref="U467">IF($D467="","",IFERROR(_xlfn.XLOOKUP($D467,'TIR店舗一覧'!$D:$D,'TIR店舗一覧'!$E:$E,""),""))</f>
        <v/>
      </c>
      <c r="V467" s="54" t="s">
        <v>2</v>
      </c>
      <c r="W467" s="54" t="s">
        <v>2</v>
      </c>
      <c r="X467" s="54" t="s">
        <v>2</v>
      </c>
      <c r="Y467" s="54" t="s">
        <v>2</v>
      </c>
      <c r="Z467" s="54" t="s">
        <v>2</v>
      </c>
      <c r="AA467" s="54" t="s">
        <v>2</v>
      </c>
      <c r="AB467" s="54" t="s">
        <v>2</v>
      </c>
      <c r="AC467" s="54" t="s">
        <v>2</v>
      </c>
      <c r="AD467" s="54" t="s">
        <v>2</v>
      </c>
      <c r="AE467" s="54" t="s">
        <v>2</v>
      </c>
      <c r="AF467" s="54" t="s">
        <v>2</v>
      </c>
      <c r="AG467" s="54" t="s">
        <v>2</v>
      </c>
    </row>
    <row r="468" ht="15.75" customHeight="1">
      <c r="B468" s="56"/>
      <c r="U468" s="46" t="str">
        <f t="array" ref="U468">IF($D468="","",IFERROR(_xlfn.XLOOKUP($D468,'TIR店舗一覧'!$D:$D,'TIR店舗一覧'!$E:$E,""),""))</f>
        <v/>
      </c>
      <c r="V468" s="54" t="s">
        <v>2</v>
      </c>
      <c r="W468" s="54" t="s">
        <v>2</v>
      </c>
      <c r="X468" s="54" t="s">
        <v>2</v>
      </c>
      <c r="Y468" s="54" t="s">
        <v>2</v>
      </c>
      <c r="Z468" s="54" t="s">
        <v>2</v>
      </c>
      <c r="AA468" s="54" t="s">
        <v>2</v>
      </c>
      <c r="AB468" s="54" t="s">
        <v>2</v>
      </c>
      <c r="AC468" s="54" t="s">
        <v>2</v>
      </c>
      <c r="AD468" s="54" t="s">
        <v>2</v>
      </c>
      <c r="AE468" s="54" t="s">
        <v>2</v>
      </c>
      <c r="AF468" s="54" t="s">
        <v>2</v>
      </c>
      <c r="AG468" s="54" t="s">
        <v>2</v>
      </c>
    </row>
    <row r="469" ht="15.75" customHeight="1">
      <c r="B469" s="56"/>
      <c r="U469" s="46" t="str">
        <f t="array" ref="U469">IF($D469="","",IFERROR(_xlfn.XLOOKUP($D469,'TIR店舗一覧'!$D:$D,'TIR店舗一覧'!$E:$E,""),""))</f>
        <v/>
      </c>
      <c r="V469" s="54" t="s">
        <v>2</v>
      </c>
      <c r="W469" s="54" t="s">
        <v>2</v>
      </c>
      <c r="X469" s="54" t="s">
        <v>2</v>
      </c>
      <c r="Y469" s="54" t="s">
        <v>2</v>
      </c>
      <c r="Z469" s="54" t="s">
        <v>2</v>
      </c>
      <c r="AA469" s="54" t="s">
        <v>2</v>
      </c>
      <c r="AB469" s="54" t="s">
        <v>2</v>
      </c>
      <c r="AC469" s="54" t="s">
        <v>2</v>
      </c>
      <c r="AD469" s="54" t="s">
        <v>2</v>
      </c>
      <c r="AE469" s="54" t="s">
        <v>2</v>
      </c>
      <c r="AF469" s="54" t="s">
        <v>2</v>
      </c>
      <c r="AG469" s="54" t="s">
        <v>2</v>
      </c>
    </row>
    <row r="470" ht="15.75" customHeight="1">
      <c r="B470" s="56"/>
      <c r="U470" s="46" t="str">
        <f t="array" ref="U470">IF($D470="","",IFERROR(_xlfn.XLOOKUP($D470,'TIR店舗一覧'!$D:$D,'TIR店舗一覧'!$E:$E,""),""))</f>
        <v/>
      </c>
      <c r="V470" s="54" t="s">
        <v>2</v>
      </c>
      <c r="W470" s="54" t="s">
        <v>2</v>
      </c>
      <c r="X470" s="54" t="s">
        <v>2</v>
      </c>
      <c r="Y470" s="54" t="s">
        <v>2</v>
      </c>
      <c r="Z470" s="54" t="s">
        <v>2</v>
      </c>
      <c r="AA470" s="54" t="s">
        <v>2</v>
      </c>
      <c r="AB470" s="54" t="s">
        <v>2</v>
      </c>
      <c r="AC470" s="54" t="s">
        <v>2</v>
      </c>
      <c r="AD470" s="54" t="s">
        <v>2</v>
      </c>
      <c r="AE470" s="54" t="s">
        <v>2</v>
      </c>
      <c r="AF470" s="54" t="s">
        <v>2</v>
      </c>
      <c r="AG470" s="54" t="s">
        <v>2</v>
      </c>
    </row>
    <row r="471" ht="15.75" customHeight="1">
      <c r="B471" s="56"/>
      <c r="U471" s="46" t="str">
        <f t="array" ref="U471">IF($D471="","",IFERROR(_xlfn.XLOOKUP($D471,'TIR店舗一覧'!$D:$D,'TIR店舗一覧'!$E:$E,""),""))</f>
        <v/>
      </c>
      <c r="V471" s="54" t="s">
        <v>2</v>
      </c>
      <c r="W471" s="54" t="s">
        <v>2</v>
      </c>
      <c r="X471" s="54" t="s">
        <v>2</v>
      </c>
      <c r="Y471" s="54" t="s">
        <v>2</v>
      </c>
      <c r="Z471" s="54" t="s">
        <v>2</v>
      </c>
      <c r="AA471" s="54" t="s">
        <v>2</v>
      </c>
      <c r="AB471" s="54" t="s">
        <v>2</v>
      </c>
      <c r="AC471" s="54" t="s">
        <v>2</v>
      </c>
      <c r="AD471" s="54" t="s">
        <v>2</v>
      </c>
      <c r="AE471" s="54" t="s">
        <v>2</v>
      </c>
      <c r="AF471" s="54" t="s">
        <v>2</v>
      </c>
      <c r="AG471" s="54" t="s">
        <v>2</v>
      </c>
    </row>
    <row r="472" ht="15.75" customHeight="1">
      <c r="B472" s="56"/>
      <c r="U472" s="46" t="str">
        <f t="array" ref="U472">IF($D472="","",IFERROR(_xlfn.XLOOKUP($D472,'TIR店舗一覧'!$D:$D,'TIR店舗一覧'!$E:$E,""),""))</f>
        <v/>
      </c>
      <c r="V472" s="54" t="s">
        <v>2</v>
      </c>
      <c r="W472" s="54" t="s">
        <v>2</v>
      </c>
      <c r="X472" s="54" t="s">
        <v>2</v>
      </c>
      <c r="Y472" s="54" t="s">
        <v>2</v>
      </c>
      <c r="Z472" s="54" t="s">
        <v>2</v>
      </c>
      <c r="AA472" s="54" t="s">
        <v>2</v>
      </c>
      <c r="AB472" s="54" t="s">
        <v>2</v>
      </c>
      <c r="AC472" s="54" t="s">
        <v>2</v>
      </c>
      <c r="AD472" s="54" t="s">
        <v>2</v>
      </c>
      <c r="AE472" s="54" t="s">
        <v>2</v>
      </c>
      <c r="AF472" s="54" t="s">
        <v>2</v>
      </c>
      <c r="AG472" s="54" t="s">
        <v>2</v>
      </c>
    </row>
    <row r="473" ht="15.75" customHeight="1">
      <c r="B473" s="56"/>
      <c r="U473" s="46" t="str">
        <f t="array" ref="U473">IF($D473="","",IFERROR(_xlfn.XLOOKUP($D473,'TIR店舗一覧'!$D:$D,'TIR店舗一覧'!$E:$E,""),""))</f>
        <v/>
      </c>
      <c r="V473" s="54" t="s">
        <v>2</v>
      </c>
      <c r="W473" s="54" t="s">
        <v>2</v>
      </c>
      <c r="X473" s="54" t="s">
        <v>2</v>
      </c>
      <c r="Y473" s="54" t="s">
        <v>2</v>
      </c>
      <c r="Z473" s="54" t="s">
        <v>2</v>
      </c>
      <c r="AA473" s="54" t="s">
        <v>2</v>
      </c>
      <c r="AB473" s="54" t="s">
        <v>2</v>
      </c>
      <c r="AC473" s="54" t="s">
        <v>2</v>
      </c>
      <c r="AD473" s="54" t="s">
        <v>2</v>
      </c>
      <c r="AE473" s="54" t="s">
        <v>2</v>
      </c>
      <c r="AF473" s="54" t="s">
        <v>2</v>
      </c>
      <c r="AG473" s="54" t="s">
        <v>2</v>
      </c>
    </row>
    <row r="474" ht="15.75" customHeight="1">
      <c r="B474" s="56"/>
      <c r="U474" s="46" t="str">
        <f t="array" ref="U474">IF($D474="","",IFERROR(_xlfn.XLOOKUP($D474,'TIR店舗一覧'!$D:$D,'TIR店舗一覧'!$E:$E,""),""))</f>
        <v/>
      </c>
      <c r="V474" s="54" t="s">
        <v>2</v>
      </c>
      <c r="W474" s="54" t="s">
        <v>2</v>
      </c>
      <c r="X474" s="54" t="s">
        <v>2</v>
      </c>
      <c r="Y474" s="54" t="s">
        <v>2</v>
      </c>
      <c r="Z474" s="54" t="s">
        <v>2</v>
      </c>
      <c r="AA474" s="54" t="s">
        <v>2</v>
      </c>
      <c r="AB474" s="54" t="s">
        <v>2</v>
      </c>
      <c r="AC474" s="54" t="s">
        <v>2</v>
      </c>
      <c r="AD474" s="54" t="s">
        <v>2</v>
      </c>
      <c r="AE474" s="54" t="s">
        <v>2</v>
      </c>
      <c r="AF474" s="54" t="s">
        <v>2</v>
      </c>
      <c r="AG474" s="54" t="s">
        <v>2</v>
      </c>
    </row>
    <row r="475" ht="15.75" customHeight="1">
      <c r="B475" s="56"/>
      <c r="U475" s="46" t="str">
        <f t="array" ref="U475">IF($D475="","",IFERROR(_xlfn.XLOOKUP($D475,'TIR店舗一覧'!$D:$D,'TIR店舗一覧'!$E:$E,""),""))</f>
        <v/>
      </c>
      <c r="V475" s="54" t="s">
        <v>2</v>
      </c>
      <c r="W475" s="54" t="s">
        <v>2</v>
      </c>
      <c r="X475" s="54" t="s">
        <v>2</v>
      </c>
      <c r="Y475" s="54" t="s">
        <v>2</v>
      </c>
      <c r="Z475" s="54" t="s">
        <v>2</v>
      </c>
      <c r="AA475" s="54" t="s">
        <v>2</v>
      </c>
      <c r="AB475" s="54" t="s">
        <v>2</v>
      </c>
      <c r="AC475" s="54" t="s">
        <v>2</v>
      </c>
      <c r="AD475" s="54" t="s">
        <v>2</v>
      </c>
      <c r="AE475" s="54" t="s">
        <v>2</v>
      </c>
      <c r="AF475" s="54" t="s">
        <v>2</v>
      </c>
      <c r="AG475" s="54" t="s">
        <v>2</v>
      </c>
    </row>
    <row r="476" ht="15.75" customHeight="1">
      <c r="B476" s="56"/>
      <c r="U476" s="46" t="str">
        <f t="array" ref="U476">IF($D476="","",IFERROR(_xlfn.XLOOKUP($D476,'TIR店舗一覧'!$D:$D,'TIR店舗一覧'!$E:$E,""),""))</f>
        <v/>
      </c>
      <c r="V476" s="54" t="s">
        <v>2</v>
      </c>
      <c r="W476" s="54" t="s">
        <v>2</v>
      </c>
      <c r="X476" s="54" t="s">
        <v>2</v>
      </c>
      <c r="Y476" s="54" t="s">
        <v>2</v>
      </c>
      <c r="Z476" s="54" t="s">
        <v>2</v>
      </c>
      <c r="AA476" s="54" t="s">
        <v>2</v>
      </c>
      <c r="AB476" s="54" t="s">
        <v>2</v>
      </c>
      <c r="AC476" s="54" t="s">
        <v>2</v>
      </c>
      <c r="AD476" s="54" t="s">
        <v>2</v>
      </c>
      <c r="AE476" s="54" t="s">
        <v>2</v>
      </c>
      <c r="AF476" s="54" t="s">
        <v>2</v>
      </c>
      <c r="AG476" s="54" t="s">
        <v>2</v>
      </c>
    </row>
    <row r="477" ht="15.75" customHeight="1">
      <c r="B477" s="56"/>
      <c r="U477" s="46" t="str">
        <f t="array" ref="U477">IF($D477="","",IFERROR(_xlfn.XLOOKUP($D477,'TIR店舗一覧'!$D:$D,'TIR店舗一覧'!$E:$E,""),""))</f>
        <v/>
      </c>
      <c r="V477" s="54" t="s">
        <v>2</v>
      </c>
      <c r="W477" s="54" t="s">
        <v>2</v>
      </c>
      <c r="X477" s="54" t="s">
        <v>2</v>
      </c>
      <c r="Y477" s="54" t="s">
        <v>2</v>
      </c>
      <c r="Z477" s="54" t="s">
        <v>2</v>
      </c>
      <c r="AA477" s="54" t="s">
        <v>2</v>
      </c>
      <c r="AB477" s="54" t="s">
        <v>2</v>
      </c>
      <c r="AC477" s="54" t="s">
        <v>2</v>
      </c>
      <c r="AD477" s="54" t="s">
        <v>2</v>
      </c>
      <c r="AE477" s="54" t="s">
        <v>2</v>
      </c>
      <c r="AF477" s="54" t="s">
        <v>2</v>
      </c>
      <c r="AG477" s="54" t="s">
        <v>2</v>
      </c>
    </row>
    <row r="478" ht="15.75" customHeight="1">
      <c r="B478" s="56"/>
      <c r="U478" s="46" t="str">
        <f t="array" ref="U478">IF($D478="","",IFERROR(_xlfn.XLOOKUP($D478,'TIR店舗一覧'!$D:$D,'TIR店舗一覧'!$E:$E,""),""))</f>
        <v/>
      </c>
      <c r="V478" s="54" t="s">
        <v>2</v>
      </c>
      <c r="W478" s="54" t="s">
        <v>2</v>
      </c>
      <c r="X478" s="54" t="s">
        <v>2</v>
      </c>
      <c r="Y478" s="54" t="s">
        <v>2</v>
      </c>
      <c r="Z478" s="54" t="s">
        <v>2</v>
      </c>
      <c r="AA478" s="54" t="s">
        <v>2</v>
      </c>
      <c r="AB478" s="54" t="s">
        <v>2</v>
      </c>
      <c r="AC478" s="54" t="s">
        <v>2</v>
      </c>
      <c r="AD478" s="54" t="s">
        <v>2</v>
      </c>
      <c r="AE478" s="54" t="s">
        <v>2</v>
      </c>
      <c r="AF478" s="54" t="s">
        <v>2</v>
      </c>
      <c r="AG478" s="54" t="s">
        <v>2</v>
      </c>
    </row>
    <row r="479" ht="15.75" customHeight="1">
      <c r="B479" s="56"/>
      <c r="U479" s="46" t="str">
        <f t="array" ref="U479">IF($D479="","",IFERROR(_xlfn.XLOOKUP($D479,'TIR店舗一覧'!$D:$D,'TIR店舗一覧'!$E:$E,""),""))</f>
        <v/>
      </c>
      <c r="V479" s="54" t="s">
        <v>2</v>
      </c>
      <c r="W479" s="54" t="s">
        <v>2</v>
      </c>
      <c r="X479" s="54" t="s">
        <v>2</v>
      </c>
      <c r="Y479" s="54" t="s">
        <v>2</v>
      </c>
      <c r="Z479" s="54" t="s">
        <v>2</v>
      </c>
      <c r="AA479" s="54" t="s">
        <v>2</v>
      </c>
      <c r="AB479" s="54" t="s">
        <v>2</v>
      </c>
      <c r="AC479" s="54" t="s">
        <v>2</v>
      </c>
      <c r="AD479" s="54" t="s">
        <v>2</v>
      </c>
      <c r="AE479" s="54" t="s">
        <v>2</v>
      </c>
      <c r="AF479" s="54" t="s">
        <v>2</v>
      </c>
      <c r="AG479" s="54" t="s">
        <v>2</v>
      </c>
    </row>
    <row r="480" ht="15.75" customHeight="1">
      <c r="B480" s="56"/>
      <c r="U480" s="46" t="str">
        <f t="array" ref="U480">IF($D480="","",IFERROR(_xlfn.XLOOKUP($D480,'TIR店舗一覧'!$D:$D,'TIR店舗一覧'!$E:$E,""),""))</f>
        <v/>
      </c>
      <c r="V480" s="54" t="s">
        <v>2</v>
      </c>
      <c r="W480" s="54" t="s">
        <v>2</v>
      </c>
      <c r="X480" s="54" t="s">
        <v>2</v>
      </c>
      <c r="Y480" s="54" t="s">
        <v>2</v>
      </c>
      <c r="Z480" s="54" t="s">
        <v>2</v>
      </c>
      <c r="AA480" s="54" t="s">
        <v>2</v>
      </c>
      <c r="AB480" s="54" t="s">
        <v>2</v>
      </c>
      <c r="AC480" s="54" t="s">
        <v>2</v>
      </c>
      <c r="AD480" s="54" t="s">
        <v>2</v>
      </c>
      <c r="AE480" s="54" t="s">
        <v>2</v>
      </c>
      <c r="AF480" s="54" t="s">
        <v>2</v>
      </c>
      <c r="AG480" s="54" t="s">
        <v>2</v>
      </c>
    </row>
    <row r="481" ht="15.75" customHeight="1">
      <c r="B481" s="56"/>
      <c r="U481" s="46" t="str">
        <f t="array" ref="U481">IF($D481="","",IFERROR(_xlfn.XLOOKUP($D481,'TIR店舗一覧'!$D:$D,'TIR店舗一覧'!$E:$E,""),""))</f>
        <v/>
      </c>
      <c r="V481" s="54" t="s">
        <v>2</v>
      </c>
      <c r="W481" s="54" t="s">
        <v>2</v>
      </c>
      <c r="X481" s="54" t="s">
        <v>2</v>
      </c>
      <c r="Y481" s="54" t="s">
        <v>2</v>
      </c>
      <c r="Z481" s="54" t="s">
        <v>2</v>
      </c>
      <c r="AA481" s="54" t="s">
        <v>2</v>
      </c>
      <c r="AB481" s="54" t="s">
        <v>2</v>
      </c>
      <c r="AC481" s="54" t="s">
        <v>2</v>
      </c>
      <c r="AD481" s="54" t="s">
        <v>2</v>
      </c>
      <c r="AE481" s="54" t="s">
        <v>2</v>
      </c>
      <c r="AF481" s="54" t="s">
        <v>2</v>
      </c>
      <c r="AG481" s="54" t="s">
        <v>2</v>
      </c>
    </row>
    <row r="482" ht="15.75" customHeight="1">
      <c r="B482" s="56"/>
      <c r="U482" s="46" t="str">
        <f t="array" ref="U482">IF($D482="","",IFERROR(_xlfn.XLOOKUP($D482,'TIR店舗一覧'!$D:$D,'TIR店舗一覧'!$E:$E,""),""))</f>
        <v/>
      </c>
      <c r="V482" s="54" t="s">
        <v>2</v>
      </c>
      <c r="W482" s="54" t="s">
        <v>2</v>
      </c>
      <c r="X482" s="54" t="s">
        <v>2</v>
      </c>
      <c r="Y482" s="54" t="s">
        <v>2</v>
      </c>
      <c r="Z482" s="54" t="s">
        <v>2</v>
      </c>
      <c r="AA482" s="54" t="s">
        <v>2</v>
      </c>
      <c r="AB482" s="54" t="s">
        <v>2</v>
      </c>
      <c r="AC482" s="54" t="s">
        <v>2</v>
      </c>
      <c r="AD482" s="54" t="s">
        <v>2</v>
      </c>
      <c r="AE482" s="54" t="s">
        <v>2</v>
      </c>
      <c r="AF482" s="54" t="s">
        <v>2</v>
      </c>
      <c r="AG482" s="54" t="s">
        <v>2</v>
      </c>
    </row>
    <row r="483" ht="15.75" customHeight="1">
      <c r="B483" s="56"/>
      <c r="U483" s="46" t="str">
        <f t="array" ref="U483">IF($D483="","",IFERROR(_xlfn.XLOOKUP($D483,'TIR店舗一覧'!$D:$D,'TIR店舗一覧'!$E:$E,""),""))</f>
        <v/>
      </c>
      <c r="V483" s="54" t="s">
        <v>2</v>
      </c>
      <c r="W483" s="54" t="s">
        <v>2</v>
      </c>
      <c r="X483" s="54" t="s">
        <v>2</v>
      </c>
      <c r="Y483" s="54" t="s">
        <v>2</v>
      </c>
      <c r="Z483" s="54" t="s">
        <v>2</v>
      </c>
      <c r="AA483" s="54" t="s">
        <v>2</v>
      </c>
      <c r="AB483" s="54" t="s">
        <v>2</v>
      </c>
      <c r="AC483" s="54" t="s">
        <v>2</v>
      </c>
      <c r="AD483" s="54" t="s">
        <v>2</v>
      </c>
      <c r="AE483" s="54" t="s">
        <v>2</v>
      </c>
      <c r="AF483" s="54" t="s">
        <v>2</v>
      </c>
      <c r="AG483" s="54" t="s">
        <v>2</v>
      </c>
    </row>
    <row r="484" ht="15.75" customHeight="1">
      <c r="B484" s="56"/>
      <c r="U484" s="46" t="str">
        <f t="array" ref="U484">IF($D484="","",IFERROR(_xlfn.XLOOKUP($D484,'TIR店舗一覧'!$D:$D,'TIR店舗一覧'!$E:$E,""),""))</f>
        <v/>
      </c>
      <c r="V484" s="54" t="s">
        <v>2</v>
      </c>
      <c r="W484" s="54" t="s">
        <v>2</v>
      </c>
      <c r="X484" s="54" t="s">
        <v>2</v>
      </c>
      <c r="Y484" s="54" t="s">
        <v>2</v>
      </c>
      <c r="Z484" s="54" t="s">
        <v>2</v>
      </c>
      <c r="AA484" s="54" t="s">
        <v>2</v>
      </c>
      <c r="AB484" s="54" t="s">
        <v>2</v>
      </c>
      <c r="AC484" s="54" t="s">
        <v>2</v>
      </c>
      <c r="AD484" s="54" t="s">
        <v>2</v>
      </c>
      <c r="AE484" s="54" t="s">
        <v>2</v>
      </c>
      <c r="AF484" s="54" t="s">
        <v>2</v>
      </c>
      <c r="AG484" s="54" t="s">
        <v>2</v>
      </c>
    </row>
    <row r="485" ht="15.75" customHeight="1">
      <c r="B485" s="56"/>
      <c r="U485" s="46" t="str">
        <f t="array" ref="U485">IF($D485="","",IFERROR(_xlfn.XLOOKUP($D485,'TIR店舗一覧'!$D:$D,'TIR店舗一覧'!$E:$E,""),""))</f>
        <v/>
      </c>
      <c r="V485" s="54" t="s">
        <v>2</v>
      </c>
      <c r="W485" s="54" t="s">
        <v>2</v>
      </c>
      <c r="X485" s="54" t="s">
        <v>2</v>
      </c>
      <c r="Y485" s="54" t="s">
        <v>2</v>
      </c>
      <c r="Z485" s="54" t="s">
        <v>2</v>
      </c>
      <c r="AA485" s="54" t="s">
        <v>2</v>
      </c>
      <c r="AB485" s="54" t="s">
        <v>2</v>
      </c>
      <c r="AC485" s="54" t="s">
        <v>2</v>
      </c>
      <c r="AD485" s="54" t="s">
        <v>2</v>
      </c>
      <c r="AE485" s="54" t="s">
        <v>2</v>
      </c>
      <c r="AF485" s="54" t="s">
        <v>2</v>
      </c>
      <c r="AG485" s="54" t="s">
        <v>2</v>
      </c>
    </row>
    <row r="486" ht="15.75" customHeight="1">
      <c r="B486" s="56"/>
      <c r="U486" s="46" t="str">
        <f t="array" ref="U486">IF($D486="","",IFERROR(_xlfn.XLOOKUP($D486,'TIR店舗一覧'!$D:$D,'TIR店舗一覧'!$E:$E,""),""))</f>
        <v/>
      </c>
      <c r="V486" s="54" t="s">
        <v>2</v>
      </c>
      <c r="W486" s="54" t="s">
        <v>2</v>
      </c>
      <c r="X486" s="54" t="s">
        <v>2</v>
      </c>
      <c r="Y486" s="54" t="s">
        <v>2</v>
      </c>
      <c r="Z486" s="54" t="s">
        <v>2</v>
      </c>
      <c r="AA486" s="54" t="s">
        <v>2</v>
      </c>
      <c r="AB486" s="54" t="s">
        <v>2</v>
      </c>
      <c r="AC486" s="54" t="s">
        <v>2</v>
      </c>
      <c r="AD486" s="54" t="s">
        <v>2</v>
      </c>
      <c r="AE486" s="54" t="s">
        <v>2</v>
      </c>
      <c r="AF486" s="54" t="s">
        <v>2</v>
      </c>
      <c r="AG486" s="54" t="s">
        <v>2</v>
      </c>
    </row>
    <row r="487" ht="15.75" customHeight="1">
      <c r="B487" s="56"/>
      <c r="U487" s="46" t="str">
        <f t="array" ref="U487">IF($D487="","",IFERROR(_xlfn.XLOOKUP($D487,'TIR店舗一覧'!$D:$D,'TIR店舗一覧'!$E:$E,""),""))</f>
        <v/>
      </c>
      <c r="V487" s="54" t="s">
        <v>2</v>
      </c>
      <c r="W487" s="54" t="s">
        <v>2</v>
      </c>
      <c r="X487" s="54" t="s">
        <v>2</v>
      </c>
      <c r="Y487" s="54" t="s">
        <v>2</v>
      </c>
      <c r="Z487" s="54" t="s">
        <v>2</v>
      </c>
      <c r="AA487" s="54" t="s">
        <v>2</v>
      </c>
      <c r="AB487" s="54" t="s">
        <v>2</v>
      </c>
      <c r="AC487" s="54" t="s">
        <v>2</v>
      </c>
      <c r="AD487" s="54" t="s">
        <v>2</v>
      </c>
      <c r="AE487" s="54" t="s">
        <v>2</v>
      </c>
      <c r="AF487" s="54" t="s">
        <v>2</v>
      </c>
      <c r="AG487" s="54" t="s">
        <v>2</v>
      </c>
    </row>
    <row r="488" ht="15.75" customHeight="1">
      <c r="B488" s="56"/>
      <c r="U488" s="46" t="str">
        <f t="array" ref="U488">IF($D488="","",IFERROR(_xlfn.XLOOKUP($D488,'TIR店舗一覧'!$D:$D,'TIR店舗一覧'!$E:$E,""),""))</f>
        <v/>
      </c>
      <c r="V488" s="54" t="s">
        <v>2</v>
      </c>
      <c r="W488" s="54" t="s">
        <v>2</v>
      </c>
      <c r="X488" s="54" t="s">
        <v>2</v>
      </c>
      <c r="Y488" s="54" t="s">
        <v>2</v>
      </c>
      <c r="Z488" s="54" t="s">
        <v>2</v>
      </c>
      <c r="AA488" s="54" t="s">
        <v>2</v>
      </c>
      <c r="AB488" s="54" t="s">
        <v>2</v>
      </c>
      <c r="AC488" s="54" t="s">
        <v>2</v>
      </c>
      <c r="AD488" s="54" t="s">
        <v>2</v>
      </c>
      <c r="AE488" s="54" t="s">
        <v>2</v>
      </c>
      <c r="AF488" s="54" t="s">
        <v>2</v>
      </c>
      <c r="AG488" s="54" t="s">
        <v>2</v>
      </c>
    </row>
    <row r="489" ht="15.75" customHeight="1">
      <c r="B489" s="56"/>
      <c r="U489" s="46" t="str">
        <f t="array" ref="U489">IF($D489="","",IFERROR(_xlfn.XLOOKUP($D489,'TIR店舗一覧'!$D:$D,'TIR店舗一覧'!$E:$E,""),""))</f>
        <v/>
      </c>
      <c r="V489" s="54" t="s">
        <v>2</v>
      </c>
      <c r="W489" s="54" t="s">
        <v>2</v>
      </c>
      <c r="X489" s="54" t="s">
        <v>2</v>
      </c>
      <c r="Y489" s="54" t="s">
        <v>2</v>
      </c>
      <c r="Z489" s="54" t="s">
        <v>2</v>
      </c>
      <c r="AA489" s="54" t="s">
        <v>2</v>
      </c>
      <c r="AB489" s="54" t="s">
        <v>2</v>
      </c>
      <c r="AC489" s="54" t="s">
        <v>2</v>
      </c>
      <c r="AD489" s="54" t="s">
        <v>2</v>
      </c>
      <c r="AE489" s="54" t="s">
        <v>2</v>
      </c>
      <c r="AF489" s="54" t="s">
        <v>2</v>
      </c>
      <c r="AG489" s="54" t="s">
        <v>2</v>
      </c>
    </row>
    <row r="490" ht="15.75" customHeight="1">
      <c r="B490" s="56"/>
      <c r="U490" s="46" t="str">
        <f t="array" ref="U490">IF($D490="","",IFERROR(_xlfn.XLOOKUP($D490,'TIR店舗一覧'!$D:$D,'TIR店舗一覧'!$E:$E,""),""))</f>
        <v/>
      </c>
      <c r="V490" s="54" t="s">
        <v>2</v>
      </c>
      <c r="W490" s="54" t="s">
        <v>2</v>
      </c>
      <c r="X490" s="54" t="s">
        <v>2</v>
      </c>
      <c r="Y490" s="54" t="s">
        <v>2</v>
      </c>
      <c r="Z490" s="54" t="s">
        <v>2</v>
      </c>
      <c r="AA490" s="54" t="s">
        <v>2</v>
      </c>
      <c r="AB490" s="54" t="s">
        <v>2</v>
      </c>
      <c r="AC490" s="54" t="s">
        <v>2</v>
      </c>
      <c r="AD490" s="54" t="s">
        <v>2</v>
      </c>
      <c r="AE490" s="54" t="s">
        <v>2</v>
      </c>
      <c r="AF490" s="54" t="s">
        <v>2</v>
      </c>
      <c r="AG490" s="54" t="s">
        <v>2</v>
      </c>
    </row>
    <row r="491" ht="15.75" customHeight="1">
      <c r="B491" s="56"/>
      <c r="U491" s="46" t="str">
        <f t="array" ref="U491">IF($D491="","",IFERROR(_xlfn.XLOOKUP($D491,'TIR店舗一覧'!$D:$D,'TIR店舗一覧'!$E:$E,""),""))</f>
        <v/>
      </c>
      <c r="V491" s="54" t="s">
        <v>2</v>
      </c>
      <c r="W491" s="54" t="s">
        <v>2</v>
      </c>
      <c r="X491" s="54" t="s">
        <v>2</v>
      </c>
      <c r="Y491" s="54" t="s">
        <v>2</v>
      </c>
      <c r="Z491" s="54" t="s">
        <v>2</v>
      </c>
      <c r="AA491" s="54" t="s">
        <v>2</v>
      </c>
      <c r="AB491" s="54" t="s">
        <v>2</v>
      </c>
      <c r="AC491" s="54" t="s">
        <v>2</v>
      </c>
      <c r="AD491" s="54" t="s">
        <v>2</v>
      </c>
      <c r="AE491" s="54" t="s">
        <v>2</v>
      </c>
      <c r="AF491" s="54" t="s">
        <v>2</v>
      </c>
      <c r="AG491" s="54" t="s">
        <v>2</v>
      </c>
    </row>
    <row r="492" ht="15.75" customHeight="1">
      <c r="B492" s="56"/>
      <c r="U492" s="46" t="str">
        <f t="array" ref="U492">IF($D492="","",IFERROR(_xlfn.XLOOKUP($D492,'TIR店舗一覧'!$D:$D,'TIR店舗一覧'!$E:$E,""),""))</f>
        <v/>
      </c>
      <c r="V492" s="54" t="s">
        <v>2</v>
      </c>
      <c r="W492" s="54" t="s">
        <v>2</v>
      </c>
      <c r="X492" s="54" t="s">
        <v>2</v>
      </c>
      <c r="Y492" s="54" t="s">
        <v>2</v>
      </c>
      <c r="Z492" s="54" t="s">
        <v>2</v>
      </c>
      <c r="AA492" s="54" t="s">
        <v>2</v>
      </c>
      <c r="AB492" s="54" t="s">
        <v>2</v>
      </c>
      <c r="AC492" s="54" t="s">
        <v>2</v>
      </c>
      <c r="AD492" s="54" t="s">
        <v>2</v>
      </c>
      <c r="AE492" s="54" t="s">
        <v>2</v>
      </c>
      <c r="AF492" s="54" t="s">
        <v>2</v>
      </c>
      <c r="AG492" s="54" t="s">
        <v>2</v>
      </c>
    </row>
    <row r="493" ht="15.75" customHeight="1">
      <c r="B493" s="56"/>
      <c r="U493" s="46" t="str">
        <f t="array" ref="U493">IF($D493="","",IFERROR(_xlfn.XLOOKUP($D493,'TIR店舗一覧'!$D:$D,'TIR店舗一覧'!$E:$E,""),""))</f>
        <v/>
      </c>
      <c r="V493" s="54" t="s">
        <v>2</v>
      </c>
      <c r="W493" s="54" t="s">
        <v>2</v>
      </c>
      <c r="X493" s="54" t="s">
        <v>2</v>
      </c>
      <c r="Y493" s="54" t="s">
        <v>2</v>
      </c>
      <c r="Z493" s="54" t="s">
        <v>2</v>
      </c>
      <c r="AA493" s="54" t="s">
        <v>2</v>
      </c>
      <c r="AB493" s="54" t="s">
        <v>2</v>
      </c>
      <c r="AC493" s="54" t="s">
        <v>2</v>
      </c>
      <c r="AD493" s="54" t="s">
        <v>2</v>
      </c>
      <c r="AE493" s="54" t="s">
        <v>2</v>
      </c>
      <c r="AF493" s="54" t="s">
        <v>2</v>
      </c>
      <c r="AG493" s="54" t="s">
        <v>2</v>
      </c>
    </row>
    <row r="494" ht="15.75" customHeight="1">
      <c r="B494" s="56"/>
      <c r="U494" s="46" t="str">
        <f t="array" ref="U494">IF($D494="","",IFERROR(_xlfn.XLOOKUP($D494,'TIR店舗一覧'!$D:$D,'TIR店舗一覧'!$E:$E,""),""))</f>
        <v/>
      </c>
      <c r="V494" s="54" t="s">
        <v>2</v>
      </c>
      <c r="W494" s="54" t="s">
        <v>2</v>
      </c>
      <c r="X494" s="54" t="s">
        <v>2</v>
      </c>
      <c r="Y494" s="54" t="s">
        <v>2</v>
      </c>
      <c r="Z494" s="54" t="s">
        <v>2</v>
      </c>
      <c r="AA494" s="54" t="s">
        <v>2</v>
      </c>
      <c r="AB494" s="54" t="s">
        <v>2</v>
      </c>
      <c r="AC494" s="54" t="s">
        <v>2</v>
      </c>
      <c r="AD494" s="54" t="s">
        <v>2</v>
      </c>
      <c r="AE494" s="54" t="s">
        <v>2</v>
      </c>
      <c r="AF494" s="54" t="s">
        <v>2</v>
      </c>
      <c r="AG494" s="54" t="s">
        <v>2</v>
      </c>
    </row>
    <row r="495" ht="15.75" customHeight="1">
      <c r="B495" s="56"/>
      <c r="U495" s="46" t="str">
        <f t="array" ref="U495">IF($D495="","",IFERROR(_xlfn.XLOOKUP($D495,'TIR店舗一覧'!$D:$D,'TIR店舗一覧'!$E:$E,""),""))</f>
        <v/>
      </c>
      <c r="V495" s="54" t="s">
        <v>2</v>
      </c>
      <c r="W495" s="54" t="s">
        <v>2</v>
      </c>
      <c r="X495" s="54" t="s">
        <v>2</v>
      </c>
      <c r="Y495" s="54" t="s">
        <v>2</v>
      </c>
      <c r="Z495" s="54" t="s">
        <v>2</v>
      </c>
      <c r="AA495" s="54" t="s">
        <v>2</v>
      </c>
      <c r="AB495" s="54" t="s">
        <v>2</v>
      </c>
      <c r="AC495" s="54" t="s">
        <v>2</v>
      </c>
      <c r="AD495" s="54" t="s">
        <v>2</v>
      </c>
      <c r="AE495" s="54" t="s">
        <v>2</v>
      </c>
      <c r="AF495" s="54" t="s">
        <v>2</v>
      </c>
      <c r="AG495" s="54" t="s">
        <v>2</v>
      </c>
    </row>
    <row r="496" ht="15.75" customHeight="1">
      <c r="B496" s="56"/>
      <c r="U496" s="46" t="str">
        <f t="array" ref="U496">IF($D496="","",IFERROR(_xlfn.XLOOKUP($D496,'TIR店舗一覧'!$D:$D,'TIR店舗一覧'!$E:$E,""),""))</f>
        <v/>
      </c>
      <c r="V496" s="54" t="s">
        <v>2</v>
      </c>
      <c r="W496" s="54" t="s">
        <v>2</v>
      </c>
      <c r="X496" s="54" t="s">
        <v>2</v>
      </c>
      <c r="Y496" s="54" t="s">
        <v>2</v>
      </c>
      <c r="Z496" s="54" t="s">
        <v>2</v>
      </c>
      <c r="AA496" s="54" t="s">
        <v>2</v>
      </c>
      <c r="AB496" s="54" t="s">
        <v>2</v>
      </c>
      <c r="AC496" s="54" t="s">
        <v>2</v>
      </c>
      <c r="AD496" s="54" t="s">
        <v>2</v>
      </c>
      <c r="AE496" s="54" t="s">
        <v>2</v>
      </c>
      <c r="AF496" s="54" t="s">
        <v>2</v>
      </c>
      <c r="AG496" s="54" t="s">
        <v>2</v>
      </c>
    </row>
    <row r="497" ht="15.75" customHeight="1">
      <c r="B497" s="56"/>
      <c r="U497" s="46" t="str">
        <f t="array" ref="U497">IF($D497="","",IFERROR(_xlfn.XLOOKUP($D497,'TIR店舗一覧'!$D:$D,'TIR店舗一覧'!$E:$E,""),""))</f>
        <v/>
      </c>
      <c r="V497" s="54" t="s">
        <v>2</v>
      </c>
      <c r="W497" s="54" t="s">
        <v>2</v>
      </c>
      <c r="X497" s="54" t="s">
        <v>2</v>
      </c>
      <c r="Y497" s="54" t="s">
        <v>2</v>
      </c>
      <c r="Z497" s="54" t="s">
        <v>2</v>
      </c>
      <c r="AA497" s="54" t="s">
        <v>2</v>
      </c>
      <c r="AB497" s="54" t="s">
        <v>2</v>
      </c>
      <c r="AC497" s="54" t="s">
        <v>2</v>
      </c>
      <c r="AD497" s="54" t="s">
        <v>2</v>
      </c>
      <c r="AE497" s="54" t="s">
        <v>2</v>
      </c>
      <c r="AF497" s="54" t="s">
        <v>2</v>
      </c>
      <c r="AG497" s="54" t="s">
        <v>2</v>
      </c>
    </row>
    <row r="498" ht="15.75" customHeight="1">
      <c r="B498" s="56"/>
      <c r="U498" s="46" t="str">
        <f t="array" ref="U498">IF($D498="","",IFERROR(_xlfn.XLOOKUP($D498,'TIR店舗一覧'!$D:$D,'TIR店舗一覧'!$E:$E,""),""))</f>
        <v/>
      </c>
      <c r="V498" s="54" t="s">
        <v>2</v>
      </c>
      <c r="W498" s="54" t="s">
        <v>2</v>
      </c>
      <c r="X498" s="54" t="s">
        <v>2</v>
      </c>
      <c r="Y498" s="54" t="s">
        <v>2</v>
      </c>
      <c r="Z498" s="54" t="s">
        <v>2</v>
      </c>
      <c r="AA498" s="54" t="s">
        <v>2</v>
      </c>
      <c r="AB498" s="54" t="s">
        <v>2</v>
      </c>
      <c r="AC498" s="54" t="s">
        <v>2</v>
      </c>
      <c r="AD498" s="54" t="s">
        <v>2</v>
      </c>
      <c r="AE498" s="54" t="s">
        <v>2</v>
      </c>
      <c r="AF498" s="54" t="s">
        <v>2</v>
      </c>
      <c r="AG498" s="54" t="s">
        <v>2</v>
      </c>
    </row>
    <row r="499" ht="15.75" customHeight="1">
      <c r="B499" s="56"/>
      <c r="U499" s="46" t="str">
        <f t="array" ref="U499">IF($D499="","",IFERROR(_xlfn.XLOOKUP($D499,'TIR店舗一覧'!$D:$D,'TIR店舗一覧'!$E:$E,""),""))</f>
        <v/>
      </c>
      <c r="V499" s="54" t="s">
        <v>2</v>
      </c>
      <c r="W499" s="54" t="s">
        <v>2</v>
      </c>
      <c r="X499" s="54" t="s">
        <v>2</v>
      </c>
      <c r="Y499" s="54" t="s">
        <v>2</v>
      </c>
      <c r="Z499" s="54" t="s">
        <v>2</v>
      </c>
      <c r="AA499" s="54" t="s">
        <v>2</v>
      </c>
      <c r="AB499" s="54" t="s">
        <v>2</v>
      </c>
      <c r="AC499" s="54" t="s">
        <v>2</v>
      </c>
      <c r="AD499" s="54" t="s">
        <v>2</v>
      </c>
      <c r="AE499" s="54" t="s">
        <v>2</v>
      </c>
      <c r="AF499" s="54" t="s">
        <v>2</v>
      </c>
      <c r="AG499" s="54" t="s">
        <v>2</v>
      </c>
    </row>
    <row r="500" ht="15.75" customHeight="1">
      <c r="B500" s="56"/>
      <c r="U500" s="46" t="str">
        <f t="array" ref="U500">IF($D500="","",IFERROR(_xlfn.XLOOKUP($D500,'TIR店舗一覧'!$D:$D,'TIR店舗一覧'!$E:$E,""),""))</f>
        <v/>
      </c>
      <c r="V500" s="54" t="s">
        <v>2</v>
      </c>
      <c r="W500" s="54" t="s">
        <v>2</v>
      </c>
      <c r="X500" s="54" t="s">
        <v>2</v>
      </c>
      <c r="Y500" s="54" t="s">
        <v>2</v>
      </c>
      <c r="Z500" s="54" t="s">
        <v>2</v>
      </c>
      <c r="AA500" s="54" t="s">
        <v>2</v>
      </c>
      <c r="AB500" s="54" t="s">
        <v>2</v>
      </c>
      <c r="AC500" s="54" t="s">
        <v>2</v>
      </c>
      <c r="AD500" s="54" t="s">
        <v>2</v>
      </c>
      <c r="AE500" s="54" t="s">
        <v>2</v>
      </c>
      <c r="AF500" s="54" t="s">
        <v>2</v>
      </c>
      <c r="AG500" s="54" t="s">
        <v>2</v>
      </c>
    </row>
    <row r="501" ht="15.75" customHeight="1">
      <c r="B501" s="56"/>
      <c r="U501" s="46" t="str">
        <f t="array" ref="U501">IF($D501="","",IFERROR(_xlfn.XLOOKUP($D501,'TIR店舗一覧'!$D:$D,'TIR店舗一覧'!$E:$E,""),""))</f>
        <v/>
      </c>
      <c r="V501" s="54" t="s">
        <v>2</v>
      </c>
      <c r="W501" s="54" t="s">
        <v>2</v>
      </c>
      <c r="X501" s="54" t="s">
        <v>2</v>
      </c>
      <c r="Y501" s="54" t="s">
        <v>2</v>
      </c>
      <c r="Z501" s="54" t="s">
        <v>2</v>
      </c>
      <c r="AA501" s="54" t="s">
        <v>2</v>
      </c>
      <c r="AB501" s="54" t="s">
        <v>2</v>
      </c>
      <c r="AC501" s="54" t="s">
        <v>2</v>
      </c>
      <c r="AD501" s="54" t="s">
        <v>2</v>
      </c>
      <c r="AE501" s="54" t="s">
        <v>2</v>
      </c>
      <c r="AF501" s="54" t="s">
        <v>2</v>
      </c>
      <c r="AG501" s="54" t="s">
        <v>2</v>
      </c>
    </row>
    <row r="502" ht="15.75" customHeight="1">
      <c r="B502" s="56"/>
      <c r="U502" s="46" t="str">
        <f t="array" ref="U502">IF($D502="","",IFERROR(_xlfn.XLOOKUP($D502,'TIR店舗一覧'!$D:$D,'TIR店舗一覧'!$E:$E,""),""))</f>
        <v/>
      </c>
      <c r="V502" s="54" t="s">
        <v>2</v>
      </c>
      <c r="W502" s="54" t="s">
        <v>2</v>
      </c>
      <c r="X502" s="54" t="s">
        <v>2</v>
      </c>
      <c r="Y502" s="54" t="s">
        <v>2</v>
      </c>
      <c r="Z502" s="54" t="s">
        <v>2</v>
      </c>
      <c r="AA502" s="54" t="s">
        <v>2</v>
      </c>
      <c r="AB502" s="54" t="s">
        <v>2</v>
      </c>
      <c r="AC502" s="54" t="s">
        <v>2</v>
      </c>
      <c r="AD502" s="54" t="s">
        <v>2</v>
      </c>
      <c r="AE502" s="54" t="s">
        <v>2</v>
      </c>
      <c r="AF502" s="54" t="s">
        <v>2</v>
      </c>
      <c r="AG502" s="54" t="s">
        <v>2</v>
      </c>
    </row>
    <row r="503" ht="15.75" customHeight="1">
      <c r="B503" s="56"/>
      <c r="U503" s="46" t="str">
        <f t="array" ref="U503">IF($D503="","",IFERROR(_xlfn.XLOOKUP($D503,'TIR店舗一覧'!$D:$D,'TIR店舗一覧'!$E:$E,""),""))</f>
        <v/>
      </c>
      <c r="V503" s="54" t="s">
        <v>2</v>
      </c>
      <c r="W503" s="54" t="s">
        <v>2</v>
      </c>
      <c r="X503" s="54" t="s">
        <v>2</v>
      </c>
      <c r="Y503" s="54" t="s">
        <v>2</v>
      </c>
      <c r="Z503" s="54" t="s">
        <v>2</v>
      </c>
      <c r="AA503" s="54" t="s">
        <v>2</v>
      </c>
      <c r="AB503" s="54" t="s">
        <v>2</v>
      </c>
      <c r="AC503" s="54" t="s">
        <v>2</v>
      </c>
      <c r="AD503" s="54" t="s">
        <v>2</v>
      </c>
      <c r="AE503" s="54" t="s">
        <v>2</v>
      </c>
      <c r="AF503" s="54" t="s">
        <v>2</v>
      </c>
      <c r="AG503" s="54" t="s">
        <v>2</v>
      </c>
    </row>
    <row r="504" ht="15.75" customHeight="1">
      <c r="B504" s="56"/>
      <c r="U504" s="46" t="str">
        <f t="array" ref="U504">IF($D504="","",IFERROR(_xlfn.XLOOKUP($D504,'TIR店舗一覧'!$D:$D,'TIR店舗一覧'!$E:$E,""),""))</f>
        <v/>
      </c>
      <c r="V504" s="54" t="s">
        <v>2</v>
      </c>
      <c r="W504" s="54" t="s">
        <v>2</v>
      </c>
      <c r="X504" s="54" t="s">
        <v>2</v>
      </c>
      <c r="Y504" s="54" t="s">
        <v>2</v>
      </c>
      <c r="Z504" s="54" t="s">
        <v>2</v>
      </c>
      <c r="AA504" s="54" t="s">
        <v>2</v>
      </c>
      <c r="AB504" s="54" t="s">
        <v>2</v>
      </c>
      <c r="AC504" s="54" t="s">
        <v>2</v>
      </c>
      <c r="AD504" s="54" t="s">
        <v>2</v>
      </c>
      <c r="AE504" s="54" t="s">
        <v>2</v>
      </c>
      <c r="AF504" s="54" t="s">
        <v>2</v>
      </c>
      <c r="AG504" s="54" t="s">
        <v>2</v>
      </c>
    </row>
    <row r="505" ht="15.75" customHeight="1">
      <c r="B505" s="56"/>
      <c r="U505" s="46" t="str">
        <f t="array" ref="U505">IF($D505="","",IFERROR(_xlfn.XLOOKUP($D505,'TIR店舗一覧'!$D:$D,'TIR店舗一覧'!$E:$E,""),""))</f>
        <v/>
      </c>
      <c r="V505" s="54" t="s">
        <v>2</v>
      </c>
      <c r="W505" s="54" t="s">
        <v>2</v>
      </c>
      <c r="X505" s="54" t="s">
        <v>2</v>
      </c>
      <c r="Y505" s="54" t="s">
        <v>2</v>
      </c>
      <c r="Z505" s="54" t="s">
        <v>2</v>
      </c>
      <c r="AA505" s="54" t="s">
        <v>2</v>
      </c>
      <c r="AB505" s="54" t="s">
        <v>2</v>
      </c>
      <c r="AC505" s="54" t="s">
        <v>2</v>
      </c>
      <c r="AD505" s="54" t="s">
        <v>2</v>
      </c>
      <c r="AE505" s="54" t="s">
        <v>2</v>
      </c>
      <c r="AF505" s="54" t="s">
        <v>2</v>
      </c>
      <c r="AG505" s="54" t="s">
        <v>2</v>
      </c>
    </row>
    <row r="506" ht="15.75" customHeight="1">
      <c r="B506" s="56"/>
      <c r="U506" s="46" t="str">
        <f t="array" ref="U506">IF($D506="","",IFERROR(_xlfn.XLOOKUP($D506,'TIR店舗一覧'!$D:$D,'TIR店舗一覧'!$E:$E,""),""))</f>
        <v/>
      </c>
      <c r="V506" s="54" t="s">
        <v>2</v>
      </c>
      <c r="W506" s="54" t="s">
        <v>2</v>
      </c>
      <c r="X506" s="54" t="s">
        <v>2</v>
      </c>
      <c r="Y506" s="54" t="s">
        <v>2</v>
      </c>
      <c r="Z506" s="54" t="s">
        <v>2</v>
      </c>
      <c r="AA506" s="54" t="s">
        <v>2</v>
      </c>
      <c r="AB506" s="54" t="s">
        <v>2</v>
      </c>
      <c r="AC506" s="54" t="s">
        <v>2</v>
      </c>
      <c r="AD506" s="54" t="s">
        <v>2</v>
      </c>
      <c r="AE506" s="54" t="s">
        <v>2</v>
      </c>
      <c r="AF506" s="54" t="s">
        <v>2</v>
      </c>
      <c r="AG506" s="54" t="s">
        <v>2</v>
      </c>
    </row>
    <row r="507" ht="15.75" customHeight="1">
      <c r="B507" s="56"/>
      <c r="U507" s="46" t="str">
        <f t="array" ref="U507">IF($D507="","",IFERROR(_xlfn.XLOOKUP($D507,'TIR店舗一覧'!$D:$D,'TIR店舗一覧'!$E:$E,""),""))</f>
        <v/>
      </c>
      <c r="V507" s="54" t="s">
        <v>2</v>
      </c>
      <c r="W507" s="54" t="s">
        <v>2</v>
      </c>
      <c r="X507" s="54" t="s">
        <v>2</v>
      </c>
      <c r="Y507" s="54" t="s">
        <v>2</v>
      </c>
      <c r="Z507" s="54" t="s">
        <v>2</v>
      </c>
      <c r="AA507" s="54" t="s">
        <v>2</v>
      </c>
      <c r="AB507" s="54" t="s">
        <v>2</v>
      </c>
      <c r="AC507" s="54" t="s">
        <v>2</v>
      </c>
      <c r="AD507" s="54" t="s">
        <v>2</v>
      </c>
      <c r="AE507" s="54" t="s">
        <v>2</v>
      </c>
      <c r="AF507" s="54" t="s">
        <v>2</v>
      </c>
      <c r="AG507" s="54" t="s">
        <v>2</v>
      </c>
    </row>
    <row r="508" ht="15.75" customHeight="1">
      <c r="B508" s="56"/>
      <c r="U508" s="46" t="str">
        <f t="array" ref="U508">IF($D508="","",IFERROR(_xlfn.XLOOKUP($D508,'TIR店舗一覧'!$D:$D,'TIR店舗一覧'!$E:$E,""),""))</f>
        <v/>
      </c>
      <c r="V508" s="54" t="s">
        <v>2</v>
      </c>
      <c r="W508" s="54" t="s">
        <v>2</v>
      </c>
      <c r="X508" s="54" t="s">
        <v>2</v>
      </c>
      <c r="Y508" s="54" t="s">
        <v>2</v>
      </c>
      <c r="Z508" s="54" t="s">
        <v>2</v>
      </c>
      <c r="AA508" s="54" t="s">
        <v>2</v>
      </c>
      <c r="AB508" s="54" t="s">
        <v>2</v>
      </c>
      <c r="AC508" s="54" t="s">
        <v>2</v>
      </c>
      <c r="AD508" s="54" t="s">
        <v>2</v>
      </c>
      <c r="AE508" s="54" t="s">
        <v>2</v>
      </c>
      <c r="AF508" s="54" t="s">
        <v>2</v>
      </c>
      <c r="AG508" s="54" t="s">
        <v>2</v>
      </c>
    </row>
    <row r="509" ht="15.75" customHeight="1">
      <c r="B509" s="56"/>
      <c r="U509" s="46" t="str">
        <f t="array" ref="U509">IF($D509="","",IFERROR(_xlfn.XLOOKUP($D509,'TIR店舗一覧'!$D:$D,'TIR店舗一覧'!$E:$E,""),""))</f>
        <v/>
      </c>
      <c r="V509" s="54" t="s">
        <v>2</v>
      </c>
      <c r="W509" s="54" t="s">
        <v>2</v>
      </c>
      <c r="X509" s="54" t="s">
        <v>2</v>
      </c>
      <c r="Y509" s="54" t="s">
        <v>2</v>
      </c>
      <c r="Z509" s="54" t="s">
        <v>2</v>
      </c>
      <c r="AA509" s="54" t="s">
        <v>2</v>
      </c>
      <c r="AB509" s="54" t="s">
        <v>2</v>
      </c>
      <c r="AC509" s="54" t="s">
        <v>2</v>
      </c>
      <c r="AD509" s="54" t="s">
        <v>2</v>
      </c>
      <c r="AE509" s="54" t="s">
        <v>2</v>
      </c>
      <c r="AF509" s="54" t="s">
        <v>2</v>
      </c>
      <c r="AG509" s="54" t="s">
        <v>2</v>
      </c>
    </row>
    <row r="510" ht="15.75" customHeight="1">
      <c r="B510" s="56"/>
      <c r="U510" s="46" t="str">
        <f t="array" ref="U510">IF($D510="","",IFERROR(_xlfn.XLOOKUP($D510,'TIR店舗一覧'!$D:$D,'TIR店舗一覧'!$E:$E,""),""))</f>
        <v/>
      </c>
      <c r="V510" s="54" t="s">
        <v>2</v>
      </c>
      <c r="W510" s="54" t="s">
        <v>2</v>
      </c>
      <c r="X510" s="54" t="s">
        <v>2</v>
      </c>
      <c r="Y510" s="54" t="s">
        <v>2</v>
      </c>
      <c r="Z510" s="54" t="s">
        <v>2</v>
      </c>
      <c r="AA510" s="54" t="s">
        <v>2</v>
      </c>
      <c r="AB510" s="54" t="s">
        <v>2</v>
      </c>
      <c r="AC510" s="54" t="s">
        <v>2</v>
      </c>
      <c r="AD510" s="54" t="s">
        <v>2</v>
      </c>
      <c r="AE510" s="54" t="s">
        <v>2</v>
      </c>
      <c r="AF510" s="54" t="s">
        <v>2</v>
      </c>
      <c r="AG510" s="54" t="s">
        <v>2</v>
      </c>
    </row>
    <row r="511" ht="15.75" customHeight="1">
      <c r="B511" s="56"/>
      <c r="U511" s="46" t="str">
        <f t="array" ref="U511">IF($D511="","",IFERROR(_xlfn.XLOOKUP($D511,'TIR店舗一覧'!$D:$D,'TIR店舗一覧'!$E:$E,""),""))</f>
        <v/>
      </c>
      <c r="V511" s="54" t="s">
        <v>2</v>
      </c>
      <c r="W511" s="54" t="s">
        <v>2</v>
      </c>
      <c r="X511" s="54" t="s">
        <v>2</v>
      </c>
      <c r="Y511" s="54" t="s">
        <v>2</v>
      </c>
      <c r="Z511" s="54" t="s">
        <v>2</v>
      </c>
      <c r="AA511" s="54" t="s">
        <v>2</v>
      </c>
      <c r="AB511" s="54" t="s">
        <v>2</v>
      </c>
      <c r="AC511" s="54" t="s">
        <v>2</v>
      </c>
      <c r="AD511" s="54" t="s">
        <v>2</v>
      </c>
      <c r="AE511" s="54" t="s">
        <v>2</v>
      </c>
      <c r="AF511" s="54" t="s">
        <v>2</v>
      </c>
      <c r="AG511" s="54" t="s">
        <v>2</v>
      </c>
    </row>
    <row r="512" ht="15.75" customHeight="1">
      <c r="B512" s="56"/>
      <c r="U512" s="46" t="str">
        <f t="array" ref="U512">IF($D512="","",IFERROR(_xlfn.XLOOKUP($D512,'TIR店舗一覧'!$D:$D,'TIR店舗一覧'!$E:$E,""),""))</f>
        <v/>
      </c>
      <c r="V512" s="54" t="s">
        <v>2</v>
      </c>
      <c r="W512" s="54" t="s">
        <v>2</v>
      </c>
      <c r="X512" s="54" t="s">
        <v>2</v>
      </c>
      <c r="Y512" s="54" t="s">
        <v>2</v>
      </c>
      <c r="Z512" s="54" t="s">
        <v>2</v>
      </c>
      <c r="AA512" s="54" t="s">
        <v>2</v>
      </c>
      <c r="AB512" s="54" t="s">
        <v>2</v>
      </c>
      <c r="AC512" s="54" t="s">
        <v>2</v>
      </c>
      <c r="AD512" s="54" t="s">
        <v>2</v>
      </c>
      <c r="AE512" s="54" t="s">
        <v>2</v>
      </c>
      <c r="AF512" s="54" t="s">
        <v>2</v>
      </c>
      <c r="AG512" s="54" t="s">
        <v>2</v>
      </c>
    </row>
    <row r="513" ht="15.75" customHeight="1">
      <c r="B513" s="56"/>
      <c r="U513" s="46" t="str">
        <f t="array" ref="U513">IF($D513="","",IFERROR(_xlfn.XLOOKUP($D513,'TIR店舗一覧'!$D:$D,'TIR店舗一覧'!$E:$E,""),""))</f>
        <v/>
      </c>
      <c r="V513" s="54" t="s">
        <v>2</v>
      </c>
      <c r="W513" s="54" t="s">
        <v>2</v>
      </c>
      <c r="X513" s="54" t="s">
        <v>2</v>
      </c>
      <c r="Y513" s="54" t="s">
        <v>2</v>
      </c>
      <c r="Z513" s="54" t="s">
        <v>2</v>
      </c>
      <c r="AA513" s="54" t="s">
        <v>2</v>
      </c>
      <c r="AB513" s="54" t="s">
        <v>2</v>
      </c>
      <c r="AC513" s="54" t="s">
        <v>2</v>
      </c>
      <c r="AD513" s="54" t="s">
        <v>2</v>
      </c>
      <c r="AE513" s="54" t="s">
        <v>2</v>
      </c>
      <c r="AF513" s="54" t="s">
        <v>2</v>
      </c>
      <c r="AG513" s="54" t="s">
        <v>2</v>
      </c>
    </row>
    <row r="514" ht="15.75" customHeight="1">
      <c r="B514" s="56"/>
      <c r="U514" s="46" t="str">
        <f t="array" ref="U514">IF($D514="","",IFERROR(_xlfn.XLOOKUP($D514,'TIR店舗一覧'!$D:$D,'TIR店舗一覧'!$E:$E,""),""))</f>
        <v/>
      </c>
      <c r="V514" s="54" t="s">
        <v>2</v>
      </c>
      <c r="W514" s="54" t="s">
        <v>2</v>
      </c>
      <c r="X514" s="54" t="s">
        <v>2</v>
      </c>
      <c r="Y514" s="54" t="s">
        <v>2</v>
      </c>
      <c r="Z514" s="54" t="s">
        <v>2</v>
      </c>
      <c r="AA514" s="54" t="s">
        <v>2</v>
      </c>
      <c r="AB514" s="54" t="s">
        <v>2</v>
      </c>
      <c r="AC514" s="54" t="s">
        <v>2</v>
      </c>
      <c r="AD514" s="54" t="s">
        <v>2</v>
      </c>
      <c r="AE514" s="54" t="s">
        <v>2</v>
      </c>
      <c r="AF514" s="54" t="s">
        <v>2</v>
      </c>
      <c r="AG514" s="54" t="s">
        <v>2</v>
      </c>
    </row>
    <row r="515" ht="15.75" customHeight="1">
      <c r="B515" s="56"/>
      <c r="U515" s="46" t="str">
        <f t="array" ref="U515">IF($D515="","",IFERROR(_xlfn.XLOOKUP($D515,'TIR店舗一覧'!$D:$D,'TIR店舗一覧'!$E:$E,""),""))</f>
        <v/>
      </c>
      <c r="V515" s="54" t="s">
        <v>2</v>
      </c>
      <c r="W515" s="54" t="s">
        <v>2</v>
      </c>
      <c r="X515" s="54" t="s">
        <v>2</v>
      </c>
      <c r="Y515" s="54" t="s">
        <v>2</v>
      </c>
      <c r="Z515" s="54" t="s">
        <v>2</v>
      </c>
      <c r="AA515" s="54" t="s">
        <v>2</v>
      </c>
      <c r="AB515" s="54" t="s">
        <v>2</v>
      </c>
      <c r="AC515" s="54" t="s">
        <v>2</v>
      </c>
      <c r="AD515" s="54" t="s">
        <v>2</v>
      </c>
      <c r="AE515" s="54" t="s">
        <v>2</v>
      </c>
      <c r="AF515" s="54" t="s">
        <v>2</v>
      </c>
      <c r="AG515" s="54" t="s">
        <v>2</v>
      </c>
    </row>
    <row r="516" ht="15.75" customHeight="1">
      <c r="B516" s="56"/>
      <c r="U516" s="46" t="str">
        <f t="array" ref="U516">IF($D516="","",IFERROR(_xlfn.XLOOKUP($D516,'TIR店舗一覧'!$D:$D,'TIR店舗一覧'!$E:$E,""),""))</f>
        <v/>
      </c>
      <c r="V516" s="54" t="s">
        <v>2</v>
      </c>
      <c r="W516" s="54" t="s">
        <v>2</v>
      </c>
      <c r="X516" s="54" t="s">
        <v>2</v>
      </c>
      <c r="Y516" s="54" t="s">
        <v>2</v>
      </c>
      <c r="Z516" s="54" t="s">
        <v>2</v>
      </c>
      <c r="AA516" s="54" t="s">
        <v>2</v>
      </c>
      <c r="AB516" s="54" t="s">
        <v>2</v>
      </c>
      <c r="AC516" s="54" t="s">
        <v>2</v>
      </c>
      <c r="AD516" s="54" t="s">
        <v>2</v>
      </c>
      <c r="AE516" s="54" t="s">
        <v>2</v>
      </c>
      <c r="AF516" s="54" t="s">
        <v>2</v>
      </c>
      <c r="AG516" s="54" t="s">
        <v>2</v>
      </c>
    </row>
    <row r="517" ht="15.75" customHeight="1">
      <c r="B517" s="56"/>
      <c r="U517" s="46" t="str">
        <f t="array" ref="U517">IF($D517="","",IFERROR(_xlfn.XLOOKUP($D517,'TIR店舗一覧'!$D:$D,'TIR店舗一覧'!$E:$E,""),""))</f>
        <v/>
      </c>
      <c r="V517" s="54" t="s">
        <v>2</v>
      </c>
      <c r="W517" s="54" t="s">
        <v>2</v>
      </c>
      <c r="X517" s="54" t="s">
        <v>2</v>
      </c>
      <c r="Y517" s="54" t="s">
        <v>2</v>
      </c>
      <c r="Z517" s="54" t="s">
        <v>2</v>
      </c>
      <c r="AA517" s="54" t="s">
        <v>2</v>
      </c>
      <c r="AB517" s="54" t="s">
        <v>2</v>
      </c>
      <c r="AC517" s="54" t="s">
        <v>2</v>
      </c>
      <c r="AD517" s="54" t="s">
        <v>2</v>
      </c>
      <c r="AE517" s="54" t="s">
        <v>2</v>
      </c>
      <c r="AF517" s="54" t="s">
        <v>2</v>
      </c>
      <c r="AG517" s="54" t="s">
        <v>2</v>
      </c>
    </row>
    <row r="518" ht="15.75" customHeight="1">
      <c r="B518" s="56"/>
      <c r="U518" s="46" t="str">
        <f t="array" ref="U518">IF($D518="","",IFERROR(_xlfn.XLOOKUP($D518,'TIR店舗一覧'!$D:$D,'TIR店舗一覧'!$E:$E,""),""))</f>
        <v/>
      </c>
      <c r="V518" s="54" t="s">
        <v>2</v>
      </c>
      <c r="W518" s="54" t="s">
        <v>2</v>
      </c>
      <c r="X518" s="54" t="s">
        <v>2</v>
      </c>
      <c r="Y518" s="54" t="s">
        <v>2</v>
      </c>
      <c r="Z518" s="54" t="s">
        <v>2</v>
      </c>
      <c r="AA518" s="54" t="s">
        <v>2</v>
      </c>
      <c r="AB518" s="54" t="s">
        <v>2</v>
      </c>
      <c r="AC518" s="54" t="s">
        <v>2</v>
      </c>
      <c r="AD518" s="54" t="s">
        <v>2</v>
      </c>
      <c r="AE518" s="54" t="s">
        <v>2</v>
      </c>
      <c r="AF518" s="54" t="s">
        <v>2</v>
      </c>
      <c r="AG518" s="54" t="s">
        <v>2</v>
      </c>
    </row>
    <row r="519" ht="15.75" customHeight="1">
      <c r="B519" s="56"/>
      <c r="U519" s="46" t="str">
        <f t="array" ref="U519">IF($D519="","",IFERROR(_xlfn.XLOOKUP($D519,'TIR店舗一覧'!$D:$D,'TIR店舗一覧'!$E:$E,""),""))</f>
        <v/>
      </c>
      <c r="V519" s="54" t="s">
        <v>2</v>
      </c>
      <c r="W519" s="54" t="s">
        <v>2</v>
      </c>
      <c r="X519" s="54" t="s">
        <v>2</v>
      </c>
      <c r="Y519" s="54" t="s">
        <v>2</v>
      </c>
      <c r="Z519" s="54" t="s">
        <v>2</v>
      </c>
      <c r="AA519" s="54" t="s">
        <v>2</v>
      </c>
      <c r="AB519" s="54" t="s">
        <v>2</v>
      </c>
      <c r="AC519" s="54" t="s">
        <v>2</v>
      </c>
      <c r="AD519" s="54" t="s">
        <v>2</v>
      </c>
      <c r="AE519" s="54" t="s">
        <v>2</v>
      </c>
      <c r="AF519" s="54" t="s">
        <v>2</v>
      </c>
      <c r="AG519" s="54" t="s">
        <v>2</v>
      </c>
    </row>
    <row r="520" ht="15.75" customHeight="1">
      <c r="B520" s="56"/>
      <c r="U520" s="46" t="str">
        <f t="array" ref="U520">IF($D520="","",IFERROR(_xlfn.XLOOKUP($D520,'TIR店舗一覧'!$D:$D,'TIR店舗一覧'!$E:$E,""),""))</f>
        <v/>
      </c>
      <c r="V520" s="54" t="s">
        <v>2</v>
      </c>
      <c r="W520" s="54" t="s">
        <v>2</v>
      </c>
      <c r="X520" s="54" t="s">
        <v>2</v>
      </c>
      <c r="Y520" s="54" t="s">
        <v>2</v>
      </c>
      <c r="Z520" s="54" t="s">
        <v>2</v>
      </c>
      <c r="AA520" s="54" t="s">
        <v>2</v>
      </c>
      <c r="AB520" s="54" t="s">
        <v>2</v>
      </c>
      <c r="AC520" s="54" t="s">
        <v>2</v>
      </c>
      <c r="AD520" s="54" t="s">
        <v>2</v>
      </c>
      <c r="AE520" s="54" t="s">
        <v>2</v>
      </c>
      <c r="AF520" s="54" t="s">
        <v>2</v>
      </c>
      <c r="AG520" s="54" t="s">
        <v>2</v>
      </c>
    </row>
    <row r="521" ht="15.75" customHeight="1">
      <c r="B521" s="56"/>
      <c r="U521" s="46" t="str">
        <f t="array" ref="U521">IF($D521="","",IFERROR(_xlfn.XLOOKUP($D521,'TIR店舗一覧'!$D:$D,'TIR店舗一覧'!$E:$E,""),""))</f>
        <v/>
      </c>
      <c r="V521" s="54" t="s">
        <v>2</v>
      </c>
      <c r="W521" s="54" t="s">
        <v>2</v>
      </c>
      <c r="X521" s="54" t="s">
        <v>2</v>
      </c>
      <c r="Y521" s="54" t="s">
        <v>2</v>
      </c>
      <c r="Z521" s="54" t="s">
        <v>2</v>
      </c>
      <c r="AA521" s="54" t="s">
        <v>2</v>
      </c>
      <c r="AB521" s="54" t="s">
        <v>2</v>
      </c>
      <c r="AC521" s="54" t="s">
        <v>2</v>
      </c>
      <c r="AD521" s="54" t="s">
        <v>2</v>
      </c>
      <c r="AE521" s="54" t="s">
        <v>2</v>
      </c>
      <c r="AF521" s="54" t="s">
        <v>2</v>
      </c>
      <c r="AG521" s="54" t="s">
        <v>2</v>
      </c>
    </row>
    <row r="522" ht="15.75" customHeight="1">
      <c r="B522" s="56"/>
      <c r="U522" s="46" t="str">
        <f t="array" ref="U522">IF($D522="","",IFERROR(_xlfn.XLOOKUP($D522,'TIR店舗一覧'!$D:$D,'TIR店舗一覧'!$E:$E,""),""))</f>
        <v/>
      </c>
      <c r="V522" s="54" t="s">
        <v>2</v>
      </c>
      <c r="W522" s="54" t="s">
        <v>2</v>
      </c>
      <c r="X522" s="54" t="s">
        <v>2</v>
      </c>
      <c r="Y522" s="54" t="s">
        <v>2</v>
      </c>
      <c r="Z522" s="54" t="s">
        <v>2</v>
      </c>
      <c r="AA522" s="54" t="s">
        <v>2</v>
      </c>
      <c r="AB522" s="54" t="s">
        <v>2</v>
      </c>
      <c r="AC522" s="54" t="s">
        <v>2</v>
      </c>
      <c r="AD522" s="54" t="s">
        <v>2</v>
      </c>
      <c r="AE522" s="54" t="s">
        <v>2</v>
      </c>
      <c r="AF522" s="54" t="s">
        <v>2</v>
      </c>
      <c r="AG522" s="54" t="s">
        <v>2</v>
      </c>
    </row>
    <row r="523" ht="15.75" customHeight="1">
      <c r="B523" s="56"/>
      <c r="U523" s="46" t="str">
        <f t="array" ref="U523">IF($D523="","",IFERROR(_xlfn.XLOOKUP($D523,'TIR店舗一覧'!$D:$D,'TIR店舗一覧'!$E:$E,""),""))</f>
        <v/>
      </c>
      <c r="V523" s="54" t="s">
        <v>2</v>
      </c>
      <c r="W523" s="54" t="s">
        <v>2</v>
      </c>
      <c r="X523" s="54" t="s">
        <v>2</v>
      </c>
      <c r="Y523" s="54" t="s">
        <v>2</v>
      </c>
      <c r="Z523" s="54" t="s">
        <v>2</v>
      </c>
      <c r="AA523" s="54" t="s">
        <v>2</v>
      </c>
      <c r="AB523" s="54" t="s">
        <v>2</v>
      </c>
      <c r="AC523" s="54" t="s">
        <v>2</v>
      </c>
      <c r="AD523" s="54" t="s">
        <v>2</v>
      </c>
      <c r="AE523" s="54" t="s">
        <v>2</v>
      </c>
      <c r="AF523" s="54" t="s">
        <v>2</v>
      </c>
      <c r="AG523" s="54" t="s">
        <v>2</v>
      </c>
    </row>
    <row r="524" ht="15.75" customHeight="1">
      <c r="B524" s="56"/>
      <c r="U524" s="46" t="str">
        <f t="array" ref="U524">IF($D524="","",IFERROR(_xlfn.XLOOKUP($D524,'TIR店舗一覧'!$D:$D,'TIR店舗一覧'!$E:$E,""),""))</f>
        <v/>
      </c>
      <c r="V524" s="54" t="s">
        <v>2</v>
      </c>
      <c r="W524" s="54" t="s">
        <v>2</v>
      </c>
      <c r="X524" s="54" t="s">
        <v>2</v>
      </c>
      <c r="Y524" s="54" t="s">
        <v>2</v>
      </c>
      <c r="Z524" s="54" t="s">
        <v>2</v>
      </c>
      <c r="AA524" s="54" t="s">
        <v>2</v>
      </c>
      <c r="AB524" s="54" t="s">
        <v>2</v>
      </c>
      <c r="AC524" s="54" t="s">
        <v>2</v>
      </c>
      <c r="AD524" s="54" t="s">
        <v>2</v>
      </c>
      <c r="AE524" s="54" t="s">
        <v>2</v>
      </c>
      <c r="AF524" s="54" t="s">
        <v>2</v>
      </c>
      <c r="AG524" s="54" t="s">
        <v>2</v>
      </c>
    </row>
    <row r="525" ht="15.75" customHeight="1">
      <c r="B525" s="56"/>
      <c r="U525" s="46" t="str">
        <f t="array" ref="U525">IF($D525="","",IFERROR(_xlfn.XLOOKUP($D525,'TIR店舗一覧'!$D:$D,'TIR店舗一覧'!$E:$E,""),""))</f>
        <v/>
      </c>
      <c r="V525" s="54" t="s">
        <v>2</v>
      </c>
      <c r="W525" s="54" t="s">
        <v>2</v>
      </c>
      <c r="X525" s="54" t="s">
        <v>2</v>
      </c>
      <c r="Y525" s="54" t="s">
        <v>2</v>
      </c>
      <c r="Z525" s="54" t="s">
        <v>2</v>
      </c>
      <c r="AA525" s="54" t="s">
        <v>2</v>
      </c>
      <c r="AB525" s="54" t="s">
        <v>2</v>
      </c>
      <c r="AC525" s="54" t="s">
        <v>2</v>
      </c>
      <c r="AD525" s="54" t="s">
        <v>2</v>
      </c>
      <c r="AE525" s="54" t="s">
        <v>2</v>
      </c>
      <c r="AF525" s="54" t="s">
        <v>2</v>
      </c>
      <c r="AG525" s="54" t="s">
        <v>2</v>
      </c>
    </row>
    <row r="526" ht="15.75" customHeight="1">
      <c r="B526" s="56"/>
      <c r="U526" s="46" t="str">
        <f t="array" ref="U526">IF($D526="","",IFERROR(_xlfn.XLOOKUP($D526,'TIR店舗一覧'!$D:$D,'TIR店舗一覧'!$E:$E,""),""))</f>
        <v/>
      </c>
      <c r="V526" s="54" t="s">
        <v>2</v>
      </c>
      <c r="W526" s="54" t="s">
        <v>2</v>
      </c>
      <c r="X526" s="54" t="s">
        <v>2</v>
      </c>
      <c r="Y526" s="54" t="s">
        <v>2</v>
      </c>
      <c r="Z526" s="54" t="s">
        <v>2</v>
      </c>
      <c r="AA526" s="54" t="s">
        <v>2</v>
      </c>
      <c r="AB526" s="54" t="s">
        <v>2</v>
      </c>
      <c r="AC526" s="54" t="s">
        <v>2</v>
      </c>
      <c r="AD526" s="54" t="s">
        <v>2</v>
      </c>
      <c r="AE526" s="54" t="s">
        <v>2</v>
      </c>
      <c r="AF526" s="54" t="s">
        <v>2</v>
      </c>
      <c r="AG526" s="54" t="s">
        <v>2</v>
      </c>
    </row>
    <row r="527" ht="15.75" customHeight="1">
      <c r="B527" s="56"/>
      <c r="U527" s="46" t="str">
        <f t="array" ref="U527">IF($D527="","",IFERROR(_xlfn.XLOOKUP($D527,'TIR店舗一覧'!$D:$D,'TIR店舗一覧'!$E:$E,""),""))</f>
        <v/>
      </c>
      <c r="V527" s="54" t="s">
        <v>2</v>
      </c>
      <c r="W527" s="54" t="s">
        <v>2</v>
      </c>
      <c r="X527" s="54" t="s">
        <v>2</v>
      </c>
      <c r="Y527" s="54" t="s">
        <v>2</v>
      </c>
      <c r="Z527" s="54" t="s">
        <v>2</v>
      </c>
      <c r="AA527" s="54" t="s">
        <v>2</v>
      </c>
      <c r="AB527" s="54" t="s">
        <v>2</v>
      </c>
      <c r="AC527" s="54" t="s">
        <v>2</v>
      </c>
      <c r="AD527" s="54" t="s">
        <v>2</v>
      </c>
      <c r="AE527" s="54" t="s">
        <v>2</v>
      </c>
      <c r="AF527" s="54" t="s">
        <v>2</v>
      </c>
      <c r="AG527" s="54" t="s">
        <v>2</v>
      </c>
    </row>
    <row r="528" ht="15.75" customHeight="1">
      <c r="B528" s="56"/>
      <c r="U528" s="46" t="str">
        <f t="array" ref="U528">IF($D528="","",IFERROR(_xlfn.XLOOKUP($D528,'TIR店舗一覧'!$D:$D,'TIR店舗一覧'!$E:$E,""),""))</f>
        <v/>
      </c>
      <c r="V528" s="54" t="s">
        <v>2</v>
      </c>
      <c r="W528" s="54" t="s">
        <v>2</v>
      </c>
      <c r="X528" s="54" t="s">
        <v>2</v>
      </c>
      <c r="Y528" s="54" t="s">
        <v>2</v>
      </c>
      <c r="Z528" s="54" t="s">
        <v>2</v>
      </c>
      <c r="AA528" s="54" t="s">
        <v>2</v>
      </c>
      <c r="AB528" s="54" t="s">
        <v>2</v>
      </c>
      <c r="AC528" s="54" t="s">
        <v>2</v>
      </c>
      <c r="AD528" s="54" t="s">
        <v>2</v>
      </c>
      <c r="AE528" s="54" t="s">
        <v>2</v>
      </c>
      <c r="AF528" s="54" t="s">
        <v>2</v>
      </c>
      <c r="AG528" s="54" t="s">
        <v>2</v>
      </c>
    </row>
    <row r="529" ht="15.75" customHeight="1">
      <c r="B529" s="56"/>
      <c r="U529" s="46" t="str">
        <f t="array" ref="U529">IF($D529="","",IFERROR(_xlfn.XLOOKUP($D529,'TIR店舗一覧'!$D:$D,'TIR店舗一覧'!$E:$E,""),""))</f>
        <v/>
      </c>
      <c r="V529" s="54" t="s">
        <v>2</v>
      </c>
      <c r="W529" s="54" t="s">
        <v>2</v>
      </c>
      <c r="X529" s="54" t="s">
        <v>2</v>
      </c>
      <c r="Y529" s="54" t="s">
        <v>2</v>
      </c>
      <c r="Z529" s="54" t="s">
        <v>2</v>
      </c>
      <c r="AA529" s="54" t="s">
        <v>2</v>
      </c>
      <c r="AB529" s="54" t="s">
        <v>2</v>
      </c>
      <c r="AC529" s="54" t="s">
        <v>2</v>
      </c>
      <c r="AD529" s="54" t="s">
        <v>2</v>
      </c>
      <c r="AE529" s="54" t="s">
        <v>2</v>
      </c>
      <c r="AF529" s="54" t="s">
        <v>2</v>
      </c>
      <c r="AG529" s="54" t="s">
        <v>2</v>
      </c>
    </row>
    <row r="530" ht="15.75" customHeight="1">
      <c r="B530" s="56"/>
      <c r="U530" s="46" t="str">
        <f t="array" ref="U530">IF($D530="","",IFERROR(_xlfn.XLOOKUP($D530,'TIR店舗一覧'!$D:$D,'TIR店舗一覧'!$E:$E,""),""))</f>
        <v/>
      </c>
      <c r="V530" s="54" t="s">
        <v>2</v>
      </c>
      <c r="W530" s="54" t="s">
        <v>2</v>
      </c>
      <c r="X530" s="54" t="s">
        <v>2</v>
      </c>
      <c r="Y530" s="54" t="s">
        <v>2</v>
      </c>
      <c r="Z530" s="54" t="s">
        <v>2</v>
      </c>
      <c r="AA530" s="54" t="s">
        <v>2</v>
      </c>
      <c r="AB530" s="54" t="s">
        <v>2</v>
      </c>
      <c r="AC530" s="54" t="s">
        <v>2</v>
      </c>
      <c r="AD530" s="54" t="s">
        <v>2</v>
      </c>
      <c r="AE530" s="54" t="s">
        <v>2</v>
      </c>
      <c r="AF530" s="54" t="s">
        <v>2</v>
      </c>
      <c r="AG530" s="54" t="s">
        <v>2</v>
      </c>
    </row>
    <row r="531" ht="15.75" customHeight="1">
      <c r="B531" s="56"/>
      <c r="U531" s="46" t="str">
        <f t="array" ref="U531">IF($D531="","",IFERROR(_xlfn.XLOOKUP($D531,'TIR店舗一覧'!$D:$D,'TIR店舗一覧'!$E:$E,""),""))</f>
        <v/>
      </c>
      <c r="V531" s="54" t="s">
        <v>2</v>
      </c>
      <c r="W531" s="54" t="s">
        <v>2</v>
      </c>
      <c r="X531" s="54" t="s">
        <v>2</v>
      </c>
      <c r="Y531" s="54" t="s">
        <v>2</v>
      </c>
      <c r="Z531" s="54" t="s">
        <v>2</v>
      </c>
      <c r="AA531" s="54" t="s">
        <v>2</v>
      </c>
      <c r="AB531" s="54" t="s">
        <v>2</v>
      </c>
      <c r="AC531" s="54" t="s">
        <v>2</v>
      </c>
      <c r="AD531" s="54" t="s">
        <v>2</v>
      </c>
      <c r="AE531" s="54" t="s">
        <v>2</v>
      </c>
      <c r="AF531" s="54" t="s">
        <v>2</v>
      </c>
      <c r="AG531" s="54" t="s">
        <v>2</v>
      </c>
    </row>
    <row r="532" ht="15.75" customHeight="1">
      <c r="B532" s="56"/>
      <c r="U532" s="46" t="str">
        <f t="array" ref="U532">IF($D532="","",IFERROR(_xlfn.XLOOKUP($D532,'TIR店舗一覧'!$D:$D,'TIR店舗一覧'!$E:$E,""),""))</f>
        <v/>
      </c>
      <c r="V532" s="54" t="s">
        <v>2</v>
      </c>
      <c r="W532" s="54" t="s">
        <v>2</v>
      </c>
      <c r="X532" s="54" t="s">
        <v>2</v>
      </c>
      <c r="Y532" s="54" t="s">
        <v>2</v>
      </c>
      <c r="Z532" s="54" t="s">
        <v>2</v>
      </c>
      <c r="AA532" s="54" t="s">
        <v>2</v>
      </c>
      <c r="AB532" s="54" t="s">
        <v>2</v>
      </c>
      <c r="AC532" s="54" t="s">
        <v>2</v>
      </c>
      <c r="AD532" s="54" t="s">
        <v>2</v>
      </c>
      <c r="AE532" s="54" t="s">
        <v>2</v>
      </c>
      <c r="AF532" s="54" t="s">
        <v>2</v>
      </c>
      <c r="AG532" s="54" t="s">
        <v>2</v>
      </c>
    </row>
    <row r="533" ht="15.75" customHeight="1">
      <c r="B533" s="56"/>
      <c r="U533" s="46" t="str">
        <f t="array" ref="U533">IF($D533="","",IFERROR(_xlfn.XLOOKUP($D533,'TIR店舗一覧'!$D:$D,'TIR店舗一覧'!$E:$E,""),""))</f>
        <v/>
      </c>
      <c r="V533" s="54" t="s">
        <v>2</v>
      </c>
      <c r="W533" s="54" t="s">
        <v>2</v>
      </c>
      <c r="X533" s="54" t="s">
        <v>2</v>
      </c>
      <c r="Y533" s="54" t="s">
        <v>2</v>
      </c>
      <c r="Z533" s="54" t="s">
        <v>2</v>
      </c>
      <c r="AA533" s="54" t="s">
        <v>2</v>
      </c>
      <c r="AB533" s="54" t="s">
        <v>2</v>
      </c>
      <c r="AC533" s="54" t="s">
        <v>2</v>
      </c>
      <c r="AD533" s="54" t="s">
        <v>2</v>
      </c>
      <c r="AE533" s="54" t="s">
        <v>2</v>
      </c>
      <c r="AF533" s="54" t="s">
        <v>2</v>
      </c>
      <c r="AG533" s="54" t="s">
        <v>2</v>
      </c>
    </row>
    <row r="534" ht="15.75" customHeight="1">
      <c r="B534" s="56"/>
      <c r="U534" s="46" t="str">
        <f t="array" ref="U534">IF($D534="","",IFERROR(_xlfn.XLOOKUP($D534,'TIR店舗一覧'!$D:$D,'TIR店舗一覧'!$E:$E,""),""))</f>
        <v/>
      </c>
      <c r="V534" s="54" t="s">
        <v>2</v>
      </c>
      <c r="W534" s="54" t="s">
        <v>2</v>
      </c>
      <c r="X534" s="54" t="s">
        <v>2</v>
      </c>
      <c r="Y534" s="54" t="s">
        <v>2</v>
      </c>
      <c r="Z534" s="54" t="s">
        <v>2</v>
      </c>
      <c r="AA534" s="54" t="s">
        <v>2</v>
      </c>
      <c r="AB534" s="54" t="s">
        <v>2</v>
      </c>
      <c r="AC534" s="54" t="s">
        <v>2</v>
      </c>
      <c r="AD534" s="54" t="s">
        <v>2</v>
      </c>
      <c r="AE534" s="54" t="s">
        <v>2</v>
      </c>
      <c r="AF534" s="54" t="s">
        <v>2</v>
      </c>
      <c r="AG534" s="54" t="s">
        <v>2</v>
      </c>
    </row>
    <row r="535" ht="15.75" customHeight="1">
      <c r="B535" s="56"/>
      <c r="U535" s="46" t="str">
        <f t="array" ref="U535">IF($D535="","",IFERROR(_xlfn.XLOOKUP($D535,'TIR店舗一覧'!$D:$D,'TIR店舗一覧'!$E:$E,""),""))</f>
        <v/>
      </c>
      <c r="V535" s="54" t="s">
        <v>2</v>
      </c>
      <c r="W535" s="54" t="s">
        <v>2</v>
      </c>
      <c r="X535" s="54" t="s">
        <v>2</v>
      </c>
      <c r="Y535" s="54" t="s">
        <v>2</v>
      </c>
      <c r="Z535" s="54" t="s">
        <v>2</v>
      </c>
      <c r="AA535" s="54" t="s">
        <v>2</v>
      </c>
      <c r="AB535" s="54" t="s">
        <v>2</v>
      </c>
      <c r="AC535" s="54" t="s">
        <v>2</v>
      </c>
      <c r="AD535" s="54" t="s">
        <v>2</v>
      </c>
      <c r="AE535" s="54" t="s">
        <v>2</v>
      </c>
      <c r="AF535" s="54" t="s">
        <v>2</v>
      </c>
      <c r="AG535" s="54" t="s">
        <v>2</v>
      </c>
    </row>
    <row r="536" ht="15.75" customHeight="1">
      <c r="B536" s="56"/>
      <c r="U536" s="46" t="str">
        <f t="array" ref="U536">IF($D536="","",IFERROR(_xlfn.XLOOKUP($D536,'TIR店舗一覧'!$D:$D,'TIR店舗一覧'!$E:$E,""),""))</f>
        <v/>
      </c>
      <c r="V536" s="54" t="s">
        <v>2</v>
      </c>
      <c r="W536" s="54" t="s">
        <v>2</v>
      </c>
      <c r="X536" s="54" t="s">
        <v>2</v>
      </c>
      <c r="Y536" s="54" t="s">
        <v>2</v>
      </c>
      <c r="Z536" s="54" t="s">
        <v>2</v>
      </c>
      <c r="AA536" s="54" t="s">
        <v>2</v>
      </c>
      <c r="AB536" s="54" t="s">
        <v>2</v>
      </c>
      <c r="AC536" s="54" t="s">
        <v>2</v>
      </c>
      <c r="AD536" s="54" t="s">
        <v>2</v>
      </c>
      <c r="AE536" s="54" t="s">
        <v>2</v>
      </c>
      <c r="AF536" s="54" t="s">
        <v>2</v>
      </c>
      <c r="AG536" s="54" t="s">
        <v>2</v>
      </c>
    </row>
    <row r="537" ht="15.75" customHeight="1">
      <c r="B537" s="56"/>
      <c r="U537" s="46" t="str">
        <f t="array" ref="U537">IF($D537="","",IFERROR(_xlfn.XLOOKUP($D537,'TIR店舗一覧'!$D:$D,'TIR店舗一覧'!$E:$E,""),""))</f>
        <v/>
      </c>
      <c r="V537" s="54" t="s">
        <v>2</v>
      </c>
      <c r="W537" s="54" t="s">
        <v>2</v>
      </c>
      <c r="X537" s="54" t="s">
        <v>2</v>
      </c>
      <c r="Y537" s="54" t="s">
        <v>2</v>
      </c>
      <c r="Z537" s="54" t="s">
        <v>2</v>
      </c>
      <c r="AA537" s="54" t="s">
        <v>2</v>
      </c>
      <c r="AB537" s="54" t="s">
        <v>2</v>
      </c>
      <c r="AC537" s="54" t="s">
        <v>2</v>
      </c>
      <c r="AD537" s="54" t="s">
        <v>2</v>
      </c>
      <c r="AE537" s="54" t="s">
        <v>2</v>
      </c>
      <c r="AF537" s="54" t="s">
        <v>2</v>
      </c>
      <c r="AG537" s="54" t="s">
        <v>2</v>
      </c>
    </row>
    <row r="538" ht="15.75" customHeight="1">
      <c r="B538" s="56"/>
      <c r="U538" s="46" t="str">
        <f t="array" ref="U538">IF($D538="","",IFERROR(_xlfn.XLOOKUP($D538,'TIR店舗一覧'!$D:$D,'TIR店舗一覧'!$E:$E,""),""))</f>
        <v/>
      </c>
      <c r="V538" s="54" t="s">
        <v>2</v>
      </c>
      <c r="W538" s="54" t="s">
        <v>2</v>
      </c>
      <c r="X538" s="54" t="s">
        <v>2</v>
      </c>
      <c r="Y538" s="54" t="s">
        <v>2</v>
      </c>
      <c r="Z538" s="54" t="s">
        <v>2</v>
      </c>
      <c r="AA538" s="54" t="s">
        <v>2</v>
      </c>
      <c r="AB538" s="54" t="s">
        <v>2</v>
      </c>
      <c r="AC538" s="54" t="s">
        <v>2</v>
      </c>
      <c r="AD538" s="54" t="s">
        <v>2</v>
      </c>
      <c r="AE538" s="54" t="s">
        <v>2</v>
      </c>
      <c r="AF538" s="54" t="s">
        <v>2</v>
      </c>
      <c r="AG538" s="54" t="s">
        <v>2</v>
      </c>
    </row>
    <row r="539" ht="15.75" customHeight="1">
      <c r="B539" s="56"/>
      <c r="U539" s="46" t="str">
        <f t="array" ref="U539">IF($D539="","",IFERROR(_xlfn.XLOOKUP($D539,'TIR店舗一覧'!$D:$D,'TIR店舗一覧'!$E:$E,""),""))</f>
        <v/>
      </c>
      <c r="V539" s="54" t="s">
        <v>2</v>
      </c>
      <c r="W539" s="54" t="s">
        <v>2</v>
      </c>
      <c r="X539" s="54" t="s">
        <v>2</v>
      </c>
      <c r="Y539" s="54" t="s">
        <v>2</v>
      </c>
      <c r="Z539" s="54" t="s">
        <v>2</v>
      </c>
      <c r="AA539" s="54" t="s">
        <v>2</v>
      </c>
      <c r="AB539" s="54" t="s">
        <v>2</v>
      </c>
      <c r="AC539" s="54" t="s">
        <v>2</v>
      </c>
      <c r="AD539" s="54" t="s">
        <v>2</v>
      </c>
      <c r="AE539" s="54" t="s">
        <v>2</v>
      </c>
      <c r="AF539" s="54" t="s">
        <v>2</v>
      </c>
      <c r="AG539" s="54" t="s">
        <v>2</v>
      </c>
    </row>
    <row r="540" ht="15.75" customHeight="1">
      <c r="B540" s="56"/>
      <c r="U540" s="46" t="str">
        <f t="array" ref="U540">IF($D540="","",IFERROR(_xlfn.XLOOKUP($D540,'TIR店舗一覧'!$D:$D,'TIR店舗一覧'!$E:$E,""),""))</f>
        <v/>
      </c>
      <c r="V540" s="54" t="s">
        <v>2</v>
      </c>
      <c r="W540" s="54" t="s">
        <v>2</v>
      </c>
      <c r="X540" s="54" t="s">
        <v>2</v>
      </c>
      <c r="Y540" s="54" t="s">
        <v>2</v>
      </c>
      <c r="Z540" s="54" t="s">
        <v>2</v>
      </c>
      <c r="AA540" s="54" t="s">
        <v>2</v>
      </c>
      <c r="AB540" s="54" t="s">
        <v>2</v>
      </c>
      <c r="AC540" s="54" t="s">
        <v>2</v>
      </c>
      <c r="AD540" s="54" t="s">
        <v>2</v>
      </c>
      <c r="AE540" s="54" t="s">
        <v>2</v>
      </c>
      <c r="AF540" s="54" t="s">
        <v>2</v>
      </c>
      <c r="AG540" s="54" t="s">
        <v>2</v>
      </c>
    </row>
    <row r="541" ht="15.75" customHeight="1">
      <c r="B541" s="56"/>
      <c r="U541" s="46" t="str">
        <f t="array" ref="U541">IF($D541="","",IFERROR(_xlfn.XLOOKUP($D541,'TIR店舗一覧'!$D:$D,'TIR店舗一覧'!$E:$E,""),""))</f>
        <v/>
      </c>
      <c r="V541" s="54" t="s">
        <v>2</v>
      </c>
      <c r="W541" s="54" t="s">
        <v>2</v>
      </c>
      <c r="X541" s="54" t="s">
        <v>2</v>
      </c>
      <c r="Y541" s="54" t="s">
        <v>2</v>
      </c>
      <c r="Z541" s="54" t="s">
        <v>2</v>
      </c>
      <c r="AA541" s="54" t="s">
        <v>2</v>
      </c>
      <c r="AB541" s="54" t="s">
        <v>2</v>
      </c>
      <c r="AC541" s="54" t="s">
        <v>2</v>
      </c>
      <c r="AD541" s="54" t="s">
        <v>2</v>
      </c>
      <c r="AE541" s="54" t="s">
        <v>2</v>
      </c>
      <c r="AF541" s="54" t="s">
        <v>2</v>
      </c>
      <c r="AG541" s="54" t="s">
        <v>2</v>
      </c>
    </row>
    <row r="542" ht="15.75" customHeight="1">
      <c r="B542" s="56"/>
      <c r="U542" s="46" t="str">
        <f t="array" ref="U542">IF($D542="","",IFERROR(_xlfn.XLOOKUP($D542,'TIR店舗一覧'!$D:$D,'TIR店舗一覧'!$E:$E,""),""))</f>
        <v/>
      </c>
      <c r="V542" s="54" t="s">
        <v>2</v>
      </c>
      <c r="W542" s="54" t="s">
        <v>2</v>
      </c>
      <c r="X542" s="54" t="s">
        <v>2</v>
      </c>
      <c r="Y542" s="54" t="s">
        <v>2</v>
      </c>
      <c r="Z542" s="54" t="s">
        <v>2</v>
      </c>
      <c r="AA542" s="54" t="s">
        <v>2</v>
      </c>
      <c r="AB542" s="54" t="s">
        <v>2</v>
      </c>
      <c r="AC542" s="54" t="s">
        <v>2</v>
      </c>
      <c r="AD542" s="54" t="s">
        <v>2</v>
      </c>
      <c r="AE542" s="54" t="s">
        <v>2</v>
      </c>
      <c r="AF542" s="54" t="s">
        <v>2</v>
      </c>
      <c r="AG542" s="54" t="s">
        <v>2</v>
      </c>
    </row>
    <row r="543" ht="15.75" customHeight="1">
      <c r="B543" s="56"/>
      <c r="U543" s="46" t="str">
        <f t="array" ref="U543">IF($D543="","",IFERROR(_xlfn.XLOOKUP($D543,'TIR店舗一覧'!$D:$D,'TIR店舗一覧'!$E:$E,""),""))</f>
        <v/>
      </c>
      <c r="V543" s="54" t="s">
        <v>2</v>
      </c>
      <c r="W543" s="54" t="s">
        <v>2</v>
      </c>
      <c r="X543" s="54" t="s">
        <v>2</v>
      </c>
      <c r="Y543" s="54" t="s">
        <v>2</v>
      </c>
      <c r="Z543" s="54" t="s">
        <v>2</v>
      </c>
      <c r="AA543" s="54" t="s">
        <v>2</v>
      </c>
      <c r="AB543" s="54" t="s">
        <v>2</v>
      </c>
      <c r="AC543" s="54" t="s">
        <v>2</v>
      </c>
      <c r="AD543" s="54" t="s">
        <v>2</v>
      </c>
      <c r="AE543" s="54" t="s">
        <v>2</v>
      </c>
      <c r="AF543" s="54" t="s">
        <v>2</v>
      </c>
      <c r="AG543" s="54" t="s">
        <v>2</v>
      </c>
    </row>
    <row r="544" ht="15.75" customHeight="1">
      <c r="B544" s="56"/>
      <c r="U544" s="46" t="str">
        <f t="array" ref="U544">IF($D544="","",IFERROR(_xlfn.XLOOKUP($D544,'TIR店舗一覧'!$D:$D,'TIR店舗一覧'!$E:$E,""),""))</f>
        <v/>
      </c>
      <c r="V544" s="54" t="s">
        <v>2</v>
      </c>
      <c r="W544" s="54" t="s">
        <v>2</v>
      </c>
      <c r="X544" s="54" t="s">
        <v>2</v>
      </c>
      <c r="Y544" s="54" t="s">
        <v>2</v>
      </c>
      <c r="Z544" s="54" t="s">
        <v>2</v>
      </c>
      <c r="AA544" s="54" t="s">
        <v>2</v>
      </c>
      <c r="AB544" s="54" t="s">
        <v>2</v>
      </c>
      <c r="AC544" s="54" t="s">
        <v>2</v>
      </c>
      <c r="AD544" s="54" t="s">
        <v>2</v>
      </c>
      <c r="AE544" s="54" t="s">
        <v>2</v>
      </c>
      <c r="AF544" s="54" t="s">
        <v>2</v>
      </c>
      <c r="AG544" s="54" t="s">
        <v>2</v>
      </c>
    </row>
    <row r="545" ht="15.75" customHeight="1">
      <c r="B545" s="56"/>
      <c r="U545" s="46" t="str">
        <f t="array" ref="U545">IF($D545="","",IFERROR(_xlfn.XLOOKUP($D545,'TIR店舗一覧'!$D:$D,'TIR店舗一覧'!$E:$E,""),""))</f>
        <v/>
      </c>
      <c r="V545" s="54" t="s">
        <v>2</v>
      </c>
      <c r="W545" s="54" t="s">
        <v>2</v>
      </c>
      <c r="X545" s="54" t="s">
        <v>2</v>
      </c>
      <c r="Y545" s="54" t="s">
        <v>2</v>
      </c>
      <c r="Z545" s="54" t="s">
        <v>2</v>
      </c>
      <c r="AA545" s="54" t="s">
        <v>2</v>
      </c>
      <c r="AB545" s="54" t="s">
        <v>2</v>
      </c>
      <c r="AC545" s="54" t="s">
        <v>2</v>
      </c>
      <c r="AD545" s="54" t="s">
        <v>2</v>
      </c>
      <c r="AE545" s="54" t="s">
        <v>2</v>
      </c>
      <c r="AF545" s="54" t="s">
        <v>2</v>
      </c>
      <c r="AG545" s="54" t="s">
        <v>2</v>
      </c>
    </row>
    <row r="546" ht="15.75" customHeight="1">
      <c r="B546" s="56"/>
      <c r="U546" s="46" t="str">
        <f t="array" ref="U546">IF($D546="","",IFERROR(_xlfn.XLOOKUP($D546,'TIR店舗一覧'!$D:$D,'TIR店舗一覧'!$E:$E,""),""))</f>
        <v/>
      </c>
      <c r="V546" s="54" t="s">
        <v>2</v>
      </c>
      <c r="W546" s="54" t="s">
        <v>2</v>
      </c>
      <c r="X546" s="54" t="s">
        <v>2</v>
      </c>
      <c r="Y546" s="54" t="s">
        <v>2</v>
      </c>
      <c r="Z546" s="54" t="s">
        <v>2</v>
      </c>
      <c r="AA546" s="54" t="s">
        <v>2</v>
      </c>
      <c r="AB546" s="54" t="s">
        <v>2</v>
      </c>
      <c r="AC546" s="54" t="s">
        <v>2</v>
      </c>
      <c r="AD546" s="54" t="s">
        <v>2</v>
      </c>
      <c r="AE546" s="54" t="s">
        <v>2</v>
      </c>
      <c r="AF546" s="54" t="s">
        <v>2</v>
      </c>
      <c r="AG546" s="54" t="s">
        <v>2</v>
      </c>
    </row>
    <row r="547" ht="15.75" customHeight="1">
      <c r="B547" s="56"/>
      <c r="U547" s="46" t="str">
        <f t="array" ref="U547">IF($D547="","",IFERROR(_xlfn.XLOOKUP($D547,'TIR店舗一覧'!$D:$D,'TIR店舗一覧'!$E:$E,""),""))</f>
        <v/>
      </c>
      <c r="V547" s="54" t="s">
        <v>2</v>
      </c>
      <c r="W547" s="54" t="s">
        <v>2</v>
      </c>
      <c r="X547" s="54" t="s">
        <v>2</v>
      </c>
      <c r="Y547" s="54" t="s">
        <v>2</v>
      </c>
      <c r="Z547" s="54" t="s">
        <v>2</v>
      </c>
      <c r="AA547" s="54" t="s">
        <v>2</v>
      </c>
      <c r="AB547" s="54" t="s">
        <v>2</v>
      </c>
      <c r="AC547" s="54" t="s">
        <v>2</v>
      </c>
      <c r="AD547" s="54" t="s">
        <v>2</v>
      </c>
      <c r="AE547" s="54" t="s">
        <v>2</v>
      </c>
      <c r="AF547" s="54" t="s">
        <v>2</v>
      </c>
      <c r="AG547" s="54" t="s">
        <v>2</v>
      </c>
    </row>
    <row r="548" ht="15.75" customHeight="1">
      <c r="B548" s="56"/>
      <c r="U548" s="46" t="str">
        <f t="array" ref="U548">IF($D548="","",IFERROR(_xlfn.XLOOKUP($D548,'TIR店舗一覧'!$D:$D,'TIR店舗一覧'!$E:$E,""),""))</f>
        <v/>
      </c>
      <c r="V548" s="54" t="s">
        <v>2</v>
      </c>
      <c r="W548" s="54" t="s">
        <v>2</v>
      </c>
      <c r="X548" s="54" t="s">
        <v>2</v>
      </c>
      <c r="Y548" s="54" t="s">
        <v>2</v>
      </c>
      <c r="Z548" s="54" t="s">
        <v>2</v>
      </c>
      <c r="AA548" s="54" t="s">
        <v>2</v>
      </c>
      <c r="AB548" s="54" t="s">
        <v>2</v>
      </c>
      <c r="AC548" s="54" t="s">
        <v>2</v>
      </c>
      <c r="AD548" s="54" t="s">
        <v>2</v>
      </c>
      <c r="AE548" s="54" t="s">
        <v>2</v>
      </c>
      <c r="AF548" s="54" t="s">
        <v>2</v>
      </c>
      <c r="AG548" s="54" t="s">
        <v>2</v>
      </c>
    </row>
    <row r="549" ht="15.75" customHeight="1">
      <c r="B549" s="56"/>
      <c r="U549" s="46" t="str">
        <f t="array" ref="U549">IF($D549="","",IFERROR(_xlfn.XLOOKUP($D549,'TIR店舗一覧'!$D:$D,'TIR店舗一覧'!$E:$E,""),""))</f>
        <v/>
      </c>
      <c r="V549" s="54" t="s">
        <v>2</v>
      </c>
      <c r="W549" s="54" t="s">
        <v>2</v>
      </c>
      <c r="X549" s="54" t="s">
        <v>2</v>
      </c>
      <c r="Y549" s="54" t="s">
        <v>2</v>
      </c>
      <c r="Z549" s="54" t="s">
        <v>2</v>
      </c>
      <c r="AA549" s="54" t="s">
        <v>2</v>
      </c>
      <c r="AB549" s="54" t="s">
        <v>2</v>
      </c>
      <c r="AC549" s="54" t="s">
        <v>2</v>
      </c>
      <c r="AD549" s="54" t="s">
        <v>2</v>
      </c>
      <c r="AE549" s="54" t="s">
        <v>2</v>
      </c>
      <c r="AF549" s="54" t="s">
        <v>2</v>
      </c>
      <c r="AG549" s="54" t="s">
        <v>2</v>
      </c>
    </row>
    <row r="550" ht="15.75" customHeight="1">
      <c r="B550" s="56"/>
      <c r="U550" s="46" t="str">
        <f t="array" ref="U550">IF($D550="","",IFERROR(_xlfn.XLOOKUP($D550,'TIR店舗一覧'!$D:$D,'TIR店舗一覧'!$E:$E,""),""))</f>
        <v/>
      </c>
      <c r="V550" s="54" t="s">
        <v>2</v>
      </c>
      <c r="W550" s="54" t="s">
        <v>2</v>
      </c>
      <c r="X550" s="54" t="s">
        <v>2</v>
      </c>
      <c r="Y550" s="54" t="s">
        <v>2</v>
      </c>
      <c r="Z550" s="54" t="s">
        <v>2</v>
      </c>
      <c r="AA550" s="54" t="s">
        <v>2</v>
      </c>
      <c r="AB550" s="54" t="s">
        <v>2</v>
      </c>
      <c r="AC550" s="54" t="s">
        <v>2</v>
      </c>
      <c r="AD550" s="54" t="s">
        <v>2</v>
      </c>
      <c r="AE550" s="54" t="s">
        <v>2</v>
      </c>
      <c r="AF550" s="54" t="s">
        <v>2</v>
      </c>
      <c r="AG550" s="54" t="s">
        <v>2</v>
      </c>
    </row>
    <row r="551" ht="15.75" customHeight="1">
      <c r="B551" s="56"/>
      <c r="U551" s="46" t="str">
        <f t="array" ref="U551">IF($D551="","",IFERROR(_xlfn.XLOOKUP($D551,'TIR店舗一覧'!$D:$D,'TIR店舗一覧'!$E:$E,""),""))</f>
        <v/>
      </c>
      <c r="V551" s="54" t="s">
        <v>2</v>
      </c>
      <c r="W551" s="54" t="s">
        <v>2</v>
      </c>
      <c r="X551" s="54" t="s">
        <v>2</v>
      </c>
      <c r="Y551" s="54" t="s">
        <v>2</v>
      </c>
      <c r="Z551" s="54" t="s">
        <v>2</v>
      </c>
      <c r="AA551" s="54" t="s">
        <v>2</v>
      </c>
      <c r="AB551" s="54" t="s">
        <v>2</v>
      </c>
      <c r="AC551" s="54" t="s">
        <v>2</v>
      </c>
      <c r="AD551" s="54" t="s">
        <v>2</v>
      </c>
      <c r="AE551" s="54" t="s">
        <v>2</v>
      </c>
      <c r="AF551" s="54" t="s">
        <v>2</v>
      </c>
      <c r="AG551" s="54" t="s">
        <v>2</v>
      </c>
    </row>
    <row r="552" ht="15.75" customHeight="1">
      <c r="B552" s="56"/>
      <c r="U552" s="46" t="str">
        <f t="array" ref="U552">IF($D552="","",IFERROR(_xlfn.XLOOKUP($D552,'TIR店舗一覧'!$D:$D,'TIR店舗一覧'!$E:$E,""),""))</f>
        <v/>
      </c>
      <c r="V552" s="54" t="s">
        <v>2</v>
      </c>
      <c r="W552" s="54" t="s">
        <v>2</v>
      </c>
      <c r="X552" s="54" t="s">
        <v>2</v>
      </c>
      <c r="Y552" s="54" t="s">
        <v>2</v>
      </c>
      <c r="Z552" s="54" t="s">
        <v>2</v>
      </c>
      <c r="AA552" s="54" t="s">
        <v>2</v>
      </c>
      <c r="AB552" s="54" t="s">
        <v>2</v>
      </c>
      <c r="AC552" s="54" t="s">
        <v>2</v>
      </c>
      <c r="AD552" s="54" t="s">
        <v>2</v>
      </c>
      <c r="AE552" s="54" t="s">
        <v>2</v>
      </c>
      <c r="AF552" s="54" t="s">
        <v>2</v>
      </c>
      <c r="AG552" s="54" t="s">
        <v>2</v>
      </c>
    </row>
    <row r="553" ht="15.75" customHeight="1">
      <c r="B553" s="56"/>
      <c r="U553" s="46" t="str">
        <f t="array" ref="U553">IF($D553="","",IFERROR(_xlfn.XLOOKUP($D553,'TIR店舗一覧'!$D:$D,'TIR店舗一覧'!$E:$E,""),""))</f>
        <v/>
      </c>
      <c r="V553" s="54" t="s">
        <v>2</v>
      </c>
      <c r="W553" s="54" t="s">
        <v>2</v>
      </c>
      <c r="X553" s="54" t="s">
        <v>2</v>
      </c>
      <c r="Y553" s="54" t="s">
        <v>2</v>
      </c>
      <c r="Z553" s="54" t="s">
        <v>2</v>
      </c>
      <c r="AA553" s="54" t="s">
        <v>2</v>
      </c>
      <c r="AB553" s="54" t="s">
        <v>2</v>
      </c>
      <c r="AC553" s="54" t="s">
        <v>2</v>
      </c>
      <c r="AD553" s="54" t="s">
        <v>2</v>
      </c>
      <c r="AE553" s="54" t="s">
        <v>2</v>
      </c>
      <c r="AF553" s="54" t="s">
        <v>2</v>
      </c>
      <c r="AG553" s="54" t="s">
        <v>2</v>
      </c>
    </row>
    <row r="554" ht="15.75" customHeight="1">
      <c r="B554" s="56"/>
      <c r="U554" s="46" t="str">
        <f t="array" ref="U554">IF($D554="","",IFERROR(_xlfn.XLOOKUP($D554,'TIR店舗一覧'!$D:$D,'TIR店舗一覧'!$E:$E,""),""))</f>
        <v/>
      </c>
      <c r="V554" s="54" t="s">
        <v>2</v>
      </c>
      <c r="W554" s="54" t="s">
        <v>2</v>
      </c>
      <c r="X554" s="54" t="s">
        <v>2</v>
      </c>
      <c r="Y554" s="54" t="s">
        <v>2</v>
      </c>
      <c r="Z554" s="54" t="s">
        <v>2</v>
      </c>
      <c r="AA554" s="54" t="s">
        <v>2</v>
      </c>
      <c r="AB554" s="54" t="s">
        <v>2</v>
      </c>
      <c r="AC554" s="54" t="s">
        <v>2</v>
      </c>
      <c r="AD554" s="54" t="s">
        <v>2</v>
      </c>
      <c r="AE554" s="54" t="s">
        <v>2</v>
      </c>
      <c r="AF554" s="54" t="s">
        <v>2</v>
      </c>
      <c r="AG554" s="54" t="s">
        <v>2</v>
      </c>
    </row>
    <row r="555" ht="15.75" customHeight="1">
      <c r="B555" s="56"/>
      <c r="U555" s="46" t="str">
        <f t="array" ref="U555">IF($D555="","",IFERROR(_xlfn.XLOOKUP($D555,'TIR店舗一覧'!$D:$D,'TIR店舗一覧'!$E:$E,""),""))</f>
        <v/>
      </c>
      <c r="V555" s="54" t="s">
        <v>2</v>
      </c>
      <c r="W555" s="54" t="s">
        <v>2</v>
      </c>
      <c r="X555" s="54" t="s">
        <v>2</v>
      </c>
      <c r="Y555" s="54" t="s">
        <v>2</v>
      </c>
      <c r="Z555" s="54" t="s">
        <v>2</v>
      </c>
      <c r="AA555" s="54" t="s">
        <v>2</v>
      </c>
      <c r="AB555" s="54" t="s">
        <v>2</v>
      </c>
      <c r="AC555" s="54" t="s">
        <v>2</v>
      </c>
      <c r="AD555" s="54" t="s">
        <v>2</v>
      </c>
      <c r="AE555" s="54" t="s">
        <v>2</v>
      </c>
      <c r="AF555" s="54" t="s">
        <v>2</v>
      </c>
      <c r="AG555" s="54" t="s">
        <v>2</v>
      </c>
    </row>
    <row r="556" ht="15.75" customHeight="1">
      <c r="B556" s="56"/>
      <c r="U556" s="46" t="str">
        <f t="array" ref="U556">IF($D556="","",IFERROR(_xlfn.XLOOKUP($D556,'TIR店舗一覧'!$D:$D,'TIR店舗一覧'!$E:$E,""),""))</f>
        <v/>
      </c>
      <c r="V556" s="54" t="s">
        <v>2</v>
      </c>
      <c r="W556" s="54" t="s">
        <v>2</v>
      </c>
      <c r="X556" s="54" t="s">
        <v>2</v>
      </c>
      <c r="Y556" s="54" t="s">
        <v>2</v>
      </c>
      <c r="Z556" s="54" t="s">
        <v>2</v>
      </c>
      <c r="AA556" s="54" t="s">
        <v>2</v>
      </c>
      <c r="AB556" s="54" t="s">
        <v>2</v>
      </c>
      <c r="AC556" s="54" t="s">
        <v>2</v>
      </c>
      <c r="AD556" s="54" t="s">
        <v>2</v>
      </c>
      <c r="AE556" s="54" t="s">
        <v>2</v>
      </c>
      <c r="AF556" s="54" t="s">
        <v>2</v>
      </c>
      <c r="AG556" s="54" t="s">
        <v>2</v>
      </c>
    </row>
    <row r="557" ht="15.75" customHeight="1">
      <c r="B557" s="56"/>
      <c r="U557" s="46" t="str">
        <f t="array" ref="U557">IF($D557="","",IFERROR(_xlfn.XLOOKUP($D557,'TIR店舗一覧'!$D:$D,'TIR店舗一覧'!$E:$E,""),""))</f>
        <v/>
      </c>
      <c r="V557" s="54" t="s">
        <v>2</v>
      </c>
      <c r="W557" s="54" t="s">
        <v>2</v>
      </c>
      <c r="X557" s="54" t="s">
        <v>2</v>
      </c>
      <c r="Y557" s="54" t="s">
        <v>2</v>
      </c>
      <c r="Z557" s="54" t="s">
        <v>2</v>
      </c>
      <c r="AA557" s="54" t="s">
        <v>2</v>
      </c>
      <c r="AB557" s="54" t="s">
        <v>2</v>
      </c>
      <c r="AC557" s="54" t="s">
        <v>2</v>
      </c>
      <c r="AD557" s="54" t="s">
        <v>2</v>
      </c>
      <c r="AE557" s="54" t="s">
        <v>2</v>
      </c>
      <c r="AF557" s="54" t="s">
        <v>2</v>
      </c>
      <c r="AG557" s="54" t="s">
        <v>2</v>
      </c>
    </row>
    <row r="558" ht="15.75" customHeight="1">
      <c r="B558" s="56"/>
      <c r="U558" s="46" t="str">
        <f t="array" ref="U558">IF($D558="","",IFERROR(_xlfn.XLOOKUP($D558,'TIR店舗一覧'!$D:$D,'TIR店舗一覧'!$E:$E,""),""))</f>
        <v/>
      </c>
      <c r="V558" s="54" t="s">
        <v>2</v>
      </c>
      <c r="W558" s="54" t="s">
        <v>2</v>
      </c>
      <c r="X558" s="54" t="s">
        <v>2</v>
      </c>
      <c r="Y558" s="54" t="s">
        <v>2</v>
      </c>
      <c r="Z558" s="54" t="s">
        <v>2</v>
      </c>
      <c r="AA558" s="54" t="s">
        <v>2</v>
      </c>
      <c r="AB558" s="54" t="s">
        <v>2</v>
      </c>
      <c r="AC558" s="54" t="s">
        <v>2</v>
      </c>
      <c r="AD558" s="54" t="s">
        <v>2</v>
      </c>
      <c r="AE558" s="54" t="s">
        <v>2</v>
      </c>
      <c r="AF558" s="54" t="s">
        <v>2</v>
      </c>
      <c r="AG558" s="54" t="s">
        <v>2</v>
      </c>
    </row>
    <row r="559" ht="15.75" customHeight="1">
      <c r="B559" s="56"/>
      <c r="U559" s="46" t="str">
        <f t="array" ref="U559">IF($D559="","",IFERROR(_xlfn.XLOOKUP($D559,'TIR店舗一覧'!$D:$D,'TIR店舗一覧'!$E:$E,""),""))</f>
        <v/>
      </c>
      <c r="V559" s="54" t="s">
        <v>2</v>
      </c>
      <c r="W559" s="54" t="s">
        <v>2</v>
      </c>
      <c r="X559" s="54" t="s">
        <v>2</v>
      </c>
      <c r="Y559" s="54" t="s">
        <v>2</v>
      </c>
      <c r="Z559" s="54" t="s">
        <v>2</v>
      </c>
      <c r="AA559" s="54" t="s">
        <v>2</v>
      </c>
      <c r="AB559" s="54" t="s">
        <v>2</v>
      </c>
      <c r="AC559" s="54" t="s">
        <v>2</v>
      </c>
      <c r="AD559" s="54" t="s">
        <v>2</v>
      </c>
      <c r="AE559" s="54" t="s">
        <v>2</v>
      </c>
      <c r="AF559" s="54" t="s">
        <v>2</v>
      </c>
      <c r="AG559" s="54" t="s">
        <v>2</v>
      </c>
    </row>
    <row r="560" ht="15.75" customHeight="1">
      <c r="B560" s="56"/>
      <c r="U560" s="46" t="str">
        <f t="array" ref="U560">IF($D560="","",IFERROR(_xlfn.XLOOKUP($D560,'TIR店舗一覧'!$D:$D,'TIR店舗一覧'!$E:$E,""),""))</f>
        <v/>
      </c>
      <c r="V560" s="54" t="s">
        <v>2</v>
      </c>
      <c r="W560" s="54" t="s">
        <v>2</v>
      </c>
      <c r="X560" s="54" t="s">
        <v>2</v>
      </c>
      <c r="Y560" s="54" t="s">
        <v>2</v>
      </c>
      <c r="Z560" s="54" t="s">
        <v>2</v>
      </c>
      <c r="AA560" s="54" t="s">
        <v>2</v>
      </c>
      <c r="AB560" s="54" t="s">
        <v>2</v>
      </c>
      <c r="AC560" s="54" t="s">
        <v>2</v>
      </c>
      <c r="AD560" s="54" t="s">
        <v>2</v>
      </c>
      <c r="AE560" s="54" t="s">
        <v>2</v>
      </c>
      <c r="AF560" s="54" t="s">
        <v>2</v>
      </c>
      <c r="AG560" s="54" t="s">
        <v>2</v>
      </c>
    </row>
    <row r="561" ht="15.75" customHeight="1">
      <c r="B561" s="56"/>
      <c r="U561" s="46" t="str">
        <f t="array" ref="U561">IF($D561="","",IFERROR(_xlfn.XLOOKUP($D561,'TIR店舗一覧'!$D:$D,'TIR店舗一覧'!$E:$E,""),""))</f>
        <v/>
      </c>
      <c r="V561" s="54" t="s">
        <v>2</v>
      </c>
      <c r="W561" s="54" t="s">
        <v>2</v>
      </c>
      <c r="X561" s="54" t="s">
        <v>2</v>
      </c>
      <c r="Y561" s="54" t="s">
        <v>2</v>
      </c>
      <c r="Z561" s="54" t="s">
        <v>2</v>
      </c>
      <c r="AA561" s="54" t="s">
        <v>2</v>
      </c>
      <c r="AB561" s="54" t="s">
        <v>2</v>
      </c>
      <c r="AC561" s="54" t="s">
        <v>2</v>
      </c>
      <c r="AD561" s="54" t="s">
        <v>2</v>
      </c>
      <c r="AE561" s="54" t="s">
        <v>2</v>
      </c>
      <c r="AF561" s="54" t="s">
        <v>2</v>
      </c>
      <c r="AG561" s="54" t="s">
        <v>2</v>
      </c>
    </row>
    <row r="562" ht="15.75" customHeight="1">
      <c r="B562" s="56"/>
      <c r="U562" s="46" t="str">
        <f t="array" ref="U562">IF($D562="","",IFERROR(_xlfn.XLOOKUP($D562,'TIR店舗一覧'!$D:$D,'TIR店舗一覧'!$E:$E,""),""))</f>
        <v/>
      </c>
      <c r="V562" s="54" t="s">
        <v>2</v>
      </c>
      <c r="W562" s="54" t="s">
        <v>2</v>
      </c>
      <c r="X562" s="54" t="s">
        <v>2</v>
      </c>
      <c r="Y562" s="54" t="s">
        <v>2</v>
      </c>
      <c r="Z562" s="54" t="s">
        <v>2</v>
      </c>
      <c r="AA562" s="54" t="s">
        <v>2</v>
      </c>
      <c r="AB562" s="54" t="s">
        <v>2</v>
      </c>
      <c r="AC562" s="54" t="s">
        <v>2</v>
      </c>
      <c r="AD562" s="54" t="s">
        <v>2</v>
      </c>
      <c r="AE562" s="54" t="s">
        <v>2</v>
      </c>
      <c r="AF562" s="54" t="s">
        <v>2</v>
      </c>
      <c r="AG562" s="54" t="s">
        <v>2</v>
      </c>
    </row>
    <row r="563" ht="15.75" customHeight="1">
      <c r="B563" s="56"/>
      <c r="U563" s="46" t="str">
        <f t="array" ref="U563">IF($D563="","",IFERROR(_xlfn.XLOOKUP($D563,'TIR店舗一覧'!$D:$D,'TIR店舗一覧'!$E:$E,""),""))</f>
        <v/>
      </c>
      <c r="V563" s="54" t="s">
        <v>2</v>
      </c>
      <c r="W563" s="54" t="s">
        <v>2</v>
      </c>
      <c r="X563" s="54" t="s">
        <v>2</v>
      </c>
      <c r="Y563" s="54" t="s">
        <v>2</v>
      </c>
      <c r="Z563" s="54" t="s">
        <v>2</v>
      </c>
      <c r="AA563" s="54" t="s">
        <v>2</v>
      </c>
      <c r="AB563" s="54" t="s">
        <v>2</v>
      </c>
      <c r="AC563" s="54" t="s">
        <v>2</v>
      </c>
      <c r="AD563" s="54" t="s">
        <v>2</v>
      </c>
      <c r="AE563" s="54" t="s">
        <v>2</v>
      </c>
      <c r="AF563" s="54" t="s">
        <v>2</v>
      </c>
      <c r="AG563" s="54" t="s">
        <v>2</v>
      </c>
    </row>
    <row r="564" ht="15.75" customHeight="1">
      <c r="B564" s="56"/>
      <c r="U564" s="46" t="str">
        <f t="array" ref="U564">IF($D564="","",IFERROR(_xlfn.XLOOKUP($D564,'TIR店舗一覧'!$D:$D,'TIR店舗一覧'!$E:$E,""),""))</f>
        <v/>
      </c>
      <c r="V564" s="54" t="s">
        <v>2</v>
      </c>
      <c r="W564" s="54" t="s">
        <v>2</v>
      </c>
      <c r="X564" s="54" t="s">
        <v>2</v>
      </c>
      <c r="Y564" s="54" t="s">
        <v>2</v>
      </c>
      <c r="Z564" s="54" t="s">
        <v>2</v>
      </c>
      <c r="AA564" s="54" t="s">
        <v>2</v>
      </c>
      <c r="AB564" s="54" t="s">
        <v>2</v>
      </c>
      <c r="AC564" s="54" t="s">
        <v>2</v>
      </c>
      <c r="AD564" s="54" t="s">
        <v>2</v>
      </c>
      <c r="AE564" s="54" t="s">
        <v>2</v>
      </c>
      <c r="AF564" s="54" t="s">
        <v>2</v>
      </c>
      <c r="AG564" s="54" t="s">
        <v>2</v>
      </c>
    </row>
    <row r="565" ht="15.75" customHeight="1">
      <c r="B565" s="56"/>
      <c r="U565" s="46" t="str">
        <f t="array" ref="U565">IF($D565="","",IFERROR(_xlfn.XLOOKUP($D565,'TIR店舗一覧'!$D:$D,'TIR店舗一覧'!$E:$E,""),""))</f>
        <v/>
      </c>
      <c r="V565" s="54" t="s">
        <v>2</v>
      </c>
      <c r="W565" s="54" t="s">
        <v>2</v>
      </c>
      <c r="X565" s="54" t="s">
        <v>2</v>
      </c>
      <c r="Y565" s="54" t="s">
        <v>2</v>
      </c>
      <c r="Z565" s="54" t="s">
        <v>2</v>
      </c>
      <c r="AA565" s="54" t="s">
        <v>2</v>
      </c>
      <c r="AB565" s="54" t="s">
        <v>2</v>
      </c>
      <c r="AC565" s="54" t="s">
        <v>2</v>
      </c>
      <c r="AD565" s="54" t="s">
        <v>2</v>
      </c>
      <c r="AE565" s="54" t="s">
        <v>2</v>
      </c>
      <c r="AF565" s="54" t="s">
        <v>2</v>
      </c>
      <c r="AG565" s="54" t="s">
        <v>2</v>
      </c>
    </row>
    <row r="566" ht="15.75" customHeight="1">
      <c r="B566" s="56"/>
      <c r="U566" s="46" t="str">
        <f t="array" ref="U566">IF($D566="","",IFERROR(_xlfn.XLOOKUP($D566,'TIR店舗一覧'!$D:$D,'TIR店舗一覧'!$E:$E,""),""))</f>
        <v/>
      </c>
      <c r="V566" s="54" t="s">
        <v>2</v>
      </c>
      <c r="W566" s="54" t="s">
        <v>2</v>
      </c>
      <c r="X566" s="54" t="s">
        <v>2</v>
      </c>
      <c r="Y566" s="54" t="s">
        <v>2</v>
      </c>
      <c r="Z566" s="54" t="s">
        <v>2</v>
      </c>
      <c r="AA566" s="54" t="s">
        <v>2</v>
      </c>
      <c r="AB566" s="54" t="s">
        <v>2</v>
      </c>
      <c r="AC566" s="54" t="s">
        <v>2</v>
      </c>
      <c r="AD566" s="54" t="s">
        <v>2</v>
      </c>
      <c r="AE566" s="54" t="s">
        <v>2</v>
      </c>
      <c r="AF566" s="54" t="s">
        <v>2</v>
      </c>
      <c r="AG566" s="54" t="s">
        <v>2</v>
      </c>
    </row>
    <row r="567" ht="15.75" customHeight="1">
      <c r="B567" s="56"/>
      <c r="U567" s="46" t="str">
        <f t="array" ref="U567">IF($D567="","",IFERROR(_xlfn.XLOOKUP($D567,'TIR店舗一覧'!$D:$D,'TIR店舗一覧'!$E:$E,""),""))</f>
        <v/>
      </c>
      <c r="V567" s="54" t="s">
        <v>2</v>
      </c>
      <c r="W567" s="54" t="s">
        <v>2</v>
      </c>
      <c r="X567" s="54" t="s">
        <v>2</v>
      </c>
      <c r="Y567" s="54" t="s">
        <v>2</v>
      </c>
      <c r="Z567" s="54" t="s">
        <v>2</v>
      </c>
      <c r="AA567" s="54" t="s">
        <v>2</v>
      </c>
      <c r="AB567" s="54" t="s">
        <v>2</v>
      </c>
      <c r="AC567" s="54" t="s">
        <v>2</v>
      </c>
      <c r="AD567" s="54" t="s">
        <v>2</v>
      </c>
      <c r="AE567" s="54" t="s">
        <v>2</v>
      </c>
      <c r="AF567" s="54" t="s">
        <v>2</v>
      </c>
      <c r="AG567" s="54" t="s">
        <v>2</v>
      </c>
    </row>
    <row r="568" ht="15.75" customHeight="1">
      <c r="B568" s="56"/>
      <c r="U568" s="46" t="str">
        <f t="array" ref="U568">IF($D568="","",IFERROR(_xlfn.XLOOKUP($D568,'TIR店舗一覧'!$D:$D,'TIR店舗一覧'!$E:$E,""),""))</f>
        <v/>
      </c>
      <c r="V568" s="54" t="s">
        <v>2</v>
      </c>
      <c r="W568" s="54" t="s">
        <v>2</v>
      </c>
      <c r="X568" s="54" t="s">
        <v>2</v>
      </c>
      <c r="Y568" s="54" t="s">
        <v>2</v>
      </c>
      <c r="Z568" s="54" t="s">
        <v>2</v>
      </c>
      <c r="AA568" s="54" t="s">
        <v>2</v>
      </c>
      <c r="AB568" s="54" t="s">
        <v>2</v>
      </c>
      <c r="AC568" s="54" t="s">
        <v>2</v>
      </c>
      <c r="AD568" s="54" t="s">
        <v>2</v>
      </c>
      <c r="AE568" s="54" t="s">
        <v>2</v>
      </c>
      <c r="AF568" s="54" t="s">
        <v>2</v>
      </c>
      <c r="AG568" s="54" t="s">
        <v>2</v>
      </c>
    </row>
    <row r="569" ht="15.75" customHeight="1">
      <c r="B569" s="56"/>
      <c r="U569" s="46" t="str">
        <f t="array" ref="U569">IF($D569="","",IFERROR(_xlfn.XLOOKUP($D569,'TIR店舗一覧'!$D:$D,'TIR店舗一覧'!$E:$E,""),""))</f>
        <v/>
      </c>
      <c r="V569" s="54" t="s">
        <v>2</v>
      </c>
      <c r="W569" s="54" t="s">
        <v>2</v>
      </c>
      <c r="X569" s="54" t="s">
        <v>2</v>
      </c>
      <c r="Y569" s="54" t="s">
        <v>2</v>
      </c>
      <c r="Z569" s="54" t="s">
        <v>2</v>
      </c>
      <c r="AA569" s="54" t="s">
        <v>2</v>
      </c>
      <c r="AB569" s="54" t="s">
        <v>2</v>
      </c>
      <c r="AC569" s="54" t="s">
        <v>2</v>
      </c>
      <c r="AD569" s="54" t="s">
        <v>2</v>
      </c>
      <c r="AE569" s="54" t="s">
        <v>2</v>
      </c>
      <c r="AF569" s="54" t="s">
        <v>2</v>
      </c>
      <c r="AG569" s="54" t="s">
        <v>2</v>
      </c>
    </row>
    <row r="570" ht="15.75" customHeight="1">
      <c r="B570" s="56"/>
      <c r="U570" s="46" t="str">
        <f t="array" ref="U570">IF($D570="","",IFERROR(_xlfn.XLOOKUP($D570,'TIR店舗一覧'!$D:$D,'TIR店舗一覧'!$E:$E,""),""))</f>
        <v/>
      </c>
      <c r="V570" s="54" t="s">
        <v>2</v>
      </c>
      <c r="W570" s="54" t="s">
        <v>2</v>
      </c>
      <c r="X570" s="54" t="s">
        <v>2</v>
      </c>
      <c r="Y570" s="54" t="s">
        <v>2</v>
      </c>
      <c r="Z570" s="54" t="s">
        <v>2</v>
      </c>
      <c r="AA570" s="54" t="s">
        <v>2</v>
      </c>
      <c r="AB570" s="54" t="s">
        <v>2</v>
      </c>
      <c r="AC570" s="54" t="s">
        <v>2</v>
      </c>
      <c r="AD570" s="54" t="s">
        <v>2</v>
      </c>
      <c r="AE570" s="54" t="s">
        <v>2</v>
      </c>
      <c r="AF570" s="54" t="s">
        <v>2</v>
      </c>
      <c r="AG570" s="54" t="s">
        <v>2</v>
      </c>
    </row>
    <row r="571" ht="15.75" customHeight="1">
      <c r="B571" s="56"/>
      <c r="U571" s="46" t="str">
        <f t="array" ref="U571">IF($D571="","",IFERROR(_xlfn.XLOOKUP($D571,'TIR店舗一覧'!$D:$D,'TIR店舗一覧'!$E:$E,""),""))</f>
        <v/>
      </c>
      <c r="V571" s="54" t="s">
        <v>2</v>
      </c>
      <c r="W571" s="54" t="s">
        <v>2</v>
      </c>
      <c r="X571" s="54" t="s">
        <v>2</v>
      </c>
      <c r="Y571" s="54" t="s">
        <v>2</v>
      </c>
      <c r="Z571" s="54" t="s">
        <v>2</v>
      </c>
      <c r="AA571" s="54" t="s">
        <v>2</v>
      </c>
      <c r="AB571" s="54" t="s">
        <v>2</v>
      </c>
      <c r="AC571" s="54" t="s">
        <v>2</v>
      </c>
      <c r="AD571" s="54" t="s">
        <v>2</v>
      </c>
      <c r="AE571" s="54" t="s">
        <v>2</v>
      </c>
      <c r="AF571" s="54" t="s">
        <v>2</v>
      </c>
      <c r="AG571" s="54" t="s">
        <v>2</v>
      </c>
    </row>
    <row r="572" ht="15.75" customHeight="1">
      <c r="B572" s="56"/>
      <c r="U572" s="46" t="str">
        <f t="array" ref="U572">IF($D572="","",IFERROR(_xlfn.XLOOKUP($D572,'TIR店舗一覧'!$D:$D,'TIR店舗一覧'!$E:$E,""),""))</f>
        <v/>
      </c>
      <c r="V572" s="54" t="s">
        <v>2</v>
      </c>
      <c r="W572" s="54" t="s">
        <v>2</v>
      </c>
      <c r="X572" s="54" t="s">
        <v>2</v>
      </c>
      <c r="Y572" s="54" t="s">
        <v>2</v>
      </c>
      <c r="Z572" s="54" t="s">
        <v>2</v>
      </c>
      <c r="AA572" s="54" t="s">
        <v>2</v>
      </c>
      <c r="AB572" s="54" t="s">
        <v>2</v>
      </c>
      <c r="AC572" s="54" t="s">
        <v>2</v>
      </c>
      <c r="AD572" s="54" t="s">
        <v>2</v>
      </c>
      <c r="AE572" s="54" t="s">
        <v>2</v>
      </c>
      <c r="AF572" s="54" t="s">
        <v>2</v>
      </c>
      <c r="AG572" s="54" t="s">
        <v>2</v>
      </c>
    </row>
    <row r="573" ht="15.75" customHeight="1">
      <c r="B573" s="56"/>
      <c r="U573" s="46" t="str">
        <f t="array" ref="U573">IF($D573="","",IFERROR(_xlfn.XLOOKUP($D573,'TIR店舗一覧'!$D:$D,'TIR店舗一覧'!$E:$E,""),""))</f>
        <v/>
      </c>
      <c r="V573" s="54" t="s">
        <v>2</v>
      </c>
      <c r="W573" s="54" t="s">
        <v>2</v>
      </c>
      <c r="X573" s="54" t="s">
        <v>2</v>
      </c>
      <c r="Y573" s="54" t="s">
        <v>2</v>
      </c>
      <c r="Z573" s="54" t="s">
        <v>2</v>
      </c>
      <c r="AA573" s="54" t="s">
        <v>2</v>
      </c>
      <c r="AB573" s="54" t="s">
        <v>2</v>
      </c>
      <c r="AC573" s="54" t="s">
        <v>2</v>
      </c>
      <c r="AD573" s="54" t="s">
        <v>2</v>
      </c>
      <c r="AE573" s="54" t="s">
        <v>2</v>
      </c>
      <c r="AF573" s="54" t="s">
        <v>2</v>
      </c>
      <c r="AG573" s="54" t="s">
        <v>2</v>
      </c>
    </row>
    <row r="574" ht="15.75" customHeight="1">
      <c r="B574" s="56"/>
      <c r="U574" s="46" t="str">
        <f t="array" ref="U574">IF($D574="","",IFERROR(_xlfn.XLOOKUP($D574,'TIR店舗一覧'!$D:$D,'TIR店舗一覧'!$E:$E,""),""))</f>
        <v/>
      </c>
      <c r="V574" s="54" t="s">
        <v>2</v>
      </c>
      <c r="W574" s="54" t="s">
        <v>2</v>
      </c>
      <c r="X574" s="54" t="s">
        <v>2</v>
      </c>
      <c r="Y574" s="54" t="s">
        <v>2</v>
      </c>
      <c r="Z574" s="54" t="s">
        <v>2</v>
      </c>
      <c r="AA574" s="54" t="s">
        <v>2</v>
      </c>
      <c r="AB574" s="54" t="s">
        <v>2</v>
      </c>
      <c r="AC574" s="54" t="s">
        <v>2</v>
      </c>
      <c r="AD574" s="54" t="s">
        <v>2</v>
      </c>
      <c r="AE574" s="54" t="s">
        <v>2</v>
      </c>
      <c r="AF574" s="54" t="s">
        <v>2</v>
      </c>
      <c r="AG574" s="54" t="s">
        <v>2</v>
      </c>
    </row>
    <row r="575" ht="15.75" customHeight="1">
      <c r="B575" s="56"/>
      <c r="U575" s="46" t="str">
        <f t="array" ref="U575">IF($D575="","",IFERROR(_xlfn.XLOOKUP($D575,'TIR店舗一覧'!$D:$D,'TIR店舗一覧'!$E:$E,""),""))</f>
        <v/>
      </c>
      <c r="V575" s="54" t="s">
        <v>2</v>
      </c>
      <c r="W575" s="54" t="s">
        <v>2</v>
      </c>
      <c r="X575" s="54" t="s">
        <v>2</v>
      </c>
      <c r="Y575" s="54" t="s">
        <v>2</v>
      </c>
      <c r="Z575" s="54" t="s">
        <v>2</v>
      </c>
      <c r="AA575" s="54" t="s">
        <v>2</v>
      </c>
      <c r="AB575" s="54" t="s">
        <v>2</v>
      </c>
      <c r="AC575" s="54" t="s">
        <v>2</v>
      </c>
      <c r="AD575" s="54" t="s">
        <v>2</v>
      </c>
      <c r="AE575" s="54" t="s">
        <v>2</v>
      </c>
      <c r="AF575" s="54" t="s">
        <v>2</v>
      </c>
      <c r="AG575" s="54" t="s">
        <v>2</v>
      </c>
    </row>
    <row r="576" ht="15.75" customHeight="1">
      <c r="B576" s="56"/>
      <c r="U576" s="46" t="str">
        <f t="array" ref="U576">IF($D576="","",IFERROR(_xlfn.XLOOKUP($D576,'TIR店舗一覧'!$D:$D,'TIR店舗一覧'!$E:$E,""),""))</f>
        <v/>
      </c>
      <c r="V576" s="54" t="s">
        <v>2</v>
      </c>
      <c r="W576" s="54" t="s">
        <v>2</v>
      </c>
      <c r="X576" s="54" t="s">
        <v>2</v>
      </c>
      <c r="Y576" s="54" t="s">
        <v>2</v>
      </c>
      <c r="Z576" s="54" t="s">
        <v>2</v>
      </c>
      <c r="AA576" s="54" t="s">
        <v>2</v>
      </c>
      <c r="AB576" s="54" t="s">
        <v>2</v>
      </c>
      <c r="AC576" s="54" t="s">
        <v>2</v>
      </c>
      <c r="AD576" s="54" t="s">
        <v>2</v>
      </c>
      <c r="AE576" s="54" t="s">
        <v>2</v>
      </c>
      <c r="AF576" s="54" t="s">
        <v>2</v>
      </c>
      <c r="AG576" s="54" t="s">
        <v>2</v>
      </c>
    </row>
    <row r="577" ht="15.75" customHeight="1">
      <c r="B577" s="56"/>
      <c r="U577" s="46" t="str">
        <f t="array" ref="U577">IF($D577="","",IFERROR(_xlfn.XLOOKUP($D577,'TIR店舗一覧'!$D:$D,'TIR店舗一覧'!$E:$E,""),""))</f>
        <v/>
      </c>
      <c r="V577" s="54" t="s">
        <v>2</v>
      </c>
      <c r="W577" s="54" t="s">
        <v>2</v>
      </c>
      <c r="X577" s="54" t="s">
        <v>2</v>
      </c>
      <c r="Y577" s="54" t="s">
        <v>2</v>
      </c>
      <c r="Z577" s="54" t="s">
        <v>2</v>
      </c>
      <c r="AA577" s="54" t="s">
        <v>2</v>
      </c>
      <c r="AB577" s="54" t="s">
        <v>2</v>
      </c>
      <c r="AC577" s="54" t="s">
        <v>2</v>
      </c>
      <c r="AD577" s="54" t="s">
        <v>2</v>
      </c>
      <c r="AE577" s="54" t="s">
        <v>2</v>
      </c>
      <c r="AF577" s="54" t="s">
        <v>2</v>
      </c>
      <c r="AG577" s="54" t="s">
        <v>2</v>
      </c>
    </row>
    <row r="578" ht="15.75" customHeight="1">
      <c r="B578" s="56"/>
      <c r="U578" s="46" t="str">
        <f t="array" ref="U578">IF($D578="","",IFERROR(_xlfn.XLOOKUP($D578,'TIR店舗一覧'!$D:$D,'TIR店舗一覧'!$E:$E,""),""))</f>
        <v/>
      </c>
      <c r="V578" s="54" t="s">
        <v>2</v>
      </c>
      <c r="W578" s="54" t="s">
        <v>2</v>
      </c>
      <c r="X578" s="54" t="s">
        <v>2</v>
      </c>
      <c r="Y578" s="54" t="s">
        <v>2</v>
      </c>
      <c r="Z578" s="54" t="s">
        <v>2</v>
      </c>
      <c r="AA578" s="54" t="s">
        <v>2</v>
      </c>
      <c r="AB578" s="54" t="s">
        <v>2</v>
      </c>
      <c r="AC578" s="54" t="s">
        <v>2</v>
      </c>
      <c r="AD578" s="54" t="s">
        <v>2</v>
      </c>
      <c r="AE578" s="54" t="s">
        <v>2</v>
      </c>
      <c r="AF578" s="54" t="s">
        <v>2</v>
      </c>
      <c r="AG578" s="54" t="s">
        <v>2</v>
      </c>
    </row>
    <row r="579" ht="15.75" customHeight="1">
      <c r="B579" s="56"/>
      <c r="U579" s="46" t="str">
        <f t="array" ref="U579">IF($D579="","",IFERROR(_xlfn.XLOOKUP($D579,'TIR店舗一覧'!$D:$D,'TIR店舗一覧'!$E:$E,""),""))</f>
        <v/>
      </c>
      <c r="V579" s="54" t="s">
        <v>2</v>
      </c>
      <c r="W579" s="54" t="s">
        <v>2</v>
      </c>
      <c r="X579" s="54" t="s">
        <v>2</v>
      </c>
      <c r="Y579" s="54" t="s">
        <v>2</v>
      </c>
      <c r="Z579" s="54" t="s">
        <v>2</v>
      </c>
      <c r="AA579" s="54" t="s">
        <v>2</v>
      </c>
      <c r="AB579" s="54" t="s">
        <v>2</v>
      </c>
      <c r="AC579" s="54" t="s">
        <v>2</v>
      </c>
      <c r="AD579" s="54" t="s">
        <v>2</v>
      </c>
      <c r="AE579" s="54" t="s">
        <v>2</v>
      </c>
      <c r="AF579" s="54" t="s">
        <v>2</v>
      </c>
      <c r="AG579" s="54" t="s">
        <v>2</v>
      </c>
    </row>
    <row r="580" ht="15.75" customHeight="1">
      <c r="B580" s="56"/>
      <c r="U580" s="46" t="str">
        <f t="array" ref="U580">IF($D580="","",IFERROR(_xlfn.XLOOKUP($D580,'TIR店舗一覧'!$D:$D,'TIR店舗一覧'!$E:$E,""),""))</f>
        <v/>
      </c>
      <c r="V580" s="54" t="s">
        <v>2</v>
      </c>
      <c r="W580" s="54" t="s">
        <v>2</v>
      </c>
      <c r="X580" s="54" t="s">
        <v>2</v>
      </c>
      <c r="Y580" s="54" t="s">
        <v>2</v>
      </c>
      <c r="Z580" s="54" t="s">
        <v>2</v>
      </c>
      <c r="AA580" s="54" t="s">
        <v>2</v>
      </c>
      <c r="AB580" s="54" t="s">
        <v>2</v>
      </c>
      <c r="AC580" s="54" t="s">
        <v>2</v>
      </c>
      <c r="AD580" s="54" t="s">
        <v>2</v>
      </c>
      <c r="AE580" s="54" t="s">
        <v>2</v>
      </c>
      <c r="AF580" s="54" t="s">
        <v>2</v>
      </c>
      <c r="AG580" s="54" t="s">
        <v>2</v>
      </c>
    </row>
    <row r="581" ht="15.75" customHeight="1">
      <c r="B581" s="56"/>
      <c r="U581" s="46" t="str">
        <f t="array" ref="U581">IF($D581="","",IFERROR(_xlfn.XLOOKUP($D581,'TIR店舗一覧'!$D:$D,'TIR店舗一覧'!$E:$E,""),""))</f>
        <v/>
      </c>
      <c r="V581" s="54" t="s">
        <v>2</v>
      </c>
      <c r="W581" s="54" t="s">
        <v>2</v>
      </c>
      <c r="X581" s="54" t="s">
        <v>2</v>
      </c>
      <c r="Y581" s="54" t="s">
        <v>2</v>
      </c>
      <c r="Z581" s="54" t="s">
        <v>2</v>
      </c>
      <c r="AA581" s="54" t="s">
        <v>2</v>
      </c>
      <c r="AB581" s="54" t="s">
        <v>2</v>
      </c>
      <c r="AC581" s="54" t="s">
        <v>2</v>
      </c>
      <c r="AD581" s="54" t="s">
        <v>2</v>
      </c>
      <c r="AE581" s="54" t="s">
        <v>2</v>
      </c>
      <c r="AF581" s="54" t="s">
        <v>2</v>
      </c>
      <c r="AG581" s="54" t="s">
        <v>2</v>
      </c>
    </row>
    <row r="582" ht="15.75" customHeight="1">
      <c r="B582" s="56"/>
      <c r="U582" s="46" t="str">
        <f t="array" ref="U582">IF($D582="","",IFERROR(_xlfn.XLOOKUP($D582,'TIR店舗一覧'!$D:$D,'TIR店舗一覧'!$E:$E,""),""))</f>
        <v/>
      </c>
      <c r="V582" s="54" t="s">
        <v>2</v>
      </c>
      <c r="W582" s="54" t="s">
        <v>2</v>
      </c>
      <c r="X582" s="54" t="s">
        <v>2</v>
      </c>
      <c r="Y582" s="54" t="s">
        <v>2</v>
      </c>
      <c r="Z582" s="54" t="s">
        <v>2</v>
      </c>
      <c r="AA582" s="54" t="s">
        <v>2</v>
      </c>
      <c r="AB582" s="54" t="s">
        <v>2</v>
      </c>
      <c r="AC582" s="54" t="s">
        <v>2</v>
      </c>
      <c r="AD582" s="54" t="s">
        <v>2</v>
      </c>
      <c r="AE582" s="54" t="s">
        <v>2</v>
      </c>
      <c r="AF582" s="54" t="s">
        <v>2</v>
      </c>
      <c r="AG582" s="54" t="s">
        <v>2</v>
      </c>
    </row>
    <row r="583" ht="15.75" customHeight="1">
      <c r="B583" s="56"/>
      <c r="U583" s="46" t="str">
        <f t="array" ref="U583">IF($D583="","",IFERROR(_xlfn.XLOOKUP($D583,'TIR店舗一覧'!$D:$D,'TIR店舗一覧'!$E:$E,""),""))</f>
        <v/>
      </c>
      <c r="V583" s="54" t="s">
        <v>2</v>
      </c>
      <c r="W583" s="54" t="s">
        <v>2</v>
      </c>
      <c r="X583" s="54" t="s">
        <v>2</v>
      </c>
      <c r="Y583" s="54" t="s">
        <v>2</v>
      </c>
      <c r="Z583" s="54" t="s">
        <v>2</v>
      </c>
      <c r="AA583" s="54" t="s">
        <v>2</v>
      </c>
      <c r="AB583" s="54" t="s">
        <v>2</v>
      </c>
      <c r="AC583" s="54" t="s">
        <v>2</v>
      </c>
      <c r="AD583" s="54" t="s">
        <v>2</v>
      </c>
      <c r="AE583" s="54" t="s">
        <v>2</v>
      </c>
      <c r="AF583" s="54" t="s">
        <v>2</v>
      </c>
      <c r="AG583" s="54" t="s">
        <v>2</v>
      </c>
    </row>
    <row r="584" ht="15.75" customHeight="1">
      <c r="B584" s="56"/>
      <c r="U584" s="46" t="str">
        <f t="array" ref="U584">IF($D584="","",IFERROR(_xlfn.XLOOKUP($D584,'TIR店舗一覧'!$D:$D,'TIR店舗一覧'!$E:$E,""),""))</f>
        <v/>
      </c>
      <c r="V584" s="54" t="s">
        <v>2</v>
      </c>
      <c r="W584" s="54" t="s">
        <v>2</v>
      </c>
      <c r="X584" s="54" t="s">
        <v>2</v>
      </c>
      <c r="Y584" s="54" t="s">
        <v>2</v>
      </c>
      <c r="Z584" s="54" t="s">
        <v>2</v>
      </c>
      <c r="AA584" s="54" t="s">
        <v>2</v>
      </c>
      <c r="AB584" s="54" t="s">
        <v>2</v>
      </c>
      <c r="AC584" s="54" t="s">
        <v>2</v>
      </c>
      <c r="AD584" s="54" t="s">
        <v>2</v>
      </c>
      <c r="AE584" s="54" t="s">
        <v>2</v>
      </c>
      <c r="AF584" s="54" t="s">
        <v>2</v>
      </c>
      <c r="AG584" s="54" t="s">
        <v>2</v>
      </c>
    </row>
    <row r="585" ht="15.75" customHeight="1">
      <c r="B585" s="56"/>
      <c r="U585" s="46" t="str">
        <f t="array" ref="U585">IF($D585="","",IFERROR(_xlfn.XLOOKUP($D585,'TIR店舗一覧'!$D:$D,'TIR店舗一覧'!$E:$E,""),""))</f>
        <v/>
      </c>
      <c r="V585" s="54" t="s">
        <v>2</v>
      </c>
      <c r="W585" s="54" t="s">
        <v>2</v>
      </c>
      <c r="X585" s="54" t="s">
        <v>2</v>
      </c>
      <c r="Y585" s="54" t="s">
        <v>2</v>
      </c>
      <c r="Z585" s="54" t="s">
        <v>2</v>
      </c>
      <c r="AA585" s="54" t="s">
        <v>2</v>
      </c>
      <c r="AB585" s="54" t="s">
        <v>2</v>
      </c>
      <c r="AC585" s="54" t="s">
        <v>2</v>
      </c>
      <c r="AD585" s="54" t="s">
        <v>2</v>
      </c>
      <c r="AE585" s="54" t="s">
        <v>2</v>
      </c>
      <c r="AF585" s="54" t="s">
        <v>2</v>
      </c>
      <c r="AG585" s="54" t="s">
        <v>2</v>
      </c>
    </row>
    <row r="586" ht="15.75" customHeight="1">
      <c r="B586" s="56"/>
      <c r="U586" s="46" t="str">
        <f t="array" ref="U586">IF($D586="","",IFERROR(_xlfn.XLOOKUP($D586,'TIR店舗一覧'!$D:$D,'TIR店舗一覧'!$E:$E,""),""))</f>
        <v/>
      </c>
      <c r="V586" s="54" t="s">
        <v>2</v>
      </c>
      <c r="W586" s="54" t="s">
        <v>2</v>
      </c>
      <c r="X586" s="54" t="s">
        <v>2</v>
      </c>
      <c r="Y586" s="54" t="s">
        <v>2</v>
      </c>
      <c r="Z586" s="54" t="s">
        <v>2</v>
      </c>
      <c r="AA586" s="54" t="s">
        <v>2</v>
      </c>
      <c r="AB586" s="54" t="s">
        <v>2</v>
      </c>
      <c r="AC586" s="54" t="s">
        <v>2</v>
      </c>
      <c r="AD586" s="54" t="s">
        <v>2</v>
      </c>
      <c r="AE586" s="54" t="s">
        <v>2</v>
      </c>
      <c r="AF586" s="54" t="s">
        <v>2</v>
      </c>
      <c r="AG586" s="54" t="s">
        <v>2</v>
      </c>
    </row>
    <row r="587" ht="15.75" customHeight="1">
      <c r="B587" s="56"/>
      <c r="U587" s="46" t="str">
        <f t="array" ref="U587">IF($D587="","",IFERROR(_xlfn.XLOOKUP($D587,'TIR店舗一覧'!$D:$D,'TIR店舗一覧'!$E:$E,""),""))</f>
        <v/>
      </c>
      <c r="V587" s="54" t="s">
        <v>2</v>
      </c>
      <c r="W587" s="54" t="s">
        <v>2</v>
      </c>
      <c r="X587" s="54" t="s">
        <v>2</v>
      </c>
      <c r="Y587" s="54" t="s">
        <v>2</v>
      </c>
      <c r="Z587" s="54" t="s">
        <v>2</v>
      </c>
      <c r="AA587" s="54" t="s">
        <v>2</v>
      </c>
      <c r="AB587" s="54" t="s">
        <v>2</v>
      </c>
      <c r="AC587" s="54" t="s">
        <v>2</v>
      </c>
      <c r="AD587" s="54" t="s">
        <v>2</v>
      </c>
      <c r="AE587" s="54" t="s">
        <v>2</v>
      </c>
      <c r="AF587" s="54" t="s">
        <v>2</v>
      </c>
      <c r="AG587" s="54" t="s">
        <v>2</v>
      </c>
    </row>
    <row r="588" ht="15.75" customHeight="1">
      <c r="B588" s="56"/>
      <c r="U588" s="46" t="str">
        <f t="array" ref="U588">IF($D588="","",IFERROR(_xlfn.XLOOKUP($D588,'TIR店舗一覧'!$D:$D,'TIR店舗一覧'!$E:$E,""),""))</f>
        <v/>
      </c>
      <c r="V588" s="54" t="s">
        <v>2</v>
      </c>
      <c r="W588" s="54" t="s">
        <v>2</v>
      </c>
      <c r="X588" s="54" t="s">
        <v>2</v>
      </c>
      <c r="Y588" s="54" t="s">
        <v>2</v>
      </c>
      <c r="Z588" s="54" t="s">
        <v>2</v>
      </c>
      <c r="AA588" s="54" t="s">
        <v>2</v>
      </c>
      <c r="AB588" s="54" t="s">
        <v>2</v>
      </c>
      <c r="AC588" s="54" t="s">
        <v>2</v>
      </c>
      <c r="AD588" s="54" t="s">
        <v>2</v>
      </c>
      <c r="AE588" s="54" t="s">
        <v>2</v>
      </c>
      <c r="AF588" s="54" t="s">
        <v>2</v>
      </c>
      <c r="AG588" s="54" t="s">
        <v>2</v>
      </c>
    </row>
    <row r="589" ht="15.75" customHeight="1">
      <c r="B589" s="56"/>
      <c r="U589" s="46" t="str">
        <f t="array" ref="U589">IF($D589="","",IFERROR(_xlfn.XLOOKUP($D589,'TIR店舗一覧'!$D:$D,'TIR店舗一覧'!$E:$E,""),""))</f>
        <v/>
      </c>
      <c r="V589" s="54" t="s">
        <v>2</v>
      </c>
      <c r="W589" s="54" t="s">
        <v>2</v>
      </c>
      <c r="X589" s="54" t="s">
        <v>2</v>
      </c>
      <c r="Y589" s="54" t="s">
        <v>2</v>
      </c>
      <c r="Z589" s="54" t="s">
        <v>2</v>
      </c>
      <c r="AA589" s="54" t="s">
        <v>2</v>
      </c>
      <c r="AB589" s="54" t="s">
        <v>2</v>
      </c>
      <c r="AC589" s="54" t="s">
        <v>2</v>
      </c>
      <c r="AD589" s="54" t="s">
        <v>2</v>
      </c>
      <c r="AE589" s="54" t="s">
        <v>2</v>
      </c>
      <c r="AF589" s="54" t="s">
        <v>2</v>
      </c>
      <c r="AG589" s="54" t="s">
        <v>2</v>
      </c>
    </row>
    <row r="590" ht="15.75" customHeight="1">
      <c r="B590" s="56"/>
      <c r="U590" s="46" t="str">
        <f t="array" ref="U590">IF($D590="","",IFERROR(_xlfn.XLOOKUP($D590,'TIR店舗一覧'!$D:$D,'TIR店舗一覧'!$E:$E,""),""))</f>
        <v/>
      </c>
      <c r="V590" s="54" t="s">
        <v>2</v>
      </c>
      <c r="W590" s="54" t="s">
        <v>2</v>
      </c>
      <c r="X590" s="54" t="s">
        <v>2</v>
      </c>
      <c r="Y590" s="54" t="s">
        <v>2</v>
      </c>
      <c r="Z590" s="54" t="s">
        <v>2</v>
      </c>
      <c r="AA590" s="54" t="s">
        <v>2</v>
      </c>
      <c r="AB590" s="54" t="s">
        <v>2</v>
      </c>
      <c r="AC590" s="54" t="s">
        <v>2</v>
      </c>
      <c r="AD590" s="54" t="s">
        <v>2</v>
      </c>
      <c r="AE590" s="54" t="s">
        <v>2</v>
      </c>
      <c r="AF590" s="54" t="s">
        <v>2</v>
      </c>
      <c r="AG590" s="54" t="s">
        <v>2</v>
      </c>
    </row>
    <row r="591" ht="15.75" customHeight="1">
      <c r="B591" s="56"/>
      <c r="U591" s="46" t="str">
        <f t="array" ref="U591">IF($D591="","",IFERROR(_xlfn.XLOOKUP($D591,'TIR店舗一覧'!$D:$D,'TIR店舗一覧'!$E:$E,""),""))</f>
        <v/>
      </c>
      <c r="V591" s="54" t="s">
        <v>2</v>
      </c>
      <c r="W591" s="54" t="s">
        <v>2</v>
      </c>
      <c r="X591" s="54" t="s">
        <v>2</v>
      </c>
      <c r="Y591" s="54" t="s">
        <v>2</v>
      </c>
      <c r="Z591" s="54" t="s">
        <v>2</v>
      </c>
      <c r="AA591" s="54" t="s">
        <v>2</v>
      </c>
      <c r="AB591" s="54" t="s">
        <v>2</v>
      </c>
      <c r="AC591" s="54" t="s">
        <v>2</v>
      </c>
      <c r="AD591" s="54" t="s">
        <v>2</v>
      </c>
      <c r="AE591" s="54" t="s">
        <v>2</v>
      </c>
      <c r="AF591" s="54" t="s">
        <v>2</v>
      </c>
      <c r="AG591" s="54" t="s">
        <v>2</v>
      </c>
    </row>
    <row r="592" ht="15.75" customHeight="1">
      <c r="B592" s="56"/>
      <c r="U592" s="46" t="str">
        <f t="array" ref="U592">IF($D592="","",IFERROR(_xlfn.XLOOKUP($D592,'TIR店舗一覧'!$D:$D,'TIR店舗一覧'!$E:$E,""),""))</f>
        <v/>
      </c>
      <c r="V592" s="54" t="s">
        <v>2</v>
      </c>
      <c r="W592" s="54" t="s">
        <v>2</v>
      </c>
      <c r="X592" s="54" t="s">
        <v>2</v>
      </c>
      <c r="Y592" s="54" t="s">
        <v>2</v>
      </c>
      <c r="Z592" s="54" t="s">
        <v>2</v>
      </c>
      <c r="AA592" s="54" t="s">
        <v>2</v>
      </c>
      <c r="AB592" s="54" t="s">
        <v>2</v>
      </c>
      <c r="AC592" s="54" t="s">
        <v>2</v>
      </c>
      <c r="AD592" s="54" t="s">
        <v>2</v>
      </c>
      <c r="AE592" s="54" t="s">
        <v>2</v>
      </c>
      <c r="AF592" s="54" t="s">
        <v>2</v>
      </c>
      <c r="AG592" s="54" t="s">
        <v>2</v>
      </c>
    </row>
    <row r="593" ht="15.75" customHeight="1">
      <c r="B593" s="56"/>
      <c r="U593" s="46" t="str">
        <f t="array" ref="U593">IF($D593="","",IFERROR(_xlfn.XLOOKUP($D593,'TIR店舗一覧'!$D:$D,'TIR店舗一覧'!$E:$E,""),""))</f>
        <v/>
      </c>
      <c r="V593" s="54" t="s">
        <v>2</v>
      </c>
      <c r="W593" s="54" t="s">
        <v>2</v>
      </c>
      <c r="X593" s="54" t="s">
        <v>2</v>
      </c>
      <c r="Y593" s="54" t="s">
        <v>2</v>
      </c>
      <c r="Z593" s="54" t="s">
        <v>2</v>
      </c>
      <c r="AA593" s="54" t="s">
        <v>2</v>
      </c>
      <c r="AB593" s="54" t="s">
        <v>2</v>
      </c>
      <c r="AC593" s="54" t="s">
        <v>2</v>
      </c>
      <c r="AD593" s="54" t="s">
        <v>2</v>
      </c>
      <c r="AE593" s="54" t="s">
        <v>2</v>
      </c>
      <c r="AF593" s="54" t="s">
        <v>2</v>
      </c>
      <c r="AG593" s="54" t="s">
        <v>2</v>
      </c>
    </row>
    <row r="594" ht="15.75" customHeight="1">
      <c r="B594" s="56"/>
      <c r="U594" s="46" t="str">
        <f t="array" ref="U594">IF($D594="","",IFERROR(_xlfn.XLOOKUP($D594,'TIR店舗一覧'!$D:$D,'TIR店舗一覧'!$E:$E,""),""))</f>
        <v/>
      </c>
      <c r="V594" s="54" t="s">
        <v>2</v>
      </c>
      <c r="W594" s="54" t="s">
        <v>2</v>
      </c>
      <c r="X594" s="54" t="s">
        <v>2</v>
      </c>
      <c r="Y594" s="54" t="s">
        <v>2</v>
      </c>
      <c r="Z594" s="54" t="s">
        <v>2</v>
      </c>
      <c r="AA594" s="54" t="s">
        <v>2</v>
      </c>
      <c r="AB594" s="54" t="s">
        <v>2</v>
      </c>
      <c r="AC594" s="54" t="s">
        <v>2</v>
      </c>
      <c r="AD594" s="54" t="s">
        <v>2</v>
      </c>
      <c r="AE594" s="54" t="s">
        <v>2</v>
      </c>
      <c r="AF594" s="54" t="s">
        <v>2</v>
      </c>
      <c r="AG594" s="54" t="s">
        <v>2</v>
      </c>
    </row>
    <row r="595" ht="15.75" customHeight="1">
      <c r="B595" s="56"/>
      <c r="U595" s="46" t="str">
        <f t="array" ref="U595">IF($D595="","",IFERROR(_xlfn.XLOOKUP($D595,'TIR店舗一覧'!$D:$D,'TIR店舗一覧'!$E:$E,""),""))</f>
        <v/>
      </c>
      <c r="V595" s="54" t="s">
        <v>2</v>
      </c>
      <c r="W595" s="54" t="s">
        <v>2</v>
      </c>
      <c r="X595" s="54" t="s">
        <v>2</v>
      </c>
      <c r="Y595" s="54" t="s">
        <v>2</v>
      </c>
      <c r="Z595" s="54" t="s">
        <v>2</v>
      </c>
      <c r="AA595" s="54" t="s">
        <v>2</v>
      </c>
      <c r="AB595" s="54" t="s">
        <v>2</v>
      </c>
      <c r="AC595" s="54" t="s">
        <v>2</v>
      </c>
      <c r="AD595" s="54" t="s">
        <v>2</v>
      </c>
      <c r="AE595" s="54" t="s">
        <v>2</v>
      </c>
      <c r="AF595" s="54" t="s">
        <v>2</v>
      </c>
      <c r="AG595" s="54" t="s">
        <v>2</v>
      </c>
    </row>
    <row r="596" ht="15.75" customHeight="1">
      <c r="B596" s="56"/>
      <c r="U596" s="46" t="str">
        <f t="array" ref="U596">IF($D596="","",IFERROR(_xlfn.XLOOKUP($D596,'TIR店舗一覧'!$D:$D,'TIR店舗一覧'!$E:$E,""),""))</f>
        <v/>
      </c>
      <c r="V596" s="54" t="s">
        <v>2</v>
      </c>
      <c r="W596" s="54" t="s">
        <v>2</v>
      </c>
      <c r="X596" s="54" t="s">
        <v>2</v>
      </c>
      <c r="Y596" s="54" t="s">
        <v>2</v>
      </c>
      <c r="Z596" s="54" t="s">
        <v>2</v>
      </c>
      <c r="AA596" s="54" t="s">
        <v>2</v>
      </c>
      <c r="AB596" s="54" t="s">
        <v>2</v>
      </c>
      <c r="AC596" s="54" t="s">
        <v>2</v>
      </c>
      <c r="AD596" s="54" t="s">
        <v>2</v>
      </c>
      <c r="AE596" s="54" t="s">
        <v>2</v>
      </c>
      <c r="AF596" s="54" t="s">
        <v>2</v>
      </c>
      <c r="AG596" s="54" t="s">
        <v>2</v>
      </c>
    </row>
    <row r="597" ht="15.75" customHeight="1">
      <c r="B597" s="56"/>
      <c r="U597" s="46" t="str">
        <f t="array" ref="U597">IF($D597="","",IFERROR(_xlfn.XLOOKUP($D597,'TIR店舗一覧'!$D:$D,'TIR店舗一覧'!$E:$E,""),""))</f>
        <v/>
      </c>
      <c r="V597" s="54" t="s">
        <v>2</v>
      </c>
      <c r="W597" s="54" t="s">
        <v>2</v>
      </c>
      <c r="X597" s="54" t="s">
        <v>2</v>
      </c>
      <c r="Y597" s="54" t="s">
        <v>2</v>
      </c>
      <c r="Z597" s="54" t="s">
        <v>2</v>
      </c>
      <c r="AA597" s="54" t="s">
        <v>2</v>
      </c>
      <c r="AB597" s="54" t="s">
        <v>2</v>
      </c>
      <c r="AC597" s="54" t="s">
        <v>2</v>
      </c>
      <c r="AD597" s="54" t="s">
        <v>2</v>
      </c>
      <c r="AE597" s="54" t="s">
        <v>2</v>
      </c>
      <c r="AF597" s="54" t="s">
        <v>2</v>
      </c>
      <c r="AG597" s="54" t="s">
        <v>2</v>
      </c>
    </row>
    <row r="598" ht="15.75" customHeight="1">
      <c r="B598" s="56"/>
      <c r="U598" s="46" t="str">
        <f t="array" ref="U598">IF($D598="","",IFERROR(_xlfn.XLOOKUP($D598,'TIR店舗一覧'!$D:$D,'TIR店舗一覧'!$E:$E,""),""))</f>
        <v/>
      </c>
      <c r="V598" s="54" t="s">
        <v>2</v>
      </c>
      <c r="W598" s="54" t="s">
        <v>2</v>
      </c>
      <c r="X598" s="54" t="s">
        <v>2</v>
      </c>
      <c r="Y598" s="54" t="s">
        <v>2</v>
      </c>
      <c r="Z598" s="54" t="s">
        <v>2</v>
      </c>
      <c r="AA598" s="54" t="s">
        <v>2</v>
      </c>
      <c r="AB598" s="54" t="s">
        <v>2</v>
      </c>
      <c r="AC598" s="54" t="s">
        <v>2</v>
      </c>
      <c r="AD598" s="54" t="s">
        <v>2</v>
      </c>
      <c r="AE598" s="54" t="s">
        <v>2</v>
      </c>
      <c r="AF598" s="54" t="s">
        <v>2</v>
      </c>
      <c r="AG598" s="54" t="s">
        <v>2</v>
      </c>
    </row>
    <row r="599" ht="15.75" customHeight="1">
      <c r="B599" s="56"/>
      <c r="U599" s="46" t="str">
        <f t="array" ref="U599">IF($D599="","",IFERROR(_xlfn.XLOOKUP($D599,'TIR店舗一覧'!$D:$D,'TIR店舗一覧'!$E:$E,""),""))</f>
        <v/>
      </c>
      <c r="V599" s="54" t="s">
        <v>2</v>
      </c>
      <c r="W599" s="54" t="s">
        <v>2</v>
      </c>
      <c r="X599" s="54" t="s">
        <v>2</v>
      </c>
      <c r="Y599" s="54" t="s">
        <v>2</v>
      </c>
      <c r="Z599" s="54" t="s">
        <v>2</v>
      </c>
      <c r="AA599" s="54" t="s">
        <v>2</v>
      </c>
      <c r="AB599" s="54" t="s">
        <v>2</v>
      </c>
      <c r="AC599" s="54" t="s">
        <v>2</v>
      </c>
      <c r="AD599" s="54" t="s">
        <v>2</v>
      </c>
      <c r="AE599" s="54" t="s">
        <v>2</v>
      </c>
      <c r="AF599" s="54" t="s">
        <v>2</v>
      </c>
      <c r="AG599" s="54" t="s">
        <v>2</v>
      </c>
    </row>
    <row r="600" ht="15.75" customHeight="1">
      <c r="B600" s="56"/>
      <c r="U600" s="46" t="str">
        <f t="array" ref="U600">IF($D600="","",IFERROR(_xlfn.XLOOKUP($D600,'TIR店舗一覧'!$D:$D,'TIR店舗一覧'!$E:$E,""),""))</f>
        <v/>
      </c>
      <c r="V600" s="54" t="s">
        <v>2</v>
      </c>
      <c r="W600" s="54" t="s">
        <v>2</v>
      </c>
      <c r="X600" s="54" t="s">
        <v>2</v>
      </c>
      <c r="Y600" s="54" t="s">
        <v>2</v>
      </c>
      <c r="Z600" s="54" t="s">
        <v>2</v>
      </c>
      <c r="AA600" s="54" t="s">
        <v>2</v>
      </c>
      <c r="AB600" s="54" t="s">
        <v>2</v>
      </c>
      <c r="AC600" s="54" t="s">
        <v>2</v>
      </c>
      <c r="AD600" s="54" t="s">
        <v>2</v>
      </c>
      <c r="AE600" s="54" t="s">
        <v>2</v>
      </c>
      <c r="AF600" s="54" t="s">
        <v>2</v>
      </c>
      <c r="AG600" s="54" t="s">
        <v>2</v>
      </c>
    </row>
    <row r="601" ht="15.75" customHeight="1">
      <c r="B601" s="56"/>
      <c r="U601" s="46" t="str">
        <f t="array" ref="U601">IF($D601="","",IFERROR(_xlfn.XLOOKUP($D601,'TIR店舗一覧'!$D:$D,'TIR店舗一覧'!$E:$E,""),""))</f>
        <v/>
      </c>
      <c r="V601" s="54" t="s">
        <v>2</v>
      </c>
      <c r="W601" s="54" t="s">
        <v>2</v>
      </c>
      <c r="X601" s="54" t="s">
        <v>2</v>
      </c>
      <c r="Y601" s="54" t="s">
        <v>2</v>
      </c>
      <c r="Z601" s="54" t="s">
        <v>2</v>
      </c>
      <c r="AA601" s="54" t="s">
        <v>2</v>
      </c>
      <c r="AB601" s="54" t="s">
        <v>2</v>
      </c>
      <c r="AC601" s="54" t="s">
        <v>2</v>
      </c>
      <c r="AD601" s="54" t="s">
        <v>2</v>
      </c>
      <c r="AE601" s="54" t="s">
        <v>2</v>
      </c>
      <c r="AF601" s="54" t="s">
        <v>2</v>
      </c>
      <c r="AG601" s="54" t="s">
        <v>2</v>
      </c>
    </row>
    <row r="602" ht="15.75" customHeight="1">
      <c r="B602" s="56"/>
      <c r="U602" s="46" t="str">
        <f t="array" ref="U602">IF($D602="","",IFERROR(_xlfn.XLOOKUP($D602,'TIR店舗一覧'!$D:$D,'TIR店舗一覧'!$E:$E,""),""))</f>
        <v/>
      </c>
      <c r="V602" s="54" t="s">
        <v>2</v>
      </c>
      <c r="W602" s="54" t="s">
        <v>2</v>
      </c>
      <c r="X602" s="54" t="s">
        <v>2</v>
      </c>
      <c r="Y602" s="54" t="s">
        <v>2</v>
      </c>
      <c r="Z602" s="54" t="s">
        <v>2</v>
      </c>
      <c r="AA602" s="54" t="s">
        <v>2</v>
      </c>
      <c r="AB602" s="54" t="s">
        <v>2</v>
      </c>
      <c r="AC602" s="54" t="s">
        <v>2</v>
      </c>
      <c r="AD602" s="54" t="s">
        <v>2</v>
      </c>
      <c r="AE602" s="54" t="s">
        <v>2</v>
      </c>
      <c r="AF602" s="54" t="s">
        <v>2</v>
      </c>
      <c r="AG602" s="54" t="s">
        <v>2</v>
      </c>
    </row>
    <row r="603" ht="15.75" customHeight="1">
      <c r="B603" s="56"/>
      <c r="U603" s="46" t="str">
        <f t="array" ref="U603">IF($D603="","",IFERROR(_xlfn.XLOOKUP($D603,'TIR店舗一覧'!$D:$D,'TIR店舗一覧'!$E:$E,""),""))</f>
        <v/>
      </c>
      <c r="V603" s="54" t="s">
        <v>2</v>
      </c>
      <c r="W603" s="54" t="s">
        <v>2</v>
      </c>
      <c r="X603" s="54" t="s">
        <v>2</v>
      </c>
      <c r="Y603" s="54" t="s">
        <v>2</v>
      </c>
      <c r="Z603" s="54" t="s">
        <v>2</v>
      </c>
      <c r="AA603" s="54" t="s">
        <v>2</v>
      </c>
      <c r="AB603" s="54" t="s">
        <v>2</v>
      </c>
      <c r="AC603" s="54" t="s">
        <v>2</v>
      </c>
      <c r="AD603" s="54" t="s">
        <v>2</v>
      </c>
      <c r="AE603" s="54" t="s">
        <v>2</v>
      </c>
      <c r="AF603" s="54" t="s">
        <v>2</v>
      </c>
      <c r="AG603" s="54" t="s">
        <v>2</v>
      </c>
    </row>
    <row r="604" ht="15.75" customHeight="1">
      <c r="B604" s="56"/>
      <c r="U604" s="46" t="str">
        <f t="array" ref="U604">IF($D604="","",IFERROR(_xlfn.XLOOKUP($D604,'TIR店舗一覧'!$D:$D,'TIR店舗一覧'!$E:$E,""),""))</f>
        <v/>
      </c>
      <c r="V604" s="54" t="s">
        <v>2</v>
      </c>
      <c r="W604" s="54" t="s">
        <v>2</v>
      </c>
      <c r="X604" s="54" t="s">
        <v>2</v>
      </c>
      <c r="Y604" s="54" t="s">
        <v>2</v>
      </c>
      <c r="Z604" s="54" t="s">
        <v>2</v>
      </c>
      <c r="AA604" s="54" t="s">
        <v>2</v>
      </c>
      <c r="AB604" s="54" t="s">
        <v>2</v>
      </c>
      <c r="AC604" s="54" t="s">
        <v>2</v>
      </c>
      <c r="AD604" s="54" t="s">
        <v>2</v>
      </c>
      <c r="AE604" s="54" t="s">
        <v>2</v>
      </c>
      <c r="AF604" s="54" t="s">
        <v>2</v>
      </c>
      <c r="AG604" s="54" t="s">
        <v>2</v>
      </c>
    </row>
    <row r="605" ht="15.75" customHeight="1">
      <c r="B605" s="56"/>
      <c r="U605" s="46" t="str">
        <f t="array" ref="U605">IF($D605="","",IFERROR(_xlfn.XLOOKUP($D605,'TIR店舗一覧'!$D:$D,'TIR店舗一覧'!$E:$E,""),""))</f>
        <v/>
      </c>
      <c r="V605" s="54" t="s">
        <v>2</v>
      </c>
      <c r="W605" s="54" t="s">
        <v>2</v>
      </c>
      <c r="X605" s="54" t="s">
        <v>2</v>
      </c>
      <c r="Y605" s="54" t="s">
        <v>2</v>
      </c>
      <c r="Z605" s="54" t="s">
        <v>2</v>
      </c>
      <c r="AA605" s="54" t="s">
        <v>2</v>
      </c>
      <c r="AB605" s="54" t="s">
        <v>2</v>
      </c>
      <c r="AC605" s="54" t="s">
        <v>2</v>
      </c>
      <c r="AD605" s="54" t="s">
        <v>2</v>
      </c>
      <c r="AE605" s="54" t="s">
        <v>2</v>
      </c>
      <c r="AF605" s="54" t="s">
        <v>2</v>
      </c>
      <c r="AG605" s="54" t="s">
        <v>2</v>
      </c>
    </row>
    <row r="606" ht="15.75" customHeight="1">
      <c r="B606" s="56"/>
      <c r="U606" s="46" t="str">
        <f t="array" ref="U606">IF($D606="","",IFERROR(_xlfn.XLOOKUP($D606,'TIR店舗一覧'!$D:$D,'TIR店舗一覧'!$E:$E,""),""))</f>
        <v/>
      </c>
      <c r="V606" s="54" t="s">
        <v>2</v>
      </c>
      <c r="W606" s="54" t="s">
        <v>2</v>
      </c>
      <c r="X606" s="54" t="s">
        <v>2</v>
      </c>
      <c r="Y606" s="54" t="s">
        <v>2</v>
      </c>
      <c r="Z606" s="54" t="s">
        <v>2</v>
      </c>
      <c r="AA606" s="54" t="s">
        <v>2</v>
      </c>
      <c r="AB606" s="54" t="s">
        <v>2</v>
      </c>
      <c r="AC606" s="54" t="s">
        <v>2</v>
      </c>
      <c r="AD606" s="54" t="s">
        <v>2</v>
      </c>
      <c r="AE606" s="54" t="s">
        <v>2</v>
      </c>
      <c r="AF606" s="54" t="s">
        <v>2</v>
      </c>
      <c r="AG606" s="54" t="s">
        <v>2</v>
      </c>
    </row>
    <row r="607" ht="15.75" customHeight="1">
      <c r="B607" s="56"/>
      <c r="U607" s="46" t="str">
        <f t="array" ref="U607">IF($D607="","",IFERROR(_xlfn.XLOOKUP($D607,'TIR店舗一覧'!$D:$D,'TIR店舗一覧'!$E:$E,""),""))</f>
        <v/>
      </c>
      <c r="V607" s="54" t="s">
        <v>2</v>
      </c>
      <c r="W607" s="54" t="s">
        <v>2</v>
      </c>
      <c r="X607" s="54" t="s">
        <v>2</v>
      </c>
      <c r="Y607" s="54" t="s">
        <v>2</v>
      </c>
      <c r="Z607" s="54" t="s">
        <v>2</v>
      </c>
      <c r="AA607" s="54" t="s">
        <v>2</v>
      </c>
      <c r="AB607" s="54" t="s">
        <v>2</v>
      </c>
      <c r="AC607" s="54" t="s">
        <v>2</v>
      </c>
      <c r="AD607" s="54" t="s">
        <v>2</v>
      </c>
      <c r="AE607" s="54" t="s">
        <v>2</v>
      </c>
      <c r="AF607" s="54" t="s">
        <v>2</v>
      </c>
      <c r="AG607" s="54" t="s">
        <v>2</v>
      </c>
    </row>
    <row r="608" ht="15.75" customHeight="1">
      <c r="B608" s="56"/>
      <c r="U608" s="46" t="str">
        <f t="array" ref="U608">IF($D608="","",IFERROR(_xlfn.XLOOKUP($D608,'TIR店舗一覧'!$D:$D,'TIR店舗一覧'!$E:$E,""),""))</f>
        <v/>
      </c>
      <c r="V608" s="54" t="s">
        <v>2</v>
      </c>
      <c r="W608" s="54" t="s">
        <v>2</v>
      </c>
      <c r="X608" s="54" t="s">
        <v>2</v>
      </c>
      <c r="Y608" s="54" t="s">
        <v>2</v>
      </c>
      <c r="Z608" s="54" t="s">
        <v>2</v>
      </c>
      <c r="AA608" s="54" t="s">
        <v>2</v>
      </c>
      <c r="AB608" s="54" t="s">
        <v>2</v>
      </c>
      <c r="AC608" s="54" t="s">
        <v>2</v>
      </c>
      <c r="AD608" s="54" t="s">
        <v>2</v>
      </c>
      <c r="AE608" s="54" t="s">
        <v>2</v>
      </c>
      <c r="AF608" s="54" t="s">
        <v>2</v>
      </c>
      <c r="AG608" s="54" t="s">
        <v>2</v>
      </c>
    </row>
    <row r="609" ht="15.75" customHeight="1">
      <c r="B609" s="56"/>
      <c r="U609" s="46" t="str">
        <f t="array" ref="U609">IF($D609="","",IFERROR(_xlfn.XLOOKUP($D609,'TIR店舗一覧'!$D:$D,'TIR店舗一覧'!$E:$E,""),""))</f>
        <v/>
      </c>
      <c r="V609" s="54" t="s">
        <v>2</v>
      </c>
      <c r="W609" s="54" t="s">
        <v>2</v>
      </c>
      <c r="X609" s="54" t="s">
        <v>2</v>
      </c>
      <c r="Y609" s="54" t="s">
        <v>2</v>
      </c>
      <c r="Z609" s="54" t="s">
        <v>2</v>
      </c>
      <c r="AA609" s="54" t="s">
        <v>2</v>
      </c>
      <c r="AB609" s="54" t="s">
        <v>2</v>
      </c>
      <c r="AC609" s="54" t="s">
        <v>2</v>
      </c>
      <c r="AD609" s="54" t="s">
        <v>2</v>
      </c>
      <c r="AE609" s="54" t="s">
        <v>2</v>
      </c>
      <c r="AF609" s="54" t="s">
        <v>2</v>
      </c>
      <c r="AG609" s="54" t="s">
        <v>2</v>
      </c>
    </row>
    <row r="610" ht="15.75" customHeight="1">
      <c r="B610" s="56"/>
      <c r="U610" s="46" t="str">
        <f t="array" ref="U610">IF($D610="","",IFERROR(_xlfn.XLOOKUP($D610,'TIR店舗一覧'!$D:$D,'TIR店舗一覧'!$E:$E,""),""))</f>
        <v/>
      </c>
      <c r="V610" s="54" t="s">
        <v>2</v>
      </c>
      <c r="W610" s="54" t="s">
        <v>2</v>
      </c>
      <c r="X610" s="54" t="s">
        <v>2</v>
      </c>
      <c r="Y610" s="54" t="s">
        <v>2</v>
      </c>
      <c r="Z610" s="54" t="s">
        <v>2</v>
      </c>
      <c r="AA610" s="54" t="s">
        <v>2</v>
      </c>
      <c r="AB610" s="54" t="s">
        <v>2</v>
      </c>
      <c r="AC610" s="54" t="s">
        <v>2</v>
      </c>
      <c r="AD610" s="54" t="s">
        <v>2</v>
      </c>
      <c r="AE610" s="54" t="s">
        <v>2</v>
      </c>
      <c r="AF610" s="54" t="s">
        <v>2</v>
      </c>
      <c r="AG610" s="54" t="s">
        <v>2</v>
      </c>
    </row>
    <row r="611" ht="15.75" customHeight="1">
      <c r="B611" s="56"/>
      <c r="U611" s="46" t="str">
        <f t="array" ref="U611">IF($D611="","",IFERROR(_xlfn.XLOOKUP($D611,'TIR店舗一覧'!$D:$D,'TIR店舗一覧'!$E:$E,""),""))</f>
        <v/>
      </c>
      <c r="V611" s="54" t="s">
        <v>2</v>
      </c>
      <c r="W611" s="54" t="s">
        <v>2</v>
      </c>
      <c r="X611" s="54" t="s">
        <v>2</v>
      </c>
      <c r="Y611" s="54" t="s">
        <v>2</v>
      </c>
      <c r="Z611" s="54" t="s">
        <v>2</v>
      </c>
      <c r="AA611" s="54" t="s">
        <v>2</v>
      </c>
      <c r="AB611" s="54" t="s">
        <v>2</v>
      </c>
      <c r="AC611" s="54" t="s">
        <v>2</v>
      </c>
      <c r="AD611" s="54" t="s">
        <v>2</v>
      </c>
      <c r="AE611" s="54" t="s">
        <v>2</v>
      </c>
      <c r="AF611" s="54" t="s">
        <v>2</v>
      </c>
      <c r="AG611" s="54" t="s">
        <v>2</v>
      </c>
    </row>
    <row r="612" ht="15.75" customHeight="1">
      <c r="B612" s="56"/>
      <c r="U612" s="46" t="str">
        <f t="array" ref="U612">IF($D612="","",IFERROR(_xlfn.XLOOKUP($D612,'TIR店舗一覧'!$D:$D,'TIR店舗一覧'!$E:$E,""),""))</f>
        <v/>
      </c>
      <c r="V612" s="54" t="s">
        <v>2</v>
      </c>
      <c r="W612" s="54" t="s">
        <v>2</v>
      </c>
      <c r="X612" s="54" t="s">
        <v>2</v>
      </c>
      <c r="Y612" s="54" t="s">
        <v>2</v>
      </c>
      <c r="Z612" s="54" t="s">
        <v>2</v>
      </c>
      <c r="AA612" s="54" t="s">
        <v>2</v>
      </c>
      <c r="AB612" s="54" t="s">
        <v>2</v>
      </c>
      <c r="AC612" s="54" t="s">
        <v>2</v>
      </c>
      <c r="AD612" s="54" t="s">
        <v>2</v>
      </c>
      <c r="AE612" s="54" t="s">
        <v>2</v>
      </c>
      <c r="AF612" s="54" t="s">
        <v>2</v>
      </c>
      <c r="AG612" s="54" t="s">
        <v>2</v>
      </c>
    </row>
    <row r="613" ht="15.75" customHeight="1">
      <c r="B613" s="56"/>
      <c r="U613" s="46" t="str">
        <f t="array" ref="U613">IF($D613="","",IFERROR(_xlfn.XLOOKUP($D613,'TIR店舗一覧'!$D:$D,'TIR店舗一覧'!$E:$E,""),""))</f>
        <v/>
      </c>
      <c r="V613" s="54" t="s">
        <v>2</v>
      </c>
      <c r="W613" s="54" t="s">
        <v>2</v>
      </c>
      <c r="X613" s="54" t="s">
        <v>2</v>
      </c>
      <c r="Y613" s="54" t="s">
        <v>2</v>
      </c>
      <c r="Z613" s="54" t="s">
        <v>2</v>
      </c>
      <c r="AA613" s="54" t="s">
        <v>2</v>
      </c>
      <c r="AB613" s="54" t="s">
        <v>2</v>
      </c>
      <c r="AC613" s="54" t="s">
        <v>2</v>
      </c>
      <c r="AD613" s="54" t="s">
        <v>2</v>
      </c>
      <c r="AE613" s="54" t="s">
        <v>2</v>
      </c>
      <c r="AF613" s="54" t="s">
        <v>2</v>
      </c>
      <c r="AG613" s="54" t="s">
        <v>2</v>
      </c>
    </row>
    <row r="614" ht="15.75" customHeight="1">
      <c r="B614" s="56"/>
      <c r="U614" s="46" t="str">
        <f t="array" ref="U614">IF($D614="","",IFERROR(_xlfn.XLOOKUP($D614,'TIR店舗一覧'!$D:$D,'TIR店舗一覧'!$E:$E,""),""))</f>
        <v/>
      </c>
      <c r="V614" s="54" t="s">
        <v>2</v>
      </c>
      <c r="W614" s="54" t="s">
        <v>2</v>
      </c>
      <c r="X614" s="54" t="s">
        <v>2</v>
      </c>
      <c r="Y614" s="54" t="s">
        <v>2</v>
      </c>
      <c r="Z614" s="54" t="s">
        <v>2</v>
      </c>
      <c r="AA614" s="54" t="s">
        <v>2</v>
      </c>
      <c r="AB614" s="54" t="s">
        <v>2</v>
      </c>
      <c r="AC614" s="54" t="s">
        <v>2</v>
      </c>
      <c r="AD614" s="54" t="s">
        <v>2</v>
      </c>
      <c r="AE614" s="54" t="s">
        <v>2</v>
      </c>
      <c r="AF614" s="54" t="s">
        <v>2</v>
      </c>
      <c r="AG614" s="54" t="s">
        <v>2</v>
      </c>
    </row>
    <row r="615" ht="15.75" customHeight="1">
      <c r="B615" s="56"/>
      <c r="U615" s="46" t="str">
        <f t="array" ref="U615">IF($D615="","",IFERROR(_xlfn.XLOOKUP($D615,'TIR店舗一覧'!$D:$D,'TIR店舗一覧'!$E:$E,""),""))</f>
        <v/>
      </c>
      <c r="V615" s="54" t="s">
        <v>2</v>
      </c>
      <c r="W615" s="54" t="s">
        <v>2</v>
      </c>
      <c r="X615" s="54" t="s">
        <v>2</v>
      </c>
      <c r="Y615" s="54" t="s">
        <v>2</v>
      </c>
      <c r="Z615" s="54" t="s">
        <v>2</v>
      </c>
      <c r="AA615" s="54" t="s">
        <v>2</v>
      </c>
      <c r="AB615" s="54" t="s">
        <v>2</v>
      </c>
      <c r="AC615" s="54" t="s">
        <v>2</v>
      </c>
      <c r="AD615" s="54" t="s">
        <v>2</v>
      </c>
      <c r="AE615" s="54" t="s">
        <v>2</v>
      </c>
      <c r="AF615" s="54" t="s">
        <v>2</v>
      </c>
      <c r="AG615" s="54" t="s">
        <v>2</v>
      </c>
    </row>
    <row r="616" ht="15.75" customHeight="1">
      <c r="B616" s="56"/>
      <c r="U616" s="46" t="str">
        <f t="array" ref="U616">IF($D616="","",IFERROR(_xlfn.XLOOKUP($D616,'TIR店舗一覧'!$D:$D,'TIR店舗一覧'!$E:$E,""),""))</f>
        <v/>
      </c>
      <c r="V616" s="54" t="s">
        <v>2</v>
      </c>
      <c r="W616" s="54" t="s">
        <v>2</v>
      </c>
      <c r="X616" s="54" t="s">
        <v>2</v>
      </c>
      <c r="Y616" s="54" t="s">
        <v>2</v>
      </c>
      <c r="Z616" s="54" t="s">
        <v>2</v>
      </c>
      <c r="AA616" s="54" t="s">
        <v>2</v>
      </c>
      <c r="AB616" s="54" t="s">
        <v>2</v>
      </c>
      <c r="AC616" s="54" t="s">
        <v>2</v>
      </c>
      <c r="AD616" s="54" t="s">
        <v>2</v>
      </c>
      <c r="AE616" s="54" t="s">
        <v>2</v>
      </c>
      <c r="AF616" s="54" t="s">
        <v>2</v>
      </c>
      <c r="AG616" s="54" t="s">
        <v>2</v>
      </c>
    </row>
    <row r="617" ht="15.75" customHeight="1">
      <c r="B617" s="56"/>
      <c r="U617" s="46" t="str">
        <f t="array" ref="U617">IF($D617="","",IFERROR(_xlfn.XLOOKUP($D617,'TIR店舗一覧'!$D:$D,'TIR店舗一覧'!$E:$E,""),""))</f>
        <v/>
      </c>
      <c r="V617" s="54" t="s">
        <v>2</v>
      </c>
      <c r="W617" s="54" t="s">
        <v>2</v>
      </c>
      <c r="X617" s="54" t="s">
        <v>2</v>
      </c>
      <c r="Y617" s="54" t="s">
        <v>2</v>
      </c>
      <c r="Z617" s="54" t="s">
        <v>2</v>
      </c>
      <c r="AA617" s="54" t="s">
        <v>2</v>
      </c>
      <c r="AB617" s="54" t="s">
        <v>2</v>
      </c>
      <c r="AC617" s="54" t="s">
        <v>2</v>
      </c>
      <c r="AD617" s="54" t="s">
        <v>2</v>
      </c>
      <c r="AE617" s="54" t="s">
        <v>2</v>
      </c>
      <c r="AF617" s="54" t="s">
        <v>2</v>
      </c>
      <c r="AG617" s="54" t="s">
        <v>2</v>
      </c>
    </row>
    <row r="618" ht="15.75" customHeight="1">
      <c r="B618" s="56"/>
      <c r="U618" s="46" t="str">
        <f t="array" ref="U618">IF($D618="","",IFERROR(_xlfn.XLOOKUP($D618,'TIR店舗一覧'!$D:$D,'TIR店舗一覧'!$E:$E,""),""))</f>
        <v/>
      </c>
      <c r="V618" s="54" t="s">
        <v>2</v>
      </c>
      <c r="W618" s="54" t="s">
        <v>2</v>
      </c>
      <c r="X618" s="54" t="s">
        <v>2</v>
      </c>
      <c r="Y618" s="54" t="s">
        <v>2</v>
      </c>
      <c r="Z618" s="54" t="s">
        <v>2</v>
      </c>
      <c r="AA618" s="54" t="s">
        <v>2</v>
      </c>
      <c r="AB618" s="54" t="s">
        <v>2</v>
      </c>
      <c r="AC618" s="54" t="s">
        <v>2</v>
      </c>
      <c r="AD618" s="54" t="s">
        <v>2</v>
      </c>
      <c r="AE618" s="54" t="s">
        <v>2</v>
      </c>
      <c r="AF618" s="54" t="s">
        <v>2</v>
      </c>
      <c r="AG618" s="54" t="s">
        <v>2</v>
      </c>
    </row>
    <row r="619" ht="15.75" customHeight="1">
      <c r="B619" s="56"/>
      <c r="U619" s="46" t="str">
        <f t="array" ref="U619">IF($D619="","",IFERROR(_xlfn.XLOOKUP($D619,'TIR店舗一覧'!$D:$D,'TIR店舗一覧'!$E:$E,""),""))</f>
        <v/>
      </c>
      <c r="V619" s="54" t="s">
        <v>2</v>
      </c>
      <c r="W619" s="54" t="s">
        <v>2</v>
      </c>
      <c r="X619" s="54" t="s">
        <v>2</v>
      </c>
      <c r="Y619" s="54" t="s">
        <v>2</v>
      </c>
      <c r="Z619" s="54" t="s">
        <v>2</v>
      </c>
      <c r="AA619" s="54" t="s">
        <v>2</v>
      </c>
      <c r="AB619" s="54" t="s">
        <v>2</v>
      </c>
      <c r="AC619" s="54" t="s">
        <v>2</v>
      </c>
      <c r="AD619" s="54" t="s">
        <v>2</v>
      </c>
      <c r="AE619" s="54" t="s">
        <v>2</v>
      </c>
      <c r="AF619" s="54" t="s">
        <v>2</v>
      </c>
      <c r="AG619" s="54" t="s">
        <v>2</v>
      </c>
    </row>
    <row r="620" ht="15.75" customHeight="1">
      <c r="B620" s="56"/>
      <c r="U620" s="46" t="str">
        <f t="array" ref="U620">IF($D620="","",IFERROR(_xlfn.XLOOKUP($D620,'TIR店舗一覧'!$D:$D,'TIR店舗一覧'!$E:$E,""),""))</f>
        <v/>
      </c>
      <c r="V620" s="54" t="s">
        <v>2</v>
      </c>
      <c r="W620" s="54" t="s">
        <v>2</v>
      </c>
      <c r="X620" s="54" t="s">
        <v>2</v>
      </c>
      <c r="Y620" s="54" t="s">
        <v>2</v>
      </c>
      <c r="Z620" s="54" t="s">
        <v>2</v>
      </c>
      <c r="AA620" s="54" t="s">
        <v>2</v>
      </c>
      <c r="AB620" s="54" t="s">
        <v>2</v>
      </c>
      <c r="AC620" s="54" t="s">
        <v>2</v>
      </c>
      <c r="AD620" s="54" t="s">
        <v>2</v>
      </c>
      <c r="AE620" s="54" t="s">
        <v>2</v>
      </c>
      <c r="AF620" s="54" t="s">
        <v>2</v>
      </c>
      <c r="AG620" s="54" t="s">
        <v>2</v>
      </c>
    </row>
    <row r="621" ht="15.75" customHeight="1">
      <c r="B621" s="56"/>
      <c r="U621" s="46" t="str">
        <f t="array" ref="U621">IF($D621="","",IFERROR(_xlfn.XLOOKUP($D621,'TIR店舗一覧'!$D:$D,'TIR店舗一覧'!$E:$E,""),""))</f>
        <v/>
      </c>
      <c r="V621" s="54" t="s">
        <v>2</v>
      </c>
      <c r="W621" s="54" t="s">
        <v>2</v>
      </c>
      <c r="X621" s="54" t="s">
        <v>2</v>
      </c>
      <c r="Y621" s="54" t="s">
        <v>2</v>
      </c>
      <c r="Z621" s="54" t="s">
        <v>2</v>
      </c>
      <c r="AA621" s="54" t="s">
        <v>2</v>
      </c>
      <c r="AB621" s="54" t="s">
        <v>2</v>
      </c>
      <c r="AC621" s="54" t="s">
        <v>2</v>
      </c>
      <c r="AD621" s="54" t="s">
        <v>2</v>
      </c>
      <c r="AE621" s="54" t="s">
        <v>2</v>
      </c>
      <c r="AF621" s="54" t="s">
        <v>2</v>
      </c>
      <c r="AG621" s="54" t="s">
        <v>2</v>
      </c>
    </row>
    <row r="622" ht="15.75" customHeight="1">
      <c r="B622" s="56"/>
      <c r="U622" s="46" t="str">
        <f t="array" ref="U622">IF($D622="","",IFERROR(_xlfn.XLOOKUP($D622,'TIR店舗一覧'!$D:$D,'TIR店舗一覧'!$E:$E,""),""))</f>
        <v/>
      </c>
      <c r="V622" s="54" t="s">
        <v>2</v>
      </c>
      <c r="W622" s="54" t="s">
        <v>2</v>
      </c>
      <c r="X622" s="54" t="s">
        <v>2</v>
      </c>
      <c r="Y622" s="54" t="s">
        <v>2</v>
      </c>
      <c r="Z622" s="54" t="s">
        <v>2</v>
      </c>
      <c r="AA622" s="54" t="s">
        <v>2</v>
      </c>
      <c r="AB622" s="54" t="s">
        <v>2</v>
      </c>
      <c r="AC622" s="54" t="s">
        <v>2</v>
      </c>
      <c r="AD622" s="54" t="s">
        <v>2</v>
      </c>
      <c r="AE622" s="54" t="s">
        <v>2</v>
      </c>
      <c r="AF622" s="54" t="s">
        <v>2</v>
      </c>
      <c r="AG622" s="54" t="s">
        <v>2</v>
      </c>
    </row>
    <row r="623" ht="15.75" customHeight="1">
      <c r="B623" s="56"/>
      <c r="U623" s="46" t="str">
        <f t="array" ref="U623">IF($D623="","",IFERROR(_xlfn.XLOOKUP($D623,'TIR店舗一覧'!$D:$D,'TIR店舗一覧'!$E:$E,""),""))</f>
        <v/>
      </c>
      <c r="V623" s="54" t="s">
        <v>2</v>
      </c>
      <c r="W623" s="54" t="s">
        <v>2</v>
      </c>
      <c r="X623" s="54" t="s">
        <v>2</v>
      </c>
      <c r="Y623" s="54" t="s">
        <v>2</v>
      </c>
      <c r="Z623" s="54" t="s">
        <v>2</v>
      </c>
      <c r="AA623" s="54" t="s">
        <v>2</v>
      </c>
      <c r="AB623" s="54" t="s">
        <v>2</v>
      </c>
      <c r="AC623" s="54" t="s">
        <v>2</v>
      </c>
      <c r="AD623" s="54" t="s">
        <v>2</v>
      </c>
      <c r="AE623" s="54" t="s">
        <v>2</v>
      </c>
      <c r="AF623" s="54" t="s">
        <v>2</v>
      </c>
      <c r="AG623" s="54" t="s">
        <v>2</v>
      </c>
    </row>
    <row r="624" ht="15.75" customHeight="1">
      <c r="B624" s="56"/>
      <c r="U624" s="46" t="str">
        <f t="array" ref="U624">IF($D624="","",IFERROR(_xlfn.XLOOKUP($D624,'TIR店舗一覧'!$D:$D,'TIR店舗一覧'!$E:$E,""),""))</f>
        <v/>
      </c>
      <c r="V624" s="54" t="s">
        <v>2</v>
      </c>
      <c r="W624" s="54" t="s">
        <v>2</v>
      </c>
      <c r="X624" s="54" t="s">
        <v>2</v>
      </c>
      <c r="Y624" s="54" t="s">
        <v>2</v>
      </c>
      <c r="Z624" s="54" t="s">
        <v>2</v>
      </c>
      <c r="AA624" s="54" t="s">
        <v>2</v>
      </c>
      <c r="AB624" s="54" t="s">
        <v>2</v>
      </c>
      <c r="AC624" s="54" t="s">
        <v>2</v>
      </c>
      <c r="AD624" s="54" t="s">
        <v>2</v>
      </c>
      <c r="AE624" s="54" t="s">
        <v>2</v>
      </c>
      <c r="AF624" s="54" t="s">
        <v>2</v>
      </c>
      <c r="AG624" s="54" t="s">
        <v>2</v>
      </c>
    </row>
    <row r="625" ht="15.75" customHeight="1">
      <c r="B625" s="56"/>
      <c r="U625" s="46" t="str">
        <f t="array" ref="U625">IF($D625="","",IFERROR(_xlfn.XLOOKUP($D625,'TIR店舗一覧'!$D:$D,'TIR店舗一覧'!$E:$E,""),""))</f>
        <v/>
      </c>
      <c r="V625" s="54" t="s">
        <v>2</v>
      </c>
      <c r="W625" s="54" t="s">
        <v>2</v>
      </c>
      <c r="X625" s="54" t="s">
        <v>2</v>
      </c>
      <c r="Y625" s="54" t="s">
        <v>2</v>
      </c>
      <c r="Z625" s="54" t="s">
        <v>2</v>
      </c>
      <c r="AA625" s="54" t="s">
        <v>2</v>
      </c>
      <c r="AB625" s="54" t="s">
        <v>2</v>
      </c>
      <c r="AC625" s="54" t="s">
        <v>2</v>
      </c>
      <c r="AD625" s="54" t="s">
        <v>2</v>
      </c>
      <c r="AE625" s="54" t="s">
        <v>2</v>
      </c>
      <c r="AF625" s="54" t="s">
        <v>2</v>
      </c>
      <c r="AG625" s="54" t="s">
        <v>2</v>
      </c>
    </row>
    <row r="626" ht="15.75" customHeight="1">
      <c r="B626" s="56"/>
      <c r="U626" s="46" t="str">
        <f t="array" ref="U626">IF($D626="","",IFERROR(_xlfn.XLOOKUP($D626,'TIR店舗一覧'!$D:$D,'TIR店舗一覧'!$E:$E,""),""))</f>
        <v/>
      </c>
      <c r="V626" s="54" t="s">
        <v>2</v>
      </c>
      <c r="W626" s="54" t="s">
        <v>2</v>
      </c>
      <c r="X626" s="54" t="s">
        <v>2</v>
      </c>
      <c r="Y626" s="54" t="s">
        <v>2</v>
      </c>
      <c r="Z626" s="54" t="s">
        <v>2</v>
      </c>
      <c r="AA626" s="54" t="s">
        <v>2</v>
      </c>
      <c r="AB626" s="54" t="s">
        <v>2</v>
      </c>
      <c r="AC626" s="54" t="s">
        <v>2</v>
      </c>
      <c r="AD626" s="54" t="s">
        <v>2</v>
      </c>
      <c r="AE626" s="54" t="s">
        <v>2</v>
      </c>
      <c r="AF626" s="54" t="s">
        <v>2</v>
      </c>
      <c r="AG626" s="54" t="s">
        <v>2</v>
      </c>
    </row>
    <row r="627" ht="15.75" customHeight="1">
      <c r="B627" s="56"/>
      <c r="U627" s="46" t="str">
        <f t="array" ref="U627">IF($D627="","",IFERROR(_xlfn.XLOOKUP($D627,'TIR店舗一覧'!$D:$D,'TIR店舗一覧'!$E:$E,""),""))</f>
        <v/>
      </c>
      <c r="V627" s="54" t="s">
        <v>2</v>
      </c>
      <c r="W627" s="54" t="s">
        <v>2</v>
      </c>
      <c r="X627" s="54" t="s">
        <v>2</v>
      </c>
      <c r="Y627" s="54" t="s">
        <v>2</v>
      </c>
      <c r="Z627" s="54" t="s">
        <v>2</v>
      </c>
      <c r="AA627" s="54" t="s">
        <v>2</v>
      </c>
      <c r="AB627" s="54" t="s">
        <v>2</v>
      </c>
      <c r="AC627" s="54" t="s">
        <v>2</v>
      </c>
      <c r="AD627" s="54" t="s">
        <v>2</v>
      </c>
      <c r="AE627" s="54" t="s">
        <v>2</v>
      </c>
      <c r="AF627" s="54" t="s">
        <v>2</v>
      </c>
      <c r="AG627" s="54" t="s">
        <v>2</v>
      </c>
    </row>
    <row r="628" ht="15.75" customHeight="1">
      <c r="B628" s="56"/>
      <c r="U628" s="46" t="str">
        <f t="array" ref="U628">IF($D628="","",IFERROR(_xlfn.XLOOKUP($D628,'TIR店舗一覧'!$D:$D,'TIR店舗一覧'!$E:$E,""),""))</f>
        <v/>
      </c>
      <c r="V628" s="54" t="s">
        <v>2</v>
      </c>
      <c r="W628" s="54" t="s">
        <v>2</v>
      </c>
      <c r="X628" s="54" t="s">
        <v>2</v>
      </c>
      <c r="Y628" s="54" t="s">
        <v>2</v>
      </c>
      <c r="Z628" s="54" t="s">
        <v>2</v>
      </c>
      <c r="AA628" s="54" t="s">
        <v>2</v>
      </c>
      <c r="AB628" s="54" t="s">
        <v>2</v>
      </c>
      <c r="AC628" s="54" t="s">
        <v>2</v>
      </c>
      <c r="AD628" s="54" t="s">
        <v>2</v>
      </c>
      <c r="AE628" s="54" t="s">
        <v>2</v>
      </c>
      <c r="AF628" s="54" t="s">
        <v>2</v>
      </c>
      <c r="AG628" s="54" t="s">
        <v>2</v>
      </c>
    </row>
    <row r="629" ht="15.75" customHeight="1">
      <c r="B629" s="56"/>
      <c r="U629" s="46" t="str">
        <f t="array" ref="U629">IF($D629="","",IFERROR(_xlfn.XLOOKUP($D629,'TIR店舗一覧'!$D:$D,'TIR店舗一覧'!$E:$E,""),""))</f>
        <v/>
      </c>
      <c r="V629" s="54" t="s">
        <v>2</v>
      </c>
      <c r="W629" s="54" t="s">
        <v>2</v>
      </c>
      <c r="X629" s="54" t="s">
        <v>2</v>
      </c>
      <c r="Y629" s="54" t="s">
        <v>2</v>
      </c>
      <c r="Z629" s="54" t="s">
        <v>2</v>
      </c>
      <c r="AA629" s="54" t="s">
        <v>2</v>
      </c>
      <c r="AB629" s="54" t="s">
        <v>2</v>
      </c>
      <c r="AC629" s="54" t="s">
        <v>2</v>
      </c>
      <c r="AD629" s="54" t="s">
        <v>2</v>
      </c>
      <c r="AE629" s="54" t="s">
        <v>2</v>
      </c>
      <c r="AF629" s="54" t="s">
        <v>2</v>
      </c>
      <c r="AG629" s="54" t="s">
        <v>2</v>
      </c>
    </row>
    <row r="630" ht="15.75" customHeight="1">
      <c r="B630" s="56"/>
      <c r="U630" s="46" t="str">
        <f t="array" ref="U630">IF($D630="","",IFERROR(_xlfn.XLOOKUP($D630,'TIR店舗一覧'!$D:$D,'TIR店舗一覧'!$E:$E,""),""))</f>
        <v/>
      </c>
      <c r="V630" s="54" t="s">
        <v>2</v>
      </c>
      <c r="W630" s="54" t="s">
        <v>2</v>
      </c>
      <c r="X630" s="54" t="s">
        <v>2</v>
      </c>
      <c r="Y630" s="54" t="s">
        <v>2</v>
      </c>
      <c r="Z630" s="54" t="s">
        <v>2</v>
      </c>
      <c r="AA630" s="54" t="s">
        <v>2</v>
      </c>
      <c r="AB630" s="54" t="s">
        <v>2</v>
      </c>
      <c r="AC630" s="54" t="s">
        <v>2</v>
      </c>
      <c r="AD630" s="54" t="s">
        <v>2</v>
      </c>
      <c r="AE630" s="54" t="s">
        <v>2</v>
      </c>
      <c r="AF630" s="54" t="s">
        <v>2</v>
      </c>
      <c r="AG630" s="54" t="s">
        <v>2</v>
      </c>
    </row>
    <row r="631" ht="15.75" customHeight="1">
      <c r="B631" s="56"/>
      <c r="U631" s="46" t="str">
        <f t="array" ref="U631">IF($D631="","",IFERROR(_xlfn.XLOOKUP($D631,'TIR店舗一覧'!$D:$D,'TIR店舗一覧'!$E:$E,""),""))</f>
        <v/>
      </c>
      <c r="V631" s="54" t="s">
        <v>2</v>
      </c>
      <c r="W631" s="54" t="s">
        <v>2</v>
      </c>
      <c r="X631" s="54" t="s">
        <v>2</v>
      </c>
      <c r="Y631" s="54" t="s">
        <v>2</v>
      </c>
      <c r="Z631" s="54" t="s">
        <v>2</v>
      </c>
      <c r="AA631" s="54" t="s">
        <v>2</v>
      </c>
      <c r="AB631" s="54" t="s">
        <v>2</v>
      </c>
      <c r="AC631" s="54" t="s">
        <v>2</v>
      </c>
      <c r="AD631" s="54" t="s">
        <v>2</v>
      </c>
      <c r="AE631" s="54" t="s">
        <v>2</v>
      </c>
      <c r="AF631" s="54" t="s">
        <v>2</v>
      </c>
      <c r="AG631" s="54" t="s">
        <v>2</v>
      </c>
    </row>
    <row r="632" ht="15.75" customHeight="1">
      <c r="B632" s="56"/>
      <c r="U632" s="46" t="str">
        <f t="array" ref="U632">IF($D632="","",IFERROR(_xlfn.XLOOKUP($D632,'TIR店舗一覧'!$D:$D,'TIR店舗一覧'!$E:$E,""),""))</f>
        <v/>
      </c>
      <c r="V632" s="54" t="s">
        <v>2</v>
      </c>
      <c r="W632" s="54" t="s">
        <v>2</v>
      </c>
      <c r="X632" s="54" t="s">
        <v>2</v>
      </c>
      <c r="Y632" s="54" t="s">
        <v>2</v>
      </c>
      <c r="Z632" s="54" t="s">
        <v>2</v>
      </c>
      <c r="AA632" s="54" t="s">
        <v>2</v>
      </c>
      <c r="AB632" s="54" t="s">
        <v>2</v>
      </c>
      <c r="AC632" s="54" t="s">
        <v>2</v>
      </c>
      <c r="AD632" s="54" t="s">
        <v>2</v>
      </c>
      <c r="AE632" s="54" t="s">
        <v>2</v>
      </c>
      <c r="AF632" s="54" t="s">
        <v>2</v>
      </c>
      <c r="AG632" s="54" t="s">
        <v>2</v>
      </c>
    </row>
    <row r="633" ht="15.75" customHeight="1">
      <c r="B633" s="56"/>
      <c r="U633" s="46" t="str">
        <f t="array" ref="U633">IF($D633="","",IFERROR(_xlfn.XLOOKUP($D633,'TIR店舗一覧'!$D:$D,'TIR店舗一覧'!$E:$E,""),""))</f>
        <v/>
      </c>
      <c r="V633" s="54" t="s">
        <v>2</v>
      </c>
      <c r="W633" s="54" t="s">
        <v>2</v>
      </c>
      <c r="X633" s="54" t="s">
        <v>2</v>
      </c>
      <c r="Y633" s="54" t="s">
        <v>2</v>
      </c>
      <c r="Z633" s="54" t="s">
        <v>2</v>
      </c>
      <c r="AA633" s="54" t="s">
        <v>2</v>
      </c>
      <c r="AB633" s="54" t="s">
        <v>2</v>
      </c>
      <c r="AC633" s="54" t="s">
        <v>2</v>
      </c>
      <c r="AD633" s="54" t="s">
        <v>2</v>
      </c>
      <c r="AE633" s="54" t="s">
        <v>2</v>
      </c>
      <c r="AF633" s="54" t="s">
        <v>2</v>
      </c>
      <c r="AG633" s="54" t="s">
        <v>2</v>
      </c>
    </row>
    <row r="634" ht="15.75" customHeight="1">
      <c r="B634" s="56"/>
      <c r="U634" s="46" t="str">
        <f t="array" ref="U634">IF($D634="","",IFERROR(_xlfn.XLOOKUP($D634,'TIR店舗一覧'!$D:$D,'TIR店舗一覧'!$E:$E,""),""))</f>
        <v/>
      </c>
      <c r="V634" s="54" t="s">
        <v>2</v>
      </c>
      <c r="W634" s="54" t="s">
        <v>2</v>
      </c>
      <c r="X634" s="54" t="s">
        <v>2</v>
      </c>
      <c r="Y634" s="54" t="s">
        <v>2</v>
      </c>
      <c r="Z634" s="54" t="s">
        <v>2</v>
      </c>
      <c r="AA634" s="54" t="s">
        <v>2</v>
      </c>
      <c r="AB634" s="54" t="s">
        <v>2</v>
      </c>
      <c r="AC634" s="54" t="s">
        <v>2</v>
      </c>
      <c r="AD634" s="54" t="s">
        <v>2</v>
      </c>
      <c r="AE634" s="54" t="s">
        <v>2</v>
      </c>
      <c r="AF634" s="54" t="s">
        <v>2</v>
      </c>
      <c r="AG634" s="54" t="s">
        <v>2</v>
      </c>
    </row>
    <row r="635" ht="15.75" customHeight="1">
      <c r="B635" s="56"/>
      <c r="U635" s="46" t="str">
        <f t="array" ref="U635">IF($D635="","",IFERROR(_xlfn.XLOOKUP($D635,'TIR店舗一覧'!$D:$D,'TIR店舗一覧'!$E:$E,""),""))</f>
        <v/>
      </c>
      <c r="V635" s="54" t="s">
        <v>2</v>
      </c>
      <c r="W635" s="54" t="s">
        <v>2</v>
      </c>
      <c r="X635" s="54" t="s">
        <v>2</v>
      </c>
      <c r="Y635" s="54" t="s">
        <v>2</v>
      </c>
      <c r="Z635" s="54" t="s">
        <v>2</v>
      </c>
      <c r="AA635" s="54" t="s">
        <v>2</v>
      </c>
      <c r="AB635" s="54" t="s">
        <v>2</v>
      </c>
      <c r="AC635" s="54" t="s">
        <v>2</v>
      </c>
      <c r="AD635" s="54" t="s">
        <v>2</v>
      </c>
      <c r="AE635" s="54" t="s">
        <v>2</v>
      </c>
      <c r="AF635" s="54" t="s">
        <v>2</v>
      </c>
      <c r="AG635" s="54" t="s">
        <v>2</v>
      </c>
    </row>
    <row r="636" ht="15.75" customHeight="1">
      <c r="B636" s="56"/>
      <c r="U636" s="46" t="str">
        <f t="array" ref="U636">IF($D636="","",IFERROR(_xlfn.XLOOKUP($D636,'TIR店舗一覧'!$D:$D,'TIR店舗一覧'!$E:$E,""),""))</f>
        <v/>
      </c>
      <c r="V636" s="54" t="s">
        <v>2</v>
      </c>
      <c r="W636" s="54" t="s">
        <v>2</v>
      </c>
      <c r="X636" s="54" t="s">
        <v>2</v>
      </c>
      <c r="Y636" s="54" t="s">
        <v>2</v>
      </c>
      <c r="Z636" s="54" t="s">
        <v>2</v>
      </c>
      <c r="AA636" s="54" t="s">
        <v>2</v>
      </c>
      <c r="AB636" s="54" t="s">
        <v>2</v>
      </c>
      <c r="AC636" s="54" t="s">
        <v>2</v>
      </c>
      <c r="AD636" s="54" t="s">
        <v>2</v>
      </c>
      <c r="AE636" s="54" t="s">
        <v>2</v>
      </c>
      <c r="AF636" s="54" t="s">
        <v>2</v>
      </c>
      <c r="AG636" s="54" t="s">
        <v>2</v>
      </c>
    </row>
    <row r="637" ht="15.75" customHeight="1">
      <c r="B637" s="56"/>
      <c r="U637" s="46" t="str">
        <f t="array" ref="U637">IF($D637="","",IFERROR(_xlfn.XLOOKUP($D637,'TIR店舗一覧'!$D:$D,'TIR店舗一覧'!$E:$E,""),""))</f>
        <v/>
      </c>
      <c r="V637" s="54" t="s">
        <v>2</v>
      </c>
      <c r="W637" s="54" t="s">
        <v>2</v>
      </c>
      <c r="X637" s="54" t="s">
        <v>2</v>
      </c>
      <c r="Y637" s="54" t="s">
        <v>2</v>
      </c>
      <c r="Z637" s="54" t="s">
        <v>2</v>
      </c>
      <c r="AA637" s="54" t="s">
        <v>2</v>
      </c>
      <c r="AB637" s="54" t="s">
        <v>2</v>
      </c>
      <c r="AC637" s="54" t="s">
        <v>2</v>
      </c>
      <c r="AD637" s="54" t="s">
        <v>2</v>
      </c>
      <c r="AE637" s="54" t="s">
        <v>2</v>
      </c>
      <c r="AF637" s="54" t="s">
        <v>2</v>
      </c>
      <c r="AG637" s="54" t="s">
        <v>2</v>
      </c>
    </row>
    <row r="638" ht="15.75" customHeight="1">
      <c r="B638" s="56"/>
      <c r="U638" s="46" t="str">
        <f t="array" ref="U638">IF($D638="","",IFERROR(_xlfn.XLOOKUP($D638,'TIR店舗一覧'!$D:$D,'TIR店舗一覧'!$E:$E,""),""))</f>
        <v/>
      </c>
      <c r="V638" s="54" t="s">
        <v>2</v>
      </c>
      <c r="W638" s="54" t="s">
        <v>2</v>
      </c>
      <c r="X638" s="54" t="s">
        <v>2</v>
      </c>
      <c r="Y638" s="54" t="s">
        <v>2</v>
      </c>
      <c r="Z638" s="54" t="s">
        <v>2</v>
      </c>
      <c r="AA638" s="54" t="s">
        <v>2</v>
      </c>
      <c r="AB638" s="54" t="s">
        <v>2</v>
      </c>
      <c r="AC638" s="54" t="s">
        <v>2</v>
      </c>
      <c r="AD638" s="54" t="s">
        <v>2</v>
      </c>
      <c r="AE638" s="54" t="s">
        <v>2</v>
      </c>
      <c r="AF638" s="54" t="s">
        <v>2</v>
      </c>
      <c r="AG638" s="54" t="s">
        <v>2</v>
      </c>
    </row>
    <row r="639" ht="15.75" customHeight="1">
      <c r="B639" s="56"/>
      <c r="U639" s="46" t="str">
        <f t="array" ref="U639">IF($D639="","",IFERROR(_xlfn.XLOOKUP($D639,'TIR店舗一覧'!$D:$D,'TIR店舗一覧'!$E:$E,""),""))</f>
        <v/>
      </c>
      <c r="V639" s="54" t="s">
        <v>2</v>
      </c>
      <c r="W639" s="54" t="s">
        <v>2</v>
      </c>
      <c r="X639" s="54" t="s">
        <v>2</v>
      </c>
      <c r="Y639" s="54" t="s">
        <v>2</v>
      </c>
      <c r="Z639" s="54" t="s">
        <v>2</v>
      </c>
      <c r="AA639" s="54" t="s">
        <v>2</v>
      </c>
      <c r="AB639" s="54" t="s">
        <v>2</v>
      </c>
      <c r="AC639" s="54" t="s">
        <v>2</v>
      </c>
      <c r="AD639" s="54" t="s">
        <v>2</v>
      </c>
      <c r="AE639" s="54" t="s">
        <v>2</v>
      </c>
      <c r="AF639" s="54" t="s">
        <v>2</v>
      </c>
      <c r="AG639" s="54" t="s">
        <v>2</v>
      </c>
    </row>
    <row r="640" ht="15.75" customHeight="1">
      <c r="B640" s="56"/>
      <c r="U640" s="46" t="str">
        <f t="array" ref="U640">IF($D640="","",IFERROR(_xlfn.XLOOKUP($D640,'TIR店舗一覧'!$D:$D,'TIR店舗一覧'!$E:$E,""),""))</f>
        <v/>
      </c>
      <c r="V640" s="54" t="s">
        <v>2</v>
      </c>
      <c r="W640" s="54" t="s">
        <v>2</v>
      </c>
      <c r="X640" s="54" t="s">
        <v>2</v>
      </c>
      <c r="Y640" s="54" t="s">
        <v>2</v>
      </c>
      <c r="Z640" s="54" t="s">
        <v>2</v>
      </c>
      <c r="AA640" s="54" t="s">
        <v>2</v>
      </c>
      <c r="AB640" s="54" t="s">
        <v>2</v>
      </c>
      <c r="AC640" s="54" t="s">
        <v>2</v>
      </c>
      <c r="AD640" s="54" t="s">
        <v>2</v>
      </c>
      <c r="AE640" s="54" t="s">
        <v>2</v>
      </c>
      <c r="AF640" s="54" t="s">
        <v>2</v>
      </c>
      <c r="AG640" s="54" t="s">
        <v>2</v>
      </c>
    </row>
    <row r="641" ht="15.75" customHeight="1">
      <c r="B641" s="56"/>
      <c r="U641" s="46" t="str">
        <f t="array" ref="U641">IF($D641="","",IFERROR(_xlfn.XLOOKUP($D641,'TIR店舗一覧'!$D:$D,'TIR店舗一覧'!$E:$E,""),""))</f>
        <v/>
      </c>
      <c r="V641" s="54" t="s">
        <v>2</v>
      </c>
      <c r="W641" s="54" t="s">
        <v>2</v>
      </c>
      <c r="X641" s="54" t="s">
        <v>2</v>
      </c>
      <c r="Y641" s="54" t="s">
        <v>2</v>
      </c>
      <c r="Z641" s="54" t="s">
        <v>2</v>
      </c>
      <c r="AA641" s="54" t="s">
        <v>2</v>
      </c>
      <c r="AB641" s="54" t="s">
        <v>2</v>
      </c>
      <c r="AC641" s="54" t="s">
        <v>2</v>
      </c>
      <c r="AD641" s="54" t="s">
        <v>2</v>
      </c>
      <c r="AE641" s="54" t="s">
        <v>2</v>
      </c>
      <c r="AF641" s="54" t="s">
        <v>2</v>
      </c>
      <c r="AG641" s="54" t="s">
        <v>2</v>
      </c>
    </row>
    <row r="642" ht="15.75" customHeight="1">
      <c r="B642" s="56"/>
      <c r="U642" s="46" t="str">
        <f t="array" ref="U642">IF($D642="","",IFERROR(_xlfn.XLOOKUP($D642,'TIR店舗一覧'!$D:$D,'TIR店舗一覧'!$E:$E,""),""))</f>
        <v/>
      </c>
      <c r="V642" s="54" t="s">
        <v>2</v>
      </c>
      <c r="W642" s="54" t="s">
        <v>2</v>
      </c>
      <c r="X642" s="54" t="s">
        <v>2</v>
      </c>
      <c r="Y642" s="54" t="s">
        <v>2</v>
      </c>
      <c r="Z642" s="54" t="s">
        <v>2</v>
      </c>
      <c r="AA642" s="54" t="s">
        <v>2</v>
      </c>
      <c r="AB642" s="54" t="s">
        <v>2</v>
      </c>
      <c r="AC642" s="54" t="s">
        <v>2</v>
      </c>
      <c r="AD642" s="54" t="s">
        <v>2</v>
      </c>
      <c r="AE642" s="54" t="s">
        <v>2</v>
      </c>
      <c r="AF642" s="54" t="s">
        <v>2</v>
      </c>
      <c r="AG642" s="54" t="s">
        <v>2</v>
      </c>
    </row>
    <row r="643" ht="15.75" customHeight="1">
      <c r="B643" s="56"/>
      <c r="U643" s="46" t="str">
        <f t="array" ref="U643">IF($D643="","",IFERROR(_xlfn.XLOOKUP($D643,'TIR店舗一覧'!$D:$D,'TIR店舗一覧'!$E:$E,""),""))</f>
        <v/>
      </c>
      <c r="V643" s="54" t="s">
        <v>2</v>
      </c>
      <c r="W643" s="54" t="s">
        <v>2</v>
      </c>
      <c r="X643" s="54" t="s">
        <v>2</v>
      </c>
      <c r="Y643" s="54" t="s">
        <v>2</v>
      </c>
      <c r="Z643" s="54" t="s">
        <v>2</v>
      </c>
      <c r="AA643" s="54" t="s">
        <v>2</v>
      </c>
      <c r="AB643" s="54" t="s">
        <v>2</v>
      </c>
      <c r="AC643" s="54" t="s">
        <v>2</v>
      </c>
      <c r="AD643" s="54" t="s">
        <v>2</v>
      </c>
      <c r="AE643" s="54" t="s">
        <v>2</v>
      </c>
      <c r="AF643" s="54" t="s">
        <v>2</v>
      </c>
      <c r="AG643" s="54" t="s">
        <v>2</v>
      </c>
    </row>
    <row r="644" ht="15.75" customHeight="1">
      <c r="B644" s="56"/>
      <c r="U644" s="46" t="str">
        <f t="array" ref="U644">IF($D644="","",IFERROR(_xlfn.XLOOKUP($D644,'TIR店舗一覧'!$D:$D,'TIR店舗一覧'!$E:$E,""),""))</f>
        <v/>
      </c>
      <c r="V644" s="54" t="s">
        <v>2</v>
      </c>
      <c r="W644" s="54" t="s">
        <v>2</v>
      </c>
      <c r="X644" s="54" t="s">
        <v>2</v>
      </c>
      <c r="Y644" s="54" t="s">
        <v>2</v>
      </c>
      <c r="Z644" s="54" t="s">
        <v>2</v>
      </c>
      <c r="AA644" s="54" t="s">
        <v>2</v>
      </c>
      <c r="AB644" s="54" t="s">
        <v>2</v>
      </c>
      <c r="AC644" s="54" t="s">
        <v>2</v>
      </c>
      <c r="AD644" s="54" t="s">
        <v>2</v>
      </c>
      <c r="AE644" s="54" t="s">
        <v>2</v>
      </c>
      <c r="AF644" s="54" t="s">
        <v>2</v>
      </c>
      <c r="AG644" s="54" t="s">
        <v>2</v>
      </c>
    </row>
    <row r="645" ht="15.75" customHeight="1">
      <c r="B645" s="56"/>
      <c r="U645" s="46" t="str">
        <f t="array" ref="U645">IF($D645="","",IFERROR(_xlfn.XLOOKUP($D645,'TIR店舗一覧'!$D:$D,'TIR店舗一覧'!$E:$E,""),""))</f>
        <v/>
      </c>
      <c r="V645" s="54" t="s">
        <v>2</v>
      </c>
      <c r="W645" s="54" t="s">
        <v>2</v>
      </c>
      <c r="X645" s="54" t="s">
        <v>2</v>
      </c>
      <c r="Y645" s="54" t="s">
        <v>2</v>
      </c>
      <c r="Z645" s="54" t="s">
        <v>2</v>
      </c>
      <c r="AA645" s="54" t="s">
        <v>2</v>
      </c>
      <c r="AB645" s="54" t="s">
        <v>2</v>
      </c>
      <c r="AC645" s="54" t="s">
        <v>2</v>
      </c>
      <c r="AD645" s="54" t="s">
        <v>2</v>
      </c>
      <c r="AE645" s="54" t="s">
        <v>2</v>
      </c>
      <c r="AF645" s="54" t="s">
        <v>2</v>
      </c>
      <c r="AG645" s="54" t="s">
        <v>2</v>
      </c>
    </row>
    <row r="646" ht="15.75" customHeight="1">
      <c r="B646" s="56"/>
      <c r="U646" s="46" t="str">
        <f t="array" ref="U646">IF($D646="","",IFERROR(_xlfn.XLOOKUP($D646,'TIR店舗一覧'!$D:$D,'TIR店舗一覧'!$E:$E,""),""))</f>
        <v/>
      </c>
      <c r="V646" s="54" t="s">
        <v>2</v>
      </c>
      <c r="W646" s="54" t="s">
        <v>2</v>
      </c>
      <c r="X646" s="54" t="s">
        <v>2</v>
      </c>
      <c r="Y646" s="54" t="s">
        <v>2</v>
      </c>
      <c r="Z646" s="54" t="s">
        <v>2</v>
      </c>
      <c r="AA646" s="54" t="s">
        <v>2</v>
      </c>
      <c r="AB646" s="54" t="s">
        <v>2</v>
      </c>
      <c r="AC646" s="54" t="s">
        <v>2</v>
      </c>
      <c r="AD646" s="54" t="s">
        <v>2</v>
      </c>
      <c r="AE646" s="54" t="s">
        <v>2</v>
      </c>
      <c r="AF646" s="54" t="s">
        <v>2</v>
      </c>
      <c r="AG646" s="54" t="s">
        <v>2</v>
      </c>
    </row>
    <row r="647" ht="15.75" customHeight="1">
      <c r="B647" s="56"/>
      <c r="U647" s="46" t="str">
        <f t="array" ref="U647">IF($D647="","",IFERROR(_xlfn.XLOOKUP($D647,'TIR店舗一覧'!$D:$D,'TIR店舗一覧'!$E:$E,""),""))</f>
        <v/>
      </c>
      <c r="V647" s="54" t="s">
        <v>2</v>
      </c>
      <c r="W647" s="54" t="s">
        <v>2</v>
      </c>
      <c r="X647" s="54" t="s">
        <v>2</v>
      </c>
      <c r="Y647" s="54" t="s">
        <v>2</v>
      </c>
      <c r="Z647" s="54" t="s">
        <v>2</v>
      </c>
      <c r="AA647" s="54" t="s">
        <v>2</v>
      </c>
      <c r="AB647" s="54" t="s">
        <v>2</v>
      </c>
      <c r="AC647" s="54" t="s">
        <v>2</v>
      </c>
      <c r="AD647" s="54" t="s">
        <v>2</v>
      </c>
      <c r="AE647" s="54" t="s">
        <v>2</v>
      </c>
      <c r="AF647" s="54" t="s">
        <v>2</v>
      </c>
      <c r="AG647" s="54" t="s">
        <v>2</v>
      </c>
    </row>
    <row r="648" ht="15.75" customHeight="1">
      <c r="B648" s="56"/>
      <c r="U648" s="46" t="str">
        <f t="array" ref="U648">IF($D648="","",IFERROR(_xlfn.XLOOKUP($D648,'TIR店舗一覧'!$D:$D,'TIR店舗一覧'!$E:$E,""),""))</f>
        <v/>
      </c>
      <c r="V648" s="54" t="s">
        <v>2</v>
      </c>
      <c r="W648" s="54" t="s">
        <v>2</v>
      </c>
      <c r="X648" s="54" t="s">
        <v>2</v>
      </c>
      <c r="Y648" s="54" t="s">
        <v>2</v>
      </c>
      <c r="Z648" s="54" t="s">
        <v>2</v>
      </c>
      <c r="AA648" s="54" t="s">
        <v>2</v>
      </c>
      <c r="AB648" s="54" t="s">
        <v>2</v>
      </c>
      <c r="AC648" s="54" t="s">
        <v>2</v>
      </c>
      <c r="AD648" s="54" t="s">
        <v>2</v>
      </c>
      <c r="AE648" s="54" t="s">
        <v>2</v>
      </c>
      <c r="AF648" s="54" t="s">
        <v>2</v>
      </c>
      <c r="AG648" s="54" t="s">
        <v>2</v>
      </c>
    </row>
    <row r="649" ht="15.75" customHeight="1">
      <c r="B649" s="56"/>
      <c r="U649" s="46" t="str">
        <f t="array" ref="U649">IF($D649="","",IFERROR(_xlfn.XLOOKUP($D649,'TIR店舗一覧'!$D:$D,'TIR店舗一覧'!$E:$E,""),""))</f>
        <v/>
      </c>
      <c r="V649" s="54" t="s">
        <v>2</v>
      </c>
      <c r="W649" s="54" t="s">
        <v>2</v>
      </c>
      <c r="X649" s="54" t="s">
        <v>2</v>
      </c>
      <c r="Y649" s="54" t="s">
        <v>2</v>
      </c>
      <c r="Z649" s="54" t="s">
        <v>2</v>
      </c>
      <c r="AA649" s="54" t="s">
        <v>2</v>
      </c>
      <c r="AB649" s="54" t="s">
        <v>2</v>
      </c>
      <c r="AC649" s="54" t="s">
        <v>2</v>
      </c>
      <c r="AD649" s="54" t="s">
        <v>2</v>
      </c>
      <c r="AE649" s="54" t="s">
        <v>2</v>
      </c>
      <c r="AF649" s="54" t="s">
        <v>2</v>
      </c>
      <c r="AG649" s="54" t="s">
        <v>2</v>
      </c>
    </row>
    <row r="650" ht="15.75" customHeight="1">
      <c r="B650" s="56"/>
      <c r="U650" s="46" t="str">
        <f t="array" ref="U650">IF($D650="","",IFERROR(_xlfn.XLOOKUP($D650,'TIR店舗一覧'!$D:$D,'TIR店舗一覧'!$E:$E,""),""))</f>
        <v/>
      </c>
      <c r="V650" s="54" t="s">
        <v>2</v>
      </c>
      <c r="W650" s="54" t="s">
        <v>2</v>
      </c>
      <c r="X650" s="54" t="s">
        <v>2</v>
      </c>
      <c r="Y650" s="54" t="s">
        <v>2</v>
      </c>
      <c r="Z650" s="54" t="s">
        <v>2</v>
      </c>
      <c r="AA650" s="54" t="s">
        <v>2</v>
      </c>
      <c r="AB650" s="54" t="s">
        <v>2</v>
      </c>
      <c r="AC650" s="54" t="s">
        <v>2</v>
      </c>
      <c r="AD650" s="54" t="s">
        <v>2</v>
      </c>
      <c r="AE650" s="54" t="s">
        <v>2</v>
      </c>
      <c r="AF650" s="54" t="s">
        <v>2</v>
      </c>
      <c r="AG650" s="54" t="s">
        <v>2</v>
      </c>
    </row>
    <row r="651" ht="15.75" customHeight="1">
      <c r="B651" s="56"/>
      <c r="U651" s="46" t="str">
        <f t="array" ref="U651">IF($D651="","",IFERROR(_xlfn.XLOOKUP($D651,'TIR店舗一覧'!$D:$D,'TIR店舗一覧'!$E:$E,""),""))</f>
        <v/>
      </c>
      <c r="V651" s="54" t="s">
        <v>2</v>
      </c>
      <c r="W651" s="54" t="s">
        <v>2</v>
      </c>
      <c r="X651" s="54" t="s">
        <v>2</v>
      </c>
      <c r="Y651" s="54" t="s">
        <v>2</v>
      </c>
      <c r="Z651" s="54" t="s">
        <v>2</v>
      </c>
      <c r="AA651" s="54" t="s">
        <v>2</v>
      </c>
      <c r="AB651" s="54" t="s">
        <v>2</v>
      </c>
      <c r="AC651" s="54" t="s">
        <v>2</v>
      </c>
      <c r="AD651" s="54" t="s">
        <v>2</v>
      </c>
      <c r="AE651" s="54" t="s">
        <v>2</v>
      </c>
      <c r="AF651" s="54" t="s">
        <v>2</v>
      </c>
      <c r="AG651" s="54" t="s">
        <v>2</v>
      </c>
    </row>
    <row r="652" ht="15.75" customHeight="1">
      <c r="B652" s="56"/>
      <c r="U652" s="46" t="str">
        <f t="array" ref="U652">IF($D652="","",IFERROR(_xlfn.XLOOKUP($D652,'TIR店舗一覧'!$D:$D,'TIR店舗一覧'!$E:$E,""),""))</f>
        <v/>
      </c>
      <c r="V652" s="54" t="s">
        <v>2</v>
      </c>
      <c r="W652" s="54" t="s">
        <v>2</v>
      </c>
      <c r="X652" s="54" t="s">
        <v>2</v>
      </c>
      <c r="Y652" s="54" t="s">
        <v>2</v>
      </c>
      <c r="Z652" s="54" t="s">
        <v>2</v>
      </c>
      <c r="AA652" s="54" t="s">
        <v>2</v>
      </c>
      <c r="AB652" s="54" t="s">
        <v>2</v>
      </c>
      <c r="AC652" s="54" t="s">
        <v>2</v>
      </c>
      <c r="AD652" s="54" t="s">
        <v>2</v>
      </c>
      <c r="AE652" s="54" t="s">
        <v>2</v>
      </c>
      <c r="AF652" s="54" t="s">
        <v>2</v>
      </c>
      <c r="AG652" s="54" t="s">
        <v>2</v>
      </c>
    </row>
    <row r="653" ht="15.75" customHeight="1">
      <c r="B653" s="56"/>
      <c r="U653" s="46" t="str">
        <f t="array" ref="U653">IF($D653="","",IFERROR(_xlfn.XLOOKUP($D653,'TIR店舗一覧'!$D:$D,'TIR店舗一覧'!$E:$E,""),""))</f>
        <v/>
      </c>
      <c r="V653" s="54" t="s">
        <v>2</v>
      </c>
      <c r="W653" s="54" t="s">
        <v>2</v>
      </c>
      <c r="X653" s="54" t="s">
        <v>2</v>
      </c>
      <c r="Y653" s="54" t="s">
        <v>2</v>
      </c>
      <c r="Z653" s="54" t="s">
        <v>2</v>
      </c>
      <c r="AA653" s="54" t="s">
        <v>2</v>
      </c>
      <c r="AB653" s="54" t="s">
        <v>2</v>
      </c>
      <c r="AC653" s="54" t="s">
        <v>2</v>
      </c>
      <c r="AD653" s="54" t="s">
        <v>2</v>
      </c>
      <c r="AE653" s="54" t="s">
        <v>2</v>
      </c>
      <c r="AF653" s="54" t="s">
        <v>2</v>
      </c>
      <c r="AG653" s="54" t="s">
        <v>2</v>
      </c>
    </row>
    <row r="654" ht="15.75" customHeight="1">
      <c r="B654" s="56"/>
      <c r="U654" s="46" t="str">
        <f t="array" ref="U654">IF($D654="","",IFERROR(_xlfn.XLOOKUP($D654,'TIR店舗一覧'!$D:$D,'TIR店舗一覧'!$E:$E,""),""))</f>
        <v/>
      </c>
      <c r="V654" s="54" t="s">
        <v>2</v>
      </c>
      <c r="W654" s="54" t="s">
        <v>2</v>
      </c>
      <c r="X654" s="54" t="s">
        <v>2</v>
      </c>
      <c r="Y654" s="54" t="s">
        <v>2</v>
      </c>
      <c r="Z654" s="54" t="s">
        <v>2</v>
      </c>
      <c r="AA654" s="54" t="s">
        <v>2</v>
      </c>
      <c r="AB654" s="54" t="s">
        <v>2</v>
      </c>
      <c r="AC654" s="54" t="s">
        <v>2</v>
      </c>
      <c r="AD654" s="54" t="s">
        <v>2</v>
      </c>
      <c r="AE654" s="54" t="s">
        <v>2</v>
      </c>
      <c r="AF654" s="54" t="s">
        <v>2</v>
      </c>
      <c r="AG654" s="54" t="s">
        <v>2</v>
      </c>
    </row>
    <row r="655" ht="15.75" customHeight="1">
      <c r="B655" s="56"/>
      <c r="U655" s="46" t="str">
        <f t="array" ref="U655">IF($D655="","",IFERROR(_xlfn.XLOOKUP($D655,'TIR店舗一覧'!$D:$D,'TIR店舗一覧'!$E:$E,""),""))</f>
        <v/>
      </c>
      <c r="V655" s="54" t="s">
        <v>2</v>
      </c>
      <c r="W655" s="54" t="s">
        <v>2</v>
      </c>
      <c r="X655" s="54" t="s">
        <v>2</v>
      </c>
      <c r="Y655" s="54" t="s">
        <v>2</v>
      </c>
      <c r="Z655" s="54" t="s">
        <v>2</v>
      </c>
      <c r="AA655" s="54" t="s">
        <v>2</v>
      </c>
      <c r="AB655" s="54" t="s">
        <v>2</v>
      </c>
      <c r="AC655" s="54" t="s">
        <v>2</v>
      </c>
      <c r="AD655" s="54" t="s">
        <v>2</v>
      </c>
      <c r="AE655" s="54" t="s">
        <v>2</v>
      </c>
      <c r="AF655" s="54" t="s">
        <v>2</v>
      </c>
      <c r="AG655" s="54" t="s">
        <v>2</v>
      </c>
    </row>
    <row r="656" ht="15.75" customHeight="1">
      <c r="B656" s="56"/>
      <c r="U656" s="46" t="str">
        <f t="array" ref="U656">IF($D656="","",IFERROR(_xlfn.XLOOKUP($D656,'TIR店舗一覧'!$D:$D,'TIR店舗一覧'!$E:$E,""),""))</f>
        <v/>
      </c>
      <c r="V656" s="54" t="s">
        <v>2</v>
      </c>
      <c r="W656" s="54" t="s">
        <v>2</v>
      </c>
      <c r="X656" s="54" t="s">
        <v>2</v>
      </c>
      <c r="Y656" s="54" t="s">
        <v>2</v>
      </c>
      <c r="Z656" s="54" t="s">
        <v>2</v>
      </c>
      <c r="AA656" s="54" t="s">
        <v>2</v>
      </c>
      <c r="AB656" s="54" t="s">
        <v>2</v>
      </c>
      <c r="AC656" s="54" t="s">
        <v>2</v>
      </c>
      <c r="AD656" s="54" t="s">
        <v>2</v>
      </c>
      <c r="AE656" s="54" t="s">
        <v>2</v>
      </c>
      <c r="AF656" s="54" t="s">
        <v>2</v>
      </c>
      <c r="AG656" s="54" t="s">
        <v>2</v>
      </c>
    </row>
    <row r="657" ht="15.75" customHeight="1">
      <c r="B657" s="56"/>
      <c r="U657" s="46" t="str">
        <f t="array" ref="U657">IF($D657="","",IFERROR(_xlfn.XLOOKUP($D657,'TIR店舗一覧'!$D:$D,'TIR店舗一覧'!$E:$E,""),""))</f>
        <v/>
      </c>
      <c r="V657" s="54" t="s">
        <v>2</v>
      </c>
      <c r="W657" s="54" t="s">
        <v>2</v>
      </c>
      <c r="X657" s="54" t="s">
        <v>2</v>
      </c>
      <c r="Y657" s="54" t="s">
        <v>2</v>
      </c>
      <c r="Z657" s="54" t="s">
        <v>2</v>
      </c>
      <c r="AA657" s="54" t="s">
        <v>2</v>
      </c>
      <c r="AB657" s="54" t="s">
        <v>2</v>
      </c>
      <c r="AC657" s="54" t="s">
        <v>2</v>
      </c>
      <c r="AD657" s="54" t="s">
        <v>2</v>
      </c>
      <c r="AE657" s="54" t="s">
        <v>2</v>
      </c>
      <c r="AF657" s="54" t="s">
        <v>2</v>
      </c>
      <c r="AG657" s="54" t="s">
        <v>2</v>
      </c>
    </row>
    <row r="658" ht="15.75" customHeight="1">
      <c r="B658" s="56"/>
      <c r="U658" s="46" t="str">
        <f t="array" ref="U658">IF($D658="","",IFERROR(_xlfn.XLOOKUP($D658,'TIR店舗一覧'!$D:$D,'TIR店舗一覧'!$E:$E,""),""))</f>
        <v/>
      </c>
      <c r="V658" s="54" t="s">
        <v>2</v>
      </c>
      <c r="W658" s="54" t="s">
        <v>2</v>
      </c>
      <c r="X658" s="54" t="s">
        <v>2</v>
      </c>
      <c r="Y658" s="54" t="s">
        <v>2</v>
      </c>
      <c r="Z658" s="54" t="s">
        <v>2</v>
      </c>
      <c r="AA658" s="54" t="s">
        <v>2</v>
      </c>
      <c r="AB658" s="54" t="s">
        <v>2</v>
      </c>
      <c r="AC658" s="54" t="s">
        <v>2</v>
      </c>
      <c r="AD658" s="54" t="s">
        <v>2</v>
      </c>
      <c r="AE658" s="54" t="s">
        <v>2</v>
      </c>
      <c r="AF658" s="54" t="s">
        <v>2</v>
      </c>
      <c r="AG658" s="54" t="s">
        <v>2</v>
      </c>
    </row>
    <row r="659" ht="15.75" customHeight="1">
      <c r="B659" s="56"/>
      <c r="U659" s="46" t="str">
        <f t="array" ref="U659">IF($D659="","",IFERROR(_xlfn.XLOOKUP($D659,'TIR店舗一覧'!$D:$D,'TIR店舗一覧'!$E:$E,""),""))</f>
        <v/>
      </c>
      <c r="V659" s="54" t="s">
        <v>2</v>
      </c>
      <c r="W659" s="54" t="s">
        <v>2</v>
      </c>
      <c r="X659" s="54" t="s">
        <v>2</v>
      </c>
      <c r="Y659" s="54" t="s">
        <v>2</v>
      </c>
      <c r="Z659" s="54" t="s">
        <v>2</v>
      </c>
      <c r="AA659" s="54" t="s">
        <v>2</v>
      </c>
      <c r="AB659" s="54" t="s">
        <v>2</v>
      </c>
      <c r="AC659" s="54" t="s">
        <v>2</v>
      </c>
      <c r="AD659" s="54" t="s">
        <v>2</v>
      </c>
      <c r="AE659" s="54" t="s">
        <v>2</v>
      </c>
      <c r="AF659" s="54" t="s">
        <v>2</v>
      </c>
      <c r="AG659" s="54" t="s">
        <v>2</v>
      </c>
    </row>
    <row r="660" ht="15.75" customHeight="1">
      <c r="B660" s="56"/>
      <c r="U660" s="46" t="str">
        <f t="array" ref="U660">IF($D660="","",IFERROR(_xlfn.XLOOKUP($D660,'TIR店舗一覧'!$D:$D,'TIR店舗一覧'!$E:$E,""),""))</f>
        <v/>
      </c>
      <c r="V660" s="54" t="s">
        <v>2</v>
      </c>
      <c r="W660" s="54" t="s">
        <v>2</v>
      </c>
      <c r="X660" s="54" t="s">
        <v>2</v>
      </c>
      <c r="Y660" s="54" t="s">
        <v>2</v>
      </c>
      <c r="Z660" s="54" t="s">
        <v>2</v>
      </c>
      <c r="AA660" s="54" t="s">
        <v>2</v>
      </c>
      <c r="AB660" s="54" t="s">
        <v>2</v>
      </c>
      <c r="AC660" s="54" t="s">
        <v>2</v>
      </c>
      <c r="AD660" s="54" t="s">
        <v>2</v>
      </c>
      <c r="AE660" s="54" t="s">
        <v>2</v>
      </c>
      <c r="AF660" s="54" t="s">
        <v>2</v>
      </c>
      <c r="AG660" s="54" t="s">
        <v>2</v>
      </c>
    </row>
    <row r="661" ht="15.75" customHeight="1">
      <c r="B661" s="56"/>
      <c r="U661" s="46" t="str">
        <f t="array" ref="U661">IF($D661="","",IFERROR(_xlfn.XLOOKUP($D661,'TIR店舗一覧'!$D:$D,'TIR店舗一覧'!$E:$E,""),""))</f>
        <v/>
      </c>
      <c r="V661" s="54" t="s">
        <v>2</v>
      </c>
      <c r="W661" s="54" t="s">
        <v>2</v>
      </c>
      <c r="X661" s="54" t="s">
        <v>2</v>
      </c>
      <c r="Y661" s="54" t="s">
        <v>2</v>
      </c>
      <c r="Z661" s="54" t="s">
        <v>2</v>
      </c>
      <c r="AA661" s="54" t="s">
        <v>2</v>
      </c>
      <c r="AB661" s="54" t="s">
        <v>2</v>
      </c>
      <c r="AC661" s="54" t="s">
        <v>2</v>
      </c>
      <c r="AD661" s="54" t="s">
        <v>2</v>
      </c>
      <c r="AE661" s="54" t="s">
        <v>2</v>
      </c>
      <c r="AF661" s="54" t="s">
        <v>2</v>
      </c>
      <c r="AG661" s="54" t="s">
        <v>2</v>
      </c>
    </row>
    <row r="662" ht="15.75" customHeight="1">
      <c r="B662" s="56"/>
      <c r="U662" s="46" t="str">
        <f t="array" ref="U662">IF($D662="","",IFERROR(_xlfn.XLOOKUP($D662,'TIR店舗一覧'!$D:$D,'TIR店舗一覧'!$E:$E,""),""))</f>
        <v/>
      </c>
      <c r="V662" s="54" t="s">
        <v>2</v>
      </c>
      <c r="W662" s="54" t="s">
        <v>2</v>
      </c>
      <c r="X662" s="54" t="s">
        <v>2</v>
      </c>
      <c r="Y662" s="54" t="s">
        <v>2</v>
      </c>
      <c r="Z662" s="54" t="s">
        <v>2</v>
      </c>
      <c r="AA662" s="54" t="s">
        <v>2</v>
      </c>
      <c r="AB662" s="54" t="s">
        <v>2</v>
      </c>
      <c r="AC662" s="54" t="s">
        <v>2</v>
      </c>
      <c r="AD662" s="54" t="s">
        <v>2</v>
      </c>
      <c r="AE662" s="54" t="s">
        <v>2</v>
      </c>
      <c r="AF662" s="54" t="s">
        <v>2</v>
      </c>
      <c r="AG662" s="54" t="s">
        <v>2</v>
      </c>
    </row>
    <row r="663" ht="15.75" customHeight="1">
      <c r="B663" s="56"/>
      <c r="U663" s="46" t="str">
        <f t="array" ref="U663">IF($D663="","",IFERROR(_xlfn.XLOOKUP($D663,'TIR店舗一覧'!$D:$D,'TIR店舗一覧'!$E:$E,""),""))</f>
        <v/>
      </c>
      <c r="V663" s="54" t="s">
        <v>2</v>
      </c>
      <c r="W663" s="54" t="s">
        <v>2</v>
      </c>
      <c r="X663" s="54" t="s">
        <v>2</v>
      </c>
      <c r="Y663" s="54" t="s">
        <v>2</v>
      </c>
      <c r="Z663" s="54" t="s">
        <v>2</v>
      </c>
      <c r="AA663" s="54" t="s">
        <v>2</v>
      </c>
      <c r="AB663" s="54" t="s">
        <v>2</v>
      </c>
      <c r="AC663" s="54" t="s">
        <v>2</v>
      </c>
      <c r="AD663" s="54" t="s">
        <v>2</v>
      </c>
      <c r="AE663" s="54" t="s">
        <v>2</v>
      </c>
      <c r="AF663" s="54" t="s">
        <v>2</v>
      </c>
      <c r="AG663" s="54" t="s">
        <v>2</v>
      </c>
    </row>
    <row r="664" ht="15.75" customHeight="1">
      <c r="B664" s="56"/>
      <c r="U664" s="46" t="str">
        <f t="array" ref="U664">IF($D664="","",IFERROR(_xlfn.XLOOKUP($D664,'TIR店舗一覧'!$D:$D,'TIR店舗一覧'!$E:$E,""),""))</f>
        <v/>
      </c>
      <c r="V664" s="54" t="s">
        <v>2</v>
      </c>
      <c r="W664" s="54" t="s">
        <v>2</v>
      </c>
      <c r="X664" s="54" t="s">
        <v>2</v>
      </c>
      <c r="Y664" s="54" t="s">
        <v>2</v>
      </c>
      <c r="Z664" s="54" t="s">
        <v>2</v>
      </c>
      <c r="AA664" s="54" t="s">
        <v>2</v>
      </c>
      <c r="AB664" s="54" t="s">
        <v>2</v>
      </c>
      <c r="AC664" s="54" t="s">
        <v>2</v>
      </c>
      <c r="AD664" s="54" t="s">
        <v>2</v>
      </c>
      <c r="AE664" s="54" t="s">
        <v>2</v>
      </c>
      <c r="AF664" s="54" t="s">
        <v>2</v>
      </c>
      <c r="AG664" s="54" t="s">
        <v>2</v>
      </c>
    </row>
    <row r="665" ht="15.75" customHeight="1">
      <c r="B665" s="56"/>
      <c r="U665" s="46" t="str">
        <f t="array" ref="U665">IF($D665="","",IFERROR(_xlfn.XLOOKUP($D665,'TIR店舗一覧'!$D:$D,'TIR店舗一覧'!$E:$E,""),""))</f>
        <v/>
      </c>
      <c r="V665" s="54" t="s">
        <v>2</v>
      </c>
      <c r="W665" s="54" t="s">
        <v>2</v>
      </c>
      <c r="X665" s="54" t="s">
        <v>2</v>
      </c>
      <c r="Y665" s="54" t="s">
        <v>2</v>
      </c>
      <c r="Z665" s="54" t="s">
        <v>2</v>
      </c>
      <c r="AA665" s="54" t="s">
        <v>2</v>
      </c>
      <c r="AB665" s="54" t="s">
        <v>2</v>
      </c>
      <c r="AC665" s="54" t="s">
        <v>2</v>
      </c>
      <c r="AD665" s="54" t="s">
        <v>2</v>
      </c>
      <c r="AE665" s="54" t="s">
        <v>2</v>
      </c>
      <c r="AF665" s="54" t="s">
        <v>2</v>
      </c>
      <c r="AG665" s="54" t="s">
        <v>2</v>
      </c>
    </row>
    <row r="666" ht="15.75" customHeight="1">
      <c r="B666" s="56"/>
      <c r="U666" s="46" t="str">
        <f t="array" ref="U666">IF($D666="","",IFERROR(_xlfn.XLOOKUP($D666,'TIR店舗一覧'!$D:$D,'TIR店舗一覧'!$E:$E,""),""))</f>
        <v/>
      </c>
      <c r="V666" s="54" t="s">
        <v>2</v>
      </c>
      <c r="W666" s="54" t="s">
        <v>2</v>
      </c>
      <c r="X666" s="54" t="s">
        <v>2</v>
      </c>
      <c r="Y666" s="54" t="s">
        <v>2</v>
      </c>
      <c r="Z666" s="54" t="s">
        <v>2</v>
      </c>
      <c r="AA666" s="54" t="s">
        <v>2</v>
      </c>
      <c r="AB666" s="54" t="s">
        <v>2</v>
      </c>
      <c r="AC666" s="54" t="s">
        <v>2</v>
      </c>
      <c r="AD666" s="54" t="s">
        <v>2</v>
      </c>
      <c r="AE666" s="54" t="s">
        <v>2</v>
      </c>
      <c r="AF666" s="54" t="s">
        <v>2</v>
      </c>
      <c r="AG666" s="54" t="s">
        <v>2</v>
      </c>
    </row>
    <row r="667" ht="15.75" customHeight="1">
      <c r="B667" s="56"/>
      <c r="U667" s="46" t="str">
        <f t="array" ref="U667">IF($D667="","",IFERROR(_xlfn.XLOOKUP($D667,'TIR店舗一覧'!$D:$D,'TIR店舗一覧'!$E:$E,""),""))</f>
        <v/>
      </c>
      <c r="V667" s="54" t="s">
        <v>2</v>
      </c>
      <c r="W667" s="54" t="s">
        <v>2</v>
      </c>
      <c r="X667" s="54" t="s">
        <v>2</v>
      </c>
      <c r="Y667" s="54" t="s">
        <v>2</v>
      </c>
      <c r="Z667" s="54" t="s">
        <v>2</v>
      </c>
      <c r="AA667" s="54" t="s">
        <v>2</v>
      </c>
      <c r="AB667" s="54" t="s">
        <v>2</v>
      </c>
      <c r="AC667" s="54" t="s">
        <v>2</v>
      </c>
      <c r="AD667" s="54" t="s">
        <v>2</v>
      </c>
      <c r="AE667" s="54" t="s">
        <v>2</v>
      </c>
      <c r="AF667" s="54" t="s">
        <v>2</v>
      </c>
      <c r="AG667" s="54" t="s">
        <v>2</v>
      </c>
    </row>
    <row r="668" ht="15.75" customHeight="1">
      <c r="B668" s="56"/>
      <c r="U668" s="46" t="str">
        <f t="array" ref="U668">IF($D668="","",IFERROR(_xlfn.XLOOKUP($D668,'TIR店舗一覧'!$D:$D,'TIR店舗一覧'!$E:$E,""),""))</f>
        <v/>
      </c>
      <c r="V668" s="54" t="s">
        <v>2</v>
      </c>
      <c r="W668" s="54" t="s">
        <v>2</v>
      </c>
      <c r="X668" s="54" t="s">
        <v>2</v>
      </c>
      <c r="Y668" s="54" t="s">
        <v>2</v>
      </c>
      <c r="Z668" s="54" t="s">
        <v>2</v>
      </c>
      <c r="AA668" s="54" t="s">
        <v>2</v>
      </c>
      <c r="AB668" s="54" t="s">
        <v>2</v>
      </c>
      <c r="AC668" s="54" t="s">
        <v>2</v>
      </c>
      <c r="AD668" s="54" t="s">
        <v>2</v>
      </c>
      <c r="AE668" s="54" t="s">
        <v>2</v>
      </c>
      <c r="AF668" s="54" t="s">
        <v>2</v>
      </c>
      <c r="AG668" s="54" t="s">
        <v>2</v>
      </c>
    </row>
    <row r="669" ht="15.75" customHeight="1">
      <c r="B669" s="56"/>
      <c r="U669" s="46" t="str">
        <f t="array" ref="U669">IF($D669="","",IFERROR(_xlfn.XLOOKUP($D669,'TIR店舗一覧'!$D:$D,'TIR店舗一覧'!$E:$E,""),""))</f>
        <v/>
      </c>
      <c r="V669" s="54" t="s">
        <v>2</v>
      </c>
      <c r="W669" s="54" t="s">
        <v>2</v>
      </c>
      <c r="X669" s="54" t="s">
        <v>2</v>
      </c>
      <c r="Y669" s="54" t="s">
        <v>2</v>
      </c>
      <c r="Z669" s="54" t="s">
        <v>2</v>
      </c>
      <c r="AA669" s="54" t="s">
        <v>2</v>
      </c>
      <c r="AB669" s="54" t="s">
        <v>2</v>
      </c>
      <c r="AC669" s="54" t="s">
        <v>2</v>
      </c>
      <c r="AD669" s="54" t="s">
        <v>2</v>
      </c>
      <c r="AE669" s="54" t="s">
        <v>2</v>
      </c>
      <c r="AF669" s="54" t="s">
        <v>2</v>
      </c>
      <c r="AG669" s="54" t="s">
        <v>2</v>
      </c>
    </row>
    <row r="670" ht="15.75" customHeight="1">
      <c r="B670" s="56"/>
      <c r="U670" s="46" t="str">
        <f t="array" ref="U670">IF($D670="","",IFERROR(_xlfn.XLOOKUP($D670,'TIR店舗一覧'!$D:$D,'TIR店舗一覧'!$E:$E,""),""))</f>
        <v/>
      </c>
      <c r="V670" s="54" t="s">
        <v>2</v>
      </c>
      <c r="W670" s="54" t="s">
        <v>2</v>
      </c>
      <c r="X670" s="54" t="s">
        <v>2</v>
      </c>
      <c r="Y670" s="54" t="s">
        <v>2</v>
      </c>
      <c r="Z670" s="54" t="s">
        <v>2</v>
      </c>
      <c r="AA670" s="54" t="s">
        <v>2</v>
      </c>
      <c r="AB670" s="54" t="s">
        <v>2</v>
      </c>
      <c r="AC670" s="54" t="s">
        <v>2</v>
      </c>
      <c r="AD670" s="54" t="s">
        <v>2</v>
      </c>
      <c r="AE670" s="54" t="s">
        <v>2</v>
      </c>
      <c r="AF670" s="54" t="s">
        <v>2</v>
      </c>
      <c r="AG670" s="54" t="s">
        <v>2</v>
      </c>
    </row>
    <row r="671" ht="15.75" customHeight="1">
      <c r="B671" s="56"/>
      <c r="U671" s="46" t="str">
        <f t="array" ref="U671">IF($D671="","",IFERROR(_xlfn.XLOOKUP($D671,'TIR店舗一覧'!$D:$D,'TIR店舗一覧'!$E:$E,""),""))</f>
        <v/>
      </c>
      <c r="V671" s="54" t="s">
        <v>2</v>
      </c>
      <c r="W671" s="54" t="s">
        <v>2</v>
      </c>
      <c r="X671" s="54" t="s">
        <v>2</v>
      </c>
      <c r="Y671" s="54" t="s">
        <v>2</v>
      </c>
      <c r="Z671" s="54" t="s">
        <v>2</v>
      </c>
      <c r="AA671" s="54" t="s">
        <v>2</v>
      </c>
      <c r="AB671" s="54" t="s">
        <v>2</v>
      </c>
      <c r="AC671" s="54" t="s">
        <v>2</v>
      </c>
      <c r="AD671" s="54" t="s">
        <v>2</v>
      </c>
      <c r="AE671" s="54" t="s">
        <v>2</v>
      </c>
      <c r="AF671" s="54" t="s">
        <v>2</v>
      </c>
      <c r="AG671" s="54" t="s">
        <v>2</v>
      </c>
    </row>
    <row r="672" ht="15.75" customHeight="1">
      <c r="B672" s="56"/>
      <c r="U672" s="46" t="str">
        <f t="array" ref="U672">IF($D672="","",IFERROR(_xlfn.XLOOKUP($D672,'TIR店舗一覧'!$D:$D,'TIR店舗一覧'!$E:$E,""),""))</f>
        <v/>
      </c>
      <c r="V672" s="54" t="s">
        <v>2</v>
      </c>
      <c r="W672" s="54" t="s">
        <v>2</v>
      </c>
      <c r="X672" s="54" t="s">
        <v>2</v>
      </c>
      <c r="Y672" s="54" t="s">
        <v>2</v>
      </c>
      <c r="Z672" s="54" t="s">
        <v>2</v>
      </c>
      <c r="AA672" s="54" t="s">
        <v>2</v>
      </c>
      <c r="AB672" s="54" t="s">
        <v>2</v>
      </c>
      <c r="AC672" s="54" t="s">
        <v>2</v>
      </c>
      <c r="AD672" s="54" t="s">
        <v>2</v>
      </c>
      <c r="AE672" s="54" t="s">
        <v>2</v>
      </c>
      <c r="AF672" s="54" t="s">
        <v>2</v>
      </c>
      <c r="AG672" s="54" t="s">
        <v>2</v>
      </c>
    </row>
    <row r="673" ht="15.75" customHeight="1">
      <c r="B673" s="56"/>
      <c r="U673" s="46" t="str">
        <f t="array" ref="U673">IF($D673="","",IFERROR(_xlfn.XLOOKUP($D673,'TIR店舗一覧'!$D:$D,'TIR店舗一覧'!$E:$E,""),""))</f>
        <v/>
      </c>
      <c r="V673" s="54" t="s">
        <v>2</v>
      </c>
      <c r="W673" s="54" t="s">
        <v>2</v>
      </c>
      <c r="X673" s="54" t="s">
        <v>2</v>
      </c>
      <c r="Y673" s="54" t="s">
        <v>2</v>
      </c>
      <c r="Z673" s="54" t="s">
        <v>2</v>
      </c>
      <c r="AA673" s="54" t="s">
        <v>2</v>
      </c>
      <c r="AB673" s="54" t="s">
        <v>2</v>
      </c>
      <c r="AC673" s="54" t="s">
        <v>2</v>
      </c>
      <c r="AD673" s="54" t="s">
        <v>2</v>
      </c>
      <c r="AE673" s="54" t="s">
        <v>2</v>
      </c>
      <c r="AF673" s="54" t="s">
        <v>2</v>
      </c>
      <c r="AG673" s="54" t="s">
        <v>2</v>
      </c>
    </row>
    <row r="674" ht="15.75" customHeight="1">
      <c r="B674" s="56"/>
      <c r="U674" s="46" t="str">
        <f t="array" ref="U674">IF($D674="","",IFERROR(_xlfn.XLOOKUP($D674,'TIR店舗一覧'!$D:$D,'TIR店舗一覧'!$E:$E,""),""))</f>
        <v/>
      </c>
      <c r="V674" s="54" t="s">
        <v>2</v>
      </c>
      <c r="W674" s="54" t="s">
        <v>2</v>
      </c>
      <c r="X674" s="54" t="s">
        <v>2</v>
      </c>
      <c r="Y674" s="54" t="s">
        <v>2</v>
      </c>
      <c r="Z674" s="54" t="s">
        <v>2</v>
      </c>
      <c r="AA674" s="54" t="s">
        <v>2</v>
      </c>
      <c r="AB674" s="54" t="s">
        <v>2</v>
      </c>
      <c r="AC674" s="54" t="s">
        <v>2</v>
      </c>
      <c r="AD674" s="54" t="s">
        <v>2</v>
      </c>
      <c r="AE674" s="54" t="s">
        <v>2</v>
      </c>
      <c r="AF674" s="54" t="s">
        <v>2</v>
      </c>
      <c r="AG674" s="54" t="s">
        <v>2</v>
      </c>
    </row>
    <row r="675" ht="15.75" customHeight="1">
      <c r="B675" s="56"/>
      <c r="U675" s="46" t="str">
        <f t="array" ref="U675">IF($D675="","",IFERROR(_xlfn.XLOOKUP($D675,'TIR店舗一覧'!$D:$D,'TIR店舗一覧'!$E:$E,""),""))</f>
        <v/>
      </c>
      <c r="V675" s="54" t="s">
        <v>2</v>
      </c>
      <c r="W675" s="54" t="s">
        <v>2</v>
      </c>
      <c r="X675" s="54" t="s">
        <v>2</v>
      </c>
      <c r="Y675" s="54" t="s">
        <v>2</v>
      </c>
      <c r="Z675" s="54" t="s">
        <v>2</v>
      </c>
      <c r="AA675" s="54" t="s">
        <v>2</v>
      </c>
      <c r="AB675" s="54" t="s">
        <v>2</v>
      </c>
      <c r="AC675" s="54" t="s">
        <v>2</v>
      </c>
      <c r="AD675" s="54" t="s">
        <v>2</v>
      </c>
      <c r="AE675" s="54" t="s">
        <v>2</v>
      </c>
      <c r="AF675" s="54" t="s">
        <v>2</v>
      </c>
      <c r="AG675" s="54" t="s">
        <v>2</v>
      </c>
    </row>
    <row r="676" ht="15.75" customHeight="1">
      <c r="B676" s="56"/>
      <c r="U676" s="46" t="str">
        <f t="array" ref="U676">IF($D676="","",IFERROR(_xlfn.XLOOKUP($D676,'TIR店舗一覧'!$D:$D,'TIR店舗一覧'!$E:$E,""),""))</f>
        <v/>
      </c>
      <c r="V676" s="54" t="s">
        <v>2</v>
      </c>
      <c r="W676" s="54" t="s">
        <v>2</v>
      </c>
      <c r="X676" s="54" t="s">
        <v>2</v>
      </c>
      <c r="Y676" s="54" t="s">
        <v>2</v>
      </c>
      <c r="Z676" s="54" t="s">
        <v>2</v>
      </c>
      <c r="AA676" s="54" t="s">
        <v>2</v>
      </c>
      <c r="AB676" s="54" t="s">
        <v>2</v>
      </c>
      <c r="AC676" s="54" t="s">
        <v>2</v>
      </c>
      <c r="AD676" s="54" t="s">
        <v>2</v>
      </c>
      <c r="AE676" s="54" t="s">
        <v>2</v>
      </c>
      <c r="AF676" s="54" t="s">
        <v>2</v>
      </c>
      <c r="AG676" s="54" t="s">
        <v>2</v>
      </c>
    </row>
    <row r="677" ht="15.75" customHeight="1">
      <c r="B677" s="56"/>
      <c r="U677" s="46" t="str">
        <f t="array" ref="U677">IF($D677="","",IFERROR(_xlfn.XLOOKUP($D677,'TIR店舗一覧'!$D:$D,'TIR店舗一覧'!$E:$E,""),""))</f>
        <v/>
      </c>
      <c r="V677" s="54" t="s">
        <v>2</v>
      </c>
      <c r="W677" s="54" t="s">
        <v>2</v>
      </c>
      <c r="X677" s="54" t="s">
        <v>2</v>
      </c>
      <c r="Y677" s="54" t="s">
        <v>2</v>
      </c>
      <c r="Z677" s="54" t="s">
        <v>2</v>
      </c>
      <c r="AA677" s="54" t="s">
        <v>2</v>
      </c>
      <c r="AB677" s="54" t="s">
        <v>2</v>
      </c>
      <c r="AC677" s="54" t="s">
        <v>2</v>
      </c>
      <c r="AD677" s="54" t="s">
        <v>2</v>
      </c>
      <c r="AE677" s="54" t="s">
        <v>2</v>
      </c>
      <c r="AF677" s="54" t="s">
        <v>2</v>
      </c>
      <c r="AG677" s="54" t="s">
        <v>2</v>
      </c>
    </row>
    <row r="678" ht="15.75" customHeight="1">
      <c r="B678" s="56"/>
      <c r="U678" s="46" t="str">
        <f t="array" ref="U678">IF($D678="","",IFERROR(_xlfn.XLOOKUP($D678,'TIR店舗一覧'!$D:$D,'TIR店舗一覧'!$E:$E,""),""))</f>
        <v/>
      </c>
      <c r="V678" s="54" t="s">
        <v>2</v>
      </c>
      <c r="W678" s="54" t="s">
        <v>2</v>
      </c>
      <c r="X678" s="54" t="s">
        <v>2</v>
      </c>
      <c r="Y678" s="54" t="s">
        <v>2</v>
      </c>
      <c r="Z678" s="54" t="s">
        <v>2</v>
      </c>
      <c r="AA678" s="54" t="s">
        <v>2</v>
      </c>
      <c r="AB678" s="54" t="s">
        <v>2</v>
      </c>
      <c r="AC678" s="54" t="s">
        <v>2</v>
      </c>
      <c r="AD678" s="54" t="s">
        <v>2</v>
      </c>
      <c r="AE678" s="54" t="s">
        <v>2</v>
      </c>
      <c r="AF678" s="54" t="s">
        <v>2</v>
      </c>
      <c r="AG678" s="54" t="s">
        <v>2</v>
      </c>
    </row>
    <row r="679" ht="15.75" customHeight="1">
      <c r="B679" s="56"/>
      <c r="U679" s="46" t="str">
        <f t="array" ref="U679">IF($D679="","",IFERROR(_xlfn.XLOOKUP($D679,'TIR店舗一覧'!$D:$D,'TIR店舗一覧'!$E:$E,""),""))</f>
        <v/>
      </c>
      <c r="V679" s="54" t="s">
        <v>2</v>
      </c>
      <c r="W679" s="54" t="s">
        <v>2</v>
      </c>
      <c r="X679" s="54" t="s">
        <v>2</v>
      </c>
      <c r="Y679" s="54" t="s">
        <v>2</v>
      </c>
      <c r="Z679" s="54" t="s">
        <v>2</v>
      </c>
      <c r="AA679" s="54" t="s">
        <v>2</v>
      </c>
      <c r="AB679" s="54" t="s">
        <v>2</v>
      </c>
      <c r="AC679" s="54" t="s">
        <v>2</v>
      </c>
      <c r="AD679" s="54" t="s">
        <v>2</v>
      </c>
      <c r="AE679" s="54" t="s">
        <v>2</v>
      </c>
      <c r="AF679" s="54" t="s">
        <v>2</v>
      </c>
      <c r="AG679" s="54" t="s">
        <v>2</v>
      </c>
    </row>
    <row r="680" ht="15.75" customHeight="1">
      <c r="B680" s="56"/>
      <c r="U680" s="46" t="str">
        <f t="array" ref="U680">IF($D680="","",IFERROR(_xlfn.XLOOKUP($D680,'TIR店舗一覧'!$D:$D,'TIR店舗一覧'!$E:$E,""),""))</f>
        <v/>
      </c>
      <c r="V680" s="54" t="s">
        <v>2</v>
      </c>
      <c r="W680" s="54" t="s">
        <v>2</v>
      </c>
      <c r="X680" s="54" t="s">
        <v>2</v>
      </c>
      <c r="Y680" s="54" t="s">
        <v>2</v>
      </c>
      <c r="Z680" s="54" t="s">
        <v>2</v>
      </c>
      <c r="AA680" s="54" t="s">
        <v>2</v>
      </c>
      <c r="AB680" s="54" t="s">
        <v>2</v>
      </c>
      <c r="AC680" s="54" t="s">
        <v>2</v>
      </c>
      <c r="AD680" s="54" t="s">
        <v>2</v>
      </c>
      <c r="AE680" s="54" t="s">
        <v>2</v>
      </c>
      <c r="AF680" s="54" t="s">
        <v>2</v>
      </c>
      <c r="AG680" s="54" t="s">
        <v>2</v>
      </c>
    </row>
    <row r="681" ht="15.75" customHeight="1">
      <c r="B681" s="56"/>
      <c r="U681" s="46" t="str">
        <f t="array" ref="U681">IF($D681="","",IFERROR(_xlfn.XLOOKUP($D681,'TIR店舗一覧'!$D:$D,'TIR店舗一覧'!$E:$E,""),""))</f>
        <v/>
      </c>
      <c r="V681" s="54" t="s">
        <v>2</v>
      </c>
      <c r="W681" s="54" t="s">
        <v>2</v>
      </c>
      <c r="X681" s="54" t="s">
        <v>2</v>
      </c>
      <c r="Y681" s="54" t="s">
        <v>2</v>
      </c>
      <c r="Z681" s="54" t="s">
        <v>2</v>
      </c>
      <c r="AA681" s="54" t="s">
        <v>2</v>
      </c>
      <c r="AB681" s="54" t="s">
        <v>2</v>
      </c>
      <c r="AC681" s="54" t="s">
        <v>2</v>
      </c>
      <c r="AD681" s="54" t="s">
        <v>2</v>
      </c>
      <c r="AE681" s="54" t="s">
        <v>2</v>
      </c>
      <c r="AF681" s="54" t="s">
        <v>2</v>
      </c>
      <c r="AG681" s="54" t="s">
        <v>2</v>
      </c>
    </row>
    <row r="682" ht="15.75" customHeight="1">
      <c r="B682" s="56"/>
      <c r="U682" s="46" t="str">
        <f t="array" ref="U682">IF($D682="","",IFERROR(_xlfn.XLOOKUP($D682,'TIR店舗一覧'!$D:$D,'TIR店舗一覧'!$E:$E,""),""))</f>
        <v/>
      </c>
      <c r="V682" s="54" t="s">
        <v>2</v>
      </c>
      <c r="W682" s="54" t="s">
        <v>2</v>
      </c>
      <c r="X682" s="54" t="s">
        <v>2</v>
      </c>
      <c r="Y682" s="54" t="s">
        <v>2</v>
      </c>
      <c r="Z682" s="54" t="s">
        <v>2</v>
      </c>
      <c r="AA682" s="54" t="s">
        <v>2</v>
      </c>
      <c r="AB682" s="54" t="s">
        <v>2</v>
      </c>
      <c r="AC682" s="54" t="s">
        <v>2</v>
      </c>
      <c r="AD682" s="54" t="s">
        <v>2</v>
      </c>
      <c r="AE682" s="54" t="s">
        <v>2</v>
      </c>
      <c r="AF682" s="54" t="s">
        <v>2</v>
      </c>
      <c r="AG682" s="54" t="s">
        <v>2</v>
      </c>
    </row>
    <row r="683" ht="15.75" customHeight="1">
      <c r="B683" s="56"/>
      <c r="U683" s="46" t="str">
        <f t="array" ref="U683">IF($D683="","",IFERROR(_xlfn.XLOOKUP($D683,'TIR店舗一覧'!$D:$D,'TIR店舗一覧'!$E:$E,""),""))</f>
        <v/>
      </c>
      <c r="V683" s="54" t="s">
        <v>2</v>
      </c>
      <c r="W683" s="54" t="s">
        <v>2</v>
      </c>
      <c r="X683" s="54" t="s">
        <v>2</v>
      </c>
      <c r="Y683" s="54" t="s">
        <v>2</v>
      </c>
      <c r="Z683" s="54" t="s">
        <v>2</v>
      </c>
      <c r="AA683" s="54" t="s">
        <v>2</v>
      </c>
      <c r="AB683" s="54" t="s">
        <v>2</v>
      </c>
      <c r="AC683" s="54" t="s">
        <v>2</v>
      </c>
      <c r="AD683" s="54" t="s">
        <v>2</v>
      </c>
      <c r="AE683" s="54" t="s">
        <v>2</v>
      </c>
      <c r="AF683" s="54" t="s">
        <v>2</v>
      </c>
      <c r="AG683" s="54" t="s">
        <v>2</v>
      </c>
    </row>
    <row r="684" ht="15.75" customHeight="1">
      <c r="B684" s="56"/>
      <c r="U684" s="46" t="str">
        <f t="array" ref="U684">IF($D684="","",IFERROR(_xlfn.XLOOKUP($D684,'TIR店舗一覧'!$D:$D,'TIR店舗一覧'!$E:$E,""),""))</f>
        <v/>
      </c>
      <c r="V684" s="54" t="s">
        <v>2</v>
      </c>
      <c r="W684" s="54" t="s">
        <v>2</v>
      </c>
      <c r="X684" s="54" t="s">
        <v>2</v>
      </c>
      <c r="Y684" s="54" t="s">
        <v>2</v>
      </c>
      <c r="Z684" s="54" t="s">
        <v>2</v>
      </c>
      <c r="AA684" s="54" t="s">
        <v>2</v>
      </c>
      <c r="AB684" s="54" t="s">
        <v>2</v>
      </c>
      <c r="AC684" s="54" t="s">
        <v>2</v>
      </c>
      <c r="AD684" s="54" t="s">
        <v>2</v>
      </c>
      <c r="AE684" s="54" t="s">
        <v>2</v>
      </c>
      <c r="AF684" s="54" t="s">
        <v>2</v>
      </c>
      <c r="AG684" s="54" t="s">
        <v>2</v>
      </c>
    </row>
    <row r="685" ht="15.75" customHeight="1">
      <c r="B685" s="56"/>
      <c r="U685" s="46" t="str">
        <f t="array" ref="U685">IF($D685="","",IFERROR(_xlfn.XLOOKUP($D685,'TIR店舗一覧'!$D:$D,'TIR店舗一覧'!$E:$E,""),""))</f>
        <v/>
      </c>
      <c r="V685" s="54" t="s">
        <v>2</v>
      </c>
      <c r="W685" s="54" t="s">
        <v>2</v>
      </c>
      <c r="X685" s="54" t="s">
        <v>2</v>
      </c>
      <c r="Y685" s="54" t="s">
        <v>2</v>
      </c>
      <c r="Z685" s="54" t="s">
        <v>2</v>
      </c>
      <c r="AA685" s="54" t="s">
        <v>2</v>
      </c>
      <c r="AB685" s="54" t="s">
        <v>2</v>
      </c>
      <c r="AC685" s="54" t="s">
        <v>2</v>
      </c>
      <c r="AD685" s="54" t="s">
        <v>2</v>
      </c>
      <c r="AE685" s="54" t="s">
        <v>2</v>
      </c>
      <c r="AF685" s="54" t="s">
        <v>2</v>
      </c>
      <c r="AG685" s="54" t="s">
        <v>2</v>
      </c>
    </row>
    <row r="686" ht="15.75" customHeight="1">
      <c r="B686" s="56"/>
      <c r="U686" s="46" t="str">
        <f t="array" ref="U686">IF($D686="","",IFERROR(_xlfn.XLOOKUP($D686,'TIR店舗一覧'!$D:$D,'TIR店舗一覧'!$E:$E,""),""))</f>
        <v/>
      </c>
      <c r="V686" s="54" t="s">
        <v>2</v>
      </c>
      <c r="W686" s="54" t="s">
        <v>2</v>
      </c>
      <c r="X686" s="54" t="s">
        <v>2</v>
      </c>
      <c r="Y686" s="54" t="s">
        <v>2</v>
      </c>
      <c r="Z686" s="54" t="s">
        <v>2</v>
      </c>
      <c r="AA686" s="54" t="s">
        <v>2</v>
      </c>
      <c r="AB686" s="54" t="s">
        <v>2</v>
      </c>
      <c r="AC686" s="54" t="s">
        <v>2</v>
      </c>
      <c r="AD686" s="54" t="s">
        <v>2</v>
      </c>
      <c r="AE686" s="54" t="s">
        <v>2</v>
      </c>
      <c r="AF686" s="54" t="s">
        <v>2</v>
      </c>
      <c r="AG686" s="54" t="s">
        <v>2</v>
      </c>
    </row>
    <row r="687" ht="15.75" customHeight="1">
      <c r="B687" s="56"/>
      <c r="U687" s="46" t="str">
        <f t="array" ref="U687">IF($D687="","",IFERROR(_xlfn.XLOOKUP($D687,'TIR店舗一覧'!$D:$D,'TIR店舗一覧'!$E:$E,""),""))</f>
        <v/>
      </c>
      <c r="V687" s="54" t="s">
        <v>2</v>
      </c>
      <c r="W687" s="54" t="s">
        <v>2</v>
      </c>
      <c r="X687" s="54" t="s">
        <v>2</v>
      </c>
      <c r="Y687" s="54" t="s">
        <v>2</v>
      </c>
      <c r="Z687" s="54" t="s">
        <v>2</v>
      </c>
      <c r="AA687" s="54" t="s">
        <v>2</v>
      </c>
      <c r="AB687" s="54" t="s">
        <v>2</v>
      </c>
      <c r="AC687" s="54" t="s">
        <v>2</v>
      </c>
      <c r="AD687" s="54" t="s">
        <v>2</v>
      </c>
      <c r="AE687" s="54" t="s">
        <v>2</v>
      </c>
      <c r="AF687" s="54" t="s">
        <v>2</v>
      </c>
      <c r="AG687" s="54" t="s">
        <v>2</v>
      </c>
    </row>
    <row r="688" ht="15.75" customHeight="1">
      <c r="B688" s="56"/>
      <c r="U688" s="46" t="str">
        <f t="array" ref="U688">IF($D688="","",IFERROR(_xlfn.XLOOKUP($D688,'TIR店舗一覧'!$D:$D,'TIR店舗一覧'!$E:$E,""),""))</f>
        <v/>
      </c>
      <c r="V688" s="54" t="s">
        <v>2</v>
      </c>
      <c r="W688" s="54" t="s">
        <v>2</v>
      </c>
      <c r="X688" s="54" t="s">
        <v>2</v>
      </c>
      <c r="Y688" s="54" t="s">
        <v>2</v>
      </c>
      <c r="Z688" s="54" t="s">
        <v>2</v>
      </c>
      <c r="AA688" s="54" t="s">
        <v>2</v>
      </c>
      <c r="AB688" s="54" t="s">
        <v>2</v>
      </c>
      <c r="AC688" s="54" t="s">
        <v>2</v>
      </c>
      <c r="AD688" s="54" t="s">
        <v>2</v>
      </c>
      <c r="AE688" s="54" t="s">
        <v>2</v>
      </c>
      <c r="AF688" s="54" t="s">
        <v>2</v>
      </c>
      <c r="AG688" s="54" t="s">
        <v>2</v>
      </c>
    </row>
    <row r="689" ht="15.75" customHeight="1">
      <c r="B689" s="56"/>
      <c r="U689" s="46" t="str">
        <f t="array" ref="U689">IF($D689="","",IFERROR(_xlfn.XLOOKUP($D689,'TIR店舗一覧'!$D:$D,'TIR店舗一覧'!$E:$E,""),""))</f>
        <v/>
      </c>
      <c r="V689" s="54" t="s">
        <v>2</v>
      </c>
      <c r="W689" s="54" t="s">
        <v>2</v>
      </c>
      <c r="X689" s="54" t="s">
        <v>2</v>
      </c>
      <c r="Y689" s="54" t="s">
        <v>2</v>
      </c>
      <c r="Z689" s="54" t="s">
        <v>2</v>
      </c>
      <c r="AA689" s="54" t="s">
        <v>2</v>
      </c>
      <c r="AB689" s="54" t="s">
        <v>2</v>
      </c>
      <c r="AC689" s="54" t="s">
        <v>2</v>
      </c>
      <c r="AD689" s="54" t="s">
        <v>2</v>
      </c>
      <c r="AE689" s="54" t="s">
        <v>2</v>
      </c>
      <c r="AF689" s="54" t="s">
        <v>2</v>
      </c>
      <c r="AG689" s="54" t="s">
        <v>2</v>
      </c>
    </row>
    <row r="690" ht="15.75" customHeight="1">
      <c r="B690" s="56"/>
      <c r="U690" s="46" t="str">
        <f t="array" ref="U690">IF($D690="","",IFERROR(_xlfn.XLOOKUP($D690,'TIR店舗一覧'!$D:$D,'TIR店舗一覧'!$E:$E,""),""))</f>
        <v/>
      </c>
      <c r="V690" s="54" t="s">
        <v>2</v>
      </c>
      <c r="W690" s="54" t="s">
        <v>2</v>
      </c>
      <c r="X690" s="54" t="s">
        <v>2</v>
      </c>
      <c r="Y690" s="54" t="s">
        <v>2</v>
      </c>
      <c r="Z690" s="54" t="s">
        <v>2</v>
      </c>
      <c r="AA690" s="54" t="s">
        <v>2</v>
      </c>
      <c r="AB690" s="54" t="s">
        <v>2</v>
      </c>
      <c r="AC690" s="54" t="s">
        <v>2</v>
      </c>
      <c r="AD690" s="54" t="s">
        <v>2</v>
      </c>
      <c r="AE690" s="54" t="s">
        <v>2</v>
      </c>
      <c r="AF690" s="54" t="s">
        <v>2</v>
      </c>
      <c r="AG690" s="54" t="s">
        <v>2</v>
      </c>
    </row>
    <row r="691" ht="15.75" customHeight="1">
      <c r="B691" s="56"/>
      <c r="U691" s="46" t="str">
        <f t="array" ref="U691">IF($D691="","",IFERROR(_xlfn.XLOOKUP($D691,'TIR店舗一覧'!$D:$D,'TIR店舗一覧'!$E:$E,""),""))</f>
        <v/>
      </c>
      <c r="V691" s="54" t="s">
        <v>2</v>
      </c>
      <c r="W691" s="54" t="s">
        <v>2</v>
      </c>
      <c r="X691" s="54" t="s">
        <v>2</v>
      </c>
      <c r="Y691" s="54" t="s">
        <v>2</v>
      </c>
      <c r="Z691" s="54" t="s">
        <v>2</v>
      </c>
      <c r="AA691" s="54" t="s">
        <v>2</v>
      </c>
      <c r="AB691" s="54" t="s">
        <v>2</v>
      </c>
      <c r="AC691" s="54" t="s">
        <v>2</v>
      </c>
      <c r="AD691" s="54" t="s">
        <v>2</v>
      </c>
      <c r="AE691" s="54" t="s">
        <v>2</v>
      </c>
      <c r="AF691" s="54" t="s">
        <v>2</v>
      </c>
      <c r="AG691" s="54" t="s">
        <v>2</v>
      </c>
    </row>
    <row r="692" ht="15.75" customHeight="1">
      <c r="B692" s="56"/>
      <c r="U692" s="46" t="str">
        <f t="array" ref="U692">IF($D692="","",IFERROR(_xlfn.XLOOKUP($D692,'TIR店舗一覧'!$D:$D,'TIR店舗一覧'!$E:$E,""),""))</f>
        <v/>
      </c>
      <c r="V692" s="54" t="s">
        <v>2</v>
      </c>
      <c r="W692" s="54" t="s">
        <v>2</v>
      </c>
      <c r="X692" s="54" t="s">
        <v>2</v>
      </c>
      <c r="Y692" s="54" t="s">
        <v>2</v>
      </c>
      <c r="Z692" s="54" t="s">
        <v>2</v>
      </c>
      <c r="AA692" s="54" t="s">
        <v>2</v>
      </c>
      <c r="AB692" s="54" t="s">
        <v>2</v>
      </c>
      <c r="AC692" s="54" t="s">
        <v>2</v>
      </c>
      <c r="AD692" s="54" t="s">
        <v>2</v>
      </c>
      <c r="AE692" s="54" t="s">
        <v>2</v>
      </c>
      <c r="AF692" s="54" t="s">
        <v>2</v>
      </c>
      <c r="AG692" s="54" t="s">
        <v>2</v>
      </c>
    </row>
    <row r="693" ht="15.75" customHeight="1">
      <c r="B693" s="56"/>
      <c r="U693" s="46" t="str">
        <f t="array" ref="U693">IF($D693="","",IFERROR(_xlfn.XLOOKUP($D693,'TIR店舗一覧'!$D:$D,'TIR店舗一覧'!$E:$E,""),""))</f>
        <v/>
      </c>
      <c r="V693" s="54" t="s">
        <v>2</v>
      </c>
      <c r="W693" s="54" t="s">
        <v>2</v>
      </c>
      <c r="X693" s="54" t="s">
        <v>2</v>
      </c>
      <c r="Y693" s="54" t="s">
        <v>2</v>
      </c>
      <c r="Z693" s="54" t="s">
        <v>2</v>
      </c>
      <c r="AA693" s="54" t="s">
        <v>2</v>
      </c>
      <c r="AB693" s="54" t="s">
        <v>2</v>
      </c>
      <c r="AC693" s="54" t="s">
        <v>2</v>
      </c>
      <c r="AD693" s="54" t="s">
        <v>2</v>
      </c>
      <c r="AE693" s="54" t="s">
        <v>2</v>
      </c>
      <c r="AF693" s="54" t="s">
        <v>2</v>
      </c>
      <c r="AG693" s="54" t="s">
        <v>2</v>
      </c>
    </row>
    <row r="694" ht="15.75" customHeight="1">
      <c r="B694" s="56"/>
      <c r="U694" s="46" t="str">
        <f t="array" ref="U694">IF($D694="","",IFERROR(_xlfn.XLOOKUP($D694,'TIR店舗一覧'!$D:$D,'TIR店舗一覧'!$E:$E,""),""))</f>
        <v/>
      </c>
      <c r="V694" s="54" t="s">
        <v>2</v>
      </c>
      <c r="W694" s="54" t="s">
        <v>2</v>
      </c>
      <c r="X694" s="54" t="s">
        <v>2</v>
      </c>
      <c r="Y694" s="54" t="s">
        <v>2</v>
      </c>
      <c r="Z694" s="54" t="s">
        <v>2</v>
      </c>
      <c r="AA694" s="54" t="s">
        <v>2</v>
      </c>
      <c r="AB694" s="54" t="s">
        <v>2</v>
      </c>
      <c r="AC694" s="54" t="s">
        <v>2</v>
      </c>
      <c r="AD694" s="54" t="s">
        <v>2</v>
      </c>
      <c r="AE694" s="54" t="s">
        <v>2</v>
      </c>
      <c r="AF694" s="54" t="s">
        <v>2</v>
      </c>
      <c r="AG694" s="54" t="s">
        <v>2</v>
      </c>
    </row>
    <row r="695" ht="15.75" customHeight="1">
      <c r="B695" s="56"/>
      <c r="U695" s="46" t="str">
        <f t="array" ref="U695">IF($D695="","",IFERROR(_xlfn.XLOOKUP($D695,'TIR店舗一覧'!$D:$D,'TIR店舗一覧'!$E:$E,""),""))</f>
        <v/>
      </c>
      <c r="V695" s="54" t="s">
        <v>2</v>
      </c>
      <c r="W695" s="54" t="s">
        <v>2</v>
      </c>
      <c r="X695" s="54" t="s">
        <v>2</v>
      </c>
      <c r="Y695" s="54" t="s">
        <v>2</v>
      </c>
      <c r="Z695" s="54" t="s">
        <v>2</v>
      </c>
      <c r="AA695" s="54" t="s">
        <v>2</v>
      </c>
      <c r="AB695" s="54" t="s">
        <v>2</v>
      </c>
      <c r="AC695" s="54" t="s">
        <v>2</v>
      </c>
      <c r="AD695" s="54" t="s">
        <v>2</v>
      </c>
      <c r="AE695" s="54" t="s">
        <v>2</v>
      </c>
      <c r="AF695" s="54" t="s">
        <v>2</v>
      </c>
      <c r="AG695" s="54" t="s">
        <v>2</v>
      </c>
    </row>
    <row r="696" ht="15.75" customHeight="1">
      <c r="B696" s="56"/>
      <c r="U696" s="46" t="str">
        <f t="array" ref="U696">IF($D696="","",IFERROR(_xlfn.XLOOKUP($D696,'TIR店舗一覧'!$D:$D,'TIR店舗一覧'!$E:$E,""),""))</f>
        <v/>
      </c>
      <c r="V696" s="54" t="s">
        <v>2</v>
      </c>
      <c r="W696" s="54" t="s">
        <v>2</v>
      </c>
      <c r="X696" s="54" t="s">
        <v>2</v>
      </c>
      <c r="Y696" s="54" t="s">
        <v>2</v>
      </c>
      <c r="Z696" s="54" t="s">
        <v>2</v>
      </c>
      <c r="AA696" s="54" t="s">
        <v>2</v>
      </c>
      <c r="AB696" s="54" t="s">
        <v>2</v>
      </c>
      <c r="AC696" s="54" t="s">
        <v>2</v>
      </c>
      <c r="AD696" s="54" t="s">
        <v>2</v>
      </c>
      <c r="AE696" s="54" t="s">
        <v>2</v>
      </c>
      <c r="AF696" s="54" t="s">
        <v>2</v>
      </c>
      <c r="AG696" s="54" t="s">
        <v>2</v>
      </c>
    </row>
    <row r="697" ht="15.75" customHeight="1">
      <c r="B697" s="56"/>
      <c r="U697" s="46" t="str">
        <f t="array" ref="U697">IF($D697="","",IFERROR(_xlfn.XLOOKUP($D697,'TIR店舗一覧'!$D:$D,'TIR店舗一覧'!$E:$E,""),""))</f>
        <v/>
      </c>
      <c r="V697" s="54" t="s">
        <v>2</v>
      </c>
      <c r="W697" s="54" t="s">
        <v>2</v>
      </c>
      <c r="X697" s="54" t="s">
        <v>2</v>
      </c>
      <c r="Y697" s="54" t="s">
        <v>2</v>
      </c>
      <c r="Z697" s="54" t="s">
        <v>2</v>
      </c>
      <c r="AA697" s="54" t="s">
        <v>2</v>
      </c>
      <c r="AB697" s="54" t="s">
        <v>2</v>
      </c>
      <c r="AC697" s="54" t="s">
        <v>2</v>
      </c>
      <c r="AD697" s="54" t="s">
        <v>2</v>
      </c>
      <c r="AE697" s="54" t="s">
        <v>2</v>
      </c>
      <c r="AF697" s="54" t="s">
        <v>2</v>
      </c>
      <c r="AG697" s="54" t="s">
        <v>2</v>
      </c>
    </row>
    <row r="698" ht="15.75" customHeight="1">
      <c r="B698" s="56"/>
      <c r="U698" s="46" t="str">
        <f t="array" ref="U698">IF($D698="","",IFERROR(_xlfn.XLOOKUP($D698,'TIR店舗一覧'!$D:$D,'TIR店舗一覧'!$E:$E,""),""))</f>
        <v/>
      </c>
      <c r="V698" s="54" t="s">
        <v>2</v>
      </c>
      <c r="W698" s="54" t="s">
        <v>2</v>
      </c>
      <c r="X698" s="54" t="s">
        <v>2</v>
      </c>
      <c r="Y698" s="54" t="s">
        <v>2</v>
      </c>
      <c r="Z698" s="54" t="s">
        <v>2</v>
      </c>
      <c r="AA698" s="54" t="s">
        <v>2</v>
      </c>
      <c r="AB698" s="54" t="s">
        <v>2</v>
      </c>
      <c r="AC698" s="54" t="s">
        <v>2</v>
      </c>
      <c r="AD698" s="54" t="s">
        <v>2</v>
      </c>
      <c r="AE698" s="54" t="s">
        <v>2</v>
      </c>
      <c r="AF698" s="54" t="s">
        <v>2</v>
      </c>
      <c r="AG698" s="54" t="s">
        <v>2</v>
      </c>
    </row>
    <row r="699" ht="15.75" customHeight="1">
      <c r="B699" s="56"/>
      <c r="U699" s="46" t="str">
        <f t="array" ref="U699">IF($D699="","",IFERROR(_xlfn.XLOOKUP($D699,'TIR店舗一覧'!$D:$D,'TIR店舗一覧'!$E:$E,""),""))</f>
        <v/>
      </c>
      <c r="V699" s="54" t="s">
        <v>2</v>
      </c>
      <c r="W699" s="54" t="s">
        <v>2</v>
      </c>
      <c r="X699" s="54" t="s">
        <v>2</v>
      </c>
      <c r="Y699" s="54" t="s">
        <v>2</v>
      </c>
      <c r="Z699" s="54" t="s">
        <v>2</v>
      </c>
      <c r="AA699" s="54" t="s">
        <v>2</v>
      </c>
      <c r="AB699" s="54" t="s">
        <v>2</v>
      </c>
      <c r="AC699" s="54" t="s">
        <v>2</v>
      </c>
      <c r="AD699" s="54" t="s">
        <v>2</v>
      </c>
      <c r="AE699" s="54" t="s">
        <v>2</v>
      </c>
      <c r="AF699" s="54" t="s">
        <v>2</v>
      </c>
      <c r="AG699" s="54" t="s">
        <v>2</v>
      </c>
    </row>
    <row r="700" ht="15.75" customHeight="1">
      <c r="B700" s="56"/>
      <c r="U700" s="46" t="str">
        <f t="array" ref="U700">IF($D700="","",IFERROR(_xlfn.XLOOKUP($D700,'TIR店舗一覧'!$D:$D,'TIR店舗一覧'!$E:$E,""),""))</f>
        <v/>
      </c>
      <c r="V700" s="54" t="s">
        <v>2</v>
      </c>
      <c r="W700" s="54" t="s">
        <v>2</v>
      </c>
      <c r="X700" s="54" t="s">
        <v>2</v>
      </c>
      <c r="Y700" s="54" t="s">
        <v>2</v>
      </c>
      <c r="Z700" s="54" t="s">
        <v>2</v>
      </c>
      <c r="AA700" s="54" t="s">
        <v>2</v>
      </c>
      <c r="AB700" s="54" t="s">
        <v>2</v>
      </c>
      <c r="AC700" s="54" t="s">
        <v>2</v>
      </c>
      <c r="AD700" s="54" t="s">
        <v>2</v>
      </c>
      <c r="AE700" s="54" t="s">
        <v>2</v>
      </c>
      <c r="AF700" s="54" t="s">
        <v>2</v>
      </c>
      <c r="AG700" s="54" t="s">
        <v>2</v>
      </c>
    </row>
    <row r="701" ht="15.75" customHeight="1">
      <c r="B701" s="56"/>
      <c r="U701" s="46" t="str">
        <f t="array" ref="U701">IF($D701="","",IFERROR(_xlfn.XLOOKUP($D701,'TIR店舗一覧'!$D:$D,'TIR店舗一覧'!$E:$E,""),""))</f>
        <v/>
      </c>
      <c r="V701" s="54" t="s">
        <v>2</v>
      </c>
      <c r="W701" s="54" t="s">
        <v>2</v>
      </c>
      <c r="X701" s="54" t="s">
        <v>2</v>
      </c>
      <c r="Y701" s="54" t="s">
        <v>2</v>
      </c>
      <c r="Z701" s="54" t="s">
        <v>2</v>
      </c>
      <c r="AA701" s="54" t="s">
        <v>2</v>
      </c>
      <c r="AB701" s="54" t="s">
        <v>2</v>
      </c>
      <c r="AC701" s="54" t="s">
        <v>2</v>
      </c>
      <c r="AD701" s="54" t="s">
        <v>2</v>
      </c>
      <c r="AE701" s="54" t="s">
        <v>2</v>
      </c>
      <c r="AF701" s="54" t="s">
        <v>2</v>
      </c>
      <c r="AG701" s="54" t="s">
        <v>2</v>
      </c>
    </row>
    <row r="702" ht="15.75" customHeight="1">
      <c r="B702" s="56"/>
      <c r="U702" s="46" t="str">
        <f t="array" ref="U702">IF($D702="","",IFERROR(_xlfn.XLOOKUP($D702,'TIR店舗一覧'!$D:$D,'TIR店舗一覧'!$E:$E,""),""))</f>
        <v/>
      </c>
      <c r="V702" s="54" t="s">
        <v>2</v>
      </c>
      <c r="W702" s="54" t="s">
        <v>2</v>
      </c>
      <c r="X702" s="54" t="s">
        <v>2</v>
      </c>
      <c r="Y702" s="54" t="s">
        <v>2</v>
      </c>
      <c r="Z702" s="54" t="s">
        <v>2</v>
      </c>
      <c r="AA702" s="54" t="s">
        <v>2</v>
      </c>
      <c r="AB702" s="54" t="s">
        <v>2</v>
      </c>
      <c r="AC702" s="54" t="s">
        <v>2</v>
      </c>
      <c r="AD702" s="54" t="s">
        <v>2</v>
      </c>
      <c r="AE702" s="54" t="s">
        <v>2</v>
      </c>
      <c r="AF702" s="54" t="s">
        <v>2</v>
      </c>
      <c r="AG702" s="54" t="s">
        <v>2</v>
      </c>
    </row>
    <row r="703" ht="15.75" customHeight="1">
      <c r="B703" s="56"/>
      <c r="U703" s="46" t="str">
        <f t="array" ref="U703">IF($D703="","",IFERROR(_xlfn.XLOOKUP($D703,'TIR店舗一覧'!$D:$D,'TIR店舗一覧'!$E:$E,""),""))</f>
        <v/>
      </c>
      <c r="V703" s="54" t="s">
        <v>2</v>
      </c>
      <c r="W703" s="54" t="s">
        <v>2</v>
      </c>
      <c r="X703" s="54" t="s">
        <v>2</v>
      </c>
      <c r="Y703" s="54" t="s">
        <v>2</v>
      </c>
      <c r="Z703" s="54" t="s">
        <v>2</v>
      </c>
      <c r="AA703" s="54" t="s">
        <v>2</v>
      </c>
      <c r="AB703" s="54" t="s">
        <v>2</v>
      </c>
      <c r="AC703" s="54" t="s">
        <v>2</v>
      </c>
      <c r="AD703" s="54" t="s">
        <v>2</v>
      </c>
      <c r="AE703" s="54" t="s">
        <v>2</v>
      </c>
      <c r="AF703" s="54" t="s">
        <v>2</v>
      </c>
      <c r="AG703" s="54" t="s">
        <v>2</v>
      </c>
    </row>
    <row r="704" ht="15.75" customHeight="1">
      <c r="B704" s="56"/>
      <c r="U704" s="46" t="str">
        <f t="array" ref="U704">IF($D704="","",IFERROR(_xlfn.XLOOKUP($D704,'TIR店舗一覧'!$D:$D,'TIR店舗一覧'!$E:$E,""),""))</f>
        <v/>
      </c>
      <c r="V704" s="54" t="s">
        <v>2</v>
      </c>
      <c r="W704" s="54" t="s">
        <v>2</v>
      </c>
      <c r="X704" s="54" t="s">
        <v>2</v>
      </c>
      <c r="Y704" s="54" t="s">
        <v>2</v>
      </c>
      <c r="Z704" s="54" t="s">
        <v>2</v>
      </c>
      <c r="AA704" s="54" t="s">
        <v>2</v>
      </c>
      <c r="AB704" s="54" t="s">
        <v>2</v>
      </c>
      <c r="AC704" s="54" t="s">
        <v>2</v>
      </c>
      <c r="AD704" s="54" t="s">
        <v>2</v>
      </c>
      <c r="AE704" s="54" t="s">
        <v>2</v>
      </c>
      <c r="AF704" s="54" t="s">
        <v>2</v>
      </c>
      <c r="AG704" s="54" t="s">
        <v>2</v>
      </c>
    </row>
    <row r="705" ht="15.75" customHeight="1">
      <c r="B705" s="56"/>
      <c r="U705" s="46" t="str">
        <f t="array" ref="U705">IF($D705="","",IFERROR(_xlfn.XLOOKUP($D705,'TIR店舗一覧'!$D:$D,'TIR店舗一覧'!$E:$E,""),""))</f>
        <v/>
      </c>
      <c r="V705" s="54" t="s">
        <v>2</v>
      </c>
      <c r="W705" s="54" t="s">
        <v>2</v>
      </c>
      <c r="X705" s="54" t="s">
        <v>2</v>
      </c>
      <c r="Y705" s="54" t="s">
        <v>2</v>
      </c>
      <c r="Z705" s="54" t="s">
        <v>2</v>
      </c>
      <c r="AA705" s="54" t="s">
        <v>2</v>
      </c>
      <c r="AB705" s="54" t="s">
        <v>2</v>
      </c>
      <c r="AC705" s="54" t="s">
        <v>2</v>
      </c>
      <c r="AD705" s="54" t="s">
        <v>2</v>
      </c>
      <c r="AE705" s="54" t="s">
        <v>2</v>
      </c>
      <c r="AF705" s="54" t="s">
        <v>2</v>
      </c>
      <c r="AG705" s="54" t="s">
        <v>2</v>
      </c>
    </row>
    <row r="706" ht="15.75" customHeight="1">
      <c r="B706" s="56"/>
      <c r="U706" s="46" t="str">
        <f t="array" ref="U706">IF($D706="","",IFERROR(_xlfn.XLOOKUP($D706,'TIR店舗一覧'!$D:$D,'TIR店舗一覧'!$E:$E,""),""))</f>
        <v/>
      </c>
      <c r="V706" s="54" t="s">
        <v>2</v>
      </c>
      <c r="W706" s="54" t="s">
        <v>2</v>
      </c>
      <c r="X706" s="54" t="s">
        <v>2</v>
      </c>
      <c r="Y706" s="54" t="s">
        <v>2</v>
      </c>
      <c r="Z706" s="54" t="s">
        <v>2</v>
      </c>
      <c r="AA706" s="54" t="s">
        <v>2</v>
      </c>
      <c r="AB706" s="54" t="s">
        <v>2</v>
      </c>
      <c r="AC706" s="54" t="s">
        <v>2</v>
      </c>
      <c r="AD706" s="54" t="s">
        <v>2</v>
      </c>
      <c r="AE706" s="54" t="s">
        <v>2</v>
      </c>
      <c r="AF706" s="54" t="s">
        <v>2</v>
      </c>
      <c r="AG706" s="54" t="s">
        <v>2</v>
      </c>
    </row>
    <row r="707" ht="15.75" customHeight="1">
      <c r="B707" s="56"/>
      <c r="U707" s="46" t="str">
        <f t="array" ref="U707">IF($D707="","",IFERROR(_xlfn.XLOOKUP($D707,'TIR店舗一覧'!$D:$D,'TIR店舗一覧'!$E:$E,""),""))</f>
        <v/>
      </c>
      <c r="V707" s="54" t="s">
        <v>2</v>
      </c>
      <c r="W707" s="54" t="s">
        <v>2</v>
      </c>
      <c r="X707" s="54" t="s">
        <v>2</v>
      </c>
      <c r="Y707" s="54" t="s">
        <v>2</v>
      </c>
      <c r="Z707" s="54" t="s">
        <v>2</v>
      </c>
      <c r="AA707" s="54" t="s">
        <v>2</v>
      </c>
      <c r="AB707" s="54" t="s">
        <v>2</v>
      </c>
      <c r="AC707" s="54" t="s">
        <v>2</v>
      </c>
      <c r="AD707" s="54" t="s">
        <v>2</v>
      </c>
      <c r="AE707" s="54" t="s">
        <v>2</v>
      </c>
      <c r="AF707" s="54" t="s">
        <v>2</v>
      </c>
      <c r="AG707" s="54" t="s">
        <v>2</v>
      </c>
    </row>
    <row r="708" ht="15.75" customHeight="1">
      <c r="B708" s="56"/>
      <c r="U708" s="46" t="str">
        <f t="array" ref="U708">IF($D708="","",IFERROR(_xlfn.XLOOKUP($D708,'TIR店舗一覧'!$D:$D,'TIR店舗一覧'!$E:$E,""),""))</f>
        <v/>
      </c>
      <c r="V708" s="54" t="s">
        <v>2</v>
      </c>
      <c r="W708" s="54" t="s">
        <v>2</v>
      </c>
      <c r="X708" s="54" t="s">
        <v>2</v>
      </c>
      <c r="Y708" s="54" t="s">
        <v>2</v>
      </c>
      <c r="Z708" s="54" t="s">
        <v>2</v>
      </c>
      <c r="AA708" s="54" t="s">
        <v>2</v>
      </c>
      <c r="AB708" s="54" t="s">
        <v>2</v>
      </c>
      <c r="AC708" s="54" t="s">
        <v>2</v>
      </c>
      <c r="AD708" s="54" t="s">
        <v>2</v>
      </c>
      <c r="AE708" s="54" t="s">
        <v>2</v>
      </c>
      <c r="AF708" s="54" t="s">
        <v>2</v>
      </c>
      <c r="AG708" s="54" t="s">
        <v>2</v>
      </c>
    </row>
    <row r="709" ht="15.75" customHeight="1">
      <c r="B709" s="56"/>
      <c r="U709" s="46" t="str">
        <f t="array" ref="U709">IF($D709="","",IFERROR(_xlfn.XLOOKUP($D709,'TIR店舗一覧'!$D:$D,'TIR店舗一覧'!$E:$E,""),""))</f>
        <v/>
      </c>
      <c r="V709" s="54" t="s">
        <v>2</v>
      </c>
      <c r="W709" s="54" t="s">
        <v>2</v>
      </c>
      <c r="X709" s="54" t="s">
        <v>2</v>
      </c>
      <c r="Y709" s="54" t="s">
        <v>2</v>
      </c>
      <c r="Z709" s="54" t="s">
        <v>2</v>
      </c>
      <c r="AA709" s="54" t="s">
        <v>2</v>
      </c>
      <c r="AB709" s="54" t="s">
        <v>2</v>
      </c>
      <c r="AC709" s="54" t="s">
        <v>2</v>
      </c>
      <c r="AD709" s="54" t="s">
        <v>2</v>
      </c>
      <c r="AE709" s="54" t="s">
        <v>2</v>
      </c>
      <c r="AF709" s="54" t="s">
        <v>2</v>
      </c>
      <c r="AG709" s="54" t="s">
        <v>2</v>
      </c>
    </row>
    <row r="710" ht="15.75" customHeight="1">
      <c r="B710" s="56"/>
      <c r="U710" s="46" t="str">
        <f t="array" ref="U710">IF($D710="","",IFERROR(_xlfn.XLOOKUP($D710,'TIR店舗一覧'!$D:$D,'TIR店舗一覧'!$E:$E,""),""))</f>
        <v/>
      </c>
      <c r="V710" s="54" t="s">
        <v>2</v>
      </c>
      <c r="W710" s="54" t="s">
        <v>2</v>
      </c>
      <c r="X710" s="54" t="s">
        <v>2</v>
      </c>
      <c r="Y710" s="54" t="s">
        <v>2</v>
      </c>
      <c r="Z710" s="54" t="s">
        <v>2</v>
      </c>
      <c r="AA710" s="54" t="s">
        <v>2</v>
      </c>
      <c r="AB710" s="54" t="s">
        <v>2</v>
      </c>
      <c r="AC710" s="54" t="s">
        <v>2</v>
      </c>
      <c r="AD710" s="54" t="s">
        <v>2</v>
      </c>
      <c r="AE710" s="54" t="s">
        <v>2</v>
      </c>
      <c r="AF710" s="54" t="s">
        <v>2</v>
      </c>
      <c r="AG710" s="54" t="s">
        <v>2</v>
      </c>
    </row>
    <row r="711" ht="15.75" customHeight="1">
      <c r="B711" s="56"/>
      <c r="U711" s="46" t="str">
        <f t="array" ref="U711">IF($D711="","",IFERROR(_xlfn.XLOOKUP($D711,'TIR店舗一覧'!$D:$D,'TIR店舗一覧'!$E:$E,""),""))</f>
        <v/>
      </c>
      <c r="V711" s="54" t="s">
        <v>2</v>
      </c>
      <c r="W711" s="54" t="s">
        <v>2</v>
      </c>
      <c r="X711" s="54" t="s">
        <v>2</v>
      </c>
      <c r="Y711" s="54" t="s">
        <v>2</v>
      </c>
      <c r="Z711" s="54" t="s">
        <v>2</v>
      </c>
      <c r="AA711" s="54" t="s">
        <v>2</v>
      </c>
      <c r="AB711" s="54" t="s">
        <v>2</v>
      </c>
      <c r="AC711" s="54" t="s">
        <v>2</v>
      </c>
      <c r="AD711" s="54" t="s">
        <v>2</v>
      </c>
      <c r="AE711" s="54" t="s">
        <v>2</v>
      </c>
      <c r="AF711" s="54" t="s">
        <v>2</v>
      </c>
      <c r="AG711" s="54" t="s">
        <v>2</v>
      </c>
    </row>
    <row r="712" ht="15.75" customHeight="1">
      <c r="B712" s="56"/>
      <c r="U712" s="46" t="str">
        <f t="array" ref="U712">IF($D712="","",IFERROR(_xlfn.XLOOKUP($D712,'TIR店舗一覧'!$D:$D,'TIR店舗一覧'!$E:$E,""),""))</f>
        <v/>
      </c>
      <c r="V712" s="54" t="s">
        <v>2</v>
      </c>
      <c r="W712" s="54" t="s">
        <v>2</v>
      </c>
      <c r="X712" s="54" t="s">
        <v>2</v>
      </c>
      <c r="Y712" s="54" t="s">
        <v>2</v>
      </c>
      <c r="Z712" s="54" t="s">
        <v>2</v>
      </c>
      <c r="AA712" s="54" t="s">
        <v>2</v>
      </c>
      <c r="AB712" s="54" t="s">
        <v>2</v>
      </c>
      <c r="AC712" s="54" t="s">
        <v>2</v>
      </c>
      <c r="AD712" s="54" t="s">
        <v>2</v>
      </c>
      <c r="AE712" s="54" t="s">
        <v>2</v>
      </c>
      <c r="AF712" s="54" t="s">
        <v>2</v>
      </c>
      <c r="AG712" s="54" t="s">
        <v>2</v>
      </c>
    </row>
    <row r="713" ht="15.75" customHeight="1">
      <c r="B713" s="56"/>
      <c r="U713" s="46" t="str">
        <f t="array" ref="U713">IF($D713="","",IFERROR(_xlfn.XLOOKUP($D713,'TIR店舗一覧'!$D:$D,'TIR店舗一覧'!$E:$E,""),""))</f>
        <v/>
      </c>
      <c r="V713" s="54" t="s">
        <v>2</v>
      </c>
      <c r="W713" s="54" t="s">
        <v>2</v>
      </c>
      <c r="X713" s="54" t="s">
        <v>2</v>
      </c>
      <c r="Y713" s="54" t="s">
        <v>2</v>
      </c>
      <c r="Z713" s="54" t="s">
        <v>2</v>
      </c>
      <c r="AA713" s="54" t="s">
        <v>2</v>
      </c>
      <c r="AB713" s="54" t="s">
        <v>2</v>
      </c>
      <c r="AC713" s="54" t="s">
        <v>2</v>
      </c>
      <c r="AD713" s="54" t="s">
        <v>2</v>
      </c>
      <c r="AE713" s="54" t="s">
        <v>2</v>
      </c>
      <c r="AF713" s="54" t="s">
        <v>2</v>
      </c>
      <c r="AG713" s="54" t="s">
        <v>2</v>
      </c>
    </row>
    <row r="714" ht="15.75" customHeight="1">
      <c r="B714" s="56"/>
      <c r="U714" s="46" t="str">
        <f t="array" ref="U714">IF($D714="","",IFERROR(_xlfn.XLOOKUP($D714,'TIR店舗一覧'!$D:$D,'TIR店舗一覧'!$E:$E,""),""))</f>
        <v/>
      </c>
      <c r="V714" s="54" t="s">
        <v>2</v>
      </c>
      <c r="W714" s="54" t="s">
        <v>2</v>
      </c>
      <c r="X714" s="54" t="s">
        <v>2</v>
      </c>
      <c r="Y714" s="54" t="s">
        <v>2</v>
      </c>
      <c r="Z714" s="54" t="s">
        <v>2</v>
      </c>
      <c r="AA714" s="54" t="s">
        <v>2</v>
      </c>
      <c r="AB714" s="54" t="s">
        <v>2</v>
      </c>
      <c r="AC714" s="54" t="s">
        <v>2</v>
      </c>
      <c r="AD714" s="54" t="s">
        <v>2</v>
      </c>
      <c r="AE714" s="54" t="s">
        <v>2</v>
      </c>
      <c r="AF714" s="54" t="s">
        <v>2</v>
      </c>
      <c r="AG714" s="54" t="s">
        <v>2</v>
      </c>
    </row>
    <row r="715" ht="15.75" customHeight="1">
      <c r="B715" s="56"/>
      <c r="U715" s="46" t="str">
        <f t="array" ref="U715">IF($D715="","",IFERROR(_xlfn.XLOOKUP($D715,'TIR店舗一覧'!$D:$D,'TIR店舗一覧'!$E:$E,""),""))</f>
        <v/>
      </c>
      <c r="V715" s="54" t="s">
        <v>2</v>
      </c>
      <c r="W715" s="54" t="s">
        <v>2</v>
      </c>
      <c r="X715" s="54" t="s">
        <v>2</v>
      </c>
      <c r="Y715" s="54" t="s">
        <v>2</v>
      </c>
      <c r="Z715" s="54" t="s">
        <v>2</v>
      </c>
      <c r="AA715" s="54" t="s">
        <v>2</v>
      </c>
      <c r="AB715" s="54" t="s">
        <v>2</v>
      </c>
      <c r="AC715" s="54" t="s">
        <v>2</v>
      </c>
      <c r="AD715" s="54" t="s">
        <v>2</v>
      </c>
      <c r="AE715" s="54" t="s">
        <v>2</v>
      </c>
      <c r="AF715" s="54" t="s">
        <v>2</v>
      </c>
      <c r="AG715" s="54" t="s">
        <v>2</v>
      </c>
    </row>
    <row r="716" ht="15.75" customHeight="1">
      <c r="B716" s="56"/>
      <c r="U716" s="46" t="str">
        <f t="array" ref="U716">IF($D716="","",IFERROR(_xlfn.XLOOKUP($D716,'TIR店舗一覧'!$D:$D,'TIR店舗一覧'!$E:$E,""),""))</f>
        <v/>
      </c>
      <c r="V716" s="54" t="s">
        <v>2</v>
      </c>
      <c r="W716" s="54" t="s">
        <v>2</v>
      </c>
      <c r="X716" s="54" t="s">
        <v>2</v>
      </c>
      <c r="Y716" s="54" t="s">
        <v>2</v>
      </c>
      <c r="Z716" s="54" t="s">
        <v>2</v>
      </c>
      <c r="AA716" s="54" t="s">
        <v>2</v>
      </c>
      <c r="AB716" s="54" t="s">
        <v>2</v>
      </c>
      <c r="AC716" s="54" t="s">
        <v>2</v>
      </c>
      <c r="AD716" s="54" t="s">
        <v>2</v>
      </c>
      <c r="AE716" s="54" t="s">
        <v>2</v>
      </c>
      <c r="AF716" s="54" t="s">
        <v>2</v>
      </c>
      <c r="AG716" s="54" t="s">
        <v>2</v>
      </c>
    </row>
    <row r="717" ht="15.75" customHeight="1">
      <c r="B717" s="56"/>
      <c r="U717" s="46" t="str">
        <f t="array" ref="U717">IF($D717="","",IFERROR(_xlfn.XLOOKUP($D717,'TIR店舗一覧'!$D:$D,'TIR店舗一覧'!$E:$E,""),""))</f>
        <v/>
      </c>
      <c r="V717" s="54" t="s">
        <v>2</v>
      </c>
      <c r="W717" s="54" t="s">
        <v>2</v>
      </c>
      <c r="X717" s="54" t="s">
        <v>2</v>
      </c>
      <c r="Y717" s="54" t="s">
        <v>2</v>
      </c>
      <c r="Z717" s="54" t="s">
        <v>2</v>
      </c>
      <c r="AA717" s="54" t="s">
        <v>2</v>
      </c>
      <c r="AB717" s="54" t="s">
        <v>2</v>
      </c>
      <c r="AC717" s="54" t="s">
        <v>2</v>
      </c>
      <c r="AD717" s="54" t="s">
        <v>2</v>
      </c>
      <c r="AE717" s="54" t="s">
        <v>2</v>
      </c>
      <c r="AF717" s="54" t="s">
        <v>2</v>
      </c>
      <c r="AG717" s="54" t="s">
        <v>2</v>
      </c>
    </row>
    <row r="718" ht="15.75" customHeight="1">
      <c r="B718" s="56"/>
      <c r="U718" s="46" t="str">
        <f t="array" ref="U718">IF($D718="","",IFERROR(_xlfn.XLOOKUP($D718,'TIR店舗一覧'!$D:$D,'TIR店舗一覧'!$E:$E,""),""))</f>
        <v/>
      </c>
      <c r="V718" s="54" t="s">
        <v>2</v>
      </c>
      <c r="W718" s="54" t="s">
        <v>2</v>
      </c>
      <c r="X718" s="54" t="s">
        <v>2</v>
      </c>
      <c r="Y718" s="54" t="s">
        <v>2</v>
      </c>
      <c r="Z718" s="54" t="s">
        <v>2</v>
      </c>
      <c r="AA718" s="54" t="s">
        <v>2</v>
      </c>
      <c r="AB718" s="54" t="s">
        <v>2</v>
      </c>
      <c r="AC718" s="54" t="s">
        <v>2</v>
      </c>
      <c r="AD718" s="54" t="s">
        <v>2</v>
      </c>
      <c r="AE718" s="54" t="s">
        <v>2</v>
      </c>
      <c r="AF718" s="54" t="s">
        <v>2</v>
      </c>
      <c r="AG718" s="54" t="s">
        <v>2</v>
      </c>
    </row>
    <row r="719" ht="15.75" customHeight="1">
      <c r="B719" s="56"/>
      <c r="U719" s="46" t="str">
        <f t="array" ref="U719">IF($D719="","",IFERROR(_xlfn.XLOOKUP($D719,'TIR店舗一覧'!$D:$D,'TIR店舗一覧'!$E:$E,""),""))</f>
        <v/>
      </c>
      <c r="V719" s="54" t="s">
        <v>2</v>
      </c>
      <c r="W719" s="54" t="s">
        <v>2</v>
      </c>
      <c r="X719" s="54" t="s">
        <v>2</v>
      </c>
      <c r="Y719" s="54" t="s">
        <v>2</v>
      </c>
      <c r="Z719" s="54" t="s">
        <v>2</v>
      </c>
      <c r="AA719" s="54" t="s">
        <v>2</v>
      </c>
      <c r="AB719" s="54" t="s">
        <v>2</v>
      </c>
      <c r="AC719" s="54" t="s">
        <v>2</v>
      </c>
      <c r="AD719" s="54" t="s">
        <v>2</v>
      </c>
      <c r="AE719" s="54" t="s">
        <v>2</v>
      </c>
      <c r="AF719" s="54" t="s">
        <v>2</v>
      </c>
      <c r="AG719" s="54" t="s">
        <v>2</v>
      </c>
    </row>
    <row r="720" ht="15.75" customHeight="1">
      <c r="B720" s="56"/>
      <c r="U720" s="46" t="str">
        <f t="array" ref="U720">IF($D720="","",IFERROR(_xlfn.XLOOKUP($D720,'TIR店舗一覧'!$D:$D,'TIR店舗一覧'!$E:$E,""),""))</f>
        <v/>
      </c>
      <c r="V720" s="54" t="s">
        <v>2</v>
      </c>
      <c r="W720" s="54" t="s">
        <v>2</v>
      </c>
      <c r="X720" s="54" t="s">
        <v>2</v>
      </c>
      <c r="Y720" s="54" t="s">
        <v>2</v>
      </c>
      <c r="Z720" s="54" t="s">
        <v>2</v>
      </c>
      <c r="AA720" s="54" t="s">
        <v>2</v>
      </c>
      <c r="AB720" s="54" t="s">
        <v>2</v>
      </c>
      <c r="AC720" s="54" t="s">
        <v>2</v>
      </c>
      <c r="AD720" s="54" t="s">
        <v>2</v>
      </c>
      <c r="AE720" s="54" t="s">
        <v>2</v>
      </c>
      <c r="AF720" s="54" t="s">
        <v>2</v>
      </c>
      <c r="AG720" s="54" t="s">
        <v>2</v>
      </c>
    </row>
    <row r="721" ht="15.75" customHeight="1">
      <c r="B721" s="56"/>
      <c r="U721" s="46" t="str">
        <f t="array" ref="U721">IF($D721="","",IFERROR(_xlfn.XLOOKUP($D721,'TIR店舗一覧'!$D:$D,'TIR店舗一覧'!$E:$E,""),""))</f>
        <v/>
      </c>
      <c r="V721" s="54" t="s">
        <v>2</v>
      </c>
      <c r="W721" s="54" t="s">
        <v>2</v>
      </c>
      <c r="X721" s="54" t="s">
        <v>2</v>
      </c>
      <c r="Y721" s="54" t="s">
        <v>2</v>
      </c>
      <c r="Z721" s="54" t="s">
        <v>2</v>
      </c>
      <c r="AA721" s="54" t="s">
        <v>2</v>
      </c>
      <c r="AB721" s="54" t="s">
        <v>2</v>
      </c>
      <c r="AC721" s="54" t="s">
        <v>2</v>
      </c>
      <c r="AD721" s="54" t="s">
        <v>2</v>
      </c>
      <c r="AE721" s="54" t="s">
        <v>2</v>
      </c>
      <c r="AF721" s="54" t="s">
        <v>2</v>
      </c>
      <c r="AG721" s="54" t="s">
        <v>2</v>
      </c>
    </row>
    <row r="722" ht="15.75" customHeight="1">
      <c r="B722" s="56"/>
      <c r="U722" s="46" t="str">
        <f t="array" ref="U722">IF($D722="","",IFERROR(_xlfn.XLOOKUP($D722,'TIR店舗一覧'!$D:$D,'TIR店舗一覧'!$E:$E,""),""))</f>
        <v/>
      </c>
      <c r="V722" s="54" t="s">
        <v>2</v>
      </c>
      <c r="W722" s="54" t="s">
        <v>2</v>
      </c>
      <c r="X722" s="54" t="s">
        <v>2</v>
      </c>
      <c r="Y722" s="54" t="s">
        <v>2</v>
      </c>
      <c r="Z722" s="54" t="s">
        <v>2</v>
      </c>
      <c r="AA722" s="54" t="s">
        <v>2</v>
      </c>
      <c r="AB722" s="54" t="s">
        <v>2</v>
      </c>
      <c r="AC722" s="54" t="s">
        <v>2</v>
      </c>
      <c r="AD722" s="54" t="s">
        <v>2</v>
      </c>
      <c r="AE722" s="54" t="s">
        <v>2</v>
      </c>
      <c r="AF722" s="54" t="s">
        <v>2</v>
      </c>
      <c r="AG722" s="54" t="s">
        <v>2</v>
      </c>
    </row>
    <row r="723" ht="15.75" customHeight="1">
      <c r="B723" s="56"/>
      <c r="U723" s="46" t="str">
        <f t="array" ref="U723">IF($D723="","",IFERROR(_xlfn.XLOOKUP($D723,'TIR店舗一覧'!$D:$D,'TIR店舗一覧'!$E:$E,""),""))</f>
        <v/>
      </c>
      <c r="V723" s="54" t="s">
        <v>2</v>
      </c>
      <c r="W723" s="54" t="s">
        <v>2</v>
      </c>
      <c r="X723" s="54" t="s">
        <v>2</v>
      </c>
      <c r="Y723" s="54" t="s">
        <v>2</v>
      </c>
      <c r="Z723" s="54" t="s">
        <v>2</v>
      </c>
      <c r="AA723" s="54" t="s">
        <v>2</v>
      </c>
      <c r="AB723" s="54" t="s">
        <v>2</v>
      </c>
      <c r="AC723" s="54" t="s">
        <v>2</v>
      </c>
      <c r="AD723" s="54" t="s">
        <v>2</v>
      </c>
      <c r="AE723" s="54" t="s">
        <v>2</v>
      </c>
      <c r="AF723" s="54" t="s">
        <v>2</v>
      </c>
      <c r="AG723" s="54" t="s">
        <v>2</v>
      </c>
    </row>
    <row r="724" ht="15.75" customHeight="1">
      <c r="B724" s="56"/>
      <c r="U724" s="46" t="str">
        <f t="array" ref="U724">IF($D724="","",IFERROR(_xlfn.XLOOKUP($D724,'TIR店舗一覧'!$D:$D,'TIR店舗一覧'!$E:$E,""),""))</f>
        <v/>
      </c>
      <c r="V724" s="54" t="s">
        <v>2</v>
      </c>
      <c r="W724" s="54" t="s">
        <v>2</v>
      </c>
      <c r="X724" s="54" t="s">
        <v>2</v>
      </c>
      <c r="Y724" s="54" t="s">
        <v>2</v>
      </c>
      <c r="Z724" s="54" t="s">
        <v>2</v>
      </c>
      <c r="AA724" s="54" t="s">
        <v>2</v>
      </c>
      <c r="AB724" s="54" t="s">
        <v>2</v>
      </c>
      <c r="AC724" s="54" t="s">
        <v>2</v>
      </c>
      <c r="AD724" s="54" t="s">
        <v>2</v>
      </c>
      <c r="AE724" s="54" t="s">
        <v>2</v>
      </c>
      <c r="AF724" s="54" t="s">
        <v>2</v>
      </c>
      <c r="AG724" s="54" t="s">
        <v>2</v>
      </c>
    </row>
    <row r="725" ht="15.75" customHeight="1">
      <c r="B725" s="56"/>
      <c r="U725" s="46" t="str">
        <f t="array" ref="U725">IF($D725="","",IFERROR(_xlfn.XLOOKUP($D725,'TIR店舗一覧'!$D:$D,'TIR店舗一覧'!$E:$E,""),""))</f>
        <v/>
      </c>
      <c r="V725" s="54" t="s">
        <v>2</v>
      </c>
      <c r="W725" s="54" t="s">
        <v>2</v>
      </c>
      <c r="X725" s="54" t="s">
        <v>2</v>
      </c>
      <c r="Y725" s="54" t="s">
        <v>2</v>
      </c>
      <c r="Z725" s="54" t="s">
        <v>2</v>
      </c>
      <c r="AA725" s="54" t="s">
        <v>2</v>
      </c>
      <c r="AB725" s="54" t="s">
        <v>2</v>
      </c>
      <c r="AC725" s="54" t="s">
        <v>2</v>
      </c>
      <c r="AD725" s="54" t="s">
        <v>2</v>
      </c>
      <c r="AE725" s="54" t="s">
        <v>2</v>
      </c>
      <c r="AF725" s="54" t="s">
        <v>2</v>
      </c>
      <c r="AG725" s="54" t="s">
        <v>2</v>
      </c>
    </row>
    <row r="726" ht="15.75" customHeight="1">
      <c r="B726" s="56"/>
      <c r="U726" s="46" t="str">
        <f t="array" ref="U726">IF($D726="","",IFERROR(_xlfn.XLOOKUP($D726,'TIR店舗一覧'!$D:$D,'TIR店舗一覧'!$E:$E,""),""))</f>
        <v/>
      </c>
      <c r="V726" s="54" t="s">
        <v>2</v>
      </c>
      <c r="W726" s="54" t="s">
        <v>2</v>
      </c>
      <c r="X726" s="54" t="s">
        <v>2</v>
      </c>
      <c r="Y726" s="54" t="s">
        <v>2</v>
      </c>
      <c r="Z726" s="54" t="s">
        <v>2</v>
      </c>
      <c r="AA726" s="54" t="s">
        <v>2</v>
      </c>
      <c r="AB726" s="54" t="s">
        <v>2</v>
      </c>
      <c r="AC726" s="54" t="s">
        <v>2</v>
      </c>
      <c r="AD726" s="54" t="s">
        <v>2</v>
      </c>
      <c r="AE726" s="54" t="s">
        <v>2</v>
      </c>
      <c r="AF726" s="54" t="s">
        <v>2</v>
      </c>
      <c r="AG726" s="54" t="s">
        <v>2</v>
      </c>
    </row>
    <row r="727" ht="15.75" customHeight="1">
      <c r="B727" s="56"/>
      <c r="U727" s="46" t="str">
        <f t="array" ref="U727">IF($D727="","",IFERROR(_xlfn.XLOOKUP($D727,'TIR店舗一覧'!$D:$D,'TIR店舗一覧'!$E:$E,""),""))</f>
        <v/>
      </c>
      <c r="V727" s="54" t="s">
        <v>2</v>
      </c>
      <c r="W727" s="54" t="s">
        <v>2</v>
      </c>
      <c r="X727" s="54" t="s">
        <v>2</v>
      </c>
      <c r="Y727" s="54" t="s">
        <v>2</v>
      </c>
      <c r="Z727" s="54" t="s">
        <v>2</v>
      </c>
      <c r="AA727" s="54" t="s">
        <v>2</v>
      </c>
      <c r="AB727" s="54" t="s">
        <v>2</v>
      </c>
      <c r="AC727" s="54" t="s">
        <v>2</v>
      </c>
      <c r="AD727" s="54" t="s">
        <v>2</v>
      </c>
      <c r="AE727" s="54" t="s">
        <v>2</v>
      </c>
      <c r="AF727" s="54" t="s">
        <v>2</v>
      </c>
      <c r="AG727" s="54" t="s">
        <v>2</v>
      </c>
    </row>
    <row r="728" ht="15.75" customHeight="1">
      <c r="B728" s="56"/>
      <c r="U728" s="46" t="str">
        <f t="array" ref="U728">IF($D728="","",IFERROR(_xlfn.XLOOKUP($D728,'TIR店舗一覧'!$D:$D,'TIR店舗一覧'!$E:$E,""),""))</f>
        <v/>
      </c>
      <c r="V728" s="54" t="s">
        <v>2</v>
      </c>
      <c r="W728" s="54" t="s">
        <v>2</v>
      </c>
      <c r="X728" s="54" t="s">
        <v>2</v>
      </c>
      <c r="Y728" s="54" t="s">
        <v>2</v>
      </c>
      <c r="Z728" s="54" t="s">
        <v>2</v>
      </c>
      <c r="AA728" s="54" t="s">
        <v>2</v>
      </c>
      <c r="AB728" s="54" t="s">
        <v>2</v>
      </c>
      <c r="AC728" s="54" t="s">
        <v>2</v>
      </c>
      <c r="AD728" s="54" t="s">
        <v>2</v>
      </c>
      <c r="AE728" s="54" t="s">
        <v>2</v>
      </c>
      <c r="AF728" s="54" t="s">
        <v>2</v>
      </c>
      <c r="AG728" s="54" t="s">
        <v>2</v>
      </c>
    </row>
    <row r="729" ht="15.75" customHeight="1">
      <c r="B729" s="56"/>
      <c r="U729" s="46" t="str">
        <f t="array" ref="U729">IF($D729="","",IFERROR(_xlfn.XLOOKUP($D729,'TIR店舗一覧'!$D:$D,'TIR店舗一覧'!$E:$E,""),""))</f>
        <v/>
      </c>
      <c r="V729" s="54" t="s">
        <v>2</v>
      </c>
      <c r="W729" s="54" t="s">
        <v>2</v>
      </c>
      <c r="X729" s="54" t="s">
        <v>2</v>
      </c>
      <c r="Y729" s="54" t="s">
        <v>2</v>
      </c>
      <c r="Z729" s="54" t="s">
        <v>2</v>
      </c>
      <c r="AA729" s="54" t="s">
        <v>2</v>
      </c>
      <c r="AB729" s="54" t="s">
        <v>2</v>
      </c>
      <c r="AC729" s="54" t="s">
        <v>2</v>
      </c>
      <c r="AD729" s="54" t="s">
        <v>2</v>
      </c>
      <c r="AE729" s="54" t="s">
        <v>2</v>
      </c>
      <c r="AF729" s="54" t="s">
        <v>2</v>
      </c>
      <c r="AG729" s="54" t="s">
        <v>2</v>
      </c>
    </row>
    <row r="730" ht="15.75" customHeight="1">
      <c r="B730" s="56"/>
      <c r="U730" s="46" t="str">
        <f t="array" ref="U730">IF($D730="","",IFERROR(_xlfn.XLOOKUP($D730,'TIR店舗一覧'!$D:$D,'TIR店舗一覧'!$E:$E,""),""))</f>
        <v/>
      </c>
      <c r="V730" s="54" t="s">
        <v>2</v>
      </c>
      <c r="W730" s="54" t="s">
        <v>2</v>
      </c>
      <c r="X730" s="54" t="s">
        <v>2</v>
      </c>
      <c r="Y730" s="54" t="s">
        <v>2</v>
      </c>
      <c r="Z730" s="54" t="s">
        <v>2</v>
      </c>
      <c r="AA730" s="54" t="s">
        <v>2</v>
      </c>
      <c r="AB730" s="54" t="s">
        <v>2</v>
      </c>
      <c r="AC730" s="54" t="s">
        <v>2</v>
      </c>
      <c r="AD730" s="54" t="s">
        <v>2</v>
      </c>
      <c r="AE730" s="54" t="s">
        <v>2</v>
      </c>
      <c r="AF730" s="54" t="s">
        <v>2</v>
      </c>
      <c r="AG730" s="54" t="s">
        <v>2</v>
      </c>
    </row>
    <row r="731" ht="15.75" customHeight="1">
      <c r="B731" s="56"/>
      <c r="U731" s="46" t="str">
        <f t="array" ref="U731">IF($D731="","",IFERROR(_xlfn.XLOOKUP($D731,'TIR店舗一覧'!$D:$D,'TIR店舗一覧'!$E:$E,""),""))</f>
        <v/>
      </c>
      <c r="V731" s="54" t="s">
        <v>2</v>
      </c>
      <c r="W731" s="54" t="s">
        <v>2</v>
      </c>
      <c r="X731" s="54" t="s">
        <v>2</v>
      </c>
      <c r="Y731" s="54" t="s">
        <v>2</v>
      </c>
      <c r="Z731" s="54" t="s">
        <v>2</v>
      </c>
      <c r="AA731" s="54" t="s">
        <v>2</v>
      </c>
      <c r="AB731" s="54" t="s">
        <v>2</v>
      </c>
      <c r="AC731" s="54" t="s">
        <v>2</v>
      </c>
      <c r="AD731" s="54" t="s">
        <v>2</v>
      </c>
      <c r="AE731" s="54" t="s">
        <v>2</v>
      </c>
      <c r="AF731" s="54" t="s">
        <v>2</v>
      </c>
      <c r="AG731" s="54" t="s">
        <v>2</v>
      </c>
    </row>
    <row r="732" ht="15.75" customHeight="1">
      <c r="B732" s="56"/>
      <c r="U732" s="46" t="str">
        <f t="array" ref="U732">IF($D732="","",IFERROR(_xlfn.XLOOKUP($D732,'TIR店舗一覧'!$D:$D,'TIR店舗一覧'!$E:$E,""),""))</f>
        <v/>
      </c>
      <c r="V732" s="54" t="s">
        <v>2</v>
      </c>
      <c r="W732" s="54" t="s">
        <v>2</v>
      </c>
      <c r="X732" s="54" t="s">
        <v>2</v>
      </c>
      <c r="Y732" s="54" t="s">
        <v>2</v>
      </c>
      <c r="Z732" s="54" t="s">
        <v>2</v>
      </c>
      <c r="AA732" s="54" t="s">
        <v>2</v>
      </c>
      <c r="AB732" s="54" t="s">
        <v>2</v>
      </c>
      <c r="AC732" s="54" t="s">
        <v>2</v>
      </c>
      <c r="AD732" s="54" t="s">
        <v>2</v>
      </c>
      <c r="AE732" s="54" t="s">
        <v>2</v>
      </c>
      <c r="AF732" s="54" t="s">
        <v>2</v>
      </c>
      <c r="AG732" s="54" t="s">
        <v>2</v>
      </c>
    </row>
    <row r="733" ht="15.75" customHeight="1">
      <c r="B733" s="56"/>
      <c r="U733" s="46" t="str">
        <f t="array" ref="U733">IF($D733="","",IFERROR(_xlfn.XLOOKUP($D733,'TIR店舗一覧'!$D:$D,'TIR店舗一覧'!$E:$E,""),""))</f>
        <v/>
      </c>
      <c r="V733" s="54" t="s">
        <v>2</v>
      </c>
      <c r="W733" s="54" t="s">
        <v>2</v>
      </c>
      <c r="X733" s="54" t="s">
        <v>2</v>
      </c>
      <c r="Y733" s="54" t="s">
        <v>2</v>
      </c>
      <c r="Z733" s="54" t="s">
        <v>2</v>
      </c>
      <c r="AA733" s="54" t="s">
        <v>2</v>
      </c>
      <c r="AB733" s="54" t="s">
        <v>2</v>
      </c>
      <c r="AC733" s="54" t="s">
        <v>2</v>
      </c>
      <c r="AD733" s="54" t="s">
        <v>2</v>
      </c>
      <c r="AE733" s="54" t="s">
        <v>2</v>
      </c>
      <c r="AF733" s="54" t="s">
        <v>2</v>
      </c>
      <c r="AG733" s="54" t="s">
        <v>2</v>
      </c>
    </row>
    <row r="734" ht="15.75" customHeight="1">
      <c r="B734" s="56"/>
      <c r="U734" s="46" t="str">
        <f t="array" ref="U734">IF($D734="","",IFERROR(_xlfn.XLOOKUP($D734,'TIR店舗一覧'!$D:$D,'TIR店舗一覧'!$E:$E,""),""))</f>
        <v/>
      </c>
      <c r="V734" s="54" t="s">
        <v>2</v>
      </c>
      <c r="W734" s="54" t="s">
        <v>2</v>
      </c>
      <c r="X734" s="54" t="s">
        <v>2</v>
      </c>
      <c r="Y734" s="54" t="s">
        <v>2</v>
      </c>
      <c r="Z734" s="54" t="s">
        <v>2</v>
      </c>
      <c r="AA734" s="54" t="s">
        <v>2</v>
      </c>
      <c r="AB734" s="54" t="s">
        <v>2</v>
      </c>
      <c r="AC734" s="54" t="s">
        <v>2</v>
      </c>
      <c r="AD734" s="54" t="s">
        <v>2</v>
      </c>
      <c r="AE734" s="54" t="s">
        <v>2</v>
      </c>
      <c r="AF734" s="54" t="s">
        <v>2</v>
      </c>
      <c r="AG734" s="54" t="s">
        <v>2</v>
      </c>
    </row>
    <row r="735" ht="15.75" customHeight="1">
      <c r="B735" s="56"/>
      <c r="U735" s="46" t="str">
        <f t="array" ref="U735">IF($D735="","",IFERROR(_xlfn.XLOOKUP($D735,'TIR店舗一覧'!$D:$D,'TIR店舗一覧'!$E:$E,""),""))</f>
        <v/>
      </c>
      <c r="V735" s="54" t="s">
        <v>2</v>
      </c>
      <c r="W735" s="54" t="s">
        <v>2</v>
      </c>
      <c r="X735" s="54" t="s">
        <v>2</v>
      </c>
      <c r="Y735" s="54" t="s">
        <v>2</v>
      </c>
      <c r="Z735" s="54" t="s">
        <v>2</v>
      </c>
      <c r="AA735" s="54" t="s">
        <v>2</v>
      </c>
      <c r="AB735" s="54" t="s">
        <v>2</v>
      </c>
      <c r="AC735" s="54" t="s">
        <v>2</v>
      </c>
      <c r="AD735" s="54" t="s">
        <v>2</v>
      </c>
      <c r="AE735" s="54" t="s">
        <v>2</v>
      </c>
      <c r="AF735" s="54" t="s">
        <v>2</v>
      </c>
      <c r="AG735" s="54" t="s">
        <v>2</v>
      </c>
    </row>
    <row r="736" ht="15.75" customHeight="1">
      <c r="B736" s="56"/>
      <c r="U736" s="46" t="str">
        <f t="array" ref="U736">IF($D736="","",IFERROR(_xlfn.XLOOKUP($D736,'TIR店舗一覧'!$D:$D,'TIR店舗一覧'!$E:$E,""),""))</f>
        <v/>
      </c>
      <c r="V736" s="54" t="s">
        <v>2</v>
      </c>
      <c r="W736" s="54" t="s">
        <v>2</v>
      </c>
      <c r="X736" s="54" t="s">
        <v>2</v>
      </c>
      <c r="Y736" s="54" t="s">
        <v>2</v>
      </c>
      <c r="Z736" s="54" t="s">
        <v>2</v>
      </c>
      <c r="AA736" s="54" t="s">
        <v>2</v>
      </c>
      <c r="AB736" s="54" t="s">
        <v>2</v>
      </c>
      <c r="AC736" s="54" t="s">
        <v>2</v>
      </c>
      <c r="AD736" s="54" t="s">
        <v>2</v>
      </c>
      <c r="AE736" s="54" t="s">
        <v>2</v>
      </c>
      <c r="AF736" s="54" t="s">
        <v>2</v>
      </c>
      <c r="AG736" s="54" t="s">
        <v>2</v>
      </c>
    </row>
    <row r="737" ht="15.75" customHeight="1">
      <c r="B737" s="56"/>
      <c r="U737" s="46" t="str">
        <f t="array" ref="U737">IF($D737="","",IFERROR(_xlfn.XLOOKUP($D737,'TIR店舗一覧'!$D:$D,'TIR店舗一覧'!$E:$E,""),""))</f>
        <v/>
      </c>
      <c r="V737" s="54" t="s">
        <v>2</v>
      </c>
      <c r="W737" s="54" t="s">
        <v>2</v>
      </c>
      <c r="X737" s="54" t="s">
        <v>2</v>
      </c>
      <c r="Y737" s="54" t="s">
        <v>2</v>
      </c>
      <c r="Z737" s="54" t="s">
        <v>2</v>
      </c>
      <c r="AA737" s="54" t="s">
        <v>2</v>
      </c>
      <c r="AB737" s="54" t="s">
        <v>2</v>
      </c>
      <c r="AC737" s="54" t="s">
        <v>2</v>
      </c>
      <c r="AD737" s="54" t="s">
        <v>2</v>
      </c>
      <c r="AE737" s="54" t="s">
        <v>2</v>
      </c>
      <c r="AF737" s="54" t="s">
        <v>2</v>
      </c>
      <c r="AG737" s="54" t="s">
        <v>2</v>
      </c>
    </row>
    <row r="738" ht="15.75" customHeight="1">
      <c r="B738" s="56"/>
      <c r="U738" s="46" t="str">
        <f t="array" ref="U738">IF($D738="","",IFERROR(_xlfn.XLOOKUP($D738,'TIR店舗一覧'!$D:$D,'TIR店舗一覧'!$E:$E,""),""))</f>
        <v/>
      </c>
      <c r="V738" s="54" t="s">
        <v>2</v>
      </c>
      <c r="W738" s="54" t="s">
        <v>2</v>
      </c>
      <c r="X738" s="54" t="s">
        <v>2</v>
      </c>
      <c r="Y738" s="54" t="s">
        <v>2</v>
      </c>
      <c r="Z738" s="54" t="s">
        <v>2</v>
      </c>
      <c r="AA738" s="54" t="s">
        <v>2</v>
      </c>
      <c r="AB738" s="54" t="s">
        <v>2</v>
      </c>
      <c r="AC738" s="54" t="s">
        <v>2</v>
      </c>
      <c r="AD738" s="54" t="s">
        <v>2</v>
      </c>
      <c r="AE738" s="54" t="s">
        <v>2</v>
      </c>
      <c r="AF738" s="54" t="s">
        <v>2</v>
      </c>
      <c r="AG738" s="54" t="s">
        <v>2</v>
      </c>
    </row>
    <row r="739" ht="15.75" customHeight="1">
      <c r="B739" s="56"/>
      <c r="U739" s="46" t="str">
        <f t="array" ref="U739">IF($D739="","",IFERROR(_xlfn.XLOOKUP($D739,'TIR店舗一覧'!$D:$D,'TIR店舗一覧'!$E:$E,""),""))</f>
        <v/>
      </c>
      <c r="V739" s="54" t="s">
        <v>2</v>
      </c>
      <c r="W739" s="54" t="s">
        <v>2</v>
      </c>
      <c r="X739" s="54" t="s">
        <v>2</v>
      </c>
      <c r="Y739" s="54" t="s">
        <v>2</v>
      </c>
      <c r="Z739" s="54" t="s">
        <v>2</v>
      </c>
      <c r="AA739" s="54" t="s">
        <v>2</v>
      </c>
      <c r="AB739" s="54" t="s">
        <v>2</v>
      </c>
      <c r="AC739" s="54" t="s">
        <v>2</v>
      </c>
      <c r="AD739" s="54" t="s">
        <v>2</v>
      </c>
      <c r="AE739" s="54" t="s">
        <v>2</v>
      </c>
      <c r="AF739" s="54" t="s">
        <v>2</v>
      </c>
      <c r="AG739" s="54" t="s">
        <v>2</v>
      </c>
    </row>
    <row r="740" ht="15.75" customHeight="1">
      <c r="B740" s="56"/>
      <c r="U740" s="46" t="str">
        <f t="array" ref="U740">IF($D740="","",IFERROR(_xlfn.XLOOKUP($D740,'TIR店舗一覧'!$D:$D,'TIR店舗一覧'!$E:$E,""),""))</f>
        <v/>
      </c>
      <c r="V740" s="54" t="s">
        <v>2</v>
      </c>
      <c r="W740" s="54" t="s">
        <v>2</v>
      </c>
      <c r="X740" s="54" t="s">
        <v>2</v>
      </c>
      <c r="Y740" s="54" t="s">
        <v>2</v>
      </c>
      <c r="Z740" s="54" t="s">
        <v>2</v>
      </c>
      <c r="AA740" s="54" t="s">
        <v>2</v>
      </c>
      <c r="AB740" s="54" t="s">
        <v>2</v>
      </c>
      <c r="AC740" s="54" t="s">
        <v>2</v>
      </c>
      <c r="AD740" s="54" t="s">
        <v>2</v>
      </c>
      <c r="AE740" s="54" t="s">
        <v>2</v>
      </c>
      <c r="AF740" s="54" t="s">
        <v>2</v>
      </c>
      <c r="AG740" s="54" t="s">
        <v>2</v>
      </c>
    </row>
    <row r="741" ht="15.75" customHeight="1">
      <c r="B741" s="56"/>
      <c r="U741" s="46" t="str">
        <f t="array" ref="U741">IF($D741="","",IFERROR(_xlfn.XLOOKUP($D741,'TIR店舗一覧'!$D:$D,'TIR店舗一覧'!$E:$E,""),""))</f>
        <v/>
      </c>
      <c r="V741" s="54" t="s">
        <v>2</v>
      </c>
      <c r="W741" s="54" t="s">
        <v>2</v>
      </c>
      <c r="X741" s="54" t="s">
        <v>2</v>
      </c>
      <c r="Y741" s="54" t="s">
        <v>2</v>
      </c>
      <c r="Z741" s="54" t="s">
        <v>2</v>
      </c>
      <c r="AA741" s="54" t="s">
        <v>2</v>
      </c>
      <c r="AB741" s="54" t="s">
        <v>2</v>
      </c>
      <c r="AC741" s="54" t="s">
        <v>2</v>
      </c>
      <c r="AD741" s="54" t="s">
        <v>2</v>
      </c>
      <c r="AE741" s="54" t="s">
        <v>2</v>
      </c>
      <c r="AF741" s="54" t="s">
        <v>2</v>
      </c>
      <c r="AG741" s="54" t="s">
        <v>2</v>
      </c>
    </row>
    <row r="742" ht="15.75" customHeight="1">
      <c r="B742" s="56"/>
      <c r="U742" s="46" t="str">
        <f t="array" ref="U742">IF($D742="","",IFERROR(_xlfn.XLOOKUP($D742,'TIR店舗一覧'!$D:$D,'TIR店舗一覧'!$E:$E,""),""))</f>
        <v/>
      </c>
      <c r="V742" s="54" t="s">
        <v>2</v>
      </c>
      <c r="W742" s="54" t="s">
        <v>2</v>
      </c>
      <c r="X742" s="54" t="s">
        <v>2</v>
      </c>
      <c r="Y742" s="54" t="s">
        <v>2</v>
      </c>
      <c r="Z742" s="54" t="s">
        <v>2</v>
      </c>
      <c r="AA742" s="54" t="s">
        <v>2</v>
      </c>
      <c r="AB742" s="54" t="s">
        <v>2</v>
      </c>
      <c r="AC742" s="54" t="s">
        <v>2</v>
      </c>
      <c r="AD742" s="54" t="s">
        <v>2</v>
      </c>
      <c r="AE742" s="54" t="s">
        <v>2</v>
      </c>
      <c r="AF742" s="54" t="s">
        <v>2</v>
      </c>
      <c r="AG742" s="54" t="s">
        <v>2</v>
      </c>
    </row>
    <row r="743" ht="15.75" customHeight="1">
      <c r="B743" s="56"/>
      <c r="U743" s="46" t="str">
        <f t="array" ref="U743">IF($D743="","",IFERROR(_xlfn.XLOOKUP($D743,'TIR店舗一覧'!$D:$D,'TIR店舗一覧'!$E:$E,""),""))</f>
        <v/>
      </c>
      <c r="V743" s="54" t="s">
        <v>2</v>
      </c>
      <c r="W743" s="54" t="s">
        <v>2</v>
      </c>
      <c r="X743" s="54" t="s">
        <v>2</v>
      </c>
      <c r="Y743" s="54" t="s">
        <v>2</v>
      </c>
      <c r="Z743" s="54" t="s">
        <v>2</v>
      </c>
      <c r="AA743" s="54" t="s">
        <v>2</v>
      </c>
      <c r="AB743" s="54" t="s">
        <v>2</v>
      </c>
      <c r="AC743" s="54" t="s">
        <v>2</v>
      </c>
      <c r="AD743" s="54" t="s">
        <v>2</v>
      </c>
      <c r="AE743" s="54" t="s">
        <v>2</v>
      </c>
      <c r="AF743" s="54" t="s">
        <v>2</v>
      </c>
      <c r="AG743" s="54" t="s">
        <v>2</v>
      </c>
    </row>
    <row r="744" ht="15.75" customHeight="1">
      <c r="B744" s="56"/>
      <c r="U744" s="46" t="str">
        <f t="array" ref="U744">IF($D744="","",IFERROR(_xlfn.XLOOKUP($D744,'TIR店舗一覧'!$D:$D,'TIR店舗一覧'!$E:$E,""),""))</f>
        <v/>
      </c>
      <c r="V744" s="54" t="s">
        <v>2</v>
      </c>
      <c r="W744" s="54" t="s">
        <v>2</v>
      </c>
      <c r="X744" s="54" t="s">
        <v>2</v>
      </c>
      <c r="Y744" s="54" t="s">
        <v>2</v>
      </c>
      <c r="Z744" s="54" t="s">
        <v>2</v>
      </c>
      <c r="AA744" s="54" t="s">
        <v>2</v>
      </c>
      <c r="AB744" s="54" t="s">
        <v>2</v>
      </c>
      <c r="AC744" s="54" t="s">
        <v>2</v>
      </c>
      <c r="AD744" s="54" t="s">
        <v>2</v>
      </c>
      <c r="AE744" s="54" t="s">
        <v>2</v>
      </c>
      <c r="AF744" s="54" t="s">
        <v>2</v>
      </c>
      <c r="AG744" s="54" t="s">
        <v>2</v>
      </c>
    </row>
    <row r="745" ht="15.75" customHeight="1">
      <c r="B745" s="56"/>
      <c r="U745" s="46" t="str">
        <f t="array" ref="U745">IF($D745="","",IFERROR(_xlfn.XLOOKUP($D745,'TIR店舗一覧'!$D:$D,'TIR店舗一覧'!$E:$E,""),""))</f>
        <v/>
      </c>
      <c r="V745" s="54" t="s">
        <v>2</v>
      </c>
      <c r="W745" s="54" t="s">
        <v>2</v>
      </c>
      <c r="X745" s="54" t="s">
        <v>2</v>
      </c>
      <c r="Y745" s="54" t="s">
        <v>2</v>
      </c>
      <c r="Z745" s="54" t="s">
        <v>2</v>
      </c>
      <c r="AA745" s="54" t="s">
        <v>2</v>
      </c>
      <c r="AB745" s="54" t="s">
        <v>2</v>
      </c>
      <c r="AC745" s="54" t="s">
        <v>2</v>
      </c>
      <c r="AD745" s="54" t="s">
        <v>2</v>
      </c>
      <c r="AE745" s="54" t="s">
        <v>2</v>
      </c>
      <c r="AF745" s="54" t="s">
        <v>2</v>
      </c>
      <c r="AG745" s="54" t="s">
        <v>2</v>
      </c>
    </row>
    <row r="746" ht="15.75" customHeight="1">
      <c r="B746" s="56"/>
      <c r="U746" s="46" t="str">
        <f t="array" ref="U746">IF($D746="","",IFERROR(_xlfn.XLOOKUP($D746,'TIR店舗一覧'!$D:$D,'TIR店舗一覧'!$E:$E,""),""))</f>
        <v/>
      </c>
      <c r="V746" s="54" t="s">
        <v>2</v>
      </c>
      <c r="W746" s="54" t="s">
        <v>2</v>
      </c>
      <c r="X746" s="54" t="s">
        <v>2</v>
      </c>
      <c r="Y746" s="54" t="s">
        <v>2</v>
      </c>
      <c r="Z746" s="54" t="s">
        <v>2</v>
      </c>
      <c r="AA746" s="54" t="s">
        <v>2</v>
      </c>
      <c r="AB746" s="54" t="s">
        <v>2</v>
      </c>
      <c r="AC746" s="54" t="s">
        <v>2</v>
      </c>
      <c r="AD746" s="54" t="s">
        <v>2</v>
      </c>
      <c r="AE746" s="54" t="s">
        <v>2</v>
      </c>
      <c r="AF746" s="54" t="s">
        <v>2</v>
      </c>
      <c r="AG746" s="54" t="s">
        <v>2</v>
      </c>
    </row>
    <row r="747" ht="15.75" customHeight="1">
      <c r="B747" s="56"/>
      <c r="U747" s="46" t="str">
        <f t="array" ref="U747">IF($D747="","",IFERROR(_xlfn.XLOOKUP($D747,'TIR店舗一覧'!$D:$D,'TIR店舗一覧'!$E:$E,""),""))</f>
        <v/>
      </c>
      <c r="V747" s="54" t="s">
        <v>2</v>
      </c>
      <c r="W747" s="54" t="s">
        <v>2</v>
      </c>
      <c r="X747" s="54" t="s">
        <v>2</v>
      </c>
      <c r="Y747" s="54" t="s">
        <v>2</v>
      </c>
      <c r="Z747" s="54" t="s">
        <v>2</v>
      </c>
      <c r="AA747" s="54" t="s">
        <v>2</v>
      </c>
      <c r="AB747" s="54" t="s">
        <v>2</v>
      </c>
      <c r="AC747" s="54" t="s">
        <v>2</v>
      </c>
      <c r="AD747" s="54" t="s">
        <v>2</v>
      </c>
      <c r="AE747" s="54" t="s">
        <v>2</v>
      </c>
      <c r="AF747" s="54" t="s">
        <v>2</v>
      </c>
      <c r="AG747" s="54" t="s">
        <v>2</v>
      </c>
    </row>
    <row r="748" ht="15.75" customHeight="1">
      <c r="B748" s="56"/>
      <c r="U748" s="46" t="str">
        <f t="array" ref="U748">IF($D748="","",IFERROR(_xlfn.XLOOKUP($D748,'TIR店舗一覧'!$D:$D,'TIR店舗一覧'!$E:$E,""),""))</f>
        <v/>
      </c>
      <c r="V748" s="54" t="s">
        <v>2</v>
      </c>
      <c r="W748" s="54" t="s">
        <v>2</v>
      </c>
      <c r="X748" s="54" t="s">
        <v>2</v>
      </c>
      <c r="Y748" s="54" t="s">
        <v>2</v>
      </c>
      <c r="Z748" s="54" t="s">
        <v>2</v>
      </c>
      <c r="AA748" s="54" t="s">
        <v>2</v>
      </c>
      <c r="AB748" s="54" t="s">
        <v>2</v>
      </c>
      <c r="AC748" s="54" t="s">
        <v>2</v>
      </c>
      <c r="AD748" s="54" t="s">
        <v>2</v>
      </c>
      <c r="AE748" s="54" t="s">
        <v>2</v>
      </c>
      <c r="AF748" s="54" t="s">
        <v>2</v>
      </c>
      <c r="AG748" s="54" t="s">
        <v>2</v>
      </c>
    </row>
    <row r="749" ht="15.75" customHeight="1">
      <c r="B749" s="56"/>
      <c r="U749" s="46" t="str">
        <f t="array" ref="U749">IF($D749="","",IFERROR(_xlfn.XLOOKUP($D749,'TIR店舗一覧'!$D:$D,'TIR店舗一覧'!$E:$E,""),""))</f>
        <v/>
      </c>
      <c r="V749" s="54" t="s">
        <v>2</v>
      </c>
      <c r="W749" s="54" t="s">
        <v>2</v>
      </c>
      <c r="X749" s="54" t="s">
        <v>2</v>
      </c>
      <c r="Y749" s="54" t="s">
        <v>2</v>
      </c>
      <c r="Z749" s="54" t="s">
        <v>2</v>
      </c>
      <c r="AA749" s="54" t="s">
        <v>2</v>
      </c>
      <c r="AB749" s="54" t="s">
        <v>2</v>
      </c>
      <c r="AC749" s="54" t="s">
        <v>2</v>
      </c>
      <c r="AD749" s="54" t="s">
        <v>2</v>
      </c>
      <c r="AE749" s="54" t="s">
        <v>2</v>
      </c>
      <c r="AF749" s="54" t="s">
        <v>2</v>
      </c>
      <c r="AG749" s="54" t="s">
        <v>2</v>
      </c>
    </row>
    <row r="750" ht="15.75" customHeight="1">
      <c r="B750" s="56"/>
      <c r="U750" s="46" t="str">
        <f t="array" ref="U750">IF($D750="","",IFERROR(_xlfn.XLOOKUP($D750,'TIR店舗一覧'!$D:$D,'TIR店舗一覧'!$E:$E,""),""))</f>
        <v/>
      </c>
      <c r="V750" s="54" t="s">
        <v>2</v>
      </c>
      <c r="W750" s="54" t="s">
        <v>2</v>
      </c>
      <c r="X750" s="54" t="s">
        <v>2</v>
      </c>
      <c r="Y750" s="54" t="s">
        <v>2</v>
      </c>
      <c r="Z750" s="54" t="s">
        <v>2</v>
      </c>
      <c r="AA750" s="54" t="s">
        <v>2</v>
      </c>
      <c r="AB750" s="54" t="s">
        <v>2</v>
      </c>
      <c r="AC750" s="54" t="s">
        <v>2</v>
      </c>
      <c r="AD750" s="54" t="s">
        <v>2</v>
      </c>
      <c r="AE750" s="54" t="s">
        <v>2</v>
      </c>
      <c r="AF750" s="54" t="s">
        <v>2</v>
      </c>
      <c r="AG750" s="54" t="s">
        <v>2</v>
      </c>
    </row>
    <row r="751" ht="15.75" customHeight="1">
      <c r="B751" s="56"/>
      <c r="U751" s="46" t="str">
        <f t="array" ref="U751">IF($D751="","",IFERROR(_xlfn.XLOOKUP($D751,'TIR店舗一覧'!$D:$D,'TIR店舗一覧'!$E:$E,""),""))</f>
        <v/>
      </c>
      <c r="V751" s="54" t="s">
        <v>2</v>
      </c>
      <c r="W751" s="54" t="s">
        <v>2</v>
      </c>
      <c r="X751" s="54" t="s">
        <v>2</v>
      </c>
      <c r="Y751" s="54" t="s">
        <v>2</v>
      </c>
      <c r="Z751" s="54" t="s">
        <v>2</v>
      </c>
      <c r="AA751" s="54" t="s">
        <v>2</v>
      </c>
      <c r="AB751" s="54" t="s">
        <v>2</v>
      </c>
      <c r="AC751" s="54" t="s">
        <v>2</v>
      </c>
      <c r="AD751" s="54" t="s">
        <v>2</v>
      </c>
      <c r="AE751" s="54" t="s">
        <v>2</v>
      </c>
      <c r="AF751" s="54" t="s">
        <v>2</v>
      </c>
      <c r="AG751" s="54" t="s">
        <v>2</v>
      </c>
    </row>
    <row r="752" ht="15.75" customHeight="1">
      <c r="B752" s="56"/>
      <c r="U752" s="46" t="str">
        <f t="array" ref="U752">IF($D752="","",IFERROR(_xlfn.XLOOKUP($D752,'TIR店舗一覧'!$D:$D,'TIR店舗一覧'!$E:$E,""),""))</f>
        <v/>
      </c>
      <c r="V752" s="54" t="s">
        <v>2</v>
      </c>
      <c r="W752" s="54" t="s">
        <v>2</v>
      </c>
      <c r="X752" s="54" t="s">
        <v>2</v>
      </c>
      <c r="Y752" s="54" t="s">
        <v>2</v>
      </c>
      <c r="Z752" s="54" t="s">
        <v>2</v>
      </c>
      <c r="AA752" s="54" t="s">
        <v>2</v>
      </c>
      <c r="AB752" s="54" t="s">
        <v>2</v>
      </c>
      <c r="AC752" s="54" t="s">
        <v>2</v>
      </c>
      <c r="AD752" s="54" t="s">
        <v>2</v>
      </c>
      <c r="AE752" s="54" t="s">
        <v>2</v>
      </c>
      <c r="AF752" s="54" t="s">
        <v>2</v>
      </c>
      <c r="AG752" s="54" t="s">
        <v>2</v>
      </c>
    </row>
    <row r="753" ht="15.75" customHeight="1">
      <c r="B753" s="56"/>
      <c r="U753" s="46" t="str">
        <f t="array" ref="U753">IF($D753="","",IFERROR(_xlfn.XLOOKUP($D753,'TIR店舗一覧'!$D:$D,'TIR店舗一覧'!$E:$E,""),""))</f>
        <v/>
      </c>
      <c r="V753" s="54" t="s">
        <v>2</v>
      </c>
      <c r="W753" s="54" t="s">
        <v>2</v>
      </c>
      <c r="X753" s="54" t="s">
        <v>2</v>
      </c>
      <c r="Y753" s="54" t="s">
        <v>2</v>
      </c>
      <c r="Z753" s="54" t="s">
        <v>2</v>
      </c>
      <c r="AA753" s="54" t="s">
        <v>2</v>
      </c>
      <c r="AB753" s="54" t="s">
        <v>2</v>
      </c>
      <c r="AC753" s="54" t="s">
        <v>2</v>
      </c>
      <c r="AD753" s="54" t="s">
        <v>2</v>
      </c>
      <c r="AE753" s="54" t="s">
        <v>2</v>
      </c>
      <c r="AF753" s="54" t="s">
        <v>2</v>
      </c>
      <c r="AG753" s="54" t="s">
        <v>2</v>
      </c>
    </row>
    <row r="754" ht="15.75" customHeight="1">
      <c r="B754" s="56"/>
      <c r="U754" s="46" t="str">
        <f t="array" ref="U754">IF($D754="","",IFERROR(_xlfn.XLOOKUP($D754,'TIR店舗一覧'!$D:$D,'TIR店舗一覧'!$E:$E,""),""))</f>
        <v/>
      </c>
      <c r="V754" s="54" t="s">
        <v>2</v>
      </c>
      <c r="W754" s="54" t="s">
        <v>2</v>
      </c>
      <c r="X754" s="54" t="s">
        <v>2</v>
      </c>
      <c r="Y754" s="54" t="s">
        <v>2</v>
      </c>
      <c r="Z754" s="54" t="s">
        <v>2</v>
      </c>
      <c r="AA754" s="54" t="s">
        <v>2</v>
      </c>
      <c r="AB754" s="54" t="s">
        <v>2</v>
      </c>
      <c r="AC754" s="54" t="s">
        <v>2</v>
      </c>
      <c r="AD754" s="54" t="s">
        <v>2</v>
      </c>
      <c r="AE754" s="54" t="s">
        <v>2</v>
      </c>
      <c r="AF754" s="54" t="s">
        <v>2</v>
      </c>
      <c r="AG754" s="54" t="s">
        <v>2</v>
      </c>
    </row>
    <row r="755" ht="15.75" customHeight="1">
      <c r="B755" s="56"/>
      <c r="U755" s="46" t="str">
        <f t="array" ref="U755">IF($D755="","",IFERROR(_xlfn.XLOOKUP($D755,'TIR店舗一覧'!$D:$D,'TIR店舗一覧'!$E:$E,""),""))</f>
        <v/>
      </c>
      <c r="V755" s="54" t="s">
        <v>2</v>
      </c>
      <c r="W755" s="54" t="s">
        <v>2</v>
      </c>
      <c r="X755" s="54" t="s">
        <v>2</v>
      </c>
      <c r="Y755" s="54" t="s">
        <v>2</v>
      </c>
      <c r="Z755" s="54" t="s">
        <v>2</v>
      </c>
      <c r="AA755" s="54" t="s">
        <v>2</v>
      </c>
      <c r="AB755" s="54" t="s">
        <v>2</v>
      </c>
      <c r="AC755" s="54" t="s">
        <v>2</v>
      </c>
      <c r="AD755" s="54" t="s">
        <v>2</v>
      </c>
      <c r="AE755" s="54" t="s">
        <v>2</v>
      </c>
      <c r="AF755" s="54" t="s">
        <v>2</v>
      </c>
      <c r="AG755" s="54" t="s">
        <v>2</v>
      </c>
    </row>
    <row r="756" ht="15.75" customHeight="1">
      <c r="B756" s="56"/>
      <c r="U756" s="46" t="str">
        <f t="array" ref="U756">IF($D756="","",IFERROR(_xlfn.XLOOKUP($D756,'TIR店舗一覧'!$D:$D,'TIR店舗一覧'!$E:$E,""),""))</f>
        <v/>
      </c>
      <c r="V756" s="54" t="s">
        <v>2</v>
      </c>
      <c r="W756" s="54" t="s">
        <v>2</v>
      </c>
      <c r="X756" s="54" t="s">
        <v>2</v>
      </c>
      <c r="Y756" s="54" t="s">
        <v>2</v>
      </c>
      <c r="Z756" s="54" t="s">
        <v>2</v>
      </c>
      <c r="AA756" s="54" t="s">
        <v>2</v>
      </c>
      <c r="AB756" s="54" t="s">
        <v>2</v>
      </c>
      <c r="AC756" s="54" t="s">
        <v>2</v>
      </c>
      <c r="AD756" s="54" t="s">
        <v>2</v>
      </c>
      <c r="AE756" s="54" t="s">
        <v>2</v>
      </c>
      <c r="AF756" s="54" t="s">
        <v>2</v>
      </c>
      <c r="AG756" s="54" t="s">
        <v>2</v>
      </c>
    </row>
    <row r="757" ht="15.75" customHeight="1">
      <c r="B757" s="56"/>
      <c r="U757" s="46" t="str">
        <f t="array" ref="U757">IF($D757="","",IFERROR(_xlfn.XLOOKUP($D757,'TIR店舗一覧'!$D:$D,'TIR店舗一覧'!$E:$E,""),""))</f>
        <v/>
      </c>
      <c r="V757" s="54" t="s">
        <v>2</v>
      </c>
      <c r="W757" s="54" t="s">
        <v>2</v>
      </c>
      <c r="X757" s="54" t="s">
        <v>2</v>
      </c>
      <c r="Y757" s="54" t="s">
        <v>2</v>
      </c>
      <c r="Z757" s="54" t="s">
        <v>2</v>
      </c>
      <c r="AA757" s="54" t="s">
        <v>2</v>
      </c>
      <c r="AB757" s="54" t="s">
        <v>2</v>
      </c>
      <c r="AC757" s="54" t="s">
        <v>2</v>
      </c>
      <c r="AD757" s="54" t="s">
        <v>2</v>
      </c>
      <c r="AE757" s="54" t="s">
        <v>2</v>
      </c>
      <c r="AF757" s="54" t="s">
        <v>2</v>
      </c>
      <c r="AG757" s="54" t="s">
        <v>2</v>
      </c>
    </row>
    <row r="758" ht="15.75" customHeight="1">
      <c r="B758" s="56"/>
      <c r="U758" s="46" t="str">
        <f t="array" ref="U758">IF($D758="","",IFERROR(_xlfn.XLOOKUP($D758,'TIR店舗一覧'!$D:$D,'TIR店舗一覧'!$E:$E,""),""))</f>
        <v/>
      </c>
      <c r="V758" s="54" t="s">
        <v>2</v>
      </c>
      <c r="W758" s="54" t="s">
        <v>2</v>
      </c>
      <c r="X758" s="54" t="s">
        <v>2</v>
      </c>
      <c r="Y758" s="54" t="s">
        <v>2</v>
      </c>
      <c r="Z758" s="54" t="s">
        <v>2</v>
      </c>
      <c r="AA758" s="54" t="s">
        <v>2</v>
      </c>
      <c r="AB758" s="54" t="s">
        <v>2</v>
      </c>
      <c r="AC758" s="54" t="s">
        <v>2</v>
      </c>
      <c r="AD758" s="54" t="s">
        <v>2</v>
      </c>
      <c r="AE758" s="54" t="s">
        <v>2</v>
      </c>
      <c r="AF758" s="54" t="s">
        <v>2</v>
      </c>
      <c r="AG758" s="54" t="s">
        <v>2</v>
      </c>
    </row>
    <row r="759" ht="15.75" customHeight="1">
      <c r="B759" s="56"/>
      <c r="U759" s="46" t="str">
        <f t="array" ref="U759">IF($D759="","",IFERROR(_xlfn.XLOOKUP($D759,'TIR店舗一覧'!$D:$D,'TIR店舗一覧'!$E:$E,""),""))</f>
        <v/>
      </c>
      <c r="V759" s="54" t="s">
        <v>2</v>
      </c>
      <c r="W759" s="54" t="s">
        <v>2</v>
      </c>
      <c r="X759" s="54" t="s">
        <v>2</v>
      </c>
      <c r="Y759" s="54" t="s">
        <v>2</v>
      </c>
      <c r="Z759" s="54" t="s">
        <v>2</v>
      </c>
      <c r="AA759" s="54" t="s">
        <v>2</v>
      </c>
      <c r="AB759" s="54" t="s">
        <v>2</v>
      </c>
      <c r="AC759" s="54" t="s">
        <v>2</v>
      </c>
      <c r="AD759" s="54" t="s">
        <v>2</v>
      </c>
      <c r="AE759" s="54" t="s">
        <v>2</v>
      </c>
      <c r="AF759" s="54" t="s">
        <v>2</v>
      </c>
      <c r="AG759" s="54" t="s">
        <v>2</v>
      </c>
    </row>
    <row r="760" ht="15.75" customHeight="1">
      <c r="B760" s="56"/>
      <c r="U760" s="46" t="str">
        <f t="array" ref="U760">IF($D760="","",IFERROR(_xlfn.XLOOKUP($D760,'TIR店舗一覧'!$D:$D,'TIR店舗一覧'!$E:$E,""),""))</f>
        <v/>
      </c>
      <c r="V760" s="54" t="s">
        <v>2</v>
      </c>
      <c r="W760" s="54" t="s">
        <v>2</v>
      </c>
      <c r="X760" s="54" t="s">
        <v>2</v>
      </c>
      <c r="Y760" s="54" t="s">
        <v>2</v>
      </c>
      <c r="Z760" s="54" t="s">
        <v>2</v>
      </c>
      <c r="AA760" s="54" t="s">
        <v>2</v>
      </c>
      <c r="AB760" s="54" t="s">
        <v>2</v>
      </c>
      <c r="AC760" s="54" t="s">
        <v>2</v>
      </c>
      <c r="AD760" s="54" t="s">
        <v>2</v>
      </c>
      <c r="AE760" s="54" t="s">
        <v>2</v>
      </c>
      <c r="AF760" s="54" t="s">
        <v>2</v>
      </c>
      <c r="AG760" s="54" t="s">
        <v>2</v>
      </c>
    </row>
    <row r="761" ht="15.75" customHeight="1">
      <c r="B761" s="56"/>
      <c r="U761" s="46" t="str">
        <f t="array" ref="U761">IF($D761="","",IFERROR(_xlfn.XLOOKUP($D761,'TIR店舗一覧'!$D:$D,'TIR店舗一覧'!$E:$E,""),""))</f>
        <v/>
      </c>
      <c r="V761" s="54" t="s">
        <v>2</v>
      </c>
      <c r="W761" s="54" t="s">
        <v>2</v>
      </c>
      <c r="X761" s="54" t="s">
        <v>2</v>
      </c>
      <c r="Y761" s="54" t="s">
        <v>2</v>
      </c>
      <c r="Z761" s="54" t="s">
        <v>2</v>
      </c>
      <c r="AA761" s="54" t="s">
        <v>2</v>
      </c>
      <c r="AB761" s="54" t="s">
        <v>2</v>
      </c>
      <c r="AC761" s="54" t="s">
        <v>2</v>
      </c>
      <c r="AD761" s="54" t="s">
        <v>2</v>
      </c>
      <c r="AE761" s="54" t="s">
        <v>2</v>
      </c>
      <c r="AF761" s="54" t="s">
        <v>2</v>
      </c>
      <c r="AG761" s="54" t="s">
        <v>2</v>
      </c>
    </row>
    <row r="762" ht="15.75" customHeight="1">
      <c r="B762" s="56"/>
      <c r="U762" s="46" t="str">
        <f t="array" ref="U762">IF($D762="","",IFERROR(_xlfn.XLOOKUP($D762,'TIR店舗一覧'!$D:$D,'TIR店舗一覧'!$E:$E,""),""))</f>
        <v/>
      </c>
      <c r="V762" s="54" t="s">
        <v>2</v>
      </c>
      <c r="W762" s="54" t="s">
        <v>2</v>
      </c>
      <c r="X762" s="54" t="s">
        <v>2</v>
      </c>
      <c r="Y762" s="54" t="s">
        <v>2</v>
      </c>
      <c r="Z762" s="54" t="s">
        <v>2</v>
      </c>
      <c r="AA762" s="54" t="s">
        <v>2</v>
      </c>
      <c r="AB762" s="54" t="s">
        <v>2</v>
      </c>
      <c r="AC762" s="54" t="s">
        <v>2</v>
      </c>
      <c r="AD762" s="54" t="s">
        <v>2</v>
      </c>
      <c r="AE762" s="54" t="s">
        <v>2</v>
      </c>
      <c r="AF762" s="54" t="s">
        <v>2</v>
      </c>
      <c r="AG762" s="54" t="s">
        <v>2</v>
      </c>
    </row>
    <row r="763" ht="15.75" customHeight="1">
      <c r="B763" s="56"/>
      <c r="U763" s="46" t="str">
        <f t="array" ref="U763">IF($D763="","",IFERROR(_xlfn.XLOOKUP($D763,'TIR店舗一覧'!$D:$D,'TIR店舗一覧'!$E:$E,""),""))</f>
        <v/>
      </c>
      <c r="V763" s="54" t="s">
        <v>2</v>
      </c>
      <c r="W763" s="54" t="s">
        <v>2</v>
      </c>
      <c r="X763" s="54" t="s">
        <v>2</v>
      </c>
      <c r="Y763" s="54" t="s">
        <v>2</v>
      </c>
      <c r="Z763" s="54" t="s">
        <v>2</v>
      </c>
      <c r="AA763" s="54" t="s">
        <v>2</v>
      </c>
      <c r="AB763" s="54" t="s">
        <v>2</v>
      </c>
      <c r="AC763" s="54" t="s">
        <v>2</v>
      </c>
      <c r="AD763" s="54" t="s">
        <v>2</v>
      </c>
      <c r="AE763" s="54" t="s">
        <v>2</v>
      </c>
      <c r="AF763" s="54" t="s">
        <v>2</v>
      </c>
      <c r="AG763" s="54" t="s">
        <v>2</v>
      </c>
    </row>
    <row r="764" ht="15.75" customHeight="1">
      <c r="B764" s="56"/>
      <c r="U764" s="46" t="str">
        <f t="array" ref="U764">IF($D764="","",IFERROR(_xlfn.XLOOKUP($D764,'TIR店舗一覧'!$D:$D,'TIR店舗一覧'!$E:$E,""),""))</f>
        <v/>
      </c>
      <c r="V764" s="54" t="s">
        <v>2</v>
      </c>
      <c r="W764" s="54" t="s">
        <v>2</v>
      </c>
      <c r="X764" s="54" t="s">
        <v>2</v>
      </c>
      <c r="Y764" s="54" t="s">
        <v>2</v>
      </c>
      <c r="Z764" s="54" t="s">
        <v>2</v>
      </c>
      <c r="AA764" s="54" t="s">
        <v>2</v>
      </c>
      <c r="AB764" s="54" t="s">
        <v>2</v>
      </c>
      <c r="AC764" s="54" t="s">
        <v>2</v>
      </c>
      <c r="AD764" s="54" t="s">
        <v>2</v>
      </c>
      <c r="AE764" s="54" t="s">
        <v>2</v>
      </c>
      <c r="AF764" s="54" t="s">
        <v>2</v>
      </c>
      <c r="AG764" s="54" t="s">
        <v>2</v>
      </c>
    </row>
    <row r="765" ht="15.75" customHeight="1">
      <c r="B765" s="56"/>
      <c r="U765" s="46" t="str">
        <f t="array" ref="U765">IF($D765="","",IFERROR(_xlfn.XLOOKUP($D765,'TIR店舗一覧'!$D:$D,'TIR店舗一覧'!$E:$E,""),""))</f>
        <v/>
      </c>
      <c r="V765" s="54" t="s">
        <v>2</v>
      </c>
      <c r="W765" s="54" t="s">
        <v>2</v>
      </c>
      <c r="X765" s="54" t="s">
        <v>2</v>
      </c>
      <c r="Y765" s="54" t="s">
        <v>2</v>
      </c>
      <c r="Z765" s="54" t="s">
        <v>2</v>
      </c>
      <c r="AA765" s="54" t="s">
        <v>2</v>
      </c>
      <c r="AB765" s="54" t="s">
        <v>2</v>
      </c>
      <c r="AC765" s="54" t="s">
        <v>2</v>
      </c>
      <c r="AD765" s="54" t="s">
        <v>2</v>
      </c>
      <c r="AE765" s="54" t="s">
        <v>2</v>
      </c>
      <c r="AF765" s="54" t="s">
        <v>2</v>
      </c>
      <c r="AG765" s="54" t="s">
        <v>2</v>
      </c>
    </row>
    <row r="766" ht="15.75" customHeight="1">
      <c r="B766" s="56"/>
      <c r="U766" s="46" t="str">
        <f t="array" ref="U766">IF($D766="","",IFERROR(_xlfn.XLOOKUP($D766,'TIR店舗一覧'!$D:$D,'TIR店舗一覧'!$E:$E,""),""))</f>
        <v/>
      </c>
      <c r="V766" s="54" t="s">
        <v>2</v>
      </c>
      <c r="W766" s="54" t="s">
        <v>2</v>
      </c>
      <c r="X766" s="54" t="s">
        <v>2</v>
      </c>
      <c r="Y766" s="54" t="s">
        <v>2</v>
      </c>
      <c r="Z766" s="54" t="s">
        <v>2</v>
      </c>
      <c r="AA766" s="54" t="s">
        <v>2</v>
      </c>
      <c r="AB766" s="54" t="s">
        <v>2</v>
      </c>
      <c r="AC766" s="54" t="s">
        <v>2</v>
      </c>
      <c r="AD766" s="54" t="s">
        <v>2</v>
      </c>
      <c r="AE766" s="54" t="s">
        <v>2</v>
      </c>
      <c r="AF766" s="54" t="s">
        <v>2</v>
      </c>
      <c r="AG766" s="54" t="s">
        <v>2</v>
      </c>
    </row>
    <row r="767" ht="15.75" customHeight="1">
      <c r="B767" s="56"/>
      <c r="U767" s="46" t="str">
        <f t="array" ref="U767">IF($D767="","",IFERROR(_xlfn.XLOOKUP($D767,'TIR店舗一覧'!$D:$D,'TIR店舗一覧'!$E:$E,""),""))</f>
        <v/>
      </c>
      <c r="V767" s="54" t="s">
        <v>2</v>
      </c>
      <c r="W767" s="54" t="s">
        <v>2</v>
      </c>
      <c r="X767" s="54" t="s">
        <v>2</v>
      </c>
      <c r="Y767" s="54" t="s">
        <v>2</v>
      </c>
      <c r="Z767" s="54" t="s">
        <v>2</v>
      </c>
      <c r="AA767" s="54" t="s">
        <v>2</v>
      </c>
      <c r="AB767" s="54" t="s">
        <v>2</v>
      </c>
      <c r="AC767" s="54" t="s">
        <v>2</v>
      </c>
      <c r="AD767" s="54" t="s">
        <v>2</v>
      </c>
      <c r="AE767" s="54" t="s">
        <v>2</v>
      </c>
      <c r="AF767" s="54" t="s">
        <v>2</v>
      </c>
      <c r="AG767" s="54" t="s">
        <v>2</v>
      </c>
    </row>
    <row r="768" ht="15.75" customHeight="1">
      <c r="B768" s="56"/>
      <c r="U768" s="46" t="str">
        <f t="array" ref="U768">IF($D768="","",IFERROR(_xlfn.XLOOKUP($D768,'TIR店舗一覧'!$D:$D,'TIR店舗一覧'!$E:$E,""),""))</f>
        <v/>
      </c>
      <c r="V768" s="54" t="s">
        <v>2</v>
      </c>
      <c r="W768" s="54" t="s">
        <v>2</v>
      </c>
      <c r="X768" s="54" t="s">
        <v>2</v>
      </c>
      <c r="Y768" s="54" t="s">
        <v>2</v>
      </c>
      <c r="Z768" s="54" t="s">
        <v>2</v>
      </c>
      <c r="AA768" s="54" t="s">
        <v>2</v>
      </c>
      <c r="AB768" s="54" t="s">
        <v>2</v>
      </c>
      <c r="AC768" s="54" t="s">
        <v>2</v>
      </c>
      <c r="AD768" s="54" t="s">
        <v>2</v>
      </c>
      <c r="AE768" s="54" t="s">
        <v>2</v>
      </c>
      <c r="AF768" s="54" t="s">
        <v>2</v>
      </c>
      <c r="AG768" s="54" t="s">
        <v>2</v>
      </c>
    </row>
    <row r="769" ht="15.75" customHeight="1">
      <c r="B769" s="56"/>
      <c r="U769" s="46" t="str">
        <f t="array" ref="U769">IF($D769="","",IFERROR(_xlfn.XLOOKUP($D769,'TIR店舗一覧'!$D:$D,'TIR店舗一覧'!$E:$E,""),""))</f>
        <v/>
      </c>
      <c r="V769" s="54" t="s">
        <v>2</v>
      </c>
      <c r="W769" s="54" t="s">
        <v>2</v>
      </c>
      <c r="X769" s="54" t="s">
        <v>2</v>
      </c>
      <c r="Y769" s="54" t="s">
        <v>2</v>
      </c>
      <c r="Z769" s="54" t="s">
        <v>2</v>
      </c>
      <c r="AA769" s="54" t="s">
        <v>2</v>
      </c>
      <c r="AB769" s="54" t="s">
        <v>2</v>
      </c>
      <c r="AC769" s="54" t="s">
        <v>2</v>
      </c>
      <c r="AD769" s="54" t="s">
        <v>2</v>
      </c>
      <c r="AE769" s="54" t="s">
        <v>2</v>
      </c>
      <c r="AF769" s="54" t="s">
        <v>2</v>
      </c>
      <c r="AG769" s="54" t="s">
        <v>2</v>
      </c>
    </row>
    <row r="770" ht="15.75" customHeight="1">
      <c r="B770" s="56"/>
      <c r="U770" s="46" t="str">
        <f t="array" ref="U770">IF($D770="","",IFERROR(_xlfn.XLOOKUP($D770,'TIR店舗一覧'!$D:$D,'TIR店舗一覧'!$E:$E,""),""))</f>
        <v/>
      </c>
      <c r="V770" s="54" t="s">
        <v>2</v>
      </c>
      <c r="W770" s="54" t="s">
        <v>2</v>
      </c>
      <c r="X770" s="54" t="s">
        <v>2</v>
      </c>
      <c r="Y770" s="54" t="s">
        <v>2</v>
      </c>
      <c r="Z770" s="54" t="s">
        <v>2</v>
      </c>
      <c r="AA770" s="54" t="s">
        <v>2</v>
      </c>
      <c r="AB770" s="54" t="s">
        <v>2</v>
      </c>
      <c r="AC770" s="54" t="s">
        <v>2</v>
      </c>
      <c r="AD770" s="54" t="s">
        <v>2</v>
      </c>
      <c r="AE770" s="54" t="s">
        <v>2</v>
      </c>
      <c r="AF770" s="54" t="s">
        <v>2</v>
      </c>
      <c r="AG770" s="54" t="s">
        <v>2</v>
      </c>
    </row>
    <row r="771" ht="15.75" customHeight="1">
      <c r="B771" s="56"/>
      <c r="U771" s="46" t="str">
        <f t="array" ref="U771">IF($D771="","",IFERROR(_xlfn.XLOOKUP($D771,'TIR店舗一覧'!$D:$D,'TIR店舗一覧'!$E:$E,""),""))</f>
        <v/>
      </c>
      <c r="V771" s="54" t="s">
        <v>2</v>
      </c>
      <c r="W771" s="54" t="s">
        <v>2</v>
      </c>
      <c r="X771" s="54" t="s">
        <v>2</v>
      </c>
      <c r="Y771" s="54" t="s">
        <v>2</v>
      </c>
      <c r="Z771" s="54" t="s">
        <v>2</v>
      </c>
      <c r="AA771" s="54" t="s">
        <v>2</v>
      </c>
      <c r="AB771" s="54" t="s">
        <v>2</v>
      </c>
      <c r="AC771" s="54" t="s">
        <v>2</v>
      </c>
      <c r="AD771" s="54" t="s">
        <v>2</v>
      </c>
      <c r="AE771" s="54" t="s">
        <v>2</v>
      </c>
      <c r="AF771" s="54" t="s">
        <v>2</v>
      </c>
      <c r="AG771" s="54" t="s">
        <v>2</v>
      </c>
    </row>
    <row r="772" ht="15.75" customHeight="1">
      <c r="B772" s="56"/>
      <c r="U772" s="46" t="str">
        <f t="array" ref="U772">IF($D772="","",IFERROR(_xlfn.XLOOKUP($D772,'TIR店舗一覧'!$D:$D,'TIR店舗一覧'!$E:$E,""),""))</f>
        <v/>
      </c>
      <c r="V772" s="54" t="s">
        <v>2</v>
      </c>
      <c r="W772" s="54" t="s">
        <v>2</v>
      </c>
      <c r="X772" s="54" t="s">
        <v>2</v>
      </c>
      <c r="Y772" s="54" t="s">
        <v>2</v>
      </c>
      <c r="Z772" s="54" t="s">
        <v>2</v>
      </c>
      <c r="AA772" s="54" t="s">
        <v>2</v>
      </c>
      <c r="AB772" s="54" t="s">
        <v>2</v>
      </c>
      <c r="AC772" s="54" t="s">
        <v>2</v>
      </c>
      <c r="AD772" s="54" t="s">
        <v>2</v>
      </c>
      <c r="AE772" s="54" t="s">
        <v>2</v>
      </c>
      <c r="AF772" s="54" t="s">
        <v>2</v>
      </c>
      <c r="AG772" s="54" t="s">
        <v>2</v>
      </c>
    </row>
    <row r="773" ht="15.75" customHeight="1">
      <c r="B773" s="56"/>
      <c r="U773" s="46" t="str">
        <f t="array" ref="U773">IF($D773="","",IFERROR(_xlfn.XLOOKUP($D773,'TIR店舗一覧'!$D:$D,'TIR店舗一覧'!$E:$E,""),""))</f>
        <v/>
      </c>
      <c r="V773" s="54" t="s">
        <v>2</v>
      </c>
      <c r="W773" s="54" t="s">
        <v>2</v>
      </c>
      <c r="X773" s="54" t="s">
        <v>2</v>
      </c>
      <c r="Y773" s="54" t="s">
        <v>2</v>
      </c>
      <c r="Z773" s="54" t="s">
        <v>2</v>
      </c>
      <c r="AA773" s="54" t="s">
        <v>2</v>
      </c>
      <c r="AB773" s="54" t="s">
        <v>2</v>
      </c>
      <c r="AC773" s="54" t="s">
        <v>2</v>
      </c>
      <c r="AD773" s="54" t="s">
        <v>2</v>
      </c>
      <c r="AE773" s="54" t="s">
        <v>2</v>
      </c>
      <c r="AF773" s="54" t="s">
        <v>2</v>
      </c>
      <c r="AG773" s="54" t="s">
        <v>2</v>
      </c>
    </row>
    <row r="774" ht="15.75" customHeight="1">
      <c r="B774" s="56"/>
      <c r="U774" s="46" t="str">
        <f t="array" ref="U774">IF($D774="","",IFERROR(_xlfn.XLOOKUP($D774,'TIR店舗一覧'!$D:$D,'TIR店舗一覧'!$E:$E,""),""))</f>
        <v/>
      </c>
      <c r="V774" s="54" t="s">
        <v>2</v>
      </c>
      <c r="W774" s="54" t="s">
        <v>2</v>
      </c>
      <c r="X774" s="54" t="s">
        <v>2</v>
      </c>
      <c r="Y774" s="54" t="s">
        <v>2</v>
      </c>
      <c r="Z774" s="54" t="s">
        <v>2</v>
      </c>
      <c r="AA774" s="54" t="s">
        <v>2</v>
      </c>
      <c r="AB774" s="54" t="s">
        <v>2</v>
      </c>
      <c r="AC774" s="54" t="s">
        <v>2</v>
      </c>
      <c r="AD774" s="54" t="s">
        <v>2</v>
      </c>
      <c r="AE774" s="54" t="s">
        <v>2</v>
      </c>
      <c r="AF774" s="54" t="s">
        <v>2</v>
      </c>
      <c r="AG774" s="54" t="s">
        <v>2</v>
      </c>
    </row>
    <row r="775" ht="15.75" customHeight="1">
      <c r="B775" s="56"/>
      <c r="U775" s="46" t="str">
        <f t="array" ref="U775">IF($D775="","",IFERROR(_xlfn.XLOOKUP($D775,'TIR店舗一覧'!$D:$D,'TIR店舗一覧'!$E:$E,""),""))</f>
        <v/>
      </c>
      <c r="V775" s="54" t="s">
        <v>2</v>
      </c>
      <c r="W775" s="54" t="s">
        <v>2</v>
      </c>
      <c r="X775" s="54" t="s">
        <v>2</v>
      </c>
      <c r="Y775" s="54" t="s">
        <v>2</v>
      </c>
      <c r="Z775" s="54" t="s">
        <v>2</v>
      </c>
      <c r="AA775" s="54" t="s">
        <v>2</v>
      </c>
      <c r="AB775" s="54" t="s">
        <v>2</v>
      </c>
      <c r="AC775" s="54" t="s">
        <v>2</v>
      </c>
      <c r="AD775" s="54" t="s">
        <v>2</v>
      </c>
      <c r="AE775" s="54" t="s">
        <v>2</v>
      </c>
      <c r="AF775" s="54" t="s">
        <v>2</v>
      </c>
      <c r="AG775" s="54" t="s">
        <v>2</v>
      </c>
    </row>
    <row r="776" ht="15.75" customHeight="1">
      <c r="B776" s="56"/>
      <c r="U776" s="46" t="str">
        <f t="array" ref="U776">IF($D776="","",IFERROR(_xlfn.XLOOKUP($D776,'TIR店舗一覧'!$D:$D,'TIR店舗一覧'!$E:$E,""),""))</f>
        <v/>
      </c>
      <c r="V776" s="54" t="s">
        <v>2</v>
      </c>
      <c r="W776" s="54" t="s">
        <v>2</v>
      </c>
      <c r="X776" s="54" t="s">
        <v>2</v>
      </c>
      <c r="Y776" s="54" t="s">
        <v>2</v>
      </c>
      <c r="Z776" s="54" t="s">
        <v>2</v>
      </c>
      <c r="AA776" s="54" t="s">
        <v>2</v>
      </c>
      <c r="AB776" s="54" t="s">
        <v>2</v>
      </c>
      <c r="AC776" s="54" t="s">
        <v>2</v>
      </c>
      <c r="AD776" s="54" t="s">
        <v>2</v>
      </c>
      <c r="AE776" s="54" t="s">
        <v>2</v>
      </c>
      <c r="AF776" s="54" t="s">
        <v>2</v>
      </c>
      <c r="AG776" s="54" t="s">
        <v>2</v>
      </c>
    </row>
    <row r="777" ht="15.75" customHeight="1">
      <c r="B777" s="56"/>
      <c r="U777" s="46" t="str">
        <f t="array" ref="U777">IF($D777="","",IFERROR(_xlfn.XLOOKUP($D777,'TIR店舗一覧'!$D:$D,'TIR店舗一覧'!$E:$E,""),""))</f>
        <v/>
      </c>
      <c r="V777" s="54" t="s">
        <v>2</v>
      </c>
      <c r="W777" s="54" t="s">
        <v>2</v>
      </c>
      <c r="X777" s="54" t="s">
        <v>2</v>
      </c>
      <c r="Y777" s="54" t="s">
        <v>2</v>
      </c>
      <c r="Z777" s="54" t="s">
        <v>2</v>
      </c>
      <c r="AA777" s="54" t="s">
        <v>2</v>
      </c>
      <c r="AB777" s="54" t="s">
        <v>2</v>
      </c>
      <c r="AC777" s="54" t="s">
        <v>2</v>
      </c>
      <c r="AD777" s="54" t="s">
        <v>2</v>
      </c>
      <c r="AE777" s="54" t="s">
        <v>2</v>
      </c>
      <c r="AF777" s="54" t="s">
        <v>2</v>
      </c>
      <c r="AG777" s="54" t="s">
        <v>2</v>
      </c>
    </row>
    <row r="778" ht="15.75" customHeight="1">
      <c r="B778" s="56"/>
      <c r="U778" s="46" t="str">
        <f t="array" ref="U778">IF($D778="","",IFERROR(_xlfn.XLOOKUP($D778,'TIR店舗一覧'!$D:$D,'TIR店舗一覧'!$E:$E,""),""))</f>
        <v/>
      </c>
      <c r="V778" s="54" t="s">
        <v>2</v>
      </c>
      <c r="W778" s="54" t="s">
        <v>2</v>
      </c>
      <c r="X778" s="54" t="s">
        <v>2</v>
      </c>
      <c r="Y778" s="54" t="s">
        <v>2</v>
      </c>
      <c r="Z778" s="54" t="s">
        <v>2</v>
      </c>
      <c r="AA778" s="54" t="s">
        <v>2</v>
      </c>
      <c r="AB778" s="54" t="s">
        <v>2</v>
      </c>
      <c r="AC778" s="54" t="s">
        <v>2</v>
      </c>
      <c r="AD778" s="54" t="s">
        <v>2</v>
      </c>
      <c r="AE778" s="54" t="s">
        <v>2</v>
      </c>
      <c r="AF778" s="54" t="s">
        <v>2</v>
      </c>
      <c r="AG778" s="54" t="s">
        <v>2</v>
      </c>
    </row>
    <row r="779" ht="15.75" customHeight="1">
      <c r="B779" s="56"/>
      <c r="U779" s="46" t="str">
        <f t="array" ref="U779">IF($D779="","",IFERROR(_xlfn.XLOOKUP($D779,'TIR店舗一覧'!$D:$D,'TIR店舗一覧'!$E:$E,""),""))</f>
        <v/>
      </c>
      <c r="V779" s="54" t="s">
        <v>2</v>
      </c>
      <c r="W779" s="54" t="s">
        <v>2</v>
      </c>
      <c r="X779" s="54" t="s">
        <v>2</v>
      </c>
      <c r="Y779" s="54" t="s">
        <v>2</v>
      </c>
      <c r="Z779" s="54" t="s">
        <v>2</v>
      </c>
      <c r="AA779" s="54" t="s">
        <v>2</v>
      </c>
      <c r="AB779" s="54" t="s">
        <v>2</v>
      </c>
      <c r="AC779" s="54" t="s">
        <v>2</v>
      </c>
      <c r="AD779" s="54" t="s">
        <v>2</v>
      </c>
      <c r="AE779" s="54" t="s">
        <v>2</v>
      </c>
      <c r="AF779" s="54" t="s">
        <v>2</v>
      </c>
      <c r="AG779" s="54" t="s">
        <v>2</v>
      </c>
    </row>
    <row r="780" ht="15.75" customHeight="1">
      <c r="B780" s="56"/>
      <c r="U780" s="46" t="str">
        <f t="array" ref="U780">IF($D780="","",IFERROR(_xlfn.XLOOKUP($D780,'TIR店舗一覧'!$D:$D,'TIR店舗一覧'!$E:$E,""),""))</f>
        <v/>
      </c>
      <c r="V780" s="54" t="s">
        <v>2</v>
      </c>
      <c r="W780" s="54" t="s">
        <v>2</v>
      </c>
      <c r="X780" s="54" t="s">
        <v>2</v>
      </c>
      <c r="Y780" s="54" t="s">
        <v>2</v>
      </c>
      <c r="Z780" s="54" t="s">
        <v>2</v>
      </c>
      <c r="AA780" s="54" t="s">
        <v>2</v>
      </c>
      <c r="AB780" s="54" t="s">
        <v>2</v>
      </c>
      <c r="AC780" s="54" t="s">
        <v>2</v>
      </c>
      <c r="AD780" s="54" t="s">
        <v>2</v>
      </c>
      <c r="AE780" s="54" t="s">
        <v>2</v>
      </c>
      <c r="AF780" s="54" t="s">
        <v>2</v>
      </c>
      <c r="AG780" s="54" t="s">
        <v>2</v>
      </c>
    </row>
    <row r="781" ht="15.75" customHeight="1">
      <c r="B781" s="56"/>
      <c r="U781" s="46" t="str">
        <f t="array" ref="U781">IF($D781="","",IFERROR(_xlfn.XLOOKUP($D781,'TIR店舗一覧'!$D:$D,'TIR店舗一覧'!$E:$E,""),""))</f>
        <v/>
      </c>
      <c r="V781" s="54" t="s">
        <v>2</v>
      </c>
      <c r="W781" s="54" t="s">
        <v>2</v>
      </c>
      <c r="X781" s="54" t="s">
        <v>2</v>
      </c>
      <c r="Y781" s="54" t="s">
        <v>2</v>
      </c>
      <c r="Z781" s="54" t="s">
        <v>2</v>
      </c>
      <c r="AA781" s="54" t="s">
        <v>2</v>
      </c>
      <c r="AB781" s="54" t="s">
        <v>2</v>
      </c>
      <c r="AC781" s="54" t="s">
        <v>2</v>
      </c>
      <c r="AD781" s="54" t="s">
        <v>2</v>
      </c>
      <c r="AE781" s="54" t="s">
        <v>2</v>
      </c>
      <c r="AF781" s="54" t="s">
        <v>2</v>
      </c>
      <c r="AG781" s="54" t="s">
        <v>2</v>
      </c>
    </row>
    <row r="782" ht="15.75" customHeight="1">
      <c r="B782" s="56"/>
      <c r="U782" s="46" t="str">
        <f t="array" ref="U782">IF($D782="","",IFERROR(_xlfn.XLOOKUP($D782,'TIR店舗一覧'!$D:$D,'TIR店舗一覧'!$E:$E,""),""))</f>
        <v/>
      </c>
      <c r="V782" s="54" t="s">
        <v>2</v>
      </c>
      <c r="W782" s="54" t="s">
        <v>2</v>
      </c>
      <c r="X782" s="54" t="s">
        <v>2</v>
      </c>
      <c r="Y782" s="54" t="s">
        <v>2</v>
      </c>
      <c r="Z782" s="54" t="s">
        <v>2</v>
      </c>
      <c r="AA782" s="54" t="s">
        <v>2</v>
      </c>
      <c r="AB782" s="54" t="s">
        <v>2</v>
      </c>
      <c r="AC782" s="54" t="s">
        <v>2</v>
      </c>
      <c r="AD782" s="54" t="s">
        <v>2</v>
      </c>
      <c r="AE782" s="54" t="s">
        <v>2</v>
      </c>
      <c r="AF782" s="54" t="s">
        <v>2</v>
      </c>
      <c r="AG782" s="54" t="s">
        <v>2</v>
      </c>
    </row>
    <row r="783" ht="15.75" customHeight="1">
      <c r="B783" s="56"/>
      <c r="U783" s="46" t="str">
        <f t="array" ref="U783">IF($D783="","",IFERROR(_xlfn.XLOOKUP($D783,'TIR店舗一覧'!$D:$D,'TIR店舗一覧'!$E:$E,""),""))</f>
        <v/>
      </c>
      <c r="V783" s="54" t="s">
        <v>2</v>
      </c>
      <c r="W783" s="54" t="s">
        <v>2</v>
      </c>
      <c r="X783" s="54" t="s">
        <v>2</v>
      </c>
      <c r="Y783" s="54" t="s">
        <v>2</v>
      </c>
      <c r="Z783" s="54" t="s">
        <v>2</v>
      </c>
      <c r="AA783" s="54" t="s">
        <v>2</v>
      </c>
      <c r="AB783" s="54" t="s">
        <v>2</v>
      </c>
      <c r="AC783" s="54" t="s">
        <v>2</v>
      </c>
      <c r="AD783" s="54" t="s">
        <v>2</v>
      </c>
      <c r="AE783" s="54" t="s">
        <v>2</v>
      </c>
      <c r="AF783" s="54" t="s">
        <v>2</v>
      </c>
      <c r="AG783" s="54" t="s">
        <v>2</v>
      </c>
    </row>
    <row r="784" ht="15.75" customHeight="1">
      <c r="B784" s="56"/>
      <c r="U784" s="46" t="str">
        <f t="array" ref="U784">IF($D784="","",IFERROR(_xlfn.XLOOKUP($D784,'TIR店舗一覧'!$D:$D,'TIR店舗一覧'!$E:$E,""),""))</f>
        <v/>
      </c>
      <c r="V784" s="54" t="s">
        <v>2</v>
      </c>
      <c r="W784" s="54" t="s">
        <v>2</v>
      </c>
      <c r="X784" s="54" t="s">
        <v>2</v>
      </c>
      <c r="Y784" s="54" t="s">
        <v>2</v>
      </c>
      <c r="Z784" s="54" t="s">
        <v>2</v>
      </c>
      <c r="AA784" s="54" t="s">
        <v>2</v>
      </c>
      <c r="AB784" s="54" t="s">
        <v>2</v>
      </c>
      <c r="AC784" s="54" t="s">
        <v>2</v>
      </c>
      <c r="AD784" s="54" t="s">
        <v>2</v>
      </c>
      <c r="AE784" s="54" t="s">
        <v>2</v>
      </c>
      <c r="AF784" s="54" t="s">
        <v>2</v>
      </c>
      <c r="AG784" s="54" t="s">
        <v>2</v>
      </c>
    </row>
    <row r="785" ht="15.75" customHeight="1">
      <c r="B785" s="56"/>
      <c r="U785" s="46" t="str">
        <f t="array" ref="U785">IF($D785="","",IFERROR(_xlfn.XLOOKUP($D785,'TIR店舗一覧'!$D:$D,'TIR店舗一覧'!$E:$E,""),""))</f>
        <v/>
      </c>
      <c r="V785" s="54" t="s">
        <v>2</v>
      </c>
      <c r="W785" s="54" t="s">
        <v>2</v>
      </c>
      <c r="X785" s="54" t="s">
        <v>2</v>
      </c>
      <c r="Y785" s="54" t="s">
        <v>2</v>
      </c>
      <c r="Z785" s="54" t="s">
        <v>2</v>
      </c>
      <c r="AA785" s="54" t="s">
        <v>2</v>
      </c>
      <c r="AB785" s="54" t="s">
        <v>2</v>
      </c>
      <c r="AC785" s="54" t="s">
        <v>2</v>
      </c>
      <c r="AD785" s="54" t="s">
        <v>2</v>
      </c>
      <c r="AE785" s="54" t="s">
        <v>2</v>
      </c>
      <c r="AF785" s="54" t="s">
        <v>2</v>
      </c>
      <c r="AG785" s="54" t="s">
        <v>2</v>
      </c>
    </row>
    <row r="786" ht="15.75" customHeight="1">
      <c r="B786" s="56"/>
      <c r="U786" s="46" t="str">
        <f t="array" ref="U786">IF($D786="","",IFERROR(_xlfn.XLOOKUP($D786,'TIR店舗一覧'!$D:$D,'TIR店舗一覧'!$E:$E,""),""))</f>
        <v/>
      </c>
      <c r="V786" s="54" t="s">
        <v>2</v>
      </c>
      <c r="W786" s="54" t="s">
        <v>2</v>
      </c>
      <c r="X786" s="54" t="s">
        <v>2</v>
      </c>
      <c r="Y786" s="54" t="s">
        <v>2</v>
      </c>
      <c r="Z786" s="54" t="s">
        <v>2</v>
      </c>
      <c r="AA786" s="54" t="s">
        <v>2</v>
      </c>
      <c r="AB786" s="54" t="s">
        <v>2</v>
      </c>
      <c r="AC786" s="54" t="s">
        <v>2</v>
      </c>
      <c r="AD786" s="54" t="s">
        <v>2</v>
      </c>
      <c r="AE786" s="54" t="s">
        <v>2</v>
      </c>
      <c r="AF786" s="54" t="s">
        <v>2</v>
      </c>
      <c r="AG786" s="54" t="s">
        <v>2</v>
      </c>
    </row>
    <row r="787" ht="15.75" customHeight="1">
      <c r="B787" s="56"/>
      <c r="U787" s="46" t="str">
        <f t="array" ref="U787">IF($D787="","",IFERROR(_xlfn.XLOOKUP($D787,'TIR店舗一覧'!$D:$D,'TIR店舗一覧'!$E:$E,""),""))</f>
        <v/>
      </c>
      <c r="V787" s="54" t="s">
        <v>2</v>
      </c>
      <c r="W787" s="54" t="s">
        <v>2</v>
      </c>
      <c r="X787" s="54" t="s">
        <v>2</v>
      </c>
      <c r="Y787" s="54" t="s">
        <v>2</v>
      </c>
      <c r="Z787" s="54" t="s">
        <v>2</v>
      </c>
      <c r="AA787" s="54" t="s">
        <v>2</v>
      </c>
      <c r="AB787" s="54" t="s">
        <v>2</v>
      </c>
      <c r="AC787" s="54" t="s">
        <v>2</v>
      </c>
      <c r="AD787" s="54" t="s">
        <v>2</v>
      </c>
      <c r="AE787" s="54" t="s">
        <v>2</v>
      </c>
      <c r="AF787" s="54" t="s">
        <v>2</v>
      </c>
      <c r="AG787" s="54" t="s">
        <v>2</v>
      </c>
    </row>
    <row r="788" ht="15.75" customHeight="1">
      <c r="B788" s="56"/>
      <c r="U788" s="46" t="str">
        <f t="array" ref="U788">IF($D788="","",IFERROR(_xlfn.XLOOKUP($D788,'TIR店舗一覧'!$D:$D,'TIR店舗一覧'!$E:$E,""),""))</f>
        <v/>
      </c>
      <c r="V788" s="54" t="s">
        <v>2</v>
      </c>
      <c r="W788" s="54" t="s">
        <v>2</v>
      </c>
      <c r="X788" s="54" t="s">
        <v>2</v>
      </c>
      <c r="Y788" s="54" t="s">
        <v>2</v>
      </c>
      <c r="Z788" s="54" t="s">
        <v>2</v>
      </c>
      <c r="AA788" s="54" t="s">
        <v>2</v>
      </c>
      <c r="AB788" s="54" t="s">
        <v>2</v>
      </c>
      <c r="AC788" s="54" t="s">
        <v>2</v>
      </c>
      <c r="AD788" s="54" t="s">
        <v>2</v>
      </c>
      <c r="AE788" s="54" t="s">
        <v>2</v>
      </c>
      <c r="AF788" s="54" t="s">
        <v>2</v>
      </c>
      <c r="AG788" s="54" t="s">
        <v>2</v>
      </c>
    </row>
    <row r="789" ht="15.75" customHeight="1">
      <c r="B789" s="56"/>
      <c r="U789" s="46" t="str">
        <f t="array" ref="U789">IF($D789="","",IFERROR(_xlfn.XLOOKUP($D789,'TIR店舗一覧'!$D:$D,'TIR店舗一覧'!$E:$E,""),""))</f>
        <v/>
      </c>
      <c r="V789" s="54" t="s">
        <v>2</v>
      </c>
      <c r="W789" s="54" t="s">
        <v>2</v>
      </c>
      <c r="X789" s="54" t="s">
        <v>2</v>
      </c>
      <c r="Y789" s="54" t="s">
        <v>2</v>
      </c>
      <c r="Z789" s="54" t="s">
        <v>2</v>
      </c>
      <c r="AA789" s="54" t="s">
        <v>2</v>
      </c>
      <c r="AB789" s="54" t="s">
        <v>2</v>
      </c>
      <c r="AC789" s="54" t="s">
        <v>2</v>
      </c>
      <c r="AD789" s="54" t="s">
        <v>2</v>
      </c>
      <c r="AE789" s="54" t="s">
        <v>2</v>
      </c>
      <c r="AF789" s="54" t="s">
        <v>2</v>
      </c>
      <c r="AG789" s="54" t="s">
        <v>2</v>
      </c>
    </row>
    <row r="790" ht="15.75" customHeight="1">
      <c r="B790" s="56"/>
      <c r="U790" s="46" t="str">
        <f t="array" ref="U790">IF($D790="","",IFERROR(_xlfn.XLOOKUP($D790,'TIR店舗一覧'!$D:$D,'TIR店舗一覧'!$E:$E,""),""))</f>
        <v/>
      </c>
      <c r="V790" s="54" t="s">
        <v>2</v>
      </c>
      <c r="W790" s="54" t="s">
        <v>2</v>
      </c>
      <c r="X790" s="54" t="s">
        <v>2</v>
      </c>
      <c r="Y790" s="54" t="s">
        <v>2</v>
      </c>
      <c r="Z790" s="54" t="s">
        <v>2</v>
      </c>
      <c r="AA790" s="54" t="s">
        <v>2</v>
      </c>
      <c r="AB790" s="54" t="s">
        <v>2</v>
      </c>
      <c r="AC790" s="54" t="s">
        <v>2</v>
      </c>
      <c r="AD790" s="54" t="s">
        <v>2</v>
      </c>
      <c r="AE790" s="54" t="s">
        <v>2</v>
      </c>
      <c r="AF790" s="54" t="s">
        <v>2</v>
      </c>
      <c r="AG790" s="54" t="s">
        <v>2</v>
      </c>
    </row>
    <row r="791" ht="15.75" customHeight="1">
      <c r="B791" s="56"/>
      <c r="U791" s="46" t="str">
        <f t="array" ref="U791">IF($D791="","",IFERROR(_xlfn.XLOOKUP($D791,'TIR店舗一覧'!$D:$D,'TIR店舗一覧'!$E:$E,""),""))</f>
        <v/>
      </c>
      <c r="V791" s="54" t="s">
        <v>2</v>
      </c>
      <c r="W791" s="54" t="s">
        <v>2</v>
      </c>
      <c r="X791" s="54" t="s">
        <v>2</v>
      </c>
      <c r="Y791" s="54" t="s">
        <v>2</v>
      </c>
      <c r="Z791" s="54" t="s">
        <v>2</v>
      </c>
      <c r="AA791" s="54" t="s">
        <v>2</v>
      </c>
      <c r="AB791" s="54" t="s">
        <v>2</v>
      </c>
      <c r="AC791" s="54" t="s">
        <v>2</v>
      </c>
      <c r="AD791" s="54" t="s">
        <v>2</v>
      </c>
      <c r="AE791" s="54" t="s">
        <v>2</v>
      </c>
      <c r="AF791" s="54" t="s">
        <v>2</v>
      </c>
      <c r="AG791" s="54" t="s">
        <v>2</v>
      </c>
    </row>
    <row r="792" ht="15.75" customHeight="1">
      <c r="B792" s="56"/>
      <c r="U792" s="46" t="str">
        <f t="array" ref="U792">IF($D792="","",IFERROR(_xlfn.XLOOKUP($D792,'TIR店舗一覧'!$D:$D,'TIR店舗一覧'!$E:$E,""),""))</f>
        <v/>
      </c>
      <c r="V792" s="54" t="s">
        <v>2</v>
      </c>
      <c r="W792" s="54" t="s">
        <v>2</v>
      </c>
      <c r="X792" s="54" t="s">
        <v>2</v>
      </c>
      <c r="Y792" s="54" t="s">
        <v>2</v>
      </c>
      <c r="Z792" s="54" t="s">
        <v>2</v>
      </c>
      <c r="AA792" s="54" t="s">
        <v>2</v>
      </c>
      <c r="AB792" s="54" t="s">
        <v>2</v>
      </c>
      <c r="AC792" s="54" t="s">
        <v>2</v>
      </c>
      <c r="AD792" s="54" t="s">
        <v>2</v>
      </c>
      <c r="AE792" s="54" t="s">
        <v>2</v>
      </c>
      <c r="AF792" s="54" t="s">
        <v>2</v>
      </c>
      <c r="AG792" s="54" t="s">
        <v>2</v>
      </c>
    </row>
    <row r="793" ht="15.75" customHeight="1">
      <c r="B793" s="56"/>
      <c r="U793" s="46" t="str">
        <f t="array" ref="U793">IF($D793="","",IFERROR(_xlfn.XLOOKUP($D793,'TIR店舗一覧'!$D:$D,'TIR店舗一覧'!$E:$E,""),""))</f>
        <v/>
      </c>
      <c r="V793" s="54" t="s">
        <v>2</v>
      </c>
      <c r="W793" s="54" t="s">
        <v>2</v>
      </c>
      <c r="X793" s="54" t="s">
        <v>2</v>
      </c>
      <c r="Y793" s="54" t="s">
        <v>2</v>
      </c>
      <c r="Z793" s="54" t="s">
        <v>2</v>
      </c>
      <c r="AA793" s="54" t="s">
        <v>2</v>
      </c>
      <c r="AB793" s="54" t="s">
        <v>2</v>
      </c>
      <c r="AC793" s="54" t="s">
        <v>2</v>
      </c>
      <c r="AD793" s="54" t="s">
        <v>2</v>
      </c>
      <c r="AE793" s="54" t="s">
        <v>2</v>
      </c>
      <c r="AF793" s="54" t="s">
        <v>2</v>
      </c>
      <c r="AG793" s="54" t="s">
        <v>2</v>
      </c>
    </row>
    <row r="794" ht="15.75" customHeight="1">
      <c r="B794" s="56"/>
      <c r="U794" s="46" t="str">
        <f t="array" ref="U794">IF($D794="","",IFERROR(_xlfn.XLOOKUP($D794,'TIR店舗一覧'!$D:$D,'TIR店舗一覧'!$E:$E,""),""))</f>
        <v/>
      </c>
      <c r="V794" s="54" t="s">
        <v>2</v>
      </c>
      <c r="W794" s="54" t="s">
        <v>2</v>
      </c>
      <c r="X794" s="54" t="s">
        <v>2</v>
      </c>
      <c r="Y794" s="54" t="s">
        <v>2</v>
      </c>
      <c r="Z794" s="54" t="s">
        <v>2</v>
      </c>
      <c r="AA794" s="54" t="s">
        <v>2</v>
      </c>
      <c r="AB794" s="54" t="s">
        <v>2</v>
      </c>
      <c r="AC794" s="54" t="s">
        <v>2</v>
      </c>
      <c r="AD794" s="54" t="s">
        <v>2</v>
      </c>
      <c r="AE794" s="54" t="s">
        <v>2</v>
      </c>
      <c r="AF794" s="54" t="s">
        <v>2</v>
      </c>
      <c r="AG794" s="54" t="s">
        <v>2</v>
      </c>
    </row>
    <row r="795" ht="15.75" customHeight="1">
      <c r="B795" s="56"/>
      <c r="U795" s="46" t="str">
        <f t="array" ref="U795">IF($D795="","",IFERROR(_xlfn.XLOOKUP($D795,'TIR店舗一覧'!$D:$D,'TIR店舗一覧'!$E:$E,""),""))</f>
        <v/>
      </c>
      <c r="V795" s="54" t="s">
        <v>2</v>
      </c>
      <c r="W795" s="54" t="s">
        <v>2</v>
      </c>
      <c r="X795" s="54" t="s">
        <v>2</v>
      </c>
      <c r="Y795" s="54" t="s">
        <v>2</v>
      </c>
      <c r="Z795" s="54" t="s">
        <v>2</v>
      </c>
      <c r="AA795" s="54" t="s">
        <v>2</v>
      </c>
      <c r="AB795" s="54" t="s">
        <v>2</v>
      </c>
      <c r="AC795" s="54" t="s">
        <v>2</v>
      </c>
      <c r="AD795" s="54" t="s">
        <v>2</v>
      </c>
      <c r="AE795" s="54" t="s">
        <v>2</v>
      </c>
      <c r="AF795" s="54" t="s">
        <v>2</v>
      </c>
      <c r="AG795" s="54" t="s">
        <v>2</v>
      </c>
    </row>
    <row r="796" ht="15.75" customHeight="1">
      <c r="B796" s="56"/>
      <c r="U796" s="46" t="str">
        <f t="array" ref="U796">IF($D796="","",IFERROR(_xlfn.XLOOKUP($D796,'TIR店舗一覧'!$D:$D,'TIR店舗一覧'!$E:$E,""),""))</f>
        <v/>
      </c>
      <c r="V796" s="54" t="s">
        <v>2</v>
      </c>
      <c r="W796" s="54" t="s">
        <v>2</v>
      </c>
      <c r="X796" s="54" t="s">
        <v>2</v>
      </c>
      <c r="Y796" s="54" t="s">
        <v>2</v>
      </c>
      <c r="Z796" s="54" t="s">
        <v>2</v>
      </c>
      <c r="AA796" s="54" t="s">
        <v>2</v>
      </c>
      <c r="AB796" s="54" t="s">
        <v>2</v>
      </c>
      <c r="AC796" s="54" t="s">
        <v>2</v>
      </c>
      <c r="AD796" s="54" t="s">
        <v>2</v>
      </c>
      <c r="AE796" s="54" t="s">
        <v>2</v>
      </c>
      <c r="AF796" s="54" t="s">
        <v>2</v>
      </c>
      <c r="AG796" s="54" t="s">
        <v>2</v>
      </c>
    </row>
    <row r="797" ht="15.75" customHeight="1">
      <c r="B797" s="56"/>
      <c r="U797" s="46" t="str">
        <f t="array" ref="U797">IF($D797="","",IFERROR(_xlfn.XLOOKUP($D797,'TIR店舗一覧'!$D:$D,'TIR店舗一覧'!$E:$E,""),""))</f>
        <v/>
      </c>
      <c r="V797" s="54" t="s">
        <v>2</v>
      </c>
      <c r="W797" s="54" t="s">
        <v>2</v>
      </c>
      <c r="X797" s="54" t="s">
        <v>2</v>
      </c>
      <c r="Y797" s="54" t="s">
        <v>2</v>
      </c>
      <c r="Z797" s="54" t="s">
        <v>2</v>
      </c>
      <c r="AA797" s="54" t="s">
        <v>2</v>
      </c>
      <c r="AB797" s="54" t="s">
        <v>2</v>
      </c>
      <c r="AC797" s="54" t="s">
        <v>2</v>
      </c>
      <c r="AD797" s="54" t="s">
        <v>2</v>
      </c>
      <c r="AE797" s="54" t="s">
        <v>2</v>
      </c>
      <c r="AF797" s="54" t="s">
        <v>2</v>
      </c>
      <c r="AG797" s="54" t="s">
        <v>2</v>
      </c>
    </row>
    <row r="798" ht="15.75" customHeight="1">
      <c r="B798" s="56"/>
      <c r="U798" s="46" t="str">
        <f t="array" ref="U798">IF($D798="","",IFERROR(_xlfn.XLOOKUP($D798,'TIR店舗一覧'!$D:$D,'TIR店舗一覧'!$E:$E,""),""))</f>
        <v/>
      </c>
      <c r="V798" s="54" t="s">
        <v>2</v>
      </c>
      <c r="W798" s="54" t="s">
        <v>2</v>
      </c>
      <c r="X798" s="54" t="s">
        <v>2</v>
      </c>
      <c r="Y798" s="54" t="s">
        <v>2</v>
      </c>
      <c r="Z798" s="54" t="s">
        <v>2</v>
      </c>
      <c r="AA798" s="54" t="s">
        <v>2</v>
      </c>
      <c r="AB798" s="54" t="s">
        <v>2</v>
      </c>
      <c r="AC798" s="54" t="s">
        <v>2</v>
      </c>
      <c r="AD798" s="54" t="s">
        <v>2</v>
      </c>
      <c r="AE798" s="54" t="s">
        <v>2</v>
      </c>
      <c r="AF798" s="54" t="s">
        <v>2</v>
      </c>
      <c r="AG798" s="54" t="s">
        <v>2</v>
      </c>
    </row>
    <row r="799" ht="15.75" customHeight="1">
      <c r="B799" s="56"/>
      <c r="U799" s="46" t="str">
        <f t="array" ref="U799">IF($D799="","",IFERROR(_xlfn.XLOOKUP($D799,'TIR店舗一覧'!$D:$D,'TIR店舗一覧'!$E:$E,""),""))</f>
        <v/>
      </c>
      <c r="V799" s="54" t="s">
        <v>2</v>
      </c>
      <c r="W799" s="54" t="s">
        <v>2</v>
      </c>
      <c r="X799" s="54" t="s">
        <v>2</v>
      </c>
      <c r="Y799" s="54" t="s">
        <v>2</v>
      </c>
      <c r="Z799" s="54" t="s">
        <v>2</v>
      </c>
      <c r="AA799" s="54" t="s">
        <v>2</v>
      </c>
      <c r="AB799" s="54" t="s">
        <v>2</v>
      </c>
      <c r="AC799" s="54" t="s">
        <v>2</v>
      </c>
      <c r="AD799" s="54" t="s">
        <v>2</v>
      </c>
      <c r="AE799" s="54" t="s">
        <v>2</v>
      </c>
      <c r="AF799" s="54" t="s">
        <v>2</v>
      </c>
      <c r="AG799" s="54" t="s">
        <v>2</v>
      </c>
    </row>
    <row r="800" ht="15.75" customHeight="1">
      <c r="B800" s="56"/>
      <c r="U800" s="46" t="str">
        <f t="array" ref="U800">IF($D800="","",IFERROR(_xlfn.XLOOKUP($D800,'TIR店舗一覧'!$D:$D,'TIR店舗一覧'!$E:$E,""),""))</f>
        <v/>
      </c>
      <c r="V800" s="54" t="s">
        <v>2</v>
      </c>
      <c r="W800" s="54" t="s">
        <v>2</v>
      </c>
      <c r="X800" s="54" t="s">
        <v>2</v>
      </c>
      <c r="Y800" s="54" t="s">
        <v>2</v>
      </c>
      <c r="Z800" s="54" t="s">
        <v>2</v>
      </c>
      <c r="AA800" s="54" t="s">
        <v>2</v>
      </c>
      <c r="AB800" s="54" t="s">
        <v>2</v>
      </c>
      <c r="AC800" s="54" t="s">
        <v>2</v>
      </c>
      <c r="AD800" s="54" t="s">
        <v>2</v>
      </c>
      <c r="AE800" s="54" t="s">
        <v>2</v>
      </c>
      <c r="AF800" s="54" t="s">
        <v>2</v>
      </c>
      <c r="AG800" s="54" t="s">
        <v>2</v>
      </c>
    </row>
    <row r="801" ht="15.75" customHeight="1">
      <c r="B801" s="56"/>
      <c r="U801" s="46" t="str">
        <f t="array" ref="U801">IF($D801="","",IFERROR(_xlfn.XLOOKUP($D801,'TIR店舗一覧'!$D:$D,'TIR店舗一覧'!$E:$E,""),""))</f>
        <v/>
      </c>
      <c r="V801" s="54" t="s">
        <v>2</v>
      </c>
      <c r="W801" s="54" t="s">
        <v>2</v>
      </c>
      <c r="X801" s="54" t="s">
        <v>2</v>
      </c>
      <c r="Y801" s="54" t="s">
        <v>2</v>
      </c>
      <c r="Z801" s="54" t="s">
        <v>2</v>
      </c>
      <c r="AA801" s="54" t="s">
        <v>2</v>
      </c>
      <c r="AB801" s="54" t="s">
        <v>2</v>
      </c>
      <c r="AC801" s="54" t="s">
        <v>2</v>
      </c>
      <c r="AD801" s="54" t="s">
        <v>2</v>
      </c>
      <c r="AE801" s="54" t="s">
        <v>2</v>
      </c>
      <c r="AF801" s="54" t="s">
        <v>2</v>
      </c>
      <c r="AG801" s="54" t="s">
        <v>2</v>
      </c>
    </row>
    <row r="802" ht="15.75" customHeight="1">
      <c r="B802" s="56"/>
      <c r="U802" s="46" t="str">
        <f t="array" ref="U802">IF($D802="","",IFERROR(_xlfn.XLOOKUP($D802,'TIR店舗一覧'!$D:$D,'TIR店舗一覧'!$E:$E,""),""))</f>
        <v/>
      </c>
      <c r="V802" s="54" t="s">
        <v>2</v>
      </c>
      <c r="W802" s="54" t="s">
        <v>2</v>
      </c>
      <c r="X802" s="54" t="s">
        <v>2</v>
      </c>
      <c r="Y802" s="54" t="s">
        <v>2</v>
      </c>
      <c r="Z802" s="54" t="s">
        <v>2</v>
      </c>
      <c r="AA802" s="54" t="s">
        <v>2</v>
      </c>
      <c r="AB802" s="54" t="s">
        <v>2</v>
      </c>
      <c r="AC802" s="54" t="s">
        <v>2</v>
      </c>
      <c r="AD802" s="54" t="s">
        <v>2</v>
      </c>
      <c r="AE802" s="54" t="s">
        <v>2</v>
      </c>
      <c r="AF802" s="54" t="s">
        <v>2</v>
      </c>
      <c r="AG802" s="54" t="s">
        <v>2</v>
      </c>
    </row>
    <row r="803" ht="15.75" customHeight="1">
      <c r="B803" s="56"/>
      <c r="U803" s="46" t="str">
        <f t="array" ref="U803">IF($D803="","",IFERROR(_xlfn.XLOOKUP($D803,'TIR店舗一覧'!$D:$D,'TIR店舗一覧'!$E:$E,""),""))</f>
        <v/>
      </c>
      <c r="V803" s="54" t="s">
        <v>2</v>
      </c>
      <c r="W803" s="54" t="s">
        <v>2</v>
      </c>
      <c r="X803" s="54" t="s">
        <v>2</v>
      </c>
      <c r="Y803" s="54" t="s">
        <v>2</v>
      </c>
      <c r="Z803" s="54" t="s">
        <v>2</v>
      </c>
      <c r="AA803" s="54" t="s">
        <v>2</v>
      </c>
      <c r="AB803" s="54" t="s">
        <v>2</v>
      </c>
      <c r="AC803" s="54" t="s">
        <v>2</v>
      </c>
      <c r="AD803" s="54" t="s">
        <v>2</v>
      </c>
      <c r="AE803" s="54" t="s">
        <v>2</v>
      </c>
      <c r="AF803" s="54" t="s">
        <v>2</v>
      </c>
      <c r="AG803" s="54" t="s">
        <v>2</v>
      </c>
    </row>
    <row r="804" ht="15.75" customHeight="1">
      <c r="B804" s="56"/>
      <c r="U804" s="46" t="str">
        <f t="array" ref="U804">IF($D804="","",IFERROR(_xlfn.XLOOKUP($D804,'TIR店舗一覧'!$D:$D,'TIR店舗一覧'!$E:$E,""),""))</f>
        <v/>
      </c>
      <c r="V804" s="54" t="s">
        <v>2</v>
      </c>
      <c r="W804" s="54" t="s">
        <v>2</v>
      </c>
      <c r="X804" s="54" t="s">
        <v>2</v>
      </c>
      <c r="Y804" s="54" t="s">
        <v>2</v>
      </c>
      <c r="Z804" s="54" t="s">
        <v>2</v>
      </c>
      <c r="AA804" s="54" t="s">
        <v>2</v>
      </c>
      <c r="AB804" s="54" t="s">
        <v>2</v>
      </c>
      <c r="AC804" s="54" t="s">
        <v>2</v>
      </c>
      <c r="AD804" s="54" t="s">
        <v>2</v>
      </c>
      <c r="AE804" s="54" t="s">
        <v>2</v>
      </c>
      <c r="AF804" s="54" t="s">
        <v>2</v>
      </c>
      <c r="AG804" s="54" t="s">
        <v>2</v>
      </c>
    </row>
    <row r="805" ht="15.75" customHeight="1">
      <c r="B805" s="56"/>
      <c r="U805" s="46" t="str">
        <f t="array" ref="U805">IF($D805="","",IFERROR(_xlfn.XLOOKUP($D805,'TIR店舗一覧'!$D:$D,'TIR店舗一覧'!$E:$E,""),""))</f>
        <v/>
      </c>
      <c r="V805" s="54" t="s">
        <v>2</v>
      </c>
      <c r="W805" s="54" t="s">
        <v>2</v>
      </c>
      <c r="X805" s="54" t="s">
        <v>2</v>
      </c>
      <c r="Y805" s="54" t="s">
        <v>2</v>
      </c>
      <c r="Z805" s="54" t="s">
        <v>2</v>
      </c>
      <c r="AA805" s="54" t="s">
        <v>2</v>
      </c>
      <c r="AB805" s="54" t="s">
        <v>2</v>
      </c>
      <c r="AC805" s="54" t="s">
        <v>2</v>
      </c>
      <c r="AD805" s="54" t="s">
        <v>2</v>
      </c>
      <c r="AE805" s="54" t="s">
        <v>2</v>
      </c>
      <c r="AF805" s="54" t="s">
        <v>2</v>
      </c>
      <c r="AG805" s="54" t="s">
        <v>2</v>
      </c>
    </row>
    <row r="806" ht="15.75" customHeight="1">
      <c r="B806" s="56"/>
      <c r="U806" s="46" t="str">
        <f t="array" ref="U806">IF($D806="","",IFERROR(_xlfn.XLOOKUP($D806,'TIR店舗一覧'!$D:$D,'TIR店舗一覧'!$E:$E,""),""))</f>
        <v/>
      </c>
      <c r="V806" s="54" t="s">
        <v>2</v>
      </c>
      <c r="W806" s="54" t="s">
        <v>2</v>
      </c>
      <c r="X806" s="54" t="s">
        <v>2</v>
      </c>
      <c r="Y806" s="54" t="s">
        <v>2</v>
      </c>
      <c r="Z806" s="54" t="s">
        <v>2</v>
      </c>
      <c r="AA806" s="54" t="s">
        <v>2</v>
      </c>
      <c r="AB806" s="54" t="s">
        <v>2</v>
      </c>
      <c r="AC806" s="54" t="s">
        <v>2</v>
      </c>
      <c r="AD806" s="54" t="s">
        <v>2</v>
      </c>
      <c r="AE806" s="54" t="s">
        <v>2</v>
      </c>
      <c r="AF806" s="54" t="s">
        <v>2</v>
      </c>
      <c r="AG806" s="54" t="s">
        <v>2</v>
      </c>
    </row>
    <row r="807" ht="15.75" customHeight="1">
      <c r="B807" s="56"/>
      <c r="U807" s="46" t="str">
        <f t="array" ref="U807">IF($D807="","",IFERROR(_xlfn.XLOOKUP($D807,'TIR店舗一覧'!$D:$D,'TIR店舗一覧'!$E:$E,""),""))</f>
        <v/>
      </c>
      <c r="V807" s="54" t="s">
        <v>2</v>
      </c>
      <c r="W807" s="54" t="s">
        <v>2</v>
      </c>
      <c r="X807" s="54" t="s">
        <v>2</v>
      </c>
      <c r="Y807" s="54" t="s">
        <v>2</v>
      </c>
      <c r="Z807" s="54" t="s">
        <v>2</v>
      </c>
      <c r="AA807" s="54" t="s">
        <v>2</v>
      </c>
      <c r="AB807" s="54" t="s">
        <v>2</v>
      </c>
      <c r="AC807" s="54" t="s">
        <v>2</v>
      </c>
      <c r="AD807" s="54" t="s">
        <v>2</v>
      </c>
      <c r="AE807" s="54" t="s">
        <v>2</v>
      </c>
      <c r="AF807" s="54" t="s">
        <v>2</v>
      </c>
      <c r="AG807" s="54" t="s">
        <v>2</v>
      </c>
    </row>
    <row r="808" ht="15.75" customHeight="1">
      <c r="B808" s="56"/>
      <c r="U808" s="46" t="str">
        <f t="array" ref="U808">IF($D808="","",IFERROR(_xlfn.XLOOKUP($D808,'TIR店舗一覧'!$D:$D,'TIR店舗一覧'!$E:$E,""),""))</f>
        <v/>
      </c>
      <c r="V808" s="54" t="s">
        <v>2</v>
      </c>
      <c r="W808" s="54" t="s">
        <v>2</v>
      </c>
      <c r="X808" s="54" t="s">
        <v>2</v>
      </c>
      <c r="Y808" s="54" t="s">
        <v>2</v>
      </c>
      <c r="Z808" s="54" t="s">
        <v>2</v>
      </c>
      <c r="AA808" s="54" t="s">
        <v>2</v>
      </c>
      <c r="AB808" s="54" t="s">
        <v>2</v>
      </c>
      <c r="AC808" s="54" t="s">
        <v>2</v>
      </c>
      <c r="AD808" s="54" t="s">
        <v>2</v>
      </c>
      <c r="AE808" s="54" t="s">
        <v>2</v>
      </c>
      <c r="AF808" s="54" t="s">
        <v>2</v>
      </c>
      <c r="AG808" s="54" t="s">
        <v>2</v>
      </c>
    </row>
    <row r="809" ht="15.75" customHeight="1">
      <c r="B809" s="56"/>
      <c r="U809" s="46" t="str">
        <f t="array" ref="U809">IF($D809="","",IFERROR(_xlfn.XLOOKUP($D809,'TIR店舗一覧'!$D:$D,'TIR店舗一覧'!$E:$E,""),""))</f>
        <v/>
      </c>
      <c r="V809" s="54" t="s">
        <v>2</v>
      </c>
      <c r="W809" s="54" t="s">
        <v>2</v>
      </c>
      <c r="X809" s="54" t="s">
        <v>2</v>
      </c>
      <c r="Y809" s="54" t="s">
        <v>2</v>
      </c>
      <c r="Z809" s="54" t="s">
        <v>2</v>
      </c>
      <c r="AA809" s="54" t="s">
        <v>2</v>
      </c>
      <c r="AB809" s="54" t="s">
        <v>2</v>
      </c>
      <c r="AC809" s="54" t="s">
        <v>2</v>
      </c>
      <c r="AD809" s="54" t="s">
        <v>2</v>
      </c>
      <c r="AE809" s="54" t="s">
        <v>2</v>
      </c>
      <c r="AF809" s="54" t="s">
        <v>2</v>
      </c>
      <c r="AG809" s="54" t="s">
        <v>2</v>
      </c>
    </row>
    <row r="810" ht="15.75" customHeight="1">
      <c r="B810" s="56"/>
      <c r="U810" s="46" t="str">
        <f t="array" ref="U810">IF($D810="","",IFERROR(_xlfn.XLOOKUP($D810,'TIR店舗一覧'!$D:$D,'TIR店舗一覧'!$E:$E,""),""))</f>
        <v/>
      </c>
      <c r="V810" s="54" t="s">
        <v>2</v>
      </c>
      <c r="W810" s="54" t="s">
        <v>2</v>
      </c>
      <c r="X810" s="54" t="s">
        <v>2</v>
      </c>
      <c r="Y810" s="54" t="s">
        <v>2</v>
      </c>
      <c r="Z810" s="54" t="s">
        <v>2</v>
      </c>
      <c r="AA810" s="54" t="s">
        <v>2</v>
      </c>
      <c r="AB810" s="54" t="s">
        <v>2</v>
      </c>
      <c r="AC810" s="54" t="s">
        <v>2</v>
      </c>
      <c r="AD810" s="54" t="s">
        <v>2</v>
      </c>
      <c r="AE810" s="54" t="s">
        <v>2</v>
      </c>
      <c r="AF810" s="54" t="s">
        <v>2</v>
      </c>
      <c r="AG810" s="54" t="s">
        <v>2</v>
      </c>
    </row>
    <row r="811" ht="15.75" customHeight="1">
      <c r="B811" s="56"/>
      <c r="U811" s="46" t="str">
        <f t="array" ref="U811">IF($D811="","",IFERROR(_xlfn.XLOOKUP($D811,'TIR店舗一覧'!$D:$D,'TIR店舗一覧'!$E:$E,""),""))</f>
        <v/>
      </c>
      <c r="V811" s="54" t="s">
        <v>2</v>
      </c>
      <c r="W811" s="54" t="s">
        <v>2</v>
      </c>
      <c r="X811" s="54" t="s">
        <v>2</v>
      </c>
      <c r="Y811" s="54" t="s">
        <v>2</v>
      </c>
      <c r="Z811" s="54" t="s">
        <v>2</v>
      </c>
      <c r="AA811" s="54" t="s">
        <v>2</v>
      </c>
      <c r="AB811" s="54" t="s">
        <v>2</v>
      </c>
      <c r="AC811" s="54" t="s">
        <v>2</v>
      </c>
      <c r="AD811" s="54" t="s">
        <v>2</v>
      </c>
      <c r="AE811" s="54" t="s">
        <v>2</v>
      </c>
      <c r="AF811" s="54" t="s">
        <v>2</v>
      </c>
      <c r="AG811" s="54" t="s">
        <v>2</v>
      </c>
    </row>
    <row r="812" ht="15.75" customHeight="1">
      <c r="B812" s="56"/>
      <c r="U812" s="46" t="str">
        <f t="array" ref="U812">IF($D812="","",IFERROR(_xlfn.XLOOKUP($D812,'TIR店舗一覧'!$D:$D,'TIR店舗一覧'!$E:$E,""),""))</f>
        <v/>
      </c>
      <c r="V812" s="54" t="s">
        <v>2</v>
      </c>
      <c r="W812" s="54" t="s">
        <v>2</v>
      </c>
      <c r="X812" s="54" t="s">
        <v>2</v>
      </c>
      <c r="Y812" s="54" t="s">
        <v>2</v>
      </c>
      <c r="Z812" s="54" t="s">
        <v>2</v>
      </c>
      <c r="AA812" s="54" t="s">
        <v>2</v>
      </c>
      <c r="AB812" s="54" t="s">
        <v>2</v>
      </c>
      <c r="AC812" s="54" t="s">
        <v>2</v>
      </c>
      <c r="AD812" s="54" t="s">
        <v>2</v>
      </c>
      <c r="AE812" s="54" t="s">
        <v>2</v>
      </c>
      <c r="AF812" s="54" t="s">
        <v>2</v>
      </c>
      <c r="AG812" s="54" t="s">
        <v>2</v>
      </c>
    </row>
    <row r="813" ht="15.75" customHeight="1">
      <c r="B813" s="56"/>
      <c r="U813" s="46" t="str">
        <f t="array" ref="U813">IF($D813="","",IFERROR(_xlfn.XLOOKUP($D813,'TIR店舗一覧'!$D:$D,'TIR店舗一覧'!$E:$E,""),""))</f>
        <v/>
      </c>
      <c r="V813" s="54" t="s">
        <v>2</v>
      </c>
      <c r="W813" s="54" t="s">
        <v>2</v>
      </c>
      <c r="X813" s="54" t="s">
        <v>2</v>
      </c>
      <c r="Y813" s="54" t="s">
        <v>2</v>
      </c>
      <c r="Z813" s="54" t="s">
        <v>2</v>
      </c>
      <c r="AA813" s="54" t="s">
        <v>2</v>
      </c>
      <c r="AB813" s="54" t="s">
        <v>2</v>
      </c>
      <c r="AC813" s="54" t="s">
        <v>2</v>
      </c>
      <c r="AD813" s="54" t="s">
        <v>2</v>
      </c>
      <c r="AE813" s="54" t="s">
        <v>2</v>
      </c>
      <c r="AF813" s="54" t="s">
        <v>2</v>
      </c>
      <c r="AG813" s="54" t="s">
        <v>2</v>
      </c>
    </row>
    <row r="814" ht="15.75" customHeight="1">
      <c r="B814" s="56"/>
      <c r="U814" s="46" t="str">
        <f t="array" ref="U814">IF($D814="","",IFERROR(_xlfn.XLOOKUP($D814,'TIR店舗一覧'!$D:$D,'TIR店舗一覧'!$E:$E,""),""))</f>
        <v/>
      </c>
      <c r="V814" s="54" t="s">
        <v>2</v>
      </c>
      <c r="W814" s="54" t="s">
        <v>2</v>
      </c>
      <c r="X814" s="54" t="s">
        <v>2</v>
      </c>
      <c r="Y814" s="54" t="s">
        <v>2</v>
      </c>
      <c r="Z814" s="54" t="s">
        <v>2</v>
      </c>
      <c r="AA814" s="54" t="s">
        <v>2</v>
      </c>
      <c r="AB814" s="54" t="s">
        <v>2</v>
      </c>
      <c r="AC814" s="54" t="s">
        <v>2</v>
      </c>
      <c r="AD814" s="54" t="s">
        <v>2</v>
      </c>
      <c r="AE814" s="54" t="s">
        <v>2</v>
      </c>
      <c r="AF814" s="54" t="s">
        <v>2</v>
      </c>
      <c r="AG814" s="54" t="s">
        <v>2</v>
      </c>
    </row>
    <row r="815" ht="15.75" customHeight="1">
      <c r="B815" s="56"/>
      <c r="U815" s="46" t="str">
        <f t="array" ref="U815">IF($D815="","",IFERROR(_xlfn.XLOOKUP($D815,'TIR店舗一覧'!$D:$D,'TIR店舗一覧'!$E:$E,""),""))</f>
        <v/>
      </c>
      <c r="V815" s="54" t="s">
        <v>2</v>
      </c>
      <c r="W815" s="54" t="s">
        <v>2</v>
      </c>
      <c r="X815" s="54" t="s">
        <v>2</v>
      </c>
      <c r="Y815" s="54" t="s">
        <v>2</v>
      </c>
      <c r="Z815" s="54" t="s">
        <v>2</v>
      </c>
      <c r="AA815" s="54" t="s">
        <v>2</v>
      </c>
      <c r="AB815" s="54" t="s">
        <v>2</v>
      </c>
      <c r="AC815" s="54" t="s">
        <v>2</v>
      </c>
      <c r="AD815" s="54" t="s">
        <v>2</v>
      </c>
      <c r="AE815" s="54" t="s">
        <v>2</v>
      </c>
      <c r="AF815" s="54" t="s">
        <v>2</v>
      </c>
      <c r="AG815" s="54" t="s">
        <v>2</v>
      </c>
    </row>
    <row r="816" ht="15.75" customHeight="1">
      <c r="B816" s="56"/>
      <c r="U816" s="46" t="str">
        <f t="array" ref="U816">IF($D816="","",IFERROR(_xlfn.XLOOKUP($D816,'TIR店舗一覧'!$D:$D,'TIR店舗一覧'!$E:$E,""),""))</f>
        <v/>
      </c>
      <c r="V816" s="54" t="s">
        <v>2</v>
      </c>
      <c r="W816" s="54" t="s">
        <v>2</v>
      </c>
      <c r="X816" s="54" t="s">
        <v>2</v>
      </c>
      <c r="Y816" s="54" t="s">
        <v>2</v>
      </c>
      <c r="Z816" s="54" t="s">
        <v>2</v>
      </c>
      <c r="AA816" s="54" t="s">
        <v>2</v>
      </c>
      <c r="AB816" s="54" t="s">
        <v>2</v>
      </c>
      <c r="AC816" s="54" t="s">
        <v>2</v>
      </c>
      <c r="AD816" s="54" t="s">
        <v>2</v>
      </c>
      <c r="AE816" s="54" t="s">
        <v>2</v>
      </c>
      <c r="AF816" s="54" t="s">
        <v>2</v>
      </c>
      <c r="AG816" s="54" t="s">
        <v>2</v>
      </c>
    </row>
    <row r="817" ht="15.75" customHeight="1">
      <c r="B817" s="56"/>
      <c r="U817" s="46" t="str">
        <f t="array" ref="U817">IF($D817="","",IFERROR(_xlfn.XLOOKUP($D817,'TIR店舗一覧'!$D:$D,'TIR店舗一覧'!$E:$E,""),""))</f>
        <v/>
      </c>
      <c r="V817" s="54" t="s">
        <v>2</v>
      </c>
      <c r="W817" s="54" t="s">
        <v>2</v>
      </c>
      <c r="X817" s="54" t="s">
        <v>2</v>
      </c>
      <c r="Y817" s="54" t="s">
        <v>2</v>
      </c>
      <c r="Z817" s="54" t="s">
        <v>2</v>
      </c>
      <c r="AA817" s="54" t="s">
        <v>2</v>
      </c>
      <c r="AB817" s="54" t="s">
        <v>2</v>
      </c>
      <c r="AC817" s="54" t="s">
        <v>2</v>
      </c>
      <c r="AD817" s="54" t="s">
        <v>2</v>
      </c>
      <c r="AE817" s="54" t="s">
        <v>2</v>
      </c>
      <c r="AF817" s="54" t="s">
        <v>2</v>
      </c>
      <c r="AG817" s="54" t="s">
        <v>2</v>
      </c>
    </row>
    <row r="818" ht="15.75" customHeight="1">
      <c r="B818" s="56"/>
      <c r="U818" s="46" t="str">
        <f t="array" ref="U818">IF($D818="","",IFERROR(_xlfn.XLOOKUP($D818,'TIR店舗一覧'!$D:$D,'TIR店舗一覧'!$E:$E,""),""))</f>
        <v/>
      </c>
      <c r="V818" s="54" t="s">
        <v>2</v>
      </c>
      <c r="W818" s="54" t="s">
        <v>2</v>
      </c>
      <c r="X818" s="54" t="s">
        <v>2</v>
      </c>
      <c r="Y818" s="54" t="s">
        <v>2</v>
      </c>
      <c r="Z818" s="54" t="s">
        <v>2</v>
      </c>
      <c r="AA818" s="54" t="s">
        <v>2</v>
      </c>
      <c r="AB818" s="54" t="s">
        <v>2</v>
      </c>
      <c r="AC818" s="54" t="s">
        <v>2</v>
      </c>
      <c r="AD818" s="54" t="s">
        <v>2</v>
      </c>
      <c r="AE818" s="54" t="s">
        <v>2</v>
      </c>
      <c r="AF818" s="54" t="s">
        <v>2</v>
      </c>
      <c r="AG818" s="54" t="s">
        <v>2</v>
      </c>
    </row>
    <row r="819" ht="15.75" customHeight="1">
      <c r="B819" s="56"/>
      <c r="U819" s="46" t="str">
        <f t="array" ref="U819">IF($D819="","",IFERROR(_xlfn.XLOOKUP($D819,'TIR店舗一覧'!$D:$D,'TIR店舗一覧'!$E:$E,""),""))</f>
        <v/>
      </c>
      <c r="V819" s="54" t="s">
        <v>2</v>
      </c>
      <c r="W819" s="54" t="s">
        <v>2</v>
      </c>
      <c r="X819" s="54" t="s">
        <v>2</v>
      </c>
      <c r="Y819" s="54" t="s">
        <v>2</v>
      </c>
      <c r="Z819" s="54" t="s">
        <v>2</v>
      </c>
      <c r="AA819" s="54" t="s">
        <v>2</v>
      </c>
      <c r="AB819" s="54" t="s">
        <v>2</v>
      </c>
      <c r="AC819" s="54" t="s">
        <v>2</v>
      </c>
      <c r="AD819" s="54" t="s">
        <v>2</v>
      </c>
      <c r="AE819" s="54" t="s">
        <v>2</v>
      </c>
      <c r="AF819" s="54" t="s">
        <v>2</v>
      </c>
      <c r="AG819" s="54" t="s">
        <v>2</v>
      </c>
    </row>
    <row r="820" ht="15.75" customHeight="1">
      <c r="B820" s="56"/>
      <c r="U820" s="46" t="str">
        <f t="array" ref="U820">IF($D820="","",IFERROR(_xlfn.XLOOKUP($D820,'TIR店舗一覧'!$D:$D,'TIR店舗一覧'!$E:$E,""),""))</f>
        <v/>
      </c>
      <c r="V820" s="54" t="s">
        <v>2</v>
      </c>
      <c r="W820" s="54" t="s">
        <v>2</v>
      </c>
      <c r="X820" s="54" t="s">
        <v>2</v>
      </c>
      <c r="Y820" s="54" t="s">
        <v>2</v>
      </c>
      <c r="Z820" s="54" t="s">
        <v>2</v>
      </c>
      <c r="AA820" s="54" t="s">
        <v>2</v>
      </c>
      <c r="AB820" s="54" t="s">
        <v>2</v>
      </c>
      <c r="AC820" s="54" t="s">
        <v>2</v>
      </c>
      <c r="AD820" s="54" t="s">
        <v>2</v>
      </c>
      <c r="AE820" s="54" t="s">
        <v>2</v>
      </c>
      <c r="AF820" s="54" t="s">
        <v>2</v>
      </c>
      <c r="AG820" s="54" t="s">
        <v>2</v>
      </c>
    </row>
    <row r="821" ht="15.75" customHeight="1">
      <c r="B821" s="56"/>
      <c r="U821" s="46" t="str">
        <f t="array" ref="U821">IF($D821="","",IFERROR(_xlfn.XLOOKUP($D821,'TIR店舗一覧'!$D:$D,'TIR店舗一覧'!$E:$E,""),""))</f>
        <v/>
      </c>
      <c r="V821" s="54" t="s">
        <v>2</v>
      </c>
      <c r="W821" s="54" t="s">
        <v>2</v>
      </c>
      <c r="X821" s="54" t="s">
        <v>2</v>
      </c>
      <c r="Y821" s="54" t="s">
        <v>2</v>
      </c>
      <c r="Z821" s="54" t="s">
        <v>2</v>
      </c>
      <c r="AA821" s="54" t="s">
        <v>2</v>
      </c>
      <c r="AB821" s="54" t="s">
        <v>2</v>
      </c>
      <c r="AC821" s="54" t="s">
        <v>2</v>
      </c>
      <c r="AD821" s="54" t="s">
        <v>2</v>
      </c>
      <c r="AE821" s="54" t="s">
        <v>2</v>
      </c>
      <c r="AF821" s="54" t="s">
        <v>2</v>
      </c>
      <c r="AG821" s="54" t="s">
        <v>2</v>
      </c>
    </row>
    <row r="822" ht="15.75" customHeight="1">
      <c r="B822" s="56"/>
      <c r="U822" s="46" t="str">
        <f t="array" ref="U822">IF($D822="","",IFERROR(_xlfn.XLOOKUP($D822,'TIR店舗一覧'!$D:$D,'TIR店舗一覧'!$E:$E,""),""))</f>
        <v/>
      </c>
      <c r="V822" s="54" t="s">
        <v>2</v>
      </c>
      <c r="W822" s="54" t="s">
        <v>2</v>
      </c>
      <c r="X822" s="54" t="s">
        <v>2</v>
      </c>
      <c r="Y822" s="54" t="s">
        <v>2</v>
      </c>
      <c r="Z822" s="54" t="s">
        <v>2</v>
      </c>
      <c r="AA822" s="54" t="s">
        <v>2</v>
      </c>
      <c r="AB822" s="54" t="s">
        <v>2</v>
      </c>
      <c r="AC822" s="54" t="s">
        <v>2</v>
      </c>
      <c r="AD822" s="54" t="s">
        <v>2</v>
      </c>
      <c r="AE822" s="54" t="s">
        <v>2</v>
      </c>
      <c r="AF822" s="54" t="s">
        <v>2</v>
      </c>
      <c r="AG822" s="54" t="s">
        <v>2</v>
      </c>
    </row>
    <row r="823" ht="15.75" customHeight="1">
      <c r="B823" s="56"/>
      <c r="U823" s="46" t="str">
        <f t="array" ref="U823">IF($D823="","",IFERROR(_xlfn.XLOOKUP($D823,'TIR店舗一覧'!$D:$D,'TIR店舗一覧'!$E:$E,""),""))</f>
        <v/>
      </c>
      <c r="V823" s="54" t="s">
        <v>2</v>
      </c>
      <c r="W823" s="54" t="s">
        <v>2</v>
      </c>
      <c r="X823" s="54" t="s">
        <v>2</v>
      </c>
      <c r="Y823" s="54" t="s">
        <v>2</v>
      </c>
      <c r="Z823" s="54" t="s">
        <v>2</v>
      </c>
      <c r="AA823" s="54" t="s">
        <v>2</v>
      </c>
      <c r="AB823" s="54" t="s">
        <v>2</v>
      </c>
      <c r="AC823" s="54" t="s">
        <v>2</v>
      </c>
      <c r="AD823" s="54" t="s">
        <v>2</v>
      </c>
      <c r="AE823" s="54" t="s">
        <v>2</v>
      </c>
      <c r="AF823" s="54" t="s">
        <v>2</v>
      </c>
      <c r="AG823" s="54" t="s">
        <v>2</v>
      </c>
    </row>
    <row r="824" ht="15.75" customHeight="1">
      <c r="B824" s="56"/>
      <c r="U824" s="46" t="str">
        <f t="array" ref="U824">IF($D824="","",IFERROR(_xlfn.XLOOKUP($D824,'TIR店舗一覧'!$D:$D,'TIR店舗一覧'!$E:$E,""),""))</f>
        <v/>
      </c>
      <c r="V824" s="54" t="s">
        <v>2</v>
      </c>
      <c r="W824" s="54" t="s">
        <v>2</v>
      </c>
      <c r="X824" s="54" t="s">
        <v>2</v>
      </c>
      <c r="Y824" s="54" t="s">
        <v>2</v>
      </c>
      <c r="Z824" s="54" t="s">
        <v>2</v>
      </c>
      <c r="AA824" s="54" t="s">
        <v>2</v>
      </c>
      <c r="AB824" s="54" t="s">
        <v>2</v>
      </c>
      <c r="AC824" s="54" t="s">
        <v>2</v>
      </c>
      <c r="AD824" s="54" t="s">
        <v>2</v>
      </c>
      <c r="AE824" s="54" t="s">
        <v>2</v>
      </c>
      <c r="AF824" s="54" t="s">
        <v>2</v>
      </c>
      <c r="AG824" s="54" t="s">
        <v>2</v>
      </c>
    </row>
    <row r="825" ht="15.75" customHeight="1">
      <c r="B825" s="56"/>
      <c r="U825" s="46" t="str">
        <f t="array" ref="U825">IF($D825="","",IFERROR(_xlfn.XLOOKUP($D825,'TIR店舗一覧'!$D:$D,'TIR店舗一覧'!$E:$E,""),""))</f>
        <v/>
      </c>
      <c r="V825" s="54" t="s">
        <v>2</v>
      </c>
      <c r="W825" s="54" t="s">
        <v>2</v>
      </c>
      <c r="X825" s="54" t="s">
        <v>2</v>
      </c>
      <c r="Y825" s="54" t="s">
        <v>2</v>
      </c>
      <c r="Z825" s="54" t="s">
        <v>2</v>
      </c>
      <c r="AA825" s="54" t="s">
        <v>2</v>
      </c>
      <c r="AB825" s="54" t="s">
        <v>2</v>
      </c>
      <c r="AC825" s="54" t="s">
        <v>2</v>
      </c>
      <c r="AD825" s="54" t="s">
        <v>2</v>
      </c>
      <c r="AE825" s="54" t="s">
        <v>2</v>
      </c>
      <c r="AF825" s="54" t="s">
        <v>2</v>
      </c>
      <c r="AG825" s="54" t="s">
        <v>2</v>
      </c>
    </row>
    <row r="826" ht="15.75" customHeight="1">
      <c r="B826" s="56"/>
      <c r="U826" s="46" t="str">
        <f t="array" ref="U826">IF($D826="","",IFERROR(_xlfn.XLOOKUP($D826,'TIR店舗一覧'!$D:$D,'TIR店舗一覧'!$E:$E,""),""))</f>
        <v/>
      </c>
      <c r="V826" s="54" t="s">
        <v>2</v>
      </c>
      <c r="W826" s="54" t="s">
        <v>2</v>
      </c>
      <c r="X826" s="54" t="s">
        <v>2</v>
      </c>
      <c r="Y826" s="54" t="s">
        <v>2</v>
      </c>
      <c r="Z826" s="54" t="s">
        <v>2</v>
      </c>
      <c r="AA826" s="54" t="s">
        <v>2</v>
      </c>
      <c r="AB826" s="54" t="s">
        <v>2</v>
      </c>
      <c r="AC826" s="54" t="s">
        <v>2</v>
      </c>
      <c r="AD826" s="54" t="s">
        <v>2</v>
      </c>
      <c r="AE826" s="54" t="s">
        <v>2</v>
      </c>
      <c r="AF826" s="54" t="s">
        <v>2</v>
      </c>
      <c r="AG826" s="54" t="s">
        <v>2</v>
      </c>
    </row>
    <row r="827" ht="15.75" customHeight="1">
      <c r="B827" s="56"/>
      <c r="U827" s="46" t="str">
        <f t="array" ref="U827">IF($D827="","",IFERROR(_xlfn.XLOOKUP($D827,'TIR店舗一覧'!$D:$D,'TIR店舗一覧'!$E:$E,""),""))</f>
        <v/>
      </c>
      <c r="V827" s="54" t="s">
        <v>2</v>
      </c>
      <c r="W827" s="54" t="s">
        <v>2</v>
      </c>
      <c r="X827" s="54" t="s">
        <v>2</v>
      </c>
      <c r="Y827" s="54" t="s">
        <v>2</v>
      </c>
      <c r="Z827" s="54" t="s">
        <v>2</v>
      </c>
      <c r="AA827" s="54" t="s">
        <v>2</v>
      </c>
      <c r="AB827" s="54" t="s">
        <v>2</v>
      </c>
      <c r="AC827" s="54" t="s">
        <v>2</v>
      </c>
      <c r="AD827" s="54" t="s">
        <v>2</v>
      </c>
      <c r="AE827" s="54" t="s">
        <v>2</v>
      </c>
      <c r="AF827" s="54" t="s">
        <v>2</v>
      </c>
      <c r="AG827" s="54" t="s">
        <v>2</v>
      </c>
    </row>
    <row r="828" ht="15.75" customHeight="1">
      <c r="B828" s="56"/>
      <c r="U828" s="46" t="str">
        <f t="array" ref="U828">IF($D828="","",IFERROR(_xlfn.XLOOKUP($D828,'TIR店舗一覧'!$D:$D,'TIR店舗一覧'!$E:$E,""),""))</f>
        <v/>
      </c>
      <c r="V828" s="54" t="s">
        <v>2</v>
      </c>
      <c r="W828" s="54" t="s">
        <v>2</v>
      </c>
      <c r="X828" s="54" t="s">
        <v>2</v>
      </c>
      <c r="Y828" s="54" t="s">
        <v>2</v>
      </c>
      <c r="Z828" s="54" t="s">
        <v>2</v>
      </c>
      <c r="AA828" s="54" t="s">
        <v>2</v>
      </c>
      <c r="AB828" s="54" t="s">
        <v>2</v>
      </c>
      <c r="AC828" s="54" t="s">
        <v>2</v>
      </c>
      <c r="AD828" s="54" t="s">
        <v>2</v>
      </c>
      <c r="AE828" s="54" t="s">
        <v>2</v>
      </c>
      <c r="AF828" s="54" t="s">
        <v>2</v>
      </c>
      <c r="AG828" s="54" t="s">
        <v>2</v>
      </c>
    </row>
    <row r="829" ht="15.75" customHeight="1">
      <c r="B829" s="56"/>
      <c r="U829" s="46" t="str">
        <f t="array" ref="U829">IF($D829="","",IFERROR(_xlfn.XLOOKUP($D829,'TIR店舗一覧'!$D:$D,'TIR店舗一覧'!$E:$E,""),""))</f>
        <v/>
      </c>
      <c r="V829" s="54" t="s">
        <v>2</v>
      </c>
      <c r="W829" s="54" t="s">
        <v>2</v>
      </c>
      <c r="X829" s="54" t="s">
        <v>2</v>
      </c>
      <c r="Y829" s="54" t="s">
        <v>2</v>
      </c>
      <c r="Z829" s="54" t="s">
        <v>2</v>
      </c>
      <c r="AA829" s="54" t="s">
        <v>2</v>
      </c>
      <c r="AB829" s="54" t="s">
        <v>2</v>
      </c>
      <c r="AC829" s="54" t="s">
        <v>2</v>
      </c>
      <c r="AD829" s="54" t="s">
        <v>2</v>
      </c>
      <c r="AE829" s="54" t="s">
        <v>2</v>
      </c>
      <c r="AF829" s="54" t="s">
        <v>2</v>
      </c>
      <c r="AG829" s="54" t="s">
        <v>2</v>
      </c>
    </row>
    <row r="830" ht="15.75" customHeight="1">
      <c r="B830" s="56"/>
      <c r="U830" s="46" t="str">
        <f t="array" ref="U830">IF($D830="","",IFERROR(_xlfn.XLOOKUP($D830,'TIR店舗一覧'!$D:$D,'TIR店舗一覧'!$E:$E,""),""))</f>
        <v/>
      </c>
      <c r="V830" s="54" t="s">
        <v>2</v>
      </c>
      <c r="W830" s="54" t="s">
        <v>2</v>
      </c>
      <c r="X830" s="54" t="s">
        <v>2</v>
      </c>
      <c r="Y830" s="54" t="s">
        <v>2</v>
      </c>
      <c r="Z830" s="54" t="s">
        <v>2</v>
      </c>
      <c r="AA830" s="54" t="s">
        <v>2</v>
      </c>
      <c r="AB830" s="54" t="s">
        <v>2</v>
      </c>
      <c r="AC830" s="54" t="s">
        <v>2</v>
      </c>
      <c r="AD830" s="54" t="s">
        <v>2</v>
      </c>
      <c r="AE830" s="54" t="s">
        <v>2</v>
      </c>
      <c r="AF830" s="54" t="s">
        <v>2</v>
      </c>
      <c r="AG830" s="54" t="s">
        <v>2</v>
      </c>
    </row>
    <row r="831" ht="15.75" customHeight="1">
      <c r="B831" s="56"/>
      <c r="U831" s="46" t="str">
        <f t="array" ref="U831">IF($D831="","",IFERROR(_xlfn.XLOOKUP($D831,'TIR店舗一覧'!$D:$D,'TIR店舗一覧'!$E:$E,""),""))</f>
        <v/>
      </c>
      <c r="V831" s="54" t="s">
        <v>2</v>
      </c>
      <c r="W831" s="54" t="s">
        <v>2</v>
      </c>
      <c r="X831" s="54" t="s">
        <v>2</v>
      </c>
      <c r="Y831" s="54" t="s">
        <v>2</v>
      </c>
      <c r="Z831" s="54" t="s">
        <v>2</v>
      </c>
      <c r="AA831" s="54" t="s">
        <v>2</v>
      </c>
      <c r="AB831" s="54" t="s">
        <v>2</v>
      </c>
      <c r="AC831" s="54" t="s">
        <v>2</v>
      </c>
      <c r="AD831" s="54" t="s">
        <v>2</v>
      </c>
      <c r="AE831" s="54" t="s">
        <v>2</v>
      </c>
      <c r="AF831" s="54" t="s">
        <v>2</v>
      </c>
      <c r="AG831" s="54" t="s">
        <v>2</v>
      </c>
    </row>
    <row r="832" ht="15.75" customHeight="1">
      <c r="B832" s="56"/>
      <c r="U832" s="46" t="str">
        <f t="array" ref="U832">IF($D832="","",IFERROR(_xlfn.XLOOKUP($D832,'TIR店舗一覧'!$D:$D,'TIR店舗一覧'!$E:$E,""),""))</f>
        <v/>
      </c>
      <c r="V832" s="54" t="s">
        <v>2</v>
      </c>
      <c r="W832" s="54" t="s">
        <v>2</v>
      </c>
      <c r="X832" s="54" t="s">
        <v>2</v>
      </c>
      <c r="Y832" s="54" t="s">
        <v>2</v>
      </c>
      <c r="Z832" s="54" t="s">
        <v>2</v>
      </c>
      <c r="AA832" s="54" t="s">
        <v>2</v>
      </c>
      <c r="AB832" s="54" t="s">
        <v>2</v>
      </c>
      <c r="AC832" s="54" t="s">
        <v>2</v>
      </c>
      <c r="AD832" s="54" t="s">
        <v>2</v>
      </c>
      <c r="AE832" s="54" t="s">
        <v>2</v>
      </c>
      <c r="AF832" s="54" t="s">
        <v>2</v>
      </c>
      <c r="AG832" s="54" t="s">
        <v>2</v>
      </c>
    </row>
    <row r="833" ht="15.75" customHeight="1">
      <c r="B833" s="56"/>
      <c r="U833" s="46" t="str">
        <f t="array" ref="U833">IF($D833="","",IFERROR(_xlfn.XLOOKUP($D833,'TIR店舗一覧'!$D:$D,'TIR店舗一覧'!$E:$E,""),""))</f>
        <v/>
      </c>
      <c r="V833" s="54" t="s">
        <v>2</v>
      </c>
      <c r="W833" s="54" t="s">
        <v>2</v>
      </c>
      <c r="X833" s="54" t="s">
        <v>2</v>
      </c>
      <c r="Y833" s="54" t="s">
        <v>2</v>
      </c>
      <c r="Z833" s="54" t="s">
        <v>2</v>
      </c>
      <c r="AA833" s="54" t="s">
        <v>2</v>
      </c>
      <c r="AB833" s="54" t="s">
        <v>2</v>
      </c>
      <c r="AC833" s="54" t="s">
        <v>2</v>
      </c>
      <c r="AD833" s="54" t="s">
        <v>2</v>
      </c>
      <c r="AE833" s="54" t="s">
        <v>2</v>
      </c>
      <c r="AF833" s="54" t="s">
        <v>2</v>
      </c>
      <c r="AG833" s="54" t="s">
        <v>2</v>
      </c>
    </row>
    <row r="834" ht="15.75" customHeight="1">
      <c r="B834" s="56"/>
      <c r="U834" s="46" t="str">
        <f t="array" ref="U834">IF($D834="","",IFERROR(_xlfn.XLOOKUP($D834,'TIR店舗一覧'!$D:$D,'TIR店舗一覧'!$E:$E,""),""))</f>
        <v/>
      </c>
      <c r="V834" s="54" t="s">
        <v>2</v>
      </c>
      <c r="W834" s="54" t="s">
        <v>2</v>
      </c>
      <c r="X834" s="54" t="s">
        <v>2</v>
      </c>
      <c r="Y834" s="54" t="s">
        <v>2</v>
      </c>
      <c r="Z834" s="54" t="s">
        <v>2</v>
      </c>
      <c r="AA834" s="54" t="s">
        <v>2</v>
      </c>
      <c r="AB834" s="54" t="s">
        <v>2</v>
      </c>
      <c r="AC834" s="54" t="s">
        <v>2</v>
      </c>
      <c r="AD834" s="54" t="s">
        <v>2</v>
      </c>
      <c r="AE834" s="54" t="s">
        <v>2</v>
      </c>
      <c r="AF834" s="54" t="s">
        <v>2</v>
      </c>
      <c r="AG834" s="54" t="s">
        <v>2</v>
      </c>
    </row>
    <row r="835" ht="15.75" customHeight="1">
      <c r="B835" s="56"/>
      <c r="U835" s="46" t="str">
        <f t="array" ref="U835">IF($D835="","",IFERROR(_xlfn.XLOOKUP($D835,'TIR店舗一覧'!$D:$D,'TIR店舗一覧'!$E:$E,""),""))</f>
        <v/>
      </c>
      <c r="V835" s="54" t="s">
        <v>2</v>
      </c>
      <c r="W835" s="54" t="s">
        <v>2</v>
      </c>
      <c r="X835" s="54" t="s">
        <v>2</v>
      </c>
      <c r="Y835" s="54" t="s">
        <v>2</v>
      </c>
      <c r="Z835" s="54" t="s">
        <v>2</v>
      </c>
      <c r="AA835" s="54" t="s">
        <v>2</v>
      </c>
      <c r="AB835" s="54" t="s">
        <v>2</v>
      </c>
      <c r="AC835" s="54" t="s">
        <v>2</v>
      </c>
      <c r="AD835" s="54" t="s">
        <v>2</v>
      </c>
      <c r="AE835" s="54" t="s">
        <v>2</v>
      </c>
      <c r="AF835" s="54" t="s">
        <v>2</v>
      </c>
      <c r="AG835" s="54" t="s">
        <v>2</v>
      </c>
    </row>
    <row r="836" ht="15.75" customHeight="1">
      <c r="B836" s="56"/>
      <c r="U836" s="46" t="str">
        <f t="array" ref="U836">IF($D836="","",IFERROR(_xlfn.XLOOKUP($D836,'TIR店舗一覧'!$D:$D,'TIR店舗一覧'!$E:$E,""),""))</f>
        <v/>
      </c>
      <c r="V836" s="54" t="s">
        <v>2</v>
      </c>
      <c r="W836" s="54" t="s">
        <v>2</v>
      </c>
      <c r="X836" s="54" t="s">
        <v>2</v>
      </c>
      <c r="Y836" s="54" t="s">
        <v>2</v>
      </c>
      <c r="Z836" s="54" t="s">
        <v>2</v>
      </c>
      <c r="AA836" s="54" t="s">
        <v>2</v>
      </c>
      <c r="AB836" s="54" t="s">
        <v>2</v>
      </c>
      <c r="AC836" s="54" t="s">
        <v>2</v>
      </c>
      <c r="AD836" s="54" t="s">
        <v>2</v>
      </c>
      <c r="AE836" s="54" t="s">
        <v>2</v>
      </c>
      <c r="AF836" s="54" t="s">
        <v>2</v>
      </c>
      <c r="AG836" s="54" t="s">
        <v>2</v>
      </c>
    </row>
    <row r="837" ht="15.75" customHeight="1">
      <c r="B837" s="56"/>
      <c r="U837" s="46" t="str">
        <f t="array" ref="U837">IF($D837="","",IFERROR(_xlfn.XLOOKUP($D837,'TIR店舗一覧'!$D:$D,'TIR店舗一覧'!$E:$E,""),""))</f>
        <v/>
      </c>
      <c r="V837" s="54" t="s">
        <v>2</v>
      </c>
      <c r="W837" s="54" t="s">
        <v>2</v>
      </c>
      <c r="X837" s="54" t="s">
        <v>2</v>
      </c>
      <c r="Y837" s="54" t="s">
        <v>2</v>
      </c>
      <c r="Z837" s="54" t="s">
        <v>2</v>
      </c>
      <c r="AA837" s="54" t="s">
        <v>2</v>
      </c>
      <c r="AB837" s="54" t="s">
        <v>2</v>
      </c>
      <c r="AC837" s="54" t="s">
        <v>2</v>
      </c>
      <c r="AD837" s="54" t="s">
        <v>2</v>
      </c>
      <c r="AE837" s="54" t="s">
        <v>2</v>
      </c>
      <c r="AF837" s="54" t="s">
        <v>2</v>
      </c>
      <c r="AG837" s="54" t="s">
        <v>2</v>
      </c>
    </row>
    <row r="838" ht="15.75" customHeight="1">
      <c r="B838" s="56"/>
      <c r="U838" s="46" t="str">
        <f t="array" ref="U838">IF($D838="","",IFERROR(_xlfn.XLOOKUP($D838,'TIR店舗一覧'!$D:$D,'TIR店舗一覧'!$E:$E,""),""))</f>
        <v/>
      </c>
      <c r="V838" s="54" t="s">
        <v>2</v>
      </c>
      <c r="W838" s="54" t="s">
        <v>2</v>
      </c>
      <c r="X838" s="54" t="s">
        <v>2</v>
      </c>
      <c r="Y838" s="54" t="s">
        <v>2</v>
      </c>
      <c r="Z838" s="54" t="s">
        <v>2</v>
      </c>
      <c r="AA838" s="54" t="s">
        <v>2</v>
      </c>
      <c r="AB838" s="54" t="s">
        <v>2</v>
      </c>
      <c r="AC838" s="54" t="s">
        <v>2</v>
      </c>
      <c r="AD838" s="54" t="s">
        <v>2</v>
      </c>
      <c r="AE838" s="54" t="s">
        <v>2</v>
      </c>
      <c r="AF838" s="54" t="s">
        <v>2</v>
      </c>
      <c r="AG838" s="54" t="s">
        <v>2</v>
      </c>
    </row>
    <row r="839" ht="15.75" customHeight="1">
      <c r="B839" s="56"/>
      <c r="U839" s="46" t="str">
        <f t="array" ref="U839">IF($D839="","",IFERROR(_xlfn.XLOOKUP($D839,'TIR店舗一覧'!$D:$D,'TIR店舗一覧'!$E:$E,""),""))</f>
        <v/>
      </c>
      <c r="V839" s="54" t="s">
        <v>2</v>
      </c>
      <c r="W839" s="54" t="s">
        <v>2</v>
      </c>
      <c r="X839" s="54" t="s">
        <v>2</v>
      </c>
      <c r="Y839" s="54" t="s">
        <v>2</v>
      </c>
      <c r="Z839" s="54" t="s">
        <v>2</v>
      </c>
      <c r="AA839" s="54" t="s">
        <v>2</v>
      </c>
      <c r="AB839" s="54" t="s">
        <v>2</v>
      </c>
      <c r="AC839" s="54" t="s">
        <v>2</v>
      </c>
      <c r="AD839" s="54" t="s">
        <v>2</v>
      </c>
      <c r="AE839" s="54" t="s">
        <v>2</v>
      </c>
      <c r="AF839" s="54" t="s">
        <v>2</v>
      </c>
      <c r="AG839" s="54" t="s">
        <v>2</v>
      </c>
    </row>
    <row r="840" ht="15.75" customHeight="1">
      <c r="B840" s="56"/>
      <c r="U840" s="46" t="str">
        <f t="array" ref="U840">IF($D840="","",IFERROR(_xlfn.XLOOKUP($D840,'TIR店舗一覧'!$D:$D,'TIR店舗一覧'!$E:$E,""),""))</f>
        <v/>
      </c>
      <c r="V840" s="54" t="s">
        <v>2</v>
      </c>
      <c r="W840" s="54" t="s">
        <v>2</v>
      </c>
      <c r="X840" s="54" t="s">
        <v>2</v>
      </c>
      <c r="Y840" s="54" t="s">
        <v>2</v>
      </c>
      <c r="Z840" s="54" t="s">
        <v>2</v>
      </c>
      <c r="AA840" s="54" t="s">
        <v>2</v>
      </c>
      <c r="AB840" s="54" t="s">
        <v>2</v>
      </c>
      <c r="AC840" s="54" t="s">
        <v>2</v>
      </c>
      <c r="AD840" s="54" t="s">
        <v>2</v>
      </c>
      <c r="AE840" s="54" t="s">
        <v>2</v>
      </c>
      <c r="AF840" s="54" t="s">
        <v>2</v>
      </c>
      <c r="AG840" s="54" t="s">
        <v>2</v>
      </c>
    </row>
    <row r="841" ht="15.75" customHeight="1">
      <c r="B841" s="56"/>
      <c r="U841" s="46" t="str">
        <f t="array" ref="U841">IF($D841="","",IFERROR(_xlfn.XLOOKUP($D841,'TIR店舗一覧'!$D:$D,'TIR店舗一覧'!$E:$E,""),""))</f>
        <v/>
      </c>
      <c r="V841" s="54" t="s">
        <v>2</v>
      </c>
      <c r="W841" s="54" t="s">
        <v>2</v>
      </c>
      <c r="X841" s="54" t="s">
        <v>2</v>
      </c>
      <c r="Y841" s="54" t="s">
        <v>2</v>
      </c>
      <c r="Z841" s="54" t="s">
        <v>2</v>
      </c>
      <c r="AA841" s="54" t="s">
        <v>2</v>
      </c>
      <c r="AB841" s="54" t="s">
        <v>2</v>
      </c>
      <c r="AC841" s="54" t="s">
        <v>2</v>
      </c>
      <c r="AD841" s="54" t="s">
        <v>2</v>
      </c>
      <c r="AE841" s="54" t="s">
        <v>2</v>
      </c>
      <c r="AF841" s="54" t="s">
        <v>2</v>
      </c>
      <c r="AG841" s="54" t="s">
        <v>2</v>
      </c>
    </row>
    <row r="842" ht="15.75" customHeight="1">
      <c r="B842" s="56"/>
      <c r="U842" s="46" t="str">
        <f t="array" ref="U842">IF($D842="","",IFERROR(_xlfn.XLOOKUP($D842,'TIR店舗一覧'!$D:$D,'TIR店舗一覧'!$E:$E,""),""))</f>
        <v/>
      </c>
      <c r="V842" s="54" t="s">
        <v>2</v>
      </c>
      <c r="W842" s="54" t="s">
        <v>2</v>
      </c>
      <c r="X842" s="54" t="s">
        <v>2</v>
      </c>
      <c r="Y842" s="54" t="s">
        <v>2</v>
      </c>
      <c r="Z842" s="54" t="s">
        <v>2</v>
      </c>
      <c r="AA842" s="54" t="s">
        <v>2</v>
      </c>
      <c r="AB842" s="54" t="s">
        <v>2</v>
      </c>
      <c r="AC842" s="54" t="s">
        <v>2</v>
      </c>
      <c r="AD842" s="54" t="s">
        <v>2</v>
      </c>
      <c r="AE842" s="54" t="s">
        <v>2</v>
      </c>
      <c r="AF842" s="54" t="s">
        <v>2</v>
      </c>
      <c r="AG842" s="54" t="s">
        <v>2</v>
      </c>
    </row>
    <row r="843" ht="15.75" customHeight="1">
      <c r="B843" s="56"/>
      <c r="U843" s="46" t="str">
        <f t="array" ref="U843">IF($D843="","",IFERROR(_xlfn.XLOOKUP($D843,'TIR店舗一覧'!$D:$D,'TIR店舗一覧'!$E:$E,""),""))</f>
        <v/>
      </c>
      <c r="V843" s="54" t="s">
        <v>2</v>
      </c>
      <c r="W843" s="54" t="s">
        <v>2</v>
      </c>
      <c r="X843" s="54" t="s">
        <v>2</v>
      </c>
      <c r="Y843" s="54" t="s">
        <v>2</v>
      </c>
      <c r="Z843" s="54" t="s">
        <v>2</v>
      </c>
      <c r="AA843" s="54" t="s">
        <v>2</v>
      </c>
      <c r="AB843" s="54" t="s">
        <v>2</v>
      </c>
      <c r="AC843" s="54" t="s">
        <v>2</v>
      </c>
      <c r="AD843" s="54" t="s">
        <v>2</v>
      </c>
      <c r="AE843" s="54" t="s">
        <v>2</v>
      </c>
      <c r="AF843" s="54" t="s">
        <v>2</v>
      </c>
      <c r="AG843" s="54" t="s">
        <v>2</v>
      </c>
    </row>
    <row r="844" ht="15.75" customHeight="1">
      <c r="B844" s="56"/>
      <c r="U844" s="46" t="str">
        <f t="array" ref="U844">IF($D844="","",IFERROR(_xlfn.XLOOKUP($D844,'TIR店舗一覧'!$D:$D,'TIR店舗一覧'!$E:$E,""),""))</f>
        <v/>
      </c>
      <c r="V844" s="54" t="s">
        <v>2</v>
      </c>
      <c r="W844" s="54" t="s">
        <v>2</v>
      </c>
      <c r="X844" s="54" t="s">
        <v>2</v>
      </c>
      <c r="Y844" s="54" t="s">
        <v>2</v>
      </c>
      <c r="Z844" s="54" t="s">
        <v>2</v>
      </c>
      <c r="AA844" s="54" t="s">
        <v>2</v>
      </c>
      <c r="AB844" s="54" t="s">
        <v>2</v>
      </c>
      <c r="AC844" s="54" t="s">
        <v>2</v>
      </c>
      <c r="AD844" s="54" t="s">
        <v>2</v>
      </c>
      <c r="AE844" s="54" t="s">
        <v>2</v>
      </c>
      <c r="AF844" s="54" t="s">
        <v>2</v>
      </c>
      <c r="AG844" s="54" t="s">
        <v>2</v>
      </c>
    </row>
    <row r="845" ht="15.75" customHeight="1">
      <c r="B845" s="56"/>
      <c r="U845" s="46" t="str">
        <f t="array" ref="U845">IF($D845="","",IFERROR(_xlfn.XLOOKUP($D845,'TIR店舗一覧'!$D:$D,'TIR店舗一覧'!$E:$E,""),""))</f>
        <v/>
      </c>
      <c r="V845" s="54" t="s">
        <v>2</v>
      </c>
      <c r="W845" s="54" t="s">
        <v>2</v>
      </c>
      <c r="X845" s="54" t="s">
        <v>2</v>
      </c>
      <c r="Y845" s="54" t="s">
        <v>2</v>
      </c>
      <c r="Z845" s="54" t="s">
        <v>2</v>
      </c>
      <c r="AA845" s="54" t="s">
        <v>2</v>
      </c>
      <c r="AB845" s="54" t="s">
        <v>2</v>
      </c>
      <c r="AC845" s="54" t="s">
        <v>2</v>
      </c>
      <c r="AD845" s="54" t="s">
        <v>2</v>
      </c>
      <c r="AE845" s="54" t="s">
        <v>2</v>
      </c>
      <c r="AF845" s="54" t="s">
        <v>2</v>
      </c>
      <c r="AG845" s="54" t="s">
        <v>2</v>
      </c>
    </row>
    <row r="846" ht="15.75" customHeight="1">
      <c r="B846" s="56"/>
      <c r="U846" s="46" t="str">
        <f t="array" ref="U846">IF($D846="","",IFERROR(_xlfn.XLOOKUP($D846,'TIR店舗一覧'!$D:$D,'TIR店舗一覧'!$E:$E,""),""))</f>
        <v/>
      </c>
      <c r="V846" s="54" t="s">
        <v>2</v>
      </c>
      <c r="W846" s="54" t="s">
        <v>2</v>
      </c>
      <c r="X846" s="54" t="s">
        <v>2</v>
      </c>
      <c r="Y846" s="54" t="s">
        <v>2</v>
      </c>
      <c r="Z846" s="54" t="s">
        <v>2</v>
      </c>
      <c r="AA846" s="54" t="s">
        <v>2</v>
      </c>
      <c r="AB846" s="54" t="s">
        <v>2</v>
      </c>
      <c r="AC846" s="54" t="s">
        <v>2</v>
      </c>
      <c r="AD846" s="54" t="s">
        <v>2</v>
      </c>
      <c r="AE846" s="54" t="s">
        <v>2</v>
      </c>
      <c r="AF846" s="54" t="s">
        <v>2</v>
      </c>
      <c r="AG846" s="54" t="s">
        <v>2</v>
      </c>
    </row>
    <row r="847" ht="15.75" customHeight="1">
      <c r="B847" s="56"/>
      <c r="U847" s="46" t="str">
        <f t="array" ref="U847">IF($D847="","",IFERROR(_xlfn.XLOOKUP($D847,'TIR店舗一覧'!$D:$D,'TIR店舗一覧'!$E:$E,""),""))</f>
        <v/>
      </c>
      <c r="V847" s="54" t="s">
        <v>2</v>
      </c>
      <c r="W847" s="54" t="s">
        <v>2</v>
      </c>
      <c r="X847" s="54" t="s">
        <v>2</v>
      </c>
      <c r="Y847" s="54" t="s">
        <v>2</v>
      </c>
      <c r="Z847" s="54" t="s">
        <v>2</v>
      </c>
      <c r="AA847" s="54" t="s">
        <v>2</v>
      </c>
      <c r="AB847" s="54" t="s">
        <v>2</v>
      </c>
      <c r="AC847" s="54" t="s">
        <v>2</v>
      </c>
      <c r="AD847" s="54" t="s">
        <v>2</v>
      </c>
      <c r="AE847" s="54" t="s">
        <v>2</v>
      </c>
      <c r="AF847" s="54" t="s">
        <v>2</v>
      </c>
      <c r="AG847" s="54" t="s">
        <v>2</v>
      </c>
    </row>
    <row r="848" ht="15.75" customHeight="1">
      <c r="B848" s="56"/>
      <c r="U848" s="46" t="str">
        <f t="array" ref="U848">IF($D848="","",IFERROR(_xlfn.XLOOKUP($D848,'TIR店舗一覧'!$D:$D,'TIR店舗一覧'!$E:$E,""),""))</f>
        <v/>
      </c>
      <c r="V848" s="54" t="s">
        <v>2</v>
      </c>
      <c r="W848" s="54" t="s">
        <v>2</v>
      </c>
      <c r="X848" s="54" t="s">
        <v>2</v>
      </c>
      <c r="Y848" s="54" t="s">
        <v>2</v>
      </c>
      <c r="Z848" s="54" t="s">
        <v>2</v>
      </c>
      <c r="AA848" s="54" t="s">
        <v>2</v>
      </c>
      <c r="AB848" s="54" t="s">
        <v>2</v>
      </c>
      <c r="AC848" s="54" t="s">
        <v>2</v>
      </c>
      <c r="AD848" s="54" t="s">
        <v>2</v>
      </c>
      <c r="AE848" s="54" t="s">
        <v>2</v>
      </c>
      <c r="AF848" s="54" t="s">
        <v>2</v>
      </c>
      <c r="AG848" s="54" t="s">
        <v>2</v>
      </c>
    </row>
    <row r="849" ht="15.75" customHeight="1">
      <c r="B849" s="56"/>
      <c r="U849" s="46" t="str">
        <f t="array" ref="U849">IF($D849="","",IFERROR(_xlfn.XLOOKUP($D849,'TIR店舗一覧'!$D:$D,'TIR店舗一覧'!$E:$E,""),""))</f>
        <v/>
      </c>
      <c r="V849" s="54" t="s">
        <v>2</v>
      </c>
      <c r="W849" s="54" t="s">
        <v>2</v>
      </c>
      <c r="X849" s="54" t="s">
        <v>2</v>
      </c>
      <c r="Y849" s="54" t="s">
        <v>2</v>
      </c>
      <c r="Z849" s="54" t="s">
        <v>2</v>
      </c>
      <c r="AA849" s="54" t="s">
        <v>2</v>
      </c>
      <c r="AB849" s="54" t="s">
        <v>2</v>
      </c>
      <c r="AC849" s="54" t="s">
        <v>2</v>
      </c>
      <c r="AD849" s="54" t="s">
        <v>2</v>
      </c>
      <c r="AE849" s="54" t="s">
        <v>2</v>
      </c>
      <c r="AF849" s="54" t="s">
        <v>2</v>
      </c>
      <c r="AG849" s="54" t="s">
        <v>2</v>
      </c>
    </row>
    <row r="850" ht="15.75" customHeight="1">
      <c r="B850" s="56"/>
      <c r="U850" s="46" t="str">
        <f t="array" ref="U850">IF($D850="","",IFERROR(_xlfn.XLOOKUP($D850,'TIR店舗一覧'!$D:$D,'TIR店舗一覧'!$E:$E,""),""))</f>
        <v/>
      </c>
      <c r="V850" s="54" t="s">
        <v>2</v>
      </c>
      <c r="W850" s="54" t="s">
        <v>2</v>
      </c>
      <c r="X850" s="54" t="s">
        <v>2</v>
      </c>
      <c r="Y850" s="54" t="s">
        <v>2</v>
      </c>
      <c r="Z850" s="54" t="s">
        <v>2</v>
      </c>
      <c r="AA850" s="54" t="s">
        <v>2</v>
      </c>
      <c r="AB850" s="54" t="s">
        <v>2</v>
      </c>
      <c r="AC850" s="54" t="s">
        <v>2</v>
      </c>
      <c r="AD850" s="54" t="s">
        <v>2</v>
      </c>
      <c r="AE850" s="54" t="s">
        <v>2</v>
      </c>
      <c r="AF850" s="54" t="s">
        <v>2</v>
      </c>
      <c r="AG850" s="54" t="s">
        <v>2</v>
      </c>
    </row>
    <row r="851" ht="15.75" customHeight="1">
      <c r="B851" s="56"/>
      <c r="U851" s="46" t="str">
        <f t="array" ref="U851">IF($D851="","",IFERROR(_xlfn.XLOOKUP($D851,'TIR店舗一覧'!$D:$D,'TIR店舗一覧'!$E:$E,""),""))</f>
        <v/>
      </c>
      <c r="V851" s="54" t="s">
        <v>2</v>
      </c>
      <c r="W851" s="54" t="s">
        <v>2</v>
      </c>
      <c r="X851" s="54" t="s">
        <v>2</v>
      </c>
      <c r="Y851" s="54" t="s">
        <v>2</v>
      </c>
      <c r="Z851" s="54" t="s">
        <v>2</v>
      </c>
      <c r="AA851" s="54" t="s">
        <v>2</v>
      </c>
      <c r="AB851" s="54" t="s">
        <v>2</v>
      </c>
      <c r="AC851" s="54" t="s">
        <v>2</v>
      </c>
      <c r="AD851" s="54" t="s">
        <v>2</v>
      </c>
      <c r="AE851" s="54" t="s">
        <v>2</v>
      </c>
      <c r="AF851" s="54" t="s">
        <v>2</v>
      </c>
      <c r="AG851" s="54" t="s">
        <v>2</v>
      </c>
    </row>
    <row r="852" ht="15.75" customHeight="1">
      <c r="B852" s="56"/>
      <c r="U852" s="46" t="str">
        <f t="array" ref="U852">IF($D852="","",IFERROR(_xlfn.XLOOKUP($D852,'TIR店舗一覧'!$D:$D,'TIR店舗一覧'!$E:$E,""),""))</f>
        <v/>
      </c>
      <c r="V852" s="54" t="s">
        <v>2</v>
      </c>
      <c r="W852" s="54" t="s">
        <v>2</v>
      </c>
      <c r="X852" s="54" t="s">
        <v>2</v>
      </c>
      <c r="Y852" s="54" t="s">
        <v>2</v>
      </c>
      <c r="Z852" s="54" t="s">
        <v>2</v>
      </c>
      <c r="AA852" s="54" t="s">
        <v>2</v>
      </c>
      <c r="AB852" s="54" t="s">
        <v>2</v>
      </c>
      <c r="AC852" s="54" t="s">
        <v>2</v>
      </c>
      <c r="AD852" s="54" t="s">
        <v>2</v>
      </c>
      <c r="AE852" s="54" t="s">
        <v>2</v>
      </c>
      <c r="AF852" s="54" t="s">
        <v>2</v>
      </c>
      <c r="AG852" s="54" t="s">
        <v>2</v>
      </c>
    </row>
    <row r="853" ht="15.75" customHeight="1">
      <c r="B853" s="56"/>
      <c r="U853" s="46" t="str">
        <f t="array" ref="U853">IF($D853="","",IFERROR(_xlfn.XLOOKUP($D853,'TIR店舗一覧'!$D:$D,'TIR店舗一覧'!$E:$E,""),""))</f>
        <v/>
      </c>
      <c r="V853" s="54" t="s">
        <v>2</v>
      </c>
      <c r="W853" s="54" t="s">
        <v>2</v>
      </c>
      <c r="X853" s="54" t="s">
        <v>2</v>
      </c>
      <c r="Y853" s="54" t="s">
        <v>2</v>
      </c>
      <c r="Z853" s="54" t="s">
        <v>2</v>
      </c>
      <c r="AA853" s="54" t="s">
        <v>2</v>
      </c>
      <c r="AB853" s="54" t="s">
        <v>2</v>
      </c>
      <c r="AC853" s="54" t="s">
        <v>2</v>
      </c>
      <c r="AD853" s="54" t="s">
        <v>2</v>
      </c>
      <c r="AE853" s="54" t="s">
        <v>2</v>
      </c>
      <c r="AF853" s="54" t="s">
        <v>2</v>
      </c>
      <c r="AG853" s="54" t="s">
        <v>2</v>
      </c>
    </row>
    <row r="854" ht="15.75" customHeight="1">
      <c r="B854" s="56"/>
      <c r="U854" s="46" t="str">
        <f t="array" ref="U854">IF($D854="","",IFERROR(_xlfn.XLOOKUP($D854,'TIR店舗一覧'!$D:$D,'TIR店舗一覧'!$E:$E,""),""))</f>
        <v/>
      </c>
      <c r="V854" s="54" t="s">
        <v>2</v>
      </c>
      <c r="W854" s="54" t="s">
        <v>2</v>
      </c>
      <c r="X854" s="54" t="s">
        <v>2</v>
      </c>
      <c r="Y854" s="54" t="s">
        <v>2</v>
      </c>
      <c r="Z854" s="54" t="s">
        <v>2</v>
      </c>
      <c r="AA854" s="54" t="s">
        <v>2</v>
      </c>
      <c r="AB854" s="54" t="s">
        <v>2</v>
      </c>
      <c r="AC854" s="54" t="s">
        <v>2</v>
      </c>
      <c r="AD854" s="54" t="s">
        <v>2</v>
      </c>
      <c r="AE854" s="54" t="s">
        <v>2</v>
      </c>
      <c r="AF854" s="54" t="s">
        <v>2</v>
      </c>
      <c r="AG854" s="54" t="s">
        <v>2</v>
      </c>
    </row>
    <row r="855" ht="15.75" customHeight="1">
      <c r="B855" s="56"/>
      <c r="U855" s="46" t="str">
        <f t="array" ref="U855">IF($D855="","",IFERROR(_xlfn.XLOOKUP($D855,'TIR店舗一覧'!$D:$D,'TIR店舗一覧'!$E:$E,""),""))</f>
        <v/>
      </c>
      <c r="V855" s="54" t="s">
        <v>2</v>
      </c>
      <c r="W855" s="54" t="s">
        <v>2</v>
      </c>
      <c r="X855" s="54" t="s">
        <v>2</v>
      </c>
      <c r="Y855" s="54" t="s">
        <v>2</v>
      </c>
      <c r="Z855" s="54" t="s">
        <v>2</v>
      </c>
      <c r="AA855" s="54" t="s">
        <v>2</v>
      </c>
      <c r="AB855" s="54" t="s">
        <v>2</v>
      </c>
      <c r="AC855" s="54" t="s">
        <v>2</v>
      </c>
      <c r="AD855" s="54" t="s">
        <v>2</v>
      </c>
      <c r="AE855" s="54" t="s">
        <v>2</v>
      </c>
      <c r="AF855" s="54" t="s">
        <v>2</v>
      </c>
      <c r="AG855" s="54" t="s">
        <v>2</v>
      </c>
    </row>
    <row r="856" ht="15.75" customHeight="1">
      <c r="B856" s="56"/>
      <c r="U856" s="46" t="str">
        <f t="array" ref="U856">IF($D856="","",IFERROR(_xlfn.XLOOKUP($D856,'TIR店舗一覧'!$D:$D,'TIR店舗一覧'!$E:$E,""),""))</f>
        <v/>
      </c>
      <c r="V856" s="54" t="s">
        <v>2</v>
      </c>
      <c r="W856" s="54" t="s">
        <v>2</v>
      </c>
      <c r="X856" s="54" t="s">
        <v>2</v>
      </c>
      <c r="Y856" s="54" t="s">
        <v>2</v>
      </c>
      <c r="Z856" s="54" t="s">
        <v>2</v>
      </c>
      <c r="AA856" s="54" t="s">
        <v>2</v>
      </c>
      <c r="AB856" s="54" t="s">
        <v>2</v>
      </c>
      <c r="AC856" s="54" t="s">
        <v>2</v>
      </c>
      <c r="AD856" s="54" t="s">
        <v>2</v>
      </c>
      <c r="AE856" s="54" t="s">
        <v>2</v>
      </c>
      <c r="AF856" s="54" t="s">
        <v>2</v>
      </c>
      <c r="AG856" s="54" t="s">
        <v>2</v>
      </c>
    </row>
    <row r="857" ht="15.75" customHeight="1">
      <c r="B857" s="56"/>
      <c r="U857" s="46" t="str">
        <f t="array" ref="U857">IF($D857="","",IFERROR(_xlfn.XLOOKUP($D857,'TIR店舗一覧'!$D:$D,'TIR店舗一覧'!$E:$E,""),""))</f>
        <v/>
      </c>
      <c r="V857" s="54" t="s">
        <v>2</v>
      </c>
      <c r="W857" s="54" t="s">
        <v>2</v>
      </c>
      <c r="X857" s="54" t="s">
        <v>2</v>
      </c>
      <c r="Y857" s="54" t="s">
        <v>2</v>
      </c>
      <c r="Z857" s="54" t="s">
        <v>2</v>
      </c>
      <c r="AA857" s="54" t="s">
        <v>2</v>
      </c>
      <c r="AB857" s="54" t="s">
        <v>2</v>
      </c>
      <c r="AC857" s="54" t="s">
        <v>2</v>
      </c>
      <c r="AD857" s="54" t="s">
        <v>2</v>
      </c>
      <c r="AE857" s="54" t="s">
        <v>2</v>
      </c>
      <c r="AF857" s="54" t="s">
        <v>2</v>
      </c>
      <c r="AG857" s="54" t="s">
        <v>2</v>
      </c>
    </row>
    <row r="858" ht="15.75" customHeight="1">
      <c r="B858" s="56"/>
      <c r="U858" s="46" t="str">
        <f t="array" ref="U858">IF($D858="","",IFERROR(_xlfn.XLOOKUP($D858,'TIR店舗一覧'!$D:$D,'TIR店舗一覧'!$E:$E,""),""))</f>
        <v/>
      </c>
      <c r="V858" s="54" t="s">
        <v>2</v>
      </c>
      <c r="W858" s="54" t="s">
        <v>2</v>
      </c>
      <c r="X858" s="54" t="s">
        <v>2</v>
      </c>
      <c r="Y858" s="54" t="s">
        <v>2</v>
      </c>
      <c r="Z858" s="54" t="s">
        <v>2</v>
      </c>
      <c r="AA858" s="54" t="s">
        <v>2</v>
      </c>
      <c r="AB858" s="54" t="s">
        <v>2</v>
      </c>
      <c r="AC858" s="54" t="s">
        <v>2</v>
      </c>
      <c r="AD858" s="54" t="s">
        <v>2</v>
      </c>
      <c r="AE858" s="54" t="s">
        <v>2</v>
      </c>
      <c r="AF858" s="54" t="s">
        <v>2</v>
      </c>
      <c r="AG858" s="54" t="s">
        <v>2</v>
      </c>
    </row>
    <row r="859" ht="15.75" customHeight="1">
      <c r="B859" s="56"/>
      <c r="U859" s="46" t="str">
        <f t="array" ref="U859">IF($D859="","",IFERROR(_xlfn.XLOOKUP($D859,'TIR店舗一覧'!$D:$D,'TIR店舗一覧'!$E:$E,""),""))</f>
        <v/>
      </c>
      <c r="V859" s="54" t="s">
        <v>2</v>
      </c>
      <c r="W859" s="54" t="s">
        <v>2</v>
      </c>
      <c r="X859" s="54" t="s">
        <v>2</v>
      </c>
      <c r="Y859" s="54" t="s">
        <v>2</v>
      </c>
      <c r="Z859" s="54" t="s">
        <v>2</v>
      </c>
      <c r="AA859" s="54" t="s">
        <v>2</v>
      </c>
      <c r="AB859" s="54" t="s">
        <v>2</v>
      </c>
      <c r="AC859" s="54" t="s">
        <v>2</v>
      </c>
      <c r="AD859" s="54" t="s">
        <v>2</v>
      </c>
      <c r="AE859" s="54" t="s">
        <v>2</v>
      </c>
      <c r="AF859" s="54" t="s">
        <v>2</v>
      </c>
      <c r="AG859" s="54" t="s">
        <v>2</v>
      </c>
    </row>
    <row r="860" ht="15.75" customHeight="1">
      <c r="B860" s="56"/>
      <c r="U860" s="46" t="str">
        <f t="array" ref="U860">IF($D860="","",IFERROR(_xlfn.XLOOKUP($D860,'TIR店舗一覧'!$D:$D,'TIR店舗一覧'!$E:$E,""),""))</f>
        <v/>
      </c>
      <c r="V860" s="54" t="s">
        <v>2</v>
      </c>
      <c r="W860" s="54" t="s">
        <v>2</v>
      </c>
      <c r="X860" s="54" t="s">
        <v>2</v>
      </c>
      <c r="Y860" s="54" t="s">
        <v>2</v>
      </c>
      <c r="Z860" s="54" t="s">
        <v>2</v>
      </c>
      <c r="AA860" s="54" t="s">
        <v>2</v>
      </c>
      <c r="AB860" s="54" t="s">
        <v>2</v>
      </c>
      <c r="AC860" s="54" t="s">
        <v>2</v>
      </c>
      <c r="AD860" s="54" t="s">
        <v>2</v>
      </c>
      <c r="AE860" s="54" t="s">
        <v>2</v>
      </c>
      <c r="AF860" s="54" t="s">
        <v>2</v>
      </c>
      <c r="AG860" s="54" t="s">
        <v>2</v>
      </c>
    </row>
    <row r="861" ht="15.75" customHeight="1">
      <c r="B861" s="56"/>
      <c r="U861" s="46" t="str">
        <f t="array" ref="U861">IF($D861="","",IFERROR(_xlfn.XLOOKUP($D861,'TIR店舗一覧'!$D:$D,'TIR店舗一覧'!$E:$E,""),""))</f>
        <v/>
      </c>
      <c r="V861" s="54" t="s">
        <v>2</v>
      </c>
      <c r="W861" s="54" t="s">
        <v>2</v>
      </c>
      <c r="X861" s="54" t="s">
        <v>2</v>
      </c>
      <c r="Y861" s="54" t="s">
        <v>2</v>
      </c>
      <c r="Z861" s="54" t="s">
        <v>2</v>
      </c>
      <c r="AA861" s="54" t="s">
        <v>2</v>
      </c>
      <c r="AB861" s="54" t="s">
        <v>2</v>
      </c>
      <c r="AC861" s="54" t="s">
        <v>2</v>
      </c>
      <c r="AD861" s="54" t="s">
        <v>2</v>
      </c>
      <c r="AE861" s="54" t="s">
        <v>2</v>
      </c>
      <c r="AF861" s="54" t="s">
        <v>2</v>
      </c>
      <c r="AG861" s="54" t="s">
        <v>2</v>
      </c>
    </row>
    <row r="862" ht="15.75" customHeight="1">
      <c r="B862" s="56"/>
      <c r="U862" s="46" t="str">
        <f t="array" ref="U862">IF($D862="","",IFERROR(_xlfn.XLOOKUP($D862,'TIR店舗一覧'!$D:$D,'TIR店舗一覧'!$E:$E,""),""))</f>
        <v/>
      </c>
      <c r="V862" s="54" t="s">
        <v>2</v>
      </c>
      <c r="W862" s="54" t="s">
        <v>2</v>
      </c>
      <c r="X862" s="54" t="s">
        <v>2</v>
      </c>
      <c r="Y862" s="54" t="s">
        <v>2</v>
      </c>
      <c r="Z862" s="54" t="s">
        <v>2</v>
      </c>
      <c r="AA862" s="54" t="s">
        <v>2</v>
      </c>
      <c r="AB862" s="54" t="s">
        <v>2</v>
      </c>
      <c r="AC862" s="54" t="s">
        <v>2</v>
      </c>
      <c r="AD862" s="54" t="s">
        <v>2</v>
      </c>
      <c r="AE862" s="54" t="s">
        <v>2</v>
      </c>
      <c r="AF862" s="54" t="s">
        <v>2</v>
      </c>
      <c r="AG862" s="54" t="s">
        <v>2</v>
      </c>
    </row>
    <row r="863" ht="15.75" customHeight="1">
      <c r="B863" s="56"/>
      <c r="U863" s="46" t="str">
        <f t="array" ref="U863">IF($D863="","",IFERROR(_xlfn.XLOOKUP($D863,'TIR店舗一覧'!$D:$D,'TIR店舗一覧'!$E:$E,""),""))</f>
        <v/>
      </c>
      <c r="V863" s="54" t="s">
        <v>2</v>
      </c>
      <c r="W863" s="54" t="s">
        <v>2</v>
      </c>
      <c r="X863" s="54" t="s">
        <v>2</v>
      </c>
      <c r="Y863" s="54" t="s">
        <v>2</v>
      </c>
      <c r="Z863" s="54" t="s">
        <v>2</v>
      </c>
      <c r="AA863" s="54" t="s">
        <v>2</v>
      </c>
      <c r="AB863" s="54" t="s">
        <v>2</v>
      </c>
      <c r="AC863" s="54" t="s">
        <v>2</v>
      </c>
      <c r="AD863" s="54" t="s">
        <v>2</v>
      </c>
      <c r="AE863" s="54" t="s">
        <v>2</v>
      </c>
      <c r="AF863" s="54" t="s">
        <v>2</v>
      </c>
      <c r="AG863" s="54" t="s">
        <v>2</v>
      </c>
    </row>
    <row r="864" ht="15.75" customHeight="1">
      <c r="B864" s="56"/>
      <c r="U864" s="46" t="str">
        <f t="array" ref="U864">IF($D864="","",IFERROR(_xlfn.XLOOKUP($D864,'TIR店舗一覧'!$D:$D,'TIR店舗一覧'!$E:$E,""),""))</f>
        <v/>
      </c>
      <c r="V864" s="54" t="s">
        <v>2</v>
      </c>
      <c r="W864" s="54" t="s">
        <v>2</v>
      </c>
      <c r="X864" s="54" t="s">
        <v>2</v>
      </c>
      <c r="Y864" s="54" t="s">
        <v>2</v>
      </c>
      <c r="Z864" s="54" t="s">
        <v>2</v>
      </c>
      <c r="AA864" s="54" t="s">
        <v>2</v>
      </c>
      <c r="AB864" s="54" t="s">
        <v>2</v>
      </c>
      <c r="AC864" s="54" t="s">
        <v>2</v>
      </c>
      <c r="AD864" s="54" t="s">
        <v>2</v>
      </c>
      <c r="AE864" s="54" t="s">
        <v>2</v>
      </c>
      <c r="AF864" s="54" t="s">
        <v>2</v>
      </c>
      <c r="AG864" s="54" t="s">
        <v>2</v>
      </c>
    </row>
    <row r="865" ht="15.75" customHeight="1">
      <c r="B865" s="56"/>
      <c r="U865" s="46" t="str">
        <f t="array" ref="U865">IF($D865="","",IFERROR(_xlfn.XLOOKUP($D865,'TIR店舗一覧'!$D:$D,'TIR店舗一覧'!$E:$E,""),""))</f>
        <v/>
      </c>
      <c r="V865" s="54" t="s">
        <v>2</v>
      </c>
      <c r="W865" s="54" t="s">
        <v>2</v>
      </c>
      <c r="X865" s="54" t="s">
        <v>2</v>
      </c>
      <c r="Y865" s="54" t="s">
        <v>2</v>
      </c>
      <c r="Z865" s="54" t="s">
        <v>2</v>
      </c>
      <c r="AA865" s="54" t="s">
        <v>2</v>
      </c>
      <c r="AB865" s="54" t="s">
        <v>2</v>
      </c>
      <c r="AC865" s="54" t="s">
        <v>2</v>
      </c>
      <c r="AD865" s="54" t="s">
        <v>2</v>
      </c>
      <c r="AE865" s="54" t="s">
        <v>2</v>
      </c>
      <c r="AF865" s="54" t="s">
        <v>2</v>
      </c>
      <c r="AG865" s="54" t="s">
        <v>2</v>
      </c>
    </row>
    <row r="866" ht="15.75" customHeight="1">
      <c r="B866" s="56"/>
      <c r="U866" s="46" t="str">
        <f t="array" ref="U866">IF($D866="","",IFERROR(_xlfn.XLOOKUP($D866,'TIR店舗一覧'!$D:$D,'TIR店舗一覧'!$E:$E,""),""))</f>
        <v/>
      </c>
      <c r="V866" s="54" t="s">
        <v>2</v>
      </c>
      <c r="W866" s="54" t="s">
        <v>2</v>
      </c>
      <c r="X866" s="54" t="s">
        <v>2</v>
      </c>
      <c r="Y866" s="54" t="s">
        <v>2</v>
      </c>
      <c r="Z866" s="54" t="s">
        <v>2</v>
      </c>
      <c r="AA866" s="54" t="s">
        <v>2</v>
      </c>
      <c r="AB866" s="54" t="s">
        <v>2</v>
      </c>
      <c r="AC866" s="54" t="s">
        <v>2</v>
      </c>
      <c r="AD866" s="54" t="s">
        <v>2</v>
      </c>
      <c r="AE866" s="54" t="s">
        <v>2</v>
      </c>
      <c r="AF866" s="54" t="s">
        <v>2</v>
      </c>
      <c r="AG866" s="54" t="s">
        <v>2</v>
      </c>
    </row>
    <row r="867" ht="15.75" customHeight="1">
      <c r="B867" s="56"/>
      <c r="U867" s="46" t="str">
        <f t="array" ref="U867">IF($D867="","",IFERROR(_xlfn.XLOOKUP($D867,'TIR店舗一覧'!$D:$D,'TIR店舗一覧'!$E:$E,""),""))</f>
        <v/>
      </c>
      <c r="V867" s="54" t="s">
        <v>2</v>
      </c>
      <c r="W867" s="54" t="s">
        <v>2</v>
      </c>
      <c r="X867" s="54" t="s">
        <v>2</v>
      </c>
      <c r="Y867" s="54" t="s">
        <v>2</v>
      </c>
      <c r="Z867" s="54" t="s">
        <v>2</v>
      </c>
      <c r="AA867" s="54" t="s">
        <v>2</v>
      </c>
      <c r="AB867" s="54" t="s">
        <v>2</v>
      </c>
      <c r="AC867" s="54" t="s">
        <v>2</v>
      </c>
      <c r="AD867" s="54" t="s">
        <v>2</v>
      </c>
      <c r="AE867" s="54" t="s">
        <v>2</v>
      </c>
      <c r="AF867" s="54" t="s">
        <v>2</v>
      </c>
      <c r="AG867" s="54" t="s">
        <v>2</v>
      </c>
    </row>
    <row r="868" ht="15.75" customHeight="1">
      <c r="B868" s="56"/>
      <c r="U868" s="46" t="str">
        <f t="array" ref="U868">IF($D868="","",IFERROR(_xlfn.XLOOKUP($D868,'TIR店舗一覧'!$D:$D,'TIR店舗一覧'!$E:$E,""),""))</f>
        <v/>
      </c>
      <c r="V868" s="54" t="s">
        <v>2</v>
      </c>
      <c r="W868" s="54" t="s">
        <v>2</v>
      </c>
      <c r="X868" s="54" t="s">
        <v>2</v>
      </c>
      <c r="Y868" s="54" t="s">
        <v>2</v>
      </c>
      <c r="Z868" s="54" t="s">
        <v>2</v>
      </c>
      <c r="AA868" s="54" t="s">
        <v>2</v>
      </c>
      <c r="AB868" s="54" t="s">
        <v>2</v>
      </c>
      <c r="AC868" s="54" t="s">
        <v>2</v>
      </c>
      <c r="AD868" s="54" t="s">
        <v>2</v>
      </c>
      <c r="AE868" s="54" t="s">
        <v>2</v>
      </c>
      <c r="AF868" s="54" t="s">
        <v>2</v>
      </c>
      <c r="AG868" s="54" t="s">
        <v>2</v>
      </c>
    </row>
    <row r="869" ht="15.75" customHeight="1">
      <c r="B869" s="56"/>
      <c r="U869" s="46" t="str">
        <f t="array" ref="U869">IF($D869="","",IFERROR(_xlfn.XLOOKUP($D869,'TIR店舗一覧'!$D:$D,'TIR店舗一覧'!$E:$E,""),""))</f>
        <v/>
      </c>
      <c r="V869" s="54" t="s">
        <v>2</v>
      </c>
      <c r="W869" s="54" t="s">
        <v>2</v>
      </c>
      <c r="X869" s="54" t="s">
        <v>2</v>
      </c>
      <c r="Y869" s="54" t="s">
        <v>2</v>
      </c>
      <c r="Z869" s="54" t="s">
        <v>2</v>
      </c>
      <c r="AA869" s="54" t="s">
        <v>2</v>
      </c>
      <c r="AB869" s="54" t="s">
        <v>2</v>
      </c>
      <c r="AC869" s="54" t="s">
        <v>2</v>
      </c>
      <c r="AD869" s="54" t="s">
        <v>2</v>
      </c>
      <c r="AE869" s="54" t="s">
        <v>2</v>
      </c>
      <c r="AF869" s="54" t="s">
        <v>2</v>
      </c>
      <c r="AG869" s="54" t="s">
        <v>2</v>
      </c>
    </row>
    <row r="870" ht="15.75" customHeight="1">
      <c r="B870" s="56"/>
      <c r="U870" s="46" t="str">
        <f t="array" ref="U870">IF($D870="","",IFERROR(_xlfn.XLOOKUP($D870,'TIR店舗一覧'!$D:$D,'TIR店舗一覧'!$E:$E,""),""))</f>
        <v/>
      </c>
      <c r="V870" s="54" t="s">
        <v>2</v>
      </c>
      <c r="W870" s="54" t="s">
        <v>2</v>
      </c>
      <c r="X870" s="54" t="s">
        <v>2</v>
      </c>
      <c r="Y870" s="54" t="s">
        <v>2</v>
      </c>
      <c r="Z870" s="54" t="s">
        <v>2</v>
      </c>
      <c r="AA870" s="54" t="s">
        <v>2</v>
      </c>
      <c r="AB870" s="54" t="s">
        <v>2</v>
      </c>
      <c r="AC870" s="54" t="s">
        <v>2</v>
      </c>
      <c r="AD870" s="54" t="s">
        <v>2</v>
      </c>
      <c r="AE870" s="54" t="s">
        <v>2</v>
      </c>
      <c r="AF870" s="54" t="s">
        <v>2</v>
      </c>
      <c r="AG870" s="54" t="s">
        <v>2</v>
      </c>
    </row>
    <row r="871" ht="15.75" customHeight="1">
      <c r="B871" s="56"/>
      <c r="U871" s="46" t="str">
        <f t="array" ref="U871">IF($D871="","",IFERROR(_xlfn.XLOOKUP($D871,'TIR店舗一覧'!$D:$D,'TIR店舗一覧'!$E:$E,""),""))</f>
        <v/>
      </c>
      <c r="V871" s="54" t="s">
        <v>2</v>
      </c>
      <c r="W871" s="54" t="s">
        <v>2</v>
      </c>
      <c r="X871" s="54" t="s">
        <v>2</v>
      </c>
      <c r="Y871" s="54" t="s">
        <v>2</v>
      </c>
      <c r="Z871" s="54" t="s">
        <v>2</v>
      </c>
      <c r="AA871" s="54" t="s">
        <v>2</v>
      </c>
      <c r="AB871" s="54" t="s">
        <v>2</v>
      </c>
      <c r="AC871" s="54" t="s">
        <v>2</v>
      </c>
      <c r="AD871" s="54" t="s">
        <v>2</v>
      </c>
      <c r="AE871" s="54" t="s">
        <v>2</v>
      </c>
      <c r="AF871" s="54" t="s">
        <v>2</v>
      </c>
      <c r="AG871" s="54" t="s">
        <v>2</v>
      </c>
    </row>
    <row r="872" ht="15.75" customHeight="1">
      <c r="B872" s="56"/>
      <c r="U872" s="46" t="str">
        <f t="array" ref="U872">IF($D872="","",IFERROR(_xlfn.XLOOKUP($D872,'TIR店舗一覧'!$D:$D,'TIR店舗一覧'!$E:$E,""),""))</f>
        <v/>
      </c>
      <c r="V872" s="54" t="s">
        <v>2</v>
      </c>
      <c r="W872" s="54" t="s">
        <v>2</v>
      </c>
      <c r="X872" s="54" t="s">
        <v>2</v>
      </c>
      <c r="Y872" s="54" t="s">
        <v>2</v>
      </c>
      <c r="Z872" s="54" t="s">
        <v>2</v>
      </c>
      <c r="AA872" s="54" t="s">
        <v>2</v>
      </c>
      <c r="AB872" s="54" t="s">
        <v>2</v>
      </c>
      <c r="AC872" s="54" t="s">
        <v>2</v>
      </c>
      <c r="AD872" s="54" t="s">
        <v>2</v>
      </c>
      <c r="AE872" s="54" t="s">
        <v>2</v>
      </c>
      <c r="AF872" s="54" t="s">
        <v>2</v>
      </c>
      <c r="AG872" s="54" t="s">
        <v>2</v>
      </c>
    </row>
    <row r="873" ht="15.75" customHeight="1">
      <c r="B873" s="56"/>
      <c r="U873" s="46" t="str">
        <f t="array" ref="U873">IF($D873="","",IFERROR(_xlfn.XLOOKUP($D873,'TIR店舗一覧'!$D:$D,'TIR店舗一覧'!$E:$E,""),""))</f>
        <v/>
      </c>
      <c r="V873" s="54" t="s">
        <v>2</v>
      </c>
      <c r="W873" s="54" t="s">
        <v>2</v>
      </c>
      <c r="X873" s="54" t="s">
        <v>2</v>
      </c>
      <c r="Y873" s="54" t="s">
        <v>2</v>
      </c>
      <c r="Z873" s="54" t="s">
        <v>2</v>
      </c>
      <c r="AA873" s="54" t="s">
        <v>2</v>
      </c>
      <c r="AB873" s="54" t="s">
        <v>2</v>
      </c>
      <c r="AC873" s="54" t="s">
        <v>2</v>
      </c>
      <c r="AD873" s="54" t="s">
        <v>2</v>
      </c>
      <c r="AE873" s="54" t="s">
        <v>2</v>
      </c>
      <c r="AF873" s="54" t="s">
        <v>2</v>
      </c>
      <c r="AG873" s="54" t="s">
        <v>2</v>
      </c>
    </row>
    <row r="874" ht="15.75" customHeight="1">
      <c r="B874" s="56"/>
      <c r="U874" s="46" t="str">
        <f t="array" ref="U874">IF($D874="","",IFERROR(_xlfn.XLOOKUP($D874,'TIR店舗一覧'!$D:$D,'TIR店舗一覧'!$E:$E,""),""))</f>
        <v/>
      </c>
      <c r="V874" s="54" t="s">
        <v>2</v>
      </c>
      <c r="W874" s="54" t="s">
        <v>2</v>
      </c>
      <c r="X874" s="54" t="s">
        <v>2</v>
      </c>
      <c r="Y874" s="54" t="s">
        <v>2</v>
      </c>
      <c r="Z874" s="54" t="s">
        <v>2</v>
      </c>
      <c r="AA874" s="54" t="s">
        <v>2</v>
      </c>
      <c r="AB874" s="54" t="s">
        <v>2</v>
      </c>
      <c r="AC874" s="54" t="s">
        <v>2</v>
      </c>
      <c r="AD874" s="54" t="s">
        <v>2</v>
      </c>
      <c r="AE874" s="54" t="s">
        <v>2</v>
      </c>
      <c r="AF874" s="54" t="s">
        <v>2</v>
      </c>
      <c r="AG874" s="54" t="s">
        <v>2</v>
      </c>
    </row>
    <row r="875" ht="15.75" customHeight="1">
      <c r="B875" s="56"/>
      <c r="U875" s="46" t="str">
        <f t="array" ref="U875">IF($D875="","",IFERROR(_xlfn.XLOOKUP($D875,'TIR店舗一覧'!$D:$D,'TIR店舗一覧'!$E:$E,""),""))</f>
        <v/>
      </c>
      <c r="V875" s="54" t="s">
        <v>2</v>
      </c>
      <c r="W875" s="54" t="s">
        <v>2</v>
      </c>
      <c r="X875" s="54" t="s">
        <v>2</v>
      </c>
      <c r="Y875" s="54" t="s">
        <v>2</v>
      </c>
      <c r="Z875" s="54" t="s">
        <v>2</v>
      </c>
      <c r="AA875" s="54" t="s">
        <v>2</v>
      </c>
      <c r="AB875" s="54" t="s">
        <v>2</v>
      </c>
      <c r="AC875" s="54" t="s">
        <v>2</v>
      </c>
      <c r="AD875" s="54" t="s">
        <v>2</v>
      </c>
      <c r="AE875" s="54" t="s">
        <v>2</v>
      </c>
      <c r="AF875" s="54" t="s">
        <v>2</v>
      </c>
      <c r="AG875" s="54" t="s">
        <v>2</v>
      </c>
    </row>
    <row r="876" ht="15.75" customHeight="1">
      <c r="B876" s="56"/>
      <c r="U876" s="46" t="str">
        <f t="array" ref="U876">IF($D876="","",IFERROR(_xlfn.XLOOKUP($D876,'TIR店舗一覧'!$D:$D,'TIR店舗一覧'!$E:$E,""),""))</f>
        <v/>
      </c>
      <c r="V876" s="54" t="s">
        <v>2</v>
      </c>
      <c r="W876" s="54" t="s">
        <v>2</v>
      </c>
      <c r="X876" s="54" t="s">
        <v>2</v>
      </c>
      <c r="Y876" s="54" t="s">
        <v>2</v>
      </c>
      <c r="Z876" s="54" t="s">
        <v>2</v>
      </c>
      <c r="AA876" s="54" t="s">
        <v>2</v>
      </c>
      <c r="AB876" s="54" t="s">
        <v>2</v>
      </c>
      <c r="AC876" s="54" t="s">
        <v>2</v>
      </c>
      <c r="AD876" s="54" t="s">
        <v>2</v>
      </c>
      <c r="AE876" s="54" t="s">
        <v>2</v>
      </c>
      <c r="AF876" s="54" t="s">
        <v>2</v>
      </c>
      <c r="AG876" s="54" t="s">
        <v>2</v>
      </c>
    </row>
    <row r="877" ht="15.75" customHeight="1">
      <c r="B877" s="56"/>
      <c r="U877" s="46" t="str">
        <f t="array" ref="U877">IF($D877="","",IFERROR(_xlfn.XLOOKUP($D877,'TIR店舗一覧'!$D:$D,'TIR店舗一覧'!$E:$E,""),""))</f>
        <v/>
      </c>
      <c r="V877" s="54" t="s">
        <v>2</v>
      </c>
      <c r="W877" s="54" t="s">
        <v>2</v>
      </c>
      <c r="X877" s="54" t="s">
        <v>2</v>
      </c>
      <c r="Y877" s="54" t="s">
        <v>2</v>
      </c>
      <c r="Z877" s="54" t="s">
        <v>2</v>
      </c>
      <c r="AA877" s="54" t="s">
        <v>2</v>
      </c>
      <c r="AB877" s="54" t="s">
        <v>2</v>
      </c>
      <c r="AC877" s="54" t="s">
        <v>2</v>
      </c>
      <c r="AD877" s="54" t="s">
        <v>2</v>
      </c>
      <c r="AE877" s="54" t="s">
        <v>2</v>
      </c>
      <c r="AF877" s="54" t="s">
        <v>2</v>
      </c>
      <c r="AG877" s="54" t="s">
        <v>2</v>
      </c>
    </row>
    <row r="878" ht="15.75" customHeight="1">
      <c r="B878" s="56"/>
      <c r="U878" s="46" t="str">
        <f t="array" ref="U878">IF($D878="","",IFERROR(_xlfn.XLOOKUP($D878,'TIR店舗一覧'!$D:$D,'TIR店舗一覧'!$E:$E,""),""))</f>
        <v/>
      </c>
      <c r="V878" s="54" t="s">
        <v>2</v>
      </c>
      <c r="W878" s="54" t="s">
        <v>2</v>
      </c>
      <c r="X878" s="54" t="s">
        <v>2</v>
      </c>
      <c r="Y878" s="54" t="s">
        <v>2</v>
      </c>
      <c r="Z878" s="54" t="s">
        <v>2</v>
      </c>
      <c r="AA878" s="54" t="s">
        <v>2</v>
      </c>
      <c r="AB878" s="54" t="s">
        <v>2</v>
      </c>
      <c r="AC878" s="54" t="s">
        <v>2</v>
      </c>
      <c r="AD878" s="54" t="s">
        <v>2</v>
      </c>
      <c r="AE878" s="54" t="s">
        <v>2</v>
      </c>
      <c r="AF878" s="54" t="s">
        <v>2</v>
      </c>
      <c r="AG878" s="54" t="s">
        <v>2</v>
      </c>
    </row>
    <row r="879" ht="15.75" customHeight="1">
      <c r="B879" s="56"/>
      <c r="U879" s="46" t="str">
        <f t="array" ref="U879">IF($D879="","",IFERROR(_xlfn.XLOOKUP($D879,'TIR店舗一覧'!$D:$D,'TIR店舗一覧'!$E:$E,""),""))</f>
        <v/>
      </c>
      <c r="V879" s="54" t="s">
        <v>2</v>
      </c>
      <c r="W879" s="54" t="s">
        <v>2</v>
      </c>
      <c r="X879" s="54" t="s">
        <v>2</v>
      </c>
      <c r="Y879" s="54" t="s">
        <v>2</v>
      </c>
      <c r="Z879" s="54" t="s">
        <v>2</v>
      </c>
      <c r="AA879" s="54" t="s">
        <v>2</v>
      </c>
      <c r="AB879" s="54" t="s">
        <v>2</v>
      </c>
      <c r="AC879" s="54" t="s">
        <v>2</v>
      </c>
      <c r="AD879" s="54" t="s">
        <v>2</v>
      </c>
      <c r="AE879" s="54" t="s">
        <v>2</v>
      </c>
      <c r="AF879" s="54" t="s">
        <v>2</v>
      </c>
      <c r="AG879" s="54" t="s">
        <v>2</v>
      </c>
    </row>
    <row r="880" ht="15.75" customHeight="1">
      <c r="B880" s="56"/>
      <c r="U880" s="46" t="str">
        <f t="array" ref="U880">IF($D880="","",IFERROR(_xlfn.XLOOKUP($D880,'TIR店舗一覧'!$D:$D,'TIR店舗一覧'!$E:$E,""),""))</f>
        <v/>
      </c>
      <c r="V880" s="54" t="s">
        <v>2</v>
      </c>
      <c r="W880" s="54" t="s">
        <v>2</v>
      </c>
      <c r="X880" s="54" t="s">
        <v>2</v>
      </c>
      <c r="Y880" s="54" t="s">
        <v>2</v>
      </c>
      <c r="Z880" s="54" t="s">
        <v>2</v>
      </c>
      <c r="AA880" s="54" t="s">
        <v>2</v>
      </c>
      <c r="AB880" s="54" t="s">
        <v>2</v>
      </c>
      <c r="AC880" s="54" t="s">
        <v>2</v>
      </c>
      <c r="AD880" s="54" t="s">
        <v>2</v>
      </c>
      <c r="AE880" s="54" t="s">
        <v>2</v>
      </c>
      <c r="AF880" s="54" t="s">
        <v>2</v>
      </c>
      <c r="AG880" s="54" t="s">
        <v>2</v>
      </c>
    </row>
    <row r="881" ht="15.75" customHeight="1">
      <c r="B881" s="56"/>
      <c r="U881" s="46" t="str">
        <f t="array" ref="U881">IF($D881="","",IFERROR(_xlfn.XLOOKUP($D881,'TIR店舗一覧'!$D:$D,'TIR店舗一覧'!$E:$E,""),""))</f>
        <v/>
      </c>
      <c r="V881" s="54" t="s">
        <v>2</v>
      </c>
      <c r="W881" s="54" t="s">
        <v>2</v>
      </c>
      <c r="X881" s="54" t="s">
        <v>2</v>
      </c>
      <c r="Y881" s="54" t="s">
        <v>2</v>
      </c>
      <c r="Z881" s="54" t="s">
        <v>2</v>
      </c>
      <c r="AA881" s="54" t="s">
        <v>2</v>
      </c>
      <c r="AB881" s="54" t="s">
        <v>2</v>
      </c>
      <c r="AC881" s="54" t="s">
        <v>2</v>
      </c>
      <c r="AD881" s="54" t="s">
        <v>2</v>
      </c>
      <c r="AE881" s="54" t="s">
        <v>2</v>
      </c>
      <c r="AF881" s="54" t="s">
        <v>2</v>
      </c>
      <c r="AG881" s="54" t="s">
        <v>2</v>
      </c>
    </row>
    <row r="882" ht="15.75" customHeight="1">
      <c r="B882" s="56"/>
      <c r="U882" s="46" t="str">
        <f t="array" ref="U882">IF($D882="","",IFERROR(_xlfn.XLOOKUP($D882,'TIR店舗一覧'!$D:$D,'TIR店舗一覧'!$E:$E,""),""))</f>
        <v/>
      </c>
      <c r="V882" s="54" t="s">
        <v>2</v>
      </c>
      <c r="W882" s="54" t="s">
        <v>2</v>
      </c>
      <c r="X882" s="54" t="s">
        <v>2</v>
      </c>
      <c r="Y882" s="54" t="s">
        <v>2</v>
      </c>
      <c r="Z882" s="54" t="s">
        <v>2</v>
      </c>
      <c r="AA882" s="54" t="s">
        <v>2</v>
      </c>
      <c r="AB882" s="54" t="s">
        <v>2</v>
      </c>
      <c r="AC882" s="54" t="s">
        <v>2</v>
      </c>
      <c r="AD882" s="54" t="s">
        <v>2</v>
      </c>
      <c r="AE882" s="54" t="s">
        <v>2</v>
      </c>
      <c r="AF882" s="54" t="s">
        <v>2</v>
      </c>
      <c r="AG882" s="54" t="s">
        <v>2</v>
      </c>
    </row>
    <row r="883" ht="15.75" customHeight="1">
      <c r="B883" s="56"/>
      <c r="U883" s="46" t="str">
        <f t="array" ref="U883">IF($D883="","",IFERROR(_xlfn.XLOOKUP($D883,'TIR店舗一覧'!$D:$D,'TIR店舗一覧'!$E:$E,""),""))</f>
        <v/>
      </c>
      <c r="V883" s="54" t="s">
        <v>2</v>
      </c>
      <c r="W883" s="54" t="s">
        <v>2</v>
      </c>
      <c r="X883" s="54" t="s">
        <v>2</v>
      </c>
      <c r="Y883" s="54" t="s">
        <v>2</v>
      </c>
      <c r="Z883" s="54" t="s">
        <v>2</v>
      </c>
      <c r="AA883" s="54" t="s">
        <v>2</v>
      </c>
      <c r="AB883" s="54" t="s">
        <v>2</v>
      </c>
      <c r="AC883" s="54" t="s">
        <v>2</v>
      </c>
      <c r="AD883" s="54" t="s">
        <v>2</v>
      </c>
      <c r="AE883" s="54" t="s">
        <v>2</v>
      </c>
      <c r="AF883" s="54" t="s">
        <v>2</v>
      </c>
      <c r="AG883" s="54" t="s">
        <v>2</v>
      </c>
    </row>
    <row r="884" ht="15.75" customHeight="1">
      <c r="B884" s="56"/>
      <c r="U884" s="46" t="str">
        <f t="array" ref="U884">IF($D884="","",IFERROR(_xlfn.XLOOKUP($D884,'TIR店舗一覧'!$D:$D,'TIR店舗一覧'!$E:$E,""),""))</f>
        <v/>
      </c>
      <c r="V884" s="54" t="s">
        <v>2</v>
      </c>
      <c r="W884" s="54" t="s">
        <v>2</v>
      </c>
      <c r="X884" s="54" t="s">
        <v>2</v>
      </c>
      <c r="Y884" s="54" t="s">
        <v>2</v>
      </c>
      <c r="Z884" s="54" t="s">
        <v>2</v>
      </c>
      <c r="AA884" s="54" t="s">
        <v>2</v>
      </c>
      <c r="AB884" s="54" t="s">
        <v>2</v>
      </c>
      <c r="AC884" s="54" t="s">
        <v>2</v>
      </c>
      <c r="AD884" s="54" t="s">
        <v>2</v>
      </c>
      <c r="AE884" s="54" t="s">
        <v>2</v>
      </c>
      <c r="AF884" s="54" t="s">
        <v>2</v>
      </c>
      <c r="AG884" s="54" t="s">
        <v>2</v>
      </c>
    </row>
    <row r="885" ht="15.75" customHeight="1">
      <c r="B885" s="56"/>
      <c r="U885" s="46" t="str">
        <f t="array" ref="U885">IF($D885="","",IFERROR(_xlfn.XLOOKUP($D885,'TIR店舗一覧'!$D:$D,'TIR店舗一覧'!$E:$E,""),""))</f>
        <v/>
      </c>
      <c r="V885" s="54" t="s">
        <v>2</v>
      </c>
      <c r="W885" s="54" t="s">
        <v>2</v>
      </c>
      <c r="X885" s="54" t="s">
        <v>2</v>
      </c>
      <c r="Y885" s="54" t="s">
        <v>2</v>
      </c>
      <c r="Z885" s="54" t="s">
        <v>2</v>
      </c>
      <c r="AA885" s="54" t="s">
        <v>2</v>
      </c>
      <c r="AB885" s="54" t="s">
        <v>2</v>
      </c>
      <c r="AC885" s="54" t="s">
        <v>2</v>
      </c>
      <c r="AD885" s="54" t="s">
        <v>2</v>
      </c>
      <c r="AE885" s="54" t="s">
        <v>2</v>
      </c>
      <c r="AF885" s="54" t="s">
        <v>2</v>
      </c>
      <c r="AG885" s="54" t="s">
        <v>2</v>
      </c>
    </row>
    <row r="886" ht="15.75" customHeight="1">
      <c r="B886" s="56"/>
      <c r="U886" s="46" t="str">
        <f t="array" ref="U886">IF($D886="","",IFERROR(_xlfn.XLOOKUP($D886,'TIR店舗一覧'!$D:$D,'TIR店舗一覧'!$E:$E,""),""))</f>
        <v/>
      </c>
      <c r="V886" s="54" t="s">
        <v>2</v>
      </c>
      <c r="W886" s="54" t="s">
        <v>2</v>
      </c>
      <c r="X886" s="54" t="s">
        <v>2</v>
      </c>
      <c r="Y886" s="54" t="s">
        <v>2</v>
      </c>
      <c r="Z886" s="54" t="s">
        <v>2</v>
      </c>
      <c r="AA886" s="54" t="s">
        <v>2</v>
      </c>
      <c r="AB886" s="54" t="s">
        <v>2</v>
      </c>
      <c r="AC886" s="54" t="s">
        <v>2</v>
      </c>
      <c r="AD886" s="54" t="s">
        <v>2</v>
      </c>
      <c r="AE886" s="54" t="s">
        <v>2</v>
      </c>
      <c r="AF886" s="54" t="s">
        <v>2</v>
      </c>
      <c r="AG886" s="54" t="s">
        <v>2</v>
      </c>
    </row>
    <row r="887" ht="15.75" customHeight="1">
      <c r="B887" s="56"/>
      <c r="U887" s="46" t="str">
        <f t="array" ref="U887">IF($D887="","",IFERROR(_xlfn.XLOOKUP($D887,'TIR店舗一覧'!$D:$D,'TIR店舗一覧'!$E:$E,""),""))</f>
        <v/>
      </c>
      <c r="V887" s="54" t="s">
        <v>2</v>
      </c>
      <c r="W887" s="54" t="s">
        <v>2</v>
      </c>
      <c r="X887" s="54" t="s">
        <v>2</v>
      </c>
      <c r="Y887" s="54" t="s">
        <v>2</v>
      </c>
      <c r="Z887" s="54" t="s">
        <v>2</v>
      </c>
      <c r="AA887" s="54" t="s">
        <v>2</v>
      </c>
      <c r="AB887" s="54" t="s">
        <v>2</v>
      </c>
      <c r="AC887" s="54" t="s">
        <v>2</v>
      </c>
      <c r="AD887" s="54" t="s">
        <v>2</v>
      </c>
      <c r="AE887" s="54" t="s">
        <v>2</v>
      </c>
      <c r="AF887" s="54" t="s">
        <v>2</v>
      </c>
      <c r="AG887" s="54" t="s">
        <v>2</v>
      </c>
    </row>
    <row r="888" ht="15.75" customHeight="1">
      <c r="B888" s="56"/>
      <c r="U888" s="46" t="str">
        <f t="array" ref="U888">IF($D888="","",IFERROR(_xlfn.XLOOKUP($D888,'TIR店舗一覧'!$D:$D,'TIR店舗一覧'!$E:$E,""),""))</f>
        <v/>
      </c>
      <c r="V888" s="54" t="s">
        <v>2</v>
      </c>
      <c r="W888" s="54" t="s">
        <v>2</v>
      </c>
      <c r="X888" s="54" t="s">
        <v>2</v>
      </c>
      <c r="Y888" s="54" t="s">
        <v>2</v>
      </c>
      <c r="Z888" s="54" t="s">
        <v>2</v>
      </c>
      <c r="AA888" s="54" t="s">
        <v>2</v>
      </c>
      <c r="AB888" s="54" t="s">
        <v>2</v>
      </c>
      <c r="AC888" s="54" t="s">
        <v>2</v>
      </c>
      <c r="AD888" s="54" t="s">
        <v>2</v>
      </c>
      <c r="AE888" s="54" t="s">
        <v>2</v>
      </c>
      <c r="AF888" s="54" t="s">
        <v>2</v>
      </c>
      <c r="AG888" s="54" t="s">
        <v>2</v>
      </c>
    </row>
    <row r="889" ht="15.75" customHeight="1">
      <c r="B889" s="56"/>
      <c r="U889" s="46" t="str">
        <f t="array" ref="U889">IF($D889="","",IFERROR(_xlfn.XLOOKUP($D889,'TIR店舗一覧'!$D:$D,'TIR店舗一覧'!$E:$E,""),""))</f>
        <v/>
      </c>
      <c r="V889" s="54" t="s">
        <v>2</v>
      </c>
      <c r="W889" s="54" t="s">
        <v>2</v>
      </c>
      <c r="X889" s="54" t="s">
        <v>2</v>
      </c>
      <c r="Y889" s="54" t="s">
        <v>2</v>
      </c>
      <c r="Z889" s="54" t="s">
        <v>2</v>
      </c>
      <c r="AA889" s="54" t="s">
        <v>2</v>
      </c>
      <c r="AB889" s="54" t="s">
        <v>2</v>
      </c>
      <c r="AC889" s="54" t="s">
        <v>2</v>
      </c>
      <c r="AD889" s="54" t="s">
        <v>2</v>
      </c>
      <c r="AE889" s="54" t="s">
        <v>2</v>
      </c>
      <c r="AF889" s="54" t="s">
        <v>2</v>
      </c>
      <c r="AG889" s="54" t="s">
        <v>2</v>
      </c>
    </row>
    <row r="890" ht="15.75" customHeight="1">
      <c r="B890" s="56"/>
      <c r="U890" s="46" t="str">
        <f t="array" ref="U890">IF($D890="","",IFERROR(_xlfn.XLOOKUP($D890,'TIR店舗一覧'!$D:$D,'TIR店舗一覧'!$E:$E,""),""))</f>
        <v/>
      </c>
      <c r="V890" s="54" t="s">
        <v>2</v>
      </c>
      <c r="W890" s="54" t="s">
        <v>2</v>
      </c>
      <c r="X890" s="54" t="s">
        <v>2</v>
      </c>
      <c r="Y890" s="54" t="s">
        <v>2</v>
      </c>
      <c r="Z890" s="54" t="s">
        <v>2</v>
      </c>
      <c r="AA890" s="54" t="s">
        <v>2</v>
      </c>
      <c r="AB890" s="54" t="s">
        <v>2</v>
      </c>
      <c r="AC890" s="54" t="s">
        <v>2</v>
      </c>
      <c r="AD890" s="54" t="s">
        <v>2</v>
      </c>
      <c r="AE890" s="54" t="s">
        <v>2</v>
      </c>
      <c r="AF890" s="54" t="s">
        <v>2</v>
      </c>
      <c r="AG890" s="54" t="s">
        <v>2</v>
      </c>
    </row>
    <row r="891" ht="15.75" customHeight="1">
      <c r="B891" s="56"/>
      <c r="U891" s="46" t="str">
        <f t="array" ref="U891">IF($D891="","",IFERROR(_xlfn.XLOOKUP($D891,'TIR店舗一覧'!$D:$D,'TIR店舗一覧'!$E:$E,""),""))</f>
        <v/>
      </c>
      <c r="V891" s="54" t="s">
        <v>2</v>
      </c>
      <c r="W891" s="54" t="s">
        <v>2</v>
      </c>
      <c r="X891" s="54" t="s">
        <v>2</v>
      </c>
      <c r="Y891" s="54" t="s">
        <v>2</v>
      </c>
      <c r="Z891" s="54" t="s">
        <v>2</v>
      </c>
      <c r="AA891" s="54" t="s">
        <v>2</v>
      </c>
      <c r="AB891" s="54" t="s">
        <v>2</v>
      </c>
      <c r="AC891" s="54" t="s">
        <v>2</v>
      </c>
      <c r="AD891" s="54" t="s">
        <v>2</v>
      </c>
      <c r="AE891" s="54" t="s">
        <v>2</v>
      </c>
      <c r="AF891" s="54" t="s">
        <v>2</v>
      </c>
      <c r="AG891" s="54" t="s">
        <v>2</v>
      </c>
    </row>
    <row r="892" ht="15.75" customHeight="1">
      <c r="B892" s="56"/>
      <c r="U892" s="46" t="str">
        <f t="array" ref="U892">IF($D892="","",IFERROR(_xlfn.XLOOKUP($D892,'TIR店舗一覧'!$D:$D,'TIR店舗一覧'!$E:$E,""),""))</f>
        <v/>
      </c>
      <c r="V892" s="54" t="s">
        <v>2</v>
      </c>
      <c r="W892" s="54" t="s">
        <v>2</v>
      </c>
      <c r="X892" s="54" t="s">
        <v>2</v>
      </c>
      <c r="Y892" s="54" t="s">
        <v>2</v>
      </c>
      <c r="Z892" s="54" t="s">
        <v>2</v>
      </c>
      <c r="AA892" s="54" t="s">
        <v>2</v>
      </c>
      <c r="AB892" s="54" t="s">
        <v>2</v>
      </c>
      <c r="AC892" s="54" t="s">
        <v>2</v>
      </c>
      <c r="AD892" s="54" t="s">
        <v>2</v>
      </c>
      <c r="AE892" s="54" t="s">
        <v>2</v>
      </c>
      <c r="AF892" s="54" t="s">
        <v>2</v>
      </c>
      <c r="AG892" s="54" t="s">
        <v>2</v>
      </c>
    </row>
    <row r="893" ht="15.75" customHeight="1">
      <c r="B893" s="56"/>
      <c r="U893" s="46" t="str">
        <f t="array" ref="U893">IF($D893="","",IFERROR(_xlfn.XLOOKUP($D893,'TIR店舗一覧'!$D:$D,'TIR店舗一覧'!$E:$E,""),""))</f>
        <v/>
      </c>
      <c r="V893" s="54" t="s">
        <v>2</v>
      </c>
      <c r="W893" s="54" t="s">
        <v>2</v>
      </c>
      <c r="X893" s="54" t="s">
        <v>2</v>
      </c>
      <c r="Y893" s="54" t="s">
        <v>2</v>
      </c>
      <c r="Z893" s="54" t="s">
        <v>2</v>
      </c>
      <c r="AA893" s="54" t="s">
        <v>2</v>
      </c>
      <c r="AB893" s="54" t="s">
        <v>2</v>
      </c>
      <c r="AC893" s="54" t="s">
        <v>2</v>
      </c>
      <c r="AD893" s="54" t="s">
        <v>2</v>
      </c>
      <c r="AE893" s="54" t="s">
        <v>2</v>
      </c>
      <c r="AF893" s="54" t="s">
        <v>2</v>
      </c>
      <c r="AG893" s="54" t="s">
        <v>2</v>
      </c>
    </row>
    <row r="894" ht="15.75" customHeight="1">
      <c r="B894" s="56"/>
      <c r="U894" s="46" t="str">
        <f t="array" ref="U894">IF($D894="","",IFERROR(_xlfn.XLOOKUP($D894,'TIR店舗一覧'!$D:$D,'TIR店舗一覧'!$E:$E,""),""))</f>
        <v/>
      </c>
      <c r="V894" s="54" t="s">
        <v>2</v>
      </c>
      <c r="W894" s="54" t="s">
        <v>2</v>
      </c>
      <c r="X894" s="54" t="s">
        <v>2</v>
      </c>
      <c r="Y894" s="54" t="s">
        <v>2</v>
      </c>
      <c r="Z894" s="54" t="s">
        <v>2</v>
      </c>
      <c r="AA894" s="54" t="s">
        <v>2</v>
      </c>
      <c r="AB894" s="54" t="s">
        <v>2</v>
      </c>
      <c r="AC894" s="54" t="s">
        <v>2</v>
      </c>
      <c r="AD894" s="54" t="s">
        <v>2</v>
      </c>
      <c r="AE894" s="54" t="s">
        <v>2</v>
      </c>
      <c r="AF894" s="54" t="s">
        <v>2</v>
      </c>
      <c r="AG894" s="54" t="s">
        <v>2</v>
      </c>
    </row>
    <row r="895" ht="15.75" customHeight="1">
      <c r="B895" s="56"/>
      <c r="U895" s="46" t="str">
        <f t="array" ref="U895">IF($D895="","",IFERROR(_xlfn.XLOOKUP($D895,'TIR店舗一覧'!$D:$D,'TIR店舗一覧'!$E:$E,""),""))</f>
        <v/>
      </c>
      <c r="V895" s="54" t="s">
        <v>2</v>
      </c>
      <c r="W895" s="54" t="s">
        <v>2</v>
      </c>
      <c r="X895" s="54" t="s">
        <v>2</v>
      </c>
      <c r="Y895" s="54" t="s">
        <v>2</v>
      </c>
      <c r="Z895" s="54" t="s">
        <v>2</v>
      </c>
      <c r="AA895" s="54" t="s">
        <v>2</v>
      </c>
      <c r="AB895" s="54" t="s">
        <v>2</v>
      </c>
      <c r="AC895" s="54" t="s">
        <v>2</v>
      </c>
      <c r="AD895" s="54" t="s">
        <v>2</v>
      </c>
      <c r="AE895" s="54" t="s">
        <v>2</v>
      </c>
      <c r="AF895" s="54" t="s">
        <v>2</v>
      </c>
      <c r="AG895" s="54" t="s">
        <v>2</v>
      </c>
    </row>
    <row r="896" ht="15.75" customHeight="1">
      <c r="B896" s="56"/>
      <c r="U896" s="46" t="str">
        <f t="array" ref="U896">IF($D896="","",IFERROR(_xlfn.XLOOKUP($D896,'TIR店舗一覧'!$D:$D,'TIR店舗一覧'!$E:$E,""),""))</f>
        <v/>
      </c>
      <c r="V896" s="54" t="s">
        <v>2</v>
      </c>
      <c r="W896" s="54" t="s">
        <v>2</v>
      </c>
      <c r="X896" s="54" t="s">
        <v>2</v>
      </c>
      <c r="Y896" s="54" t="s">
        <v>2</v>
      </c>
      <c r="Z896" s="54" t="s">
        <v>2</v>
      </c>
      <c r="AA896" s="54" t="s">
        <v>2</v>
      </c>
      <c r="AB896" s="54" t="s">
        <v>2</v>
      </c>
      <c r="AC896" s="54" t="s">
        <v>2</v>
      </c>
      <c r="AD896" s="54" t="s">
        <v>2</v>
      </c>
      <c r="AE896" s="54" t="s">
        <v>2</v>
      </c>
      <c r="AF896" s="54" t="s">
        <v>2</v>
      </c>
      <c r="AG896" s="54" t="s">
        <v>2</v>
      </c>
    </row>
    <row r="897" ht="15.75" customHeight="1">
      <c r="B897" s="56"/>
      <c r="U897" s="46" t="str">
        <f t="array" ref="U897">IF($D897="","",IFERROR(_xlfn.XLOOKUP($D897,'TIR店舗一覧'!$D:$D,'TIR店舗一覧'!$E:$E,""),""))</f>
        <v/>
      </c>
      <c r="V897" s="54" t="s">
        <v>2</v>
      </c>
      <c r="W897" s="54" t="s">
        <v>2</v>
      </c>
      <c r="X897" s="54" t="s">
        <v>2</v>
      </c>
      <c r="Y897" s="54" t="s">
        <v>2</v>
      </c>
      <c r="Z897" s="54" t="s">
        <v>2</v>
      </c>
      <c r="AA897" s="54" t="s">
        <v>2</v>
      </c>
      <c r="AB897" s="54" t="s">
        <v>2</v>
      </c>
      <c r="AC897" s="54" t="s">
        <v>2</v>
      </c>
      <c r="AD897" s="54" t="s">
        <v>2</v>
      </c>
      <c r="AE897" s="54" t="s">
        <v>2</v>
      </c>
      <c r="AF897" s="54" t="s">
        <v>2</v>
      </c>
      <c r="AG897" s="54" t="s">
        <v>2</v>
      </c>
    </row>
    <row r="898" ht="15.75" customHeight="1">
      <c r="B898" s="56"/>
      <c r="U898" s="46" t="str">
        <f t="array" ref="U898">IF($D898="","",IFERROR(_xlfn.XLOOKUP($D898,'TIR店舗一覧'!$D:$D,'TIR店舗一覧'!$E:$E,""),""))</f>
        <v/>
      </c>
      <c r="V898" s="54" t="s">
        <v>2</v>
      </c>
      <c r="W898" s="54" t="s">
        <v>2</v>
      </c>
      <c r="X898" s="54" t="s">
        <v>2</v>
      </c>
      <c r="Y898" s="54" t="s">
        <v>2</v>
      </c>
      <c r="Z898" s="54" t="s">
        <v>2</v>
      </c>
      <c r="AA898" s="54" t="s">
        <v>2</v>
      </c>
      <c r="AB898" s="54" t="s">
        <v>2</v>
      </c>
      <c r="AC898" s="54" t="s">
        <v>2</v>
      </c>
      <c r="AD898" s="54" t="s">
        <v>2</v>
      </c>
      <c r="AE898" s="54" t="s">
        <v>2</v>
      </c>
      <c r="AF898" s="54" t="s">
        <v>2</v>
      </c>
      <c r="AG898" s="54" t="s">
        <v>2</v>
      </c>
    </row>
    <row r="899" ht="15.75" customHeight="1">
      <c r="B899" s="56"/>
      <c r="U899" s="46" t="str">
        <f t="array" ref="U899">IF($D899="","",IFERROR(_xlfn.XLOOKUP($D899,'TIR店舗一覧'!$D:$D,'TIR店舗一覧'!$E:$E,""),""))</f>
        <v/>
      </c>
      <c r="V899" s="54" t="s">
        <v>2</v>
      </c>
      <c r="W899" s="54" t="s">
        <v>2</v>
      </c>
      <c r="X899" s="54" t="s">
        <v>2</v>
      </c>
      <c r="Y899" s="54" t="s">
        <v>2</v>
      </c>
      <c r="Z899" s="54" t="s">
        <v>2</v>
      </c>
      <c r="AA899" s="54" t="s">
        <v>2</v>
      </c>
      <c r="AB899" s="54" t="s">
        <v>2</v>
      </c>
      <c r="AC899" s="54" t="s">
        <v>2</v>
      </c>
      <c r="AD899" s="54" t="s">
        <v>2</v>
      </c>
      <c r="AE899" s="54" t="s">
        <v>2</v>
      </c>
      <c r="AF899" s="54" t="s">
        <v>2</v>
      </c>
      <c r="AG899" s="54" t="s">
        <v>2</v>
      </c>
    </row>
    <row r="900" ht="15.75" customHeight="1">
      <c r="B900" s="56"/>
      <c r="U900" s="46" t="str">
        <f t="array" ref="U900">IF($D900="","",IFERROR(_xlfn.XLOOKUP($D900,'TIR店舗一覧'!$D:$D,'TIR店舗一覧'!$E:$E,""),""))</f>
        <v/>
      </c>
      <c r="V900" s="54" t="s">
        <v>2</v>
      </c>
      <c r="W900" s="54" t="s">
        <v>2</v>
      </c>
      <c r="X900" s="54" t="s">
        <v>2</v>
      </c>
      <c r="Y900" s="54" t="s">
        <v>2</v>
      </c>
      <c r="Z900" s="54" t="s">
        <v>2</v>
      </c>
      <c r="AA900" s="54" t="s">
        <v>2</v>
      </c>
      <c r="AB900" s="54" t="s">
        <v>2</v>
      </c>
      <c r="AC900" s="54" t="s">
        <v>2</v>
      </c>
      <c r="AD900" s="54" t="s">
        <v>2</v>
      </c>
      <c r="AE900" s="54" t="s">
        <v>2</v>
      </c>
      <c r="AF900" s="54" t="s">
        <v>2</v>
      </c>
      <c r="AG900" s="54" t="s">
        <v>2</v>
      </c>
    </row>
    <row r="901" ht="15.75" customHeight="1">
      <c r="B901" s="56"/>
      <c r="U901" s="46" t="str">
        <f t="array" ref="U901">IF($D901="","",IFERROR(_xlfn.XLOOKUP($D901,'TIR店舗一覧'!$D:$D,'TIR店舗一覧'!$E:$E,""),""))</f>
        <v/>
      </c>
      <c r="V901" s="54" t="s">
        <v>2</v>
      </c>
      <c r="W901" s="54" t="s">
        <v>2</v>
      </c>
      <c r="X901" s="54" t="s">
        <v>2</v>
      </c>
      <c r="Y901" s="54" t="s">
        <v>2</v>
      </c>
      <c r="Z901" s="54" t="s">
        <v>2</v>
      </c>
      <c r="AA901" s="54" t="s">
        <v>2</v>
      </c>
      <c r="AB901" s="54" t="s">
        <v>2</v>
      </c>
      <c r="AC901" s="54" t="s">
        <v>2</v>
      </c>
      <c r="AD901" s="54" t="s">
        <v>2</v>
      </c>
      <c r="AE901" s="54" t="s">
        <v>2</v>
      </c>
      <c r="AF901" s="54" t="s">
        <v>2</v>
      </c>
      <c r="AG901" s="54" t="s">
        <v>2</v>
      </c>
    </row>
    <row r="902" ht="15.75" customHeight="1">
      <c r="B902" s="56"/>
      <c r="U902" s="46" t="str">
        <f t="array" ref="U902">IF($D902="","",IFERROR(_xlfn.XLOOKUP($D902,'TIR店舗一覧'!$D:$D,'TIR店舗一覧'!$E:$E,""),""))</f>
        <v/>
      </c>
      <c r="V902" s="54" t="s">
        <v>2</v>
      </c>
      <c r="W902" s="54" t="s">
        <v>2</v>
      </c>
      <c r="X902" s="54" t="s">
        <v>2</v>
      </c>
      <c r="Y902" s="54" t="s">
        <v>2</v>
      </c>
      <c r="Z902" s="54" t="s">
        <v>2</v>
      </c>
      <c r="AA902" s="54" t="s">
        <v>2</v>
      </c>
      <c r="AB902" s="54" t="s">
        <v>2</v>
      </c>
      <c r="AC902" s="54" t="s">
        <v>2</v>
      </c>
      <c r="AD902" s="54" t="s">
        <v>2</v>
      </c>
      <c r="AE902" s="54" t="s">
        <v>2</v>
      </c>
      <c r="AF902" s="54" t="s">
        <v>2</v>
      </c>
      <c r="AG902" s="54" t="s">
        <v>2</v>
      </c>
    </row>
    <row r="903" ht="15.75" customHeight="1">
      <c r="B903" s="56"/>
      <c r="U903" s="46" t="str">
        <f t="array" ref="U903">IF($D903="","",IFERROR(_xlfn.XLOOKUP($D903,'TIR店舗一覧'!$D:$D,'TIR店舗一覧'!$E:$E,""),""))</f>
        <v/>
      </c>
      <c r="V903" s="54" t="s">
        <v>2</v>
      </c>
      <c r="W903" s="54" t="s">
        <v>2</v>
      </c>
      <c r="X903" s="54" t="s">
        <v>2</v>
      </c>
      <c r="Y903" s="54" t="s">
        <v>2</v>
      </c>
      <c r="Z903" s="54" t="s">
        <v>2</v>
      </c>
      <c r="AA903" s="54" t="s">
        <v>2</v>
      </c>
      <c r="AB903" s="54" t="s">
        <v>2</v>
      </c>
      <c r="AC903" s="54" t="s">
        <v>2</v>
      </c>
      <c r="AD903" s="54" t="s">
        <v>2</v>
      </c>
      <c r="AE903" s="54" t="s">
        <v>2</v>
      </c>
      <c r="AF903" s="54" t="s">
        <v>2</v>
      </c>
      <c r="AG903" s="54" t="s">
        <v>2</v>
      </c>
    </row>
    <row r="904" ht="15.75" customHeight="1">
      <c r="B904" s="56"/>
      <c r="U904" s="46" t="str">
        <f t="array" ref="U904">IF($D904="","",IFERROR(_xlfn.XLOOKUP($D904,'TIR店舗一覧'!$D:$D,'TIR店舗一覧'!$E:$E,""),""))</f>
        <v/>
      </c>
      <c r="V904" s="54" t="s">
        <v>2</v>
      </c>
      <c r="W904" s="54" t="s">
        <v>2</v>
      </c>
      <c r="X904" s="54" t="s">
        <v>2</v>
      </c>
      <c r="Y904" s="54" t="s">
        <v>2</v>
      </c>
      <c r="Z904" s="54" t="s">
        <v>2</v>
      </c>
      <c r="AA904" s="54" t="s">
        <v>2</v>
      </c>
      <c r="AB904" s="54" t="s">
        <v>2</v>
      </c>
      <c r="AC904" s="54" t="s">
        <v>2</v>
      </c>
      <c r="AD904" s="54" t="s">
        <v>2</v>
      </c>
      <c r="AE904" s="54" t="s">
        <v>2</v>
      </c>
      <c r="AF904" s="54" t="s">
        <v>2</v>
      </c>
      <c r="AG904" s="54" t="s">
        <v>2</v>
      </c>
    </row>
    <row r="905" ht="15.75" customHeight="1">
      <c r="B905" s="56"/>
      <c r="U905" s="46" t="str">
        <f t="array" ref="U905">IF($D905="","",IFERROR(_xlfn.XLOOKUP($D905,'TIR店舗一覧'!$D:$D,'TIR店舗一覧'!$E:$E,""),""))</f>
        <v/>
      </c>
      <c r="V905" s="54" t="s">
        <v>2</v>
      </c>
      <c r="W905" s="54" t="s">
        <v>2</v>
      </c>
      <c r="X905" s="54" t="s">
        <v>2</v>
      </c>
      <c r="Y905" s="54" t="s">
        <v>2</v>
      </c>
      <c r="Z905" s="54" t="s">
        <v>2</v>
      </c>
      <c r="AA905" s="54" t="s">
        <v>2</v>
      </c>
      <c r="AB905" s="54" t="s">
        <v>2</v>
      </c>
      <c r="AC905" s="54" t="s">
        <v>2</v>
      </c>
      <c r="AD905" s="54" t="s">
        <v>2</v>
      </c>
      <c r="AE905" s="54" t="s">
        <v>2</v>
      </c>
      <c r="AF905" s="54" t="s">
        <v>2</v>
      </c>
      <c r="AG905" s="54" t="s">
        <v>2</v>
      </c>
    </row>
    <row r="906" ht="15.75" customHeight="1">
      <c r="B906" s="56"/>
      <c r="U906" s="46" t="str">
        <f t="array" ref="U906">IF($D906="","",IFERROR(_xlfn.XLOOKUP($D906,'TIR店舗一覧'!$D:$D,'TIR店舗一覧'!$E:$E,""),""))</f>
        <v/>
      </c>
      <c r="V906" s="54" t="s">
        <v>2</v>
      </c>
      <c r="W906" s="54" t="s">
        <v>2</v>
      </c>
      <c r="X906" s="54" t="s">
        <v>2</v>
      </c>
      <c r="Y906" s="54" t="s">
        <v>2</v>
      </c>
      <c r="Z906" s="54" t="s">
        <v>2</v>
      </c>
      <c r="AA906" s="54" t="s">
        <v>2</v>
      </c>
      <c r="AB906" s="54" t="s">
        <v>2</v>
      </c>
      <c r="AC906" s="54" t="s">
        <v>2</v>
      </c>
      <c r="AD906" s="54" t="s">
        <v>2</v>
      </c>
      <c r="AE906" s="54" t="s">
        <v>2</v>
      </c>
      <c r="AF906" s="54" t="s">
        <v>2</v>
      </c>
      <c r="AG906" s="54" t="s">
        <v>2</v>
      </c>
    </row>
    <row r="907" ht="15.75" customHeight="1">
      <c r="B907" s="56"/>
      <c r="U907" s="46" t="str">
        <f t="array" ref="U907">IF($D907="","",IFERROR(_xlfn.XLOOKUP($D907,'TIR店舗一覧'!$D:$D,'TIR店舗一覧'!$E:$E,""),""))</f>
        <v/>
      </c>
      <c r="V907" s="54" t="s">
        <v>2</v>
      </c>
      <c r="W907" s="54" t="s">
        <v>2</v>
      </c>
      <c r="X907" s="54" t="s">
        <v>2</v>
      </c>
      <c r="Y907" s="54" t="s">
        <v>2</v>
      </c>
      <c r="Z907" s="54" t="s">
        <v>2</v>
      </c>
      <c r="AA907" s="54" t="s">
        <v>2</v>
      </c>
      <c r="AB907" s="54" t="s">
        <v>2</v>
      </c>
      <c r="AC907" s="54" t="s">
        <v>2</v>
      </c>
      <c r="AD907" s="54" t="s">
        <v>2</v>
      </c>
      <c r="AE907" s="54" t="s">
        <v>2</v>
      </c>
      <c r="AF907" s="54" t="s">
        <v>2</v>
      </c>
      <c r="AG907" s="54" t="s">
        <v>2</v>
      </c>
    </row>
    <row r="908" ht="15.75" customHeight="1">
      <c r="B908" s="56"/>
      <c r="U908" s="46" t="str">
        <f t="array" ref="U908">IF($D908="","",IFERROR(_xlfn.XLOOKUP($D908,'TIR店舗一覧'!$D:$D,'TIR店舗一覧'!$E:$E,""),""))</f>
        <v/>
      </c>
      <c r="V908" s="54" t="s">
        <v>2</v>
      </c>
      <c r="W908" s="54" t="s">
        <v>2</v>
      </c>
      <c r="X908" s="54" t="s">
        <v>2</v>
      </c>
      <c r="Y908" s="54" t="s">
        <v>2</v>
      </c>
      <c r="Z908" s="54" t="s">
        <v>2</v>
      </c>
      <c r="AA908" s="54" t="s">
        <v>2</v>
      </c>
      <c r="AB908" s="54" t="s">
        <v>2</v>
      </c>
      <c r="AC908" s="54" t="s">
        <v>2</v>
      </c>
      <c r="AD908" s="54" t="s">
        <v>2</v>
      </c>
      <c r="AE908" s="54" t="s">
        <v>2</v>
      </c>
      <c r="AF908" s="54" t="s">
        <v>2</v>
      </c>
      <c r="AG908" s="54" t="s">
        <v>2</v>
      </c>
    </row>
    <row r="909" ht="15.75" customHeight="1">
      <c r="B909" s="56"/>
      <c r="U909" s="46" t="str">
        <f t="array" ref="U909">IF($D909="","",IFERROR(_xlfn.XLOOKUP($D909,'TIR店舗一覧'!$D:$D,'TIR店舗一覧'!$E:$E,""),""))</f>
        <v/>
      </c>
      <c r="V909" s="54" t="s">
        <v>2</v>
      </c>
      <c r="W909" s="54" t="s">
        <v>2</v>
      </c>
      <c r="X909" s="54" t="s">
        <v>2</v>
      </c>
      <c r="Y909" s="54" t="s">
        <v>2</v>
      </c>
      <c r="Z909" s="54" t="s">
        <v>2</v>
      </c>
      <c r="AA909" s="54" t="s">
        <v>2</v>
      </c>
      <c r="AB909" s="54" t="s">
        <v>2</v>
      </c>
      <c r="AC909" s="54" t="s">
        <v>2</v>
      </c>
      <c r="AD909" s="54" t="s">
        <v>2</v>
      </c>
      <c r="AE909" s="54" t="s">
        <v>2</v>
      </c>
      <c r="AF909" s="54" t="s">
        <v>2</v>
      </c>
      <c r="AG909" s="54" t="s">
        <v>2</v>
      </c>
    </row>
    <row r="910" ht="15.75" customHeight="1">
      <c r="B910" s="56"/>
      <c r="U910" s="46" t="str">
        <f t="array" ref="U910">IF($D910="","",IFERROR(_xlfn.XLOOKUP($D910,'TIR店舗一覧'!$D:$D,'TIR店舗一覧'!$E:$E,""),""))</f>
        <v/>
      </c>
      <c r="V910" s="54" t="s">
        <v>2</v>
      </c>
      <c r="W910" s="54" t="s">
        <v>2</v>
      </c>
      <c r="X910" s="54" t="s">
        <v>2</v>
      </c>
      <c r="Y910" s="54" t="s">
        <v>2</v>
      </c>
      <c r="Z910" s="54" t="s">
        <v>2</v>
      </c>
      <c r="AA910" s="54" t="s">
        <v>2</v>
      </c>
      <c r="AB910" s="54" t="s">
        <v>2</v>
      </c>
      <c r="AC910" s="54" t="s">
        <v>2</v>
      </c>
      <c r="AD910" s="54" t="s">
        <v>2</v>
      </c>
      <c r="AE910" s="54" t="s">
        <v>2</v>
      </c>
      <c r="AF910" s="54" t="s">
        <v>2</v>
      </c>
      <c r="AG910" s="54" t="s">
        <v>2</v>
      </c>
    </row>
    <row r="911" ht="15.75" customHeight="1">
      <c r="B911" s="56"/>
      <c r="U911" s="46" t="str">
        <f t="array" ref="U911">IF($D911="","",IFERROR(_xlfn.XLOOKUP($D911,'TIR店舗一覧'!$D:$D,'TIR店舗一覧'!$E:$E,""),""))</f>
        <v/>
      </c>
      <c r="V911" s="54" t="s">
        <v>2</v>
      </c>
      <c r="W911" s="54" t="s">
        <v>2</v>
      </c>
      <c r="X911" s="54" t="s">
        <v>2</v>
      </c>
      <c r="Y911" s="54" t="s">
        <v>2</v>
      </c>
      <c r="Z911" s="54" t="s">
        <v>2</v>
      </c>
      <c r="AA911" s="54" t="s">
        <v>2</v>
      </c>
      <c r="AB911" s="54" t="s">
        <v>2</v>
      </c>
      <c r="AC911" s="54" t="s">
        <v>2</v>
      </c>
      <c r="AD911" s="54" t="s">
        <v>2</v>
      </c>
      <c r="AE911" s="54" t="s">
        <v>2</v>
      </c>
      <c r="AF911" s="54" t="s">
        <v>2</v>
      </c>
      <c r="AG911" s="54" t="s">
        <v>2</v>
      </c>
    </row>
    <row r="912" ht="15.75" customHeight="1">
      <c r="B912" s="56"/>
      <c r="U912" s="46" t="str">
        <f t="array" ref="U912">IF($D912="","",IFERROR(_xlfn.XLOOKUP($D912,'TIR店舗一覧'!$D:$D,'TIR店舗一覧'!$E:$E,""),""))</f>
        <v/>
      </c>
      <c r="V912" s="54" t="s">
        <v>2</v>
      </c>
      <c r="W912" s="54" t="s">
        <v>2</v>
      </c>
      <c r="X912" s="54" t="s">
        <v>2</v>
      </c>
      <c r="Y912" s="54" t="s">
        <v>2</v>
      </c>
      <c r="Z912" s="54" t="s">
        <v>2</v>
      </c>
      <c r="AA912" s="54" t="s">
        <v>2</v>
      </c>
      <c r="AB912" s="54" t="s">
        <v>2</v>
      </c>
      <c r="AC912" s="54" t="s">
        <v>2</v>
      </c>
      <c r="AD912" s="54" t="s">
        <v>2</v>
      </c>
      <c r="AE912" s="54" t="s">
        <v>2</v>
      </c>
      <c r="AF912" s="54" t="s">
        <v>2</v>
      </c>
      <c r="AG912" s="54" t="s">
        <v>2</v>
      </c>
    </row>
    <row r="913" ht="15.75" customHeight="1">
      <c r="B913" s="56"/>
      <c r="U913" s="46" t="str">
        <f t="array" ref="U913">IF($D913="","",IFERROR(_xlfn.XLOOKUP($D913,'TIR店舗一覧'!$D:$D,'TIR店舗一覧'!$E:$E,""),""))</f>
        <v/>
      </c>
      <c r="V913" s="54" t="s">
        <v>2</v>
      </c>
      <c r="W913" s="54" t="s">
        <v>2</v>
      </c>
      <c r="X913" s="54" t="s">
        <v>2</v>
      </c>
      <c r="Y913" s="54" t="s">
        <v>2</v>
      </c>
      <c r="Z913" s="54" t="s">
        <v>2</v>
      </c>
      <c r="AA913" s="54" t="s">
        <v>2</v>
      </c>
      <c r="AB913" s="54" t="s">
        <v>2</v>
      </c>
      <c r="AC913" s="54" t="s">
        <v>2</v>
      </c>
      <c r="AD913" s="54" t="s">
        <v>2</v>
      </c>
      <c r="AE913" s="54" t="s">
        <v>2</v>
      </c>
      <c r="AF913" s="54" t="s">
        <v>2</v>
      </c>
      <c r="AG913" s="54" t="s">
        <v>2</v>
      </c>
    </row>
    <row r="914" ht="15.75" customHeight="1">
      <c r="B914" s="56"/>
      <c r="U914" s="46" t="str">
        <f t="array" ref="U914">IF($D914="","",IFERROR(_xlfn.XLOOKUP($D914,'TIR店舗一覧'!$D:$D,'TIR店舗一覧'!$E:$E,""),""))</f>
        <v/>
      </c>
      <c r="V914" s="54" t="s">
        <v>2</v>
      </c>
      <c r="W914" s="54" t="s">
        <v>2</v>
      </c>
      <c r="X914" s="54" t="s">
        <v>2</v>
      </c>
      <c r="Y914" s="54" t="s">
        <v>2</v>
      </c>
      <c r="Z914" s="54" t="s">
        <v>2</v>
      </c>
      <c r="AA914" s="54" t="s">
        <v>2</v>
      </c>
      <c r="AB914" s="54" t="s">
        <v>2</v>
      </c>
      <c r="AC914" s="54" t="s">
        <v>2</v>
      </c>
      <c r="AD914" s="54" t="s">
        <v>2</v>
      </c>
      <c r="AE914" s="54" t="s">
        <v>2</v>
      </c>
      <c r="AF914" s="54" t="s">
        <v>2</v>
      </c>
      <c r="AG914" s="54" t="s">
        <v>2</v>
      </c>
    </row>
    <row r="915" ht="15.75" customHeight="1">
      <c r="B915" s="56"/>
      <c r="U915" s="46" t="str">
        <f t="array" ref="U915">IF($D915="","",IFERROR(_xlfn.XLOOKUP($D915,'TIR店舗一覧'!$D:$D,'TIR店舗一覧'!$E:$E,""),""))</f>
        <v/>
      </c>
      <c r="V915" s="54" t="s">
        <v>2</v>
      </c>
      <c r="W915" s="54" t="s">
        <v>2</v>
      </c>
      <c r="X915" s="54" t="s">
        <v>2</v>
      </c>
      <c r="Y915" s="54" t="s">
        <v>2</v>
      </c>
      <c r="Z915" s="54" t="s">
        <v>2</v>
      </c>
      <c r="AA915" s="54" t="s">
        <v>2</v>
      </c>
      <c r="AB915" s="54" t="s">
        <v>2</v>
      </c>
      <c r="AC915" s="54" t="s">
        <v>2</v>
      </c>
      <c r="AD915" s="54" t="s">
        <v>2</v>
      </c>
      <c r="AE915" s="54" t="s">
        <v>2</v>
      </c>
      <c r="AF915" s="54" t="s">
        <v>2</v>
      </c>
      <c r="AG915" s="54" t="s">
        <v>2</v>
      </c>
    </row>
    <row r="916" ht="15.75" customHeight="1">
      <c r="B916" s="56"/>
      <c r="U916" s="46" t="str">
        <f t="array" ref="U916">IF($D916="","",IFERROR(_xlfn.XLOOKUP($D916,'TIR店舗一覧'!$D:$D,'TIR店舗一覧'!$E:$E,""),""))</f>
        <v/>
      </c>
      <c r="V916" s="54" t="s">
        <v>2</v>
      </c>
      <c r="W916" s="54" t="s">
        <v>2</v>
      </c>
      <c r="X916" s="54" t="s">
        <v>2</v>
      </c>
      <c r="Y916" s="54" t="s">
        <v>2</v>
      </c>
      <c r="Z916" s="54" t="s">
        <v>2</v>
      </c>
      <c r="AA916" s="54" t="s">
        <v>2</v>
      </c>
      <c r="AB916" s="54" t="s">
        <v>2</v>
      </c>
      <c r="AC916" s="54" t="s">
        <v>2</v>
      </c>
      <c r="AD916" s="54" t="s">
        <v>2</v>
      </c>
      <c r="AE916" s="54" t="s">
        <v>2</v>
      </c>
      <c r="AF916" s="54" t="s">
        <v>2</v>
      </c>
      <c r="AG916" s="54" t="s">
        <v>2</v>
      </c>
    </row>
    <row r="917" ht="15.75" customHeight="1">
      <c r="B917" s="56"/>
      <c r="U917" s="46" t="str">
        <f t="array" ref="U917">IF($D917="","",IFERROR(_xlfn.XLOOKUP($D917,'TIR店舗一覧'!$D:$D,'TIR店舗一覧'!$E:$E,""),""))</f>
        <v/>
      </c>
      <c r="V917" s="54" t="s">
        <v>2</v>
      </c>
      <c r="W917" s="54" t="s">
        <v>2</v>
      </c>
      <c r="X917" s="54" t="s">
        <v>2</v>
      </c>
      <c r="Y917" s="54" t="s">
        <v>2</v>
      </c>
      <c r="Z917" s="54" t="s">
        <v>2</v>
      </c>
      <c r="AA917" s="54" t="s">
        <v>2</v>
      </c>
      <c r="AB917" s="54" t="s">
        <v>2</v>
      </c>
      <c r="AC917" s="54" t="s">
        <v>2</v>
      </c>
      <c r="AD917" s="54" t="s">
        <v>2</v>
      </c>
      <c r="AE917" s="54" t="s">
        <v>2</v>
      </c>
      <c r="AF917" s="54" t="s">
        <v>2</v>
      </c>
      <c r="AG917" s="54" t="s">
        <v>2</v>
      </c>
    </row>
    <row r="918" ht="15.75" customHeight="1">
      <c r="B918" s="56"/>
      <c r="U918" s="46" t="str">
        <f t="array" ref="U918">IF($D918="","",IFERROR(_xlfn.XLOOKUP($D918,'TIR店舗一覧'!$D:$D,'TIR店舗一覧'!$E:$E,""),""))</f>
        <v/>
      </c>
      <c r="V918" s="54" t="s">
        <v>2</v>
      </c>
      <c r="W918" s="54" t="s">
        <v>2</v>
      </c>
      <c r="X918" s="54" t="s">
        <v>2</v>
      </c>
      <c r="Y918" s="54" t="s">
        <v>2</v>
      </c>
      <c r="Z918" s="54" t="s">
        <v>2</v>
      </c>
      <c r="AA918" s="54" t="s">
        <v>2</v>
      </c>
      <c r="AB918" s="54" t="s">
        <v>2</v>
      </c>
      <c r="AC918" s="54" t="s">
        <v>2</v>
      </c>
      <c r="AD918" s="54" t="s">
        <v>2</v>
      </c>
      <c r="AE918" s="54" t="s">
        <v>2</v>
      </c>
      <c r="AF918" s="54" t="s">
        <v>2</v>
      </c>
      <c r="AG918" s="54" t="s">
        <v>2</v>
      </c>
    </row>
    <row r="919" ht="15.75" customHeight="1">
      <c r="B919" s="56"/>
      <c r="U919" s="46" t="str">
        <f t="array" ref="U919">IF($D919="","",IFERROR(_xlfn.XLOOKUP($D919,'TIR店舗一覧'!$D:$D,'TIR店舗一覧'!$E:$E,""),""))</f>
        <v/>
      </c>
      <c r="V919" s="54" t="s">
        <v>2</v>
      </c>
      <c r="W919" s="54" t="s">
        <v>2</v>
      </c>
      <c r="X919" s="54" t="s">
        <v>2</v>
      </c>
      <c r="Y919" s="54" t="s">
        <v>2</v>
      </c>
      <c r="Z919" s="54" t="s">
        <v>2</v>
      </c>
      <c r="AA919" s="54" t="s">
        <v>2</v>
      </c>
      <c r="AB919" s="54" t="s">
        <v>2</v>
      </c>
      <c r="AC919" s="54" t="s">
        <v>2</v>
      </c>
      <c r="AD919" s="54" t="s">
        <v>2</v>
      </c>
      <c r="AE919" s="54" t="s">
        <v>2</v>
      </c>
      <c r="AF919" s="54" t="s">
        <v>2</v>
      </c>
      <c r="AG919" s="54" t="s">
        <v>2</v>
      </c>
    </row>
    <row r="920" ht="15.75" customHeight="1">
      <c r="B920" s="56"/>
      <c r="U920" s="46" t="str">
        <f t="array" ref="U920">IF($D920="","",IFERROR(_xlfn.XLOOKUP($D920,'TIR店舗一覧'!$D:$D,'TIR店舗一覧'!$E:$E,""),""))</f>
        <v/>
      </c>
      <c r="V920" s="54" t="s">
        <v>2</v>
      </c>
      <c r="W920" s="54" t="s">
        <v>2</v>
      </c>
      <c r="X920" s="54" t="s">
        <v>2</v>
      </c>
      <c r="Y920" s="54" t="s">
        <v>2</v>
      </c>
      <c r="Z920" s="54" t="s">
        <v>2</v>
      </c>
      <c r="AA920" s="54" t="s">
        <v>2</v>
      </c>
      <c r="AB920" s="54" t="s">
        <v>2</v>
      </c>
      <c r="AC920" s="54" t="s">
        <v>2</v>
      </c>
      <c r="AD920" s="54" t="s">
        <v>2</v>
      </c>
      <c r="AE920" s="54" t="s">
        <v>2</v>
      </c>
      <c r="AF920" s="54" t="s">
        <v>2</v>
      </c>
      <c r="AG920" s="54" t="s">
        <v>2</v>
      </c>
    </row>
    <row r="921" ht="15.75" customHeight="1">
      <c r="B921" s="56"/>
      <c r="U921" s="46" t="str">
        <f t="array" ref="U921">IF($D921="","",IFERROR(_xlfn.XLOOKUP($D921,'TIR店舗一覧'!$D:$D,'TIR店舗一覧'!$E:$E,""),""))</f>
        <v/>
      </c>
      <c r="V921" s="54" t="s">
        <v>2</v>
      </c>
      <c r="W921" s="54" t="s">
        <v>2</v>
      </c>
      <c r="X921" s="54" t="s">
        <v>2</v>
      </c>
      <c r="Y921" s="54" t="s">
        <v>2</v>
      </c>
      <c r="Z921" s="54" t="s">
        <v>2</v>
      </c>
      <c r="AA921" s="54" t="s">
        <v>2</v>
      </c>
      <c r="AB921" s="54" t="s">
        <v>2</v>
      </c>
      <c r="AC921" s="54" t="s">
        <v>2</v>
      </c>
      <c r="AD921" s="54" t="s">
        <v>2</v>
      </c>
      <c r="AE921" s="54" t="s">
        <v>2</v>
      </c>
      <c r="AF921" s="54" t="s">
        <v>2</v>
      </c>
      <c r="AG921" s="54" t="s">
        <v>2</v>
      </c>
    </row>
    <row r="922" ht="15.75" customHeight="1">
      <c r="B922" s="56"/>
      <c r="U922" s="46" t="str">
        <f t="array" ref="U922">IF($D922="","",IFERROR(_xlfn.XLOOKUP($D922,'TIR店舗一覧'!$D:$D,'TIR店舗一覧'!$E:$E,""),""))</f>
        <v/>
      </c>
      <c r="V922" s="54" t="s">
        <v>2</v>
      </c>
      <c r="W922" s="54" t="s">
        <v>2</v>
      </c>
      <c r="X922" s="54" t="s">
        <v>2</v>
      </c>
      <c r="Y922" s="54" t="s">
        <v>2</v>
      </c>
      <c r="Z922" s="54" t="s">
        <v>2</v>
      </c>
      <c r="AA922" s="54" t="s">
        <v>2</v>
      </c>
      <c r="AB922" s="54" t="s">
        <v>2</v>
      </c>
      <c r="AC922" s="54" t="s">
        <v>2</v>
      </c>
      <c r="AD922" s="54" t="s">
        <v>2</v>
      </c>
      <c r="AE922" s="54" t="s">
        <v>2</v>
      </c>
      <c r="AF922" s="54" t="s">
        <v>2</v>
      </c>
      <c r="AG922" s="54" t="s">
        <v>2</v>
      </c>
    </row>
    <row r="923" ht="15.75" customHeight="1">
      <c r="B923" s="56"/>
      <c r="U923" s="46" t="str">
        <f t="array" ref="U923">IF($D923="","",IFERROR(_xlfn.XLOOKUP($D923,'TIR店舗一覧'!$D:$D,'TIR店舗一覧'!$E:$E,""),""))</f>
        <v/>
      </c>
      <c r="V923" s="54" t="s">
        <v>2</v>
      </c>
      <c r="W923" s="54" t="s">
        <v>2</v>
      </c>
      <c r="X923" s="54" t="s">
        <v>2</v>
      </c>
      <c r="Y923" s="54" t="s">
        <v>2</v>
      </c>
      <c r="Z923" s="54" t="s">
        <v>2</v>
      </c>
      <c r="AA923" s="54" t="s">
        <v>2</v>
      </c>
      <c r="AB923" s="54" t="s">
        <v>2</v>
      </c>
      <c r="AC923" s="54" t="s">
        <v>2</v>
      </c>
      <c r="AD923" s="54" t="s">
        <v>2</v>
      </c>
      <c r="AE923" s="54" t="s">
        <v>2</v>
      </c>
      <c r="AF923" s="54" t="s">
        <v>2</v>
      </c>
      <c r="AG923" s="54" t="s">
        <v>2</v>
      </c>
    </row>
    <row r="924" ht="15.75" customHeight="1">
      <c r="B924" s="56"/>
      <c r="U924" s="46" t="str">
        <f t="array" ref="U924">IF($D924="","",IFERROR(_xlfn.XLOOKUP($D924,'TIR店舗一覧'!$D:$D,'TIR店舗一覧'!$E:$E,""),""))</f>
        <v/>
      </c>
      <c r="V924" s="54" t="s">
        <v>2</v>
      </c>
      <c r="W924" s="54" t="s">
        <v>2</v>
      </c>
      <c r="X924" s="54" t="s">
        <v>2</v>
      </c>
      <c r="Y924" s="54" t="s">
        <v>2</v>
      </c>
      <c r="Z924" s="54" t="s">
        <v>2</v>
      </c>
      <c r="AA924" s="54" t="s">
        <v>2</v>
      </c>
      <c r="AB924" s="54" t="s">
        <v>2</v>
      </c>
      <c r="AC924" s="54" t="s">
        <v>2</v>
      </c>
      <c r="AD924" s="54" t="s">
        <v>2</v>
      </c>
      <c r="AE924" s="54" t="s">
        <v>2</v>
      </c>
      <c r="AF924" s="54" t="s">
        <v>2</v>
      </c>
      <c r="AG924" s="54" t="s">
        <v>2</v>
      </c>
    </row>
    <row r="925" ht="15.75" customHeight="1">
      <c r="B925" s="56"/>
      <c r="U925" s="46" t="str">
        <f t="array" ref="U925">IF($D925="","",IFERROR(_xlfn.XLOOKUP($D925,'TIR店舗一覧'!$D:$D,'TIR店舗一覧'!$E:$E,""),""))</f>
        <v/>
      </c>
      <c r="V925" s="54" t="s">
        <v>2</v>
      </c>
      <c r="W925" s="54" t="s">
        <v>2</v>
      </c>
      <c r="X925" s="54" t="s">
        <v>2</v>
      </c>
      <c r="Y925" s="54" t="s">
        <v>2</v>
      </c>
      <c r="Z925" s="54" t="s">
        <v>2</v>
      </c>
      <c r="AA925" s="54" t="s">
        <v>2</v>
      </c>
      <c r="AB925" s="54" t="s">
        <v>2</v>
      </c>
      <c r="AC925" s="54" t="s">
        <v>2</v>
      </c>
      <c r="AD925" s="54" t="s">
        <v>2</v>
      </c>
      <c r="AE925" s="54" t="s">
        <v>2</v>
      </c>
      <c r="AF925" s="54" t="s">
        <v>2</v>
      </c>
      <c r="AG925" s="54" t="s">
        <v>2</v>
      </c>
    </row>
    <row r="926" ht="15.75" customHeight="1">
      <c r="B926" s="56"/>
      <c r="U926" s="46" t="str">
        <f t="array" ref="U926">IF($D926="","",IFERROR(_xlfn.XLOOKUP($D926,'TIR店舗一覧'!$D:$D,'TIR店舗一覧'!$E:$E,""),""))</f>
        <v/>
      </c>
      <c r="V926" s="54" t="s">
        <v>2</v>
      </c>
      <c r="W926" s="54" t="s">
        <v>2</v>
      </c>
      <c r="X926" s="54" t="s">
        <v>2</v>
      </c>
      <c r="Y926" s="54" t="s">
        <v>2</v>
      </c>
      <c r="Z926" s="54" t="s">
        <v>2</v>
      </c>
      <c r="AA926" s="54" t="s">
        <v>2</v>
      </c>
      <c r="AB926" s="54" t="s">
        <v>2</v>
      </c>
      <c r="AC926" s="54" t="s">
        <v>2</v>
      </c>
      <c r="AD926" s="54" t="s">
        <v>2</v>
      </c>
      <c r="AE926" s="54" t="s">
        <v>2</v>
      </c>
      <c r="AF926" s="54" t="s">
        <v>2</v>
      </c>
      <c r="AG926" s="54" t="s">
        <v>2</v>
      </c>
    </row>
    <row r="927" ht="15.75" customHeight="1">
      <c r="B927" s="56"/>
      <c r="U927" s="46" t="str">
        <f t="array" ref="U927">IF($D927="","",IFERROR(_xlfn.XLOOKUP($D927,'TIR店舗一覧'!$D:$D,'TIR店舗一覧'!$E:$E,""),""))</f>
        <v/>
      </c>
      <c r="V927" s="54" t="s">
        <v>2</v>
      </c>
      <c r="W927" s="54" t="s">
        <v>2</v>
      </c>
      <c r="X927" s="54" t="s">
        <v>2</v>
      </c>
      <c r="Y927" s="54" t="s">
        <v>2</v>
      </c>
      <c r="Z927" s="54" t="s">
        <v>2</v>
      </c>
      <c r="AA927" s="54" t="s">
        <v>2</v>
      </c>
      <c r="AB927" s="54" t="s">
        <v>2</v>
      </c>
      <c r="AC927" s="54" t="s">
        <v>2</v>
      </c>
      <c r="AD927" s="54" t="s">
        <v>2</v>
      </c>
      <c r="AE927" s="54" t="s">
        <v>2</v>
      </c>
      <c r="AF927" s="54" t="s">
        <v>2</v>
      </c>
      <c r="AG927" s="54" t="s">
        <v>2</v>
      </c>
    </row>
    <row r="928" ht="15.75" customHeight="1">
      <c r="B928" s="56"/>
      <c r="U928" s="46" t="str">
        <f t="array" ref="U928">IF($D928="","",IFERROR(_xlfn.XLOOKUP($D928,'TIR店舗一覧'!$D:$D,'TIR店舗一覧'!$E:$E,""),""))</f>
        <v/>
      </c>
      <c r="V928" s="54" t="s">
        <v>2</v>
      </c>
      <c r="W928" s="54" t="s">
        <v>2</v>
      </c>
      <c r="X928" s="54" t="s">
        <v>2</v>
      </c>
      <c r="Y928" s="54" t="s">
        <v>2</v>
      </c>
      <c r="Z928" s="54" t="s">
        <v>2</v>
      </c>
      <c r="AA928" s="54" t="s">
        <v>2</v>
      </c>
      <c r="AB928" s="54" t="s">
        <v>2</v>
      </c>
      <c r="AC928" s="54" t="s">
        <v>2</v>
      </c>
      <c r="AD928" s="54" t="s">
        <v>2</v>
      </c>
      <c r="AE928" s="54" t="s">
        <v>2</v>
      </c>
      <c r="AF928" s="54" t="s">
        <v>2</v>
      </c>
      <c r="AG928" s="54" t="s">
        <v>2</v>
      </c>
    </row>
    <row r="929" ht="15.75" customHeight="1">
      <c r="B929" s="56"/>
      <c r="U929" s="46" t="str">
        <f t="array" ref="U929">IF($D929="","",IFERROR(_xlfn.XLOOKUP($D929,'TIR店舗一覧'!$D:$D,'TIR店舗一覧'!$E:$E,""),""))</f>
        <v/>
      </c>
      <c r="V929" s="54" t="s">
        <v>2</v>
      </c>
      <c r="W929" s="54" t="s">
        <v>2</v>
      </c>
      <c r="X929" s="54" t="s">
        <v>2</v>
      </c>
      <c r="Y929" s="54" t="s">
        <v>2</v>
      </c>
      <c r="Z929" s="54" t="s">
        <v>2</v>
      </c>
      <c r="AA929" s="54" t="s">
        <v>2</v>
      </c>
      <c r="AB929" s="54" t="s">
        <v>2</v>
      </c>
      <c r="AC929" s="54" t="s">
        <v>2</v>
      </c>
      <c r="AD929" s="54" t="s">
        <v>2</v>
      </c>
      <c r="AE929" s="54" t="s">
        <v>2</v>
      </c>
      <c r="AF929" s="54" t="s">
        <v>2</v>
      </c>
      <c r="AG929" s="54" t="s">
        <v>2</v>
      </c>
    </row>
    <row r="930" ht="15.75" customHeight="1">
      <c r="B930" s="56"/>
      <c r="U930" s="46" t="str">
        <f t="array" ref="U930">IF($D930="","",IFERROR(_xlfn.XLOOKUP($D930,'TIR店舗一覧'!$D:$D,'TIR店舗一覧'!$E:$E,""),""))</f>
        <v/>
      </c>
      <c r="V930" s="54" t="s">
        <v>2</v>
      </c>
      <c r="W930" s="54" t="s">
        <v>2</v>
      </c>
      <c r="X930" s="54" t="s">
        <v>2</v>
      </c>
      <c r="Y930" s="54" t="s">
        <v>2</v>
      </c>
      <c r="Z930" s="54" t="s">
        <v>2</v>
      </c>
      <c r="AA930" s="54" t="s">
        <v>2</v>
      </c>
      <c r="AB930" s="54" t="s">
        <v>2</v>
      </c>
      <c r="AC930" s="54" t="s">
        <v>2</v>
      </c>
      <c r="AD930" s="54" t="s">
        <v>2</v>
      </c>
      <c r="AE930" s="54" t="s">
        <v>2</v>
      </c>
      <c r="AF930" s="54" t="s">
        <v>2</v>
      </c>
      <c r="AG930" s="54" t="s">
        <v>2</v>
      </c>
    </row>
    <row r="931" ht="15.75" customHeight="1">
      <c r="B931" s="56"/>
      <c r="U931" s="46" t="str">
        <f t="array" ref="U931">IF($D931="","",IFERROR(_xlfn.XLOOKUP($D931,'TIR店舗一覧'!$D:$D,'TIR店舗一覧'!$E:$E,""),""))</f>
        <v/>
      </c>
      <c r="V931" s="54" t="s">
        <v>2</v>
      </c>
      <c r="W931" s="54" t="s">
        <v>2</v>
      </c>
      <c r="X931" s="54" t="s">
        <v>2</v>
      </c>
      <c r="Y931" s="54" t="s">
        <v>2</v>
      </c>
      <c r="Z931" s="54" t="s">
        <v>2</v>
      </c>
      <c r="AA931" s="54" t="s">
        <v>2</v>
      </c>
      <c r="AB931" s="54" t="s">
        <v>2</v>
      </c>
      <c r="AC931" s="54" t="s">
        <v>2</v>
      </c>
      <c r="AD931" s="54" t="s">
        <v>2</v>
      </c>
      <c r="AE931" s="54" t="s">
        <v>2</v>
      </c>
      <c r="AF931" s="54" t="s">
        <v>2</v>
      </c>
      <c r="AG931" s="54" t="s">
        <v>2</v>
      </c>
    </row>
    <row r="932" ht="15.75" customHeight="1">
      <c r="B932" s="56"/>
      <c r="U932" s="46" t="str">
        <f t="array" ref="U932">IF($D932="","",IFERROR(_xlfn.XLOOKUP($D932,'TIR店舗一覧'!$D:$D,'TIR店舗一覧'!$E:$E,""),""))</f>
        <v/>
      </c>
      <c r="V932" s="54" t="s">
        <v>2</v>
      </c>
      <c r="W932" s="54" t="s">
        <v>2</v>
      </c>
      <c r="X932" s="54" t="s">
        <v>2</v>
      </c>
      <c r="Y932" s="54" t="s">
        <v>2</v>
      </c>
      <c r="Z932" s="54" t="s">
        <v>2</v>
      </c>
      <c r="AA932" s="54" t="s">
        <v>2</v>
      </c>
      <c r="AB932" s="54" t="s">
        <v>2</v>
      </c>
      <c r="AC932" s="54" t="s">
        <v>2</v>
      </c>
      <c r="AD932" s="54" t="s">
        <v>2</v>
      </c>
      <c r="AE932" s="54" t="s">
        <v>2</v>
      </c>
      <c r="AF932" s="54" t="s">
        <v>2</v>
      </c>
      <c r="AG932" s="54" t="s">
        <v>2</v>
      </c>
    </row>
    <row r="933" ht="15.75" customHeight="1">
      <c r="B933" s="56"/>
      <c r="U933" s="46" t="str">
        <f t="array" ref="U933">IF($D933="","",IFERROR(_xlfn.XLOOKUP($D933,'TIR店舗一覧'!$D:$D,'TIR店舗一覧'!$E:$E,""),""))</f>
        <v/>
      </c>
      <c r="V933" s="54" t="s">
        <v>2</v>
      </c>
      <c r="W933" s="54" t="s">
        <v>2</v>
      </c>
      <c r="X933" s="54" t="s">
        <v>2</v>
      </c>
      <c r="Y933" s="54" t="s">
        <v>2</v>
      </c>
      <c r="Z933" s="54" t="s">
        <v>2</v>
      </c>
      <c r="AA933" s="54" t="s">
        <v>2</v>
      </c>
      <c r="AB933" s="54" t="s">
        <v>2</v>
      </c>
      <c r="AC933" s="54" t="s">
        <v>2</v>
      </c>
      <c r="AD933" s="54" t="s">
        <v>2</v>
      </c>
      <c r="AE933" s="54" t="s">
        <v>2</v>
      </c>
      <c r="AF933" s="54" t="s">
        <v>2</v>
      </c>
      <c r="AG933" s="54" t="s">
        <v>2</v>
      </c>
    </row>
    <row r="934" ht="15.75" customHeight="1">
      <c r="B934" s="56"/>
      <c r="U934" s="46" t="str">
        <f t="array" ref="U934">IF($D934="","",IFERROR(_xlfn.XLOOKUP($D934,'TIR店舗一覧'!$D:$D,'TIR店舗一覧'!$E:$E,""),""))</f>
        <v/>
      </c>
      <c r="V934" s="54" t="s">
        <v>2</v>
      </c>
      <c r="W934" s="54" t="s">
        <v>2</v>
      </c>
      <c r="X934" s="54" t="s">
        <v>2</v>
      </c>
      <c r="Y934" s="54" t="s">
        <v>2</v>
      </c>
      <c r="Z934" s="54" t="s">
        <v>2</v>
      </c>
      <c r="AA934" s="54" t="s">
        <v>2</v>
      </c>
      <c r="AB934" s="54" t="s">
        <v>2</v>
      </c>
      <c r="AC934" s="54" t="s">
        <v>2</v>
      </c>
      <c r="AD934" s="54" t="s">
        <v>2</v>
      </c>
      <c r="AE934" s="54" t="s">
        <v>2</v>
      </c>
      <c r="AF934" s="54" t="s">
        <v>2</v>
      </c>
      <c r="AG934" s="54" t="s">
        <v>2</v>
      </c>
    </row>
    <row r="935" ht="15.75" customHeight="1">
      <c r="B935" s="56"/>
      <c r="U935" s="46" t="str">
        <f t="array" ref="U935">IF($D935="","",IFERROR(_xlfn.XLOOKUP($D935,'TIR店舗一覧'!$D:$D,'TIR店舗一覧'!$E:$E,""),""))</f>
        <v/>
      </c>
      <c r="V935" s="54" t="s">
        <v>2</v>
      </c>
      <c r="W935" s="54" t="s">
        <v>2</v>
      </c>
      <c r="X935" s="54" t="s">
        <v>2</v>
      </c>
      <c r="Y935" s="54" t="s">
        <v>2</v>
      </c>
      <c r="Z935" s="54" t="s">
        <v>2</v>
      </c>
      <c r="AA935" s="54" t="s">
        <v>2</v>
      </c>
      <c r="AB935" s="54" t="s">
        <v>2</v>
      </c>
      <c r="AC935" s="54" t="s">
        <v>2</v>
      </c>
      <c r="AD935" s="54" t="s">
        <v>2</v>
      </c>
      <c r="AE935" s="54" t="s">
        <v>2</v>
      </c>
      <c r="AF935" s="54" t="s">
        <v>2</v>
      </c>
      <c r="AG935" s="54" t="s">
        <v>2</v>
      </c>
    </row>
    <row r="936" ht="15.75" customHeight="1">
      <c r="B936" s="56"/>
      <c r="U936" s="46" t="str">
        <f t="array" ref="U936">IF($D936="","",IFERROR(_xlfn.XLOOKUP($D936,'TIR店舗一覧'!$D:$D,'TIR店舗一覧'!$E:$E,""),""))</f>
        <v/>
      </c>
      <c r="V936" s="54" t="s">
        <v>2</v>
      </c>
      <c r="W936" s="54" t="s">
        <v>2</v>
      </c>
      <c r="X936" s="54" t="s">
        <v>2</v>
      </c>
      <c r="Y936" s="54" t="s">
        <v>2</v>
      </c>
      <c r="Z936" s="54" t="s">
        <v>2</v>
      </c>
      <c r="AA936" s="54" t="s">
        <v>2</v>
      </c>
      <c r="AB936" s="54" t="s">
        <v>2</v>
      </c>
      <c r="AC936" s="54" t="s">
        <v>2</v>
      </c>
      <c r="AD936" s="54" t="s">
        <v>2</v>
      </c>
      <c r="AE936" s="54" t="s">
        <v>2</v>
      </c>
      <c r="AF936" s="54" t="s">
        <v>2</v>
      </c>
      <c r="AG936" s="54" t="s">
        <v>2</v>
      </c>
    </row>
    <row r="937" ht="15.75" customHeight="1">
      <c r="B937" s="56"/>
      <c r="U937" s="46" t="str">
        <f t="array" ref="U937">IF($D937="","",IFERROR(_xlfn.XLOOKUP($D937,'TIR店舗一覧'!$D:$D,'TIR店舗一覧'!$E:$E,""),""))</f>
        <v/>
      </c>
      <c r="V937" s="54" t="s">
        <v>2</v>
      </c>
      <c r="W937" s="54" t="s">
        <v>2</v>
      </c>
      <c r="X937" s="54" t="s">
        <v>2</v>
      </c>
      <c r="Y937" s="54" t="s">
        <v>2</v>
      </c>
      <c r="Z937" s="54" t="s">
        <v>2</v>
      </c>
      <c r="AA937" s="54" t="s">
        <v>2</v>
      </c>
      <c r="AB937" s="54" t="s">
        <v>2</v>
      </c>
      <c r="AC937" s="54" t="s">
        <v>2</v>
      </c>
      <c r="AD937" s="54" t="s">
        <v>2</v>
      </c>
      <c r="AE937" s="54" t="s">
        <v>2</v>
      </c>
      <c r="AF937" s="54" t="s">
        <v>2</v>
      </c>
      <c r="AG937" s="54" t="s">
        <v>2</v>
      </c>
    </row>
    <row r="938" ht="15.75" customHeight="1">
      <c r="B938" s="56"/>
      <c r="U938" s="46" t="str">
        <f t="array" ref="U938">IF($D938="","",IFERROR(_xlfn.XLOOKUP($D938,'TIR店舗一覧'!$D:$D,'TIR店舗一覧'!$E:$E,""),""))</f>
        <v/>
      </c>
      <c r="V938" s="54" t="s">
        <v>2</v>
      </c>
      <c r="W938" s="54" t="s">
        <v>2</v>
      </c>
      <c r="X938" s="54" t="s">
        <v>2</v>
      </c>
      <c r="Y938" s="54" t="s">
        <v>2</v>
      </c>
      <c r="Z938" s="54" t="s">
        <v>2</v>
      </c>
      <c r="AA938" s="54" t="s">
        <v>2</v>
      </c>
      <c r="AB938" s="54" t="s">
        <v>2</v>
      </c>
      <c r="AC938" s="54" t="s">
        <v>2</v>
      </c>
      <c r="AD938" s="54" t="s">
        <v>2</v>
      </c>
      <c r="AE938" s="54" t="s">
        <v>2</v>
      </c>
      <c r="AF938" s="54" t="s">
        <v>2</v>
      </c>
      <c r="AG938" s="54" t="s">
        <v>2</v>
      </c>
    </row>
    <row r="939" ht="15.75" customHeight="1">
      <c r="B939" s="56"/>
      <c r="U939" s="46" t="str">
        <f t="array" ref="U939">IF($D939="","",IFERROR(_xlfn.XLOOKUP($D939,'TIR店舗一覧'!$D:$D,'TIR店舗一覧'!$E:$E,""),""))</f>
        <v/>
      </c>
      <c r="V939" s="54" t="s">
        <v>2</v>
      </c>
      <c r="W939" s="54" t="s">
        <v>2</v>
      </c>
      <c r="X939" s="54" t="s">
        <v>2</v>
      </c>
      <c r="Y939" s="54" t="s">
        <v>2</v>
      </c>
      <c r="Z939" s="54" t="s">
        <v>2</v>
      </c>
      <c r="AA939" s="54" t="s">
        <v>2</v>
      </c>
      <c r="AB939" s="54" t="s">
        <v>2</v>
      </c>
      <c r="AC939" s="54" t="s">
        <v>2</v>
      </c>
      <c r="AD939" s="54" t="s">
        <v>2</v>
      </c>
      <c r="AE939" s="54" t="s">
        <v>2</v>
      </c>
      <c r="AF939" s="54" t="s">
        <v>2</v>
      </c>
      <c r="AG939" s="54" t="s">
        <v>2</v>
      </c>
    </row>
    <row r="940" ht="15.75" customHeight="1">
      <c r="B940" s="56"/>
      <c r="U940" s="46" t="str">
        <f t="array" ref="U940">IF($D940="","",IFERROR(_xlfn.XLOOKUP($D940,'TIR店舗一覧'!$D:$D,'TIR店舗一覧'!$E:$E,""),""))</f>
        <v/>
      </c>
      <c r="V940" s="54" t="s">
        <v>2</v>
      </c>
      <c r="W940" s="54" t="s">
        <v>2</v>
      </c>
      <c r="X940" s="54" t="s">
        <v>2</v>
      </c>
      <c r="Y940" s="54" t="s">
        <v>2</v>
      </c>
      <c r="Z940" s="54" t="s">
        <v>2</v>
      </c>
      <c r="AA940" s="54" t="s">
        <v>2</v>
      </c>
      <c r="AB940" s="54" t="s">
        <v>2</v>
      </c>
      <c r="AC940" s="54" t="s">
        <v>2</v>
      </c>
      <c r="AD940" s="54" t="s">
        <v>2</v>
      </c>
      <c r="AE940" s="54" t="s">
        <v>2</v>
      </c>
      <c r="AF940" s="54" t="s">
        <v>2</v>
      </c>
      <c r="AG940" s="54" t="s">
        <v>2</v>
      </c>
    </row>
    <row r="941" ht="15.75" customHeight="1">
      <c r="B941" s="56"/>
      <c r="U941" s="46" t="str">
        <f t="array" ref="U941">IF($D941="","",IFERROR(_xlfn.XLOOKUP($D941,'TIR店舗一覧'!$D:$D,'TIR店舗一覧'!$E:$E,""),""))</f>
        <v/>
      </c>
      <c r="V941" s="54" t="s">
        <v>2</v>
      </c>
      <c r="W941" s="54" t="s">
        <v>2</v>
      </c>
      <c r="X941" s="54" t="s">
        <v>2</v>
      </c>
      <c r="Y941" s="54" t="s">
        <v>2</v>
      </c>
      <c r="Z941" s="54" t="s">
        <v>2</v>
      </c>
      <c r="AA941" s="54" t="s">
        <v>2</v>
      </c>
      <c r="AB941" s="54" t="s">
        <v>2</v>
      </c>
      <c r="AC941" s="54" t="s">
        <v>2</v>
      </c>
      <c r="AD941" s="54" t="s">
        <v>2</v>
      </c>
      <c r="AE941" s="54" t="s">
        <v>2</v>
      </c>
      <c r="AF941" s="54" t="s">
        <v>2</v>
      </c>
      <c r="AG941" s="54" t="s">
        <v>2</v>
      </c>
    </row>
    <row r="942" ht="15.75" customHeight="1">
      <c r="B942" s="56"/>
      <c r="U942" s="46" t="str">
        <f t="array" ref="U942">IF($D942="","",IFERROR(_xlfn.XLOOKUP($D942,'TIR店舗一覧'!$D:$D,'TIR店舗一覧'!$E:$E,""),""))</f>
        <v/>
      </c>
      <c r="V942" s="54" t="s">
        <v>2</v>
      </c>
      <c r="W942" s="54" t="s">
        <v>2</v>
      </c>
      <c r="X942" s="54" t="s">
        <v>2</v>
      </c>
      <c r="Y942" s="54" t="s">
        <v>2</v>
      </c>
      <c r="Z942" s="54" t="s">
        <v>2</v>
      </c>
      <c r="AA942" s="54" t="s">
        <v>2</v>
      </c>
      <c r="AB942" s="54" t="s">
        <v>2</v>
      </c>
      <c r="AC942" s="54" t="s">
        <v>2</v>
      </c>
      <c r="AD942" s="54" t="s">
        <v>2</v>
      </c>
      <c r="AE942" s="54" t="s">
        <v>2</v>
      </c>
      <c r="AF942" s="54" t="s">
        <v>2</v>
      </c>
      <c r="AG942" s="54" t="s">
        <v>2</v>
      </c>
    </row>
    <row r="943" ht="15.75" customHeight="1">
      <c r="B943" s="56"/>
      <c r="U943" s="46" t="str">
        <f t="array" ref="U943">IF($D943="","",IFERROR(_xlfn.XLOOKUP($D943,'TIR店舗一覧'!$D:$D,'TIR店舗一覧'!$E:$E,""),""))</f>
        <v/>
      </c>
      <c r="V943" s="54" t="s">
        <v>2</v>
      </c>
      <c r="W943" s="54" t="s">
        <v>2</v>
      </c>
      <c r="X943" s="54" t="s">
        <v>2</v>
      </c>
      <c r="Y943" s="54" t="s">
        <v>2</v>
      </c>
      <c r="Z943" s="54" t="s">
        <v>2</v>
      </c>
      <c r="AA943" s="54" t="s">
        <v>2</v>
      </c>
      <c r="AB943" s="54" t="s">
        <v>2</v>
      </c>
      <c r="AC943" s="54" t="s">
        <v>2</v>
      </c>
      <c r="AD943" s="54" t="s">
        <v>2</v>
      </c>
      <c r="AE943" s="54" t="s">
        <v>2</v>
      </c>
      <c r="AF943" s="54" t="s">
        <v>2</v>
      </c>
      <c r="AG943" s="54" t="s">
        <v>2</v>
      </c>
    </row>
    <row r="944" ht="15.75" customHeight="1">
      <c r="B944" s="56"/>
      <c r="U944" s="46" t="str">
        <f t="array" ref="U944">IF($D944="","",IFERROR(_xlfn.XLOOKUP($D944,'TIR店舗一覧'!$D:$D,'TIR店舗一覧'!$E:$E,""),""))</f>
        <v/>
      </c>
      <c r="V944" s="54" t="s">
        <v>2</v>
      </c>
      <c r="W944" s="54" t="s">
        <v>2</v>
      </c>
      <c r="X944" s="54" t="s">
        <v>2</v>
      </c>
      <c r="Y944" s="54" t="s">
        <v>2</v>
      </c>
      <c r="Z944" s="54" t="s">
        <v>2</v>
      </c>
      <c r="AA944" s="54" t="s">
        <v>2</v>
      </c>
      <c r="AB944" s="54" t="s">
        <v>2</v>
      </c>
      <c r="AC944" s="54" t="s">
        <v>2</v>
      </c>
      <c r="AD944" s="54" t="s">
        <v>2</v>
      </c>
      <c r="AE944" s="54" t="s">
        <v>2</v>
      </c>
      <c r="AF944" s="54" t="s">
        <v>2</v>
      </c>
      <c r="AG944" s="54" t="s">
        <v>2</v>
      </c>
    </row>
    <row r="945" ht="15.75" customHeight="1">
      <c r="B945" s="56"/>
      <c r="U945" s="46" t="str">
        <f t="array" ref="U945">IF($D945="","",IFERROR(_xlfn.XLOOKUP($D945,'TIR店舗一覧'!$D:$D,'TIR店舗一覧'!$E:$E,""),""))</f>
        <v/>
      </c>
      <c r="V945" s="54" t="s">
        <v>2</v>
      </c>
      <c r="W945" s="54" t="s">
        <v>2</v>
      </c>
      <c r="X945" s="54" t="s">
        <v>2</v>
      </c>
      <c r="Y945" s="54" t="s">
        <v>2</v>
      </c>
      <c r="Z945" s="54" t="s">
        <v>2</v>
      </c>
      <c r="AA945" s="54" t="s">
        <v>2</v>
      </c>
      <c r="AB945" s="54" t="s">
        <v>2</v>
      </c>
      <c r="AC945" s="54" t="s">
        <v>2</v>
      </c>
      <c r="AD945" s="54" t="s">
        <v>2</v>
      </c>
      <c r="AE945" s="54" t="s">
        <v>2</v>
      </c>
      <c r="AF945" s="54" t="s">
        <v>2</v>
      </c>
      <c r="AG945" s="54" t="s">
        <v>2</v>
      </c>
    </row>
    <row r="946" ht="15.75" customHeight="1">
      <c r="B946" s="56"/>
      <c r="U946" s="46" t="str">
        <f t="array" ref="U946">IF($D946="","",IFERROR(_xlfn.XLOOKUP($D946,'TIR店舗一覧'!$D:$D,'TIR店舗一覧'!$E:$E,""),""))</f>
        <v/>
      </c>
      <c r="V946" s="54" t="s">
        <v>2</v>
      </c>
      <c r="W946" s="54" t="s">
        <v>2</v>
      </c>
      <c r="X946" s="54" t="s">
        <v>2</v>
      </c>
      <c r="Y946" s="54" t="s">
        <v>2</v>
      </c>
      <c r="Z946" s="54" t="s">
        <v>2</v>
      </c>
      <c r="AA946" s="54" t="s">
        <v>2</v>
      </c>
      <c r="AB946" s="54" t="s">
        <v>2</v>
      </c>
      <c r="AC946" s="54" t="s">
        <v>2</v>
      </c>
      <c r="AD946" s="54" t="s">
        <v>2</v>
      </c>
      <c r="AE946" s="54" t="s">
        <v>2</v>
      </c>
      <c r="AF946" s="54" t="s">
        <v>2</v>
      </c>
      <c r="AG946" s="54" t="s">
        <v>2</v>
      </c>
    </row>
    <row r="947" ht="15.75" customHeight="1">
      <c r="B947" s="56"/>
      <c r="U947" s="46" t="str">
        <f t="array" ref="U947">IF($D947="","",IFERROR(_xlfn.XLOOKUP($D947,'TIR店舗一覧'!$D:$D,'TIR店舗一覧'!$E:$E,""),""))</f>
        <v/>
      </c>
      <c r="V947" s="54" t="s">
        <v>2</v>
      </c>
      <c r="W947" s="54" t="s">
        <v>2</v>
      </c>
      <c r="X947" s="54" t="s">
        <v>2</v>
      </c>
      <c r="Y947" s="54" t="s">
        <v>2</v>
      </c>
      <c r="Z947" s="54" t="s">
        <v>2</v>
      </c>
      <c r="AA947" s="54" t="s">
        <v>2</v>
      </c>
      <c r="AB947" s="54" t="s">
        <v>2</v>
      </c>
      <c r="AC947" s="54" t="s">
        <v>2</v>
      </c>
      <c r="AD947" s="54" t="s">
        <v>2</v>
      </c>
      <c r="AE947" s="54" t="s">
        <v>2</v>
      </c>
      <c r="AF947" s="54" t="s">
        <v>2</v>
      </c>
      <c r="AG947" s="54" t="s">
        <v>2</v>
      </c>
    </row>
    <row r="948" ht="15.75" customHeight="1">
      <c r="B948" s="56"/>
      <c r="U948" s="46" t="str">
        <f t="array" ref="U948">IF($D948="","",IFERROR(_xlfn.XLOOKUP($D948,'TIR店舗一覧'!$D:$D,'TIR店舗一覧'!$E:$E,""),""))</f>
        <v/>
      </c>
      <c r="V948" s="54" t="s">
        <v>2</v>
      </c>
      <c r="W948" s="54" t="s">
        <v>2</v>
      </c>
      <c r="X948" s="54" t="s">
        <v>2</v>
      </c>
      <c r="Y948" s="54" t="s">
        <v>2</v>
      </c>
      <c r="Z948" s="54" t="s">
        <v>2</v>
      </c>
      <c r="AA948" s="54" t="s">
        <v>2</v>
      </c>
      <c r="AB948" s="54" t="s">
        <v>2</v>
      </c>
      <c r="AC948" s="54" t="s">
        <v>2</v>
      </c>
      <c r="AD948" s="54" t="s">
        <v>2</v>
      </c>
      <c r="AE948" s="54" t="s">
        <v>2</v>
      </c>
      <c r="AF948" s="54" t="s">
        <v>2</v>
      </c>
      <c r="AG948" s="54" t="s">
        <v>2</v>
      </c>
    </row>
    <row r="949" ht="15.75" customHeight="1">
      <c r="B949" s="56"/>
      <c r="U949" s="46" t="str">
        <f t="array" ref="U949">IF($D949="","",IFERROR(_xlfn.XLOOKUP($D949,'TIR店舗一覧'!$D:$D,'TIR店舗一覧'!$E:$E,""),""))</f>
        <v/>
      </c>
      <c r="V949" s="54" t="s">
        <v>2</v>
      </c>
      <c r="W949" s="54" t="s">
        <v>2</v>
      </c>
      <c r="X949" s="54" t="s">
        <v>2</v>
      </c>
      <c r="Y949" s="54" t="s">
        <v>2</v>
      </c>
      <c r="Z949" s="54" t="s">
        <v>2</v>
      </c>
      <c r="AA949" s="54" t="s">
        <v>2</v>
      </c>
      <c r="AB949" s="54" t="s">
        <v>2</v>
      </c>
      <c r="AC949" s="54" t="s">
        <v>2</v>
      </c>
      <c r="AD949" s="54" t="s">
        <v>2</v>
      </c>
      <c r="AE949" s="54" t="s">
        <v>2</v>
      </c>
      <c r="AF949" s="54" t="s">
        <v>2</v>
      </c>
      <c r="AG949" s="54" t="s">
        <v>2</v>
      </c>
    </row>
    <row r="950" ht="15.75" customHeight="1">
      <c r="B950" s="56"/>
      <c r="U950" s="46" t="str">
        <f t="array" ref="U950">IF($D950="","",IFERROR(_xlfn.XLOOKUP($D950,'TIR店舗一覧'!$D:$D,'TIR店舗一覧'!$E:$E,""),""))</f>
        <v/>
      </c>
      <c r="V950" s="54" t="s">
        <v>2</v>
      </c>
      <c r="W950" s="54" t="s">
        <v>2</v>
      </c>
      <c r="X950" s="54" t="s">
        <v>2</v>
      </c>
      <c r="Y950" s="54" t="s">
        <v>2</v>
      </c>
      <c r="Z950" s="54" t="s">
        <v>2</v>
      </c>
      <c r="AA950" s="54" t="s">
        <v>2</v>
      </c>
      <c r="AB950" s="54" t="s">
        <v>2</v>
      </c>
      <c r="AC950" s="54" t="s">
        <v>2</v>
      </c>
      <c r="AD950" s="54" t="s">
        <v>2</v>
      </c>
      <c r="AE950" s="54" t="s">
        <v>2</v>
      </c>
      <c r="AF950" s="54" t="s">
        <v>2</v>
      </c>
      <c r="AG950" s="54" t="s">
        <v>2</v>
      </c>
    </row>
    <row r="951" ht="15.75" customHeight="1">
      <c r="B951" s="56"/>
      <c r="U951" s="46" t="str">
        <f t="array" ref="U951">IF($D951="","",IFERROR(_xlfn.XLOOKUP($D951,'TIR店舗一覧'!$D:$D,'TIR店舗一覧'!$E:$E,""),""))</f>
        <v/>
      </c>
      <c r="V951" s="54" t="s">
        <v>2</v>
      </c>
      <c r="W951" s="54" t="s">
        <v>2</v>
      </c>
      <c r="X951" s="54" t="s">
        <v>2</v>
      </c>
      <c r="Y951" s="54" t="s">
        <v>2</v>
      </c>
      <c r="Z951" s="54" t="s">
        <v>2</v>
      </c>
      <c r="AA951" s="54" t="s">
        <v>2</v>
      </c>
      <c r="AB951" s="54" t="s">
        <v>2</v>
      </c>
      <c r="AC951" s="54" t="s">
        <v>2</v>
      </c>
      <c r="AD951" s="54" t="s">
        <v>2</v>
      </c>
      <c r="AE951" s="54" t="s">
        <v>2</v>
      </c>
      <c r="AF951" s="54" t="s">
        <v>2</v>
      </c>
      <c r="AG951" s="54" t="s">
        <v>2</v>
      </c>
    </row>
    <row r="952" ht="15.75" customHeight="1">
      <c r="B952" s="56"/>
      <c r="U952" s="46" t="str">
        <f t="array" ref="U952">IF($D952="","",IFERROR(_xlfn.XLOOKUP($D952,'TIR店舗一覧'!$D:$D,'TIR店舗一覧'!$E:$E,""),""))</f>
        <v/>
      </c>
      <c r="V952" s="54" t="s">
        <v>2</v>
      </c>
      <c r="W952" s="54" t="s">
        <v>2</v>
      </c>
      <c r="X952" s="54" t="s">
        <v>2</v>
      </c>
      <c r="Y952" s="54" t="s">
        <v>2</v>
      </c>
      <c r="Z952" s="54" t="s">
        <v>2</v>
      </c>
      <c r="AA952" s="54" t="s">
        <v>2</v>
      </c>
      <c r="AB952" s="54" t="s">
        <v>2</v>
      </c>
      <c r="AC952" s="54" t="s">
        <v>2</v>
      </c>
      <c r="AD952" s="54" t="s">
        <v>2</v>
      </c>
      <c r="AE952" s="54" t="s">
        <v>2</v>
      </c>
      <c r="AF952" s="54" t="s">
        <v>2</v>
      </c>
      <c r="AG952" s="54" t="s">
        <v>2</v>
      </c>
    </row>
    <row r="953" ht="15.75" customHeight="1">
      <c r="B953" s="56"/>
      <c r="U953" s="46" t="str">
        <f t="array" ref="U953">IF($D953="","",IFERROR(_xlfn.XLOOKUP($D953,'TIR店舗一覧'!$D:$D,'TIR店舗一覧'!$E:$E,""),""))</f>
        <v/>
      </c>
      <c r="V953" s="54" t="s">
        <v>2</v>
      </c>
      <c r="W953" s="54" t="s">
        <v>2</v>
      </c>
      <c r="X953" s="54" t="s">
        <v>2</v>
      </c>
      <c r="Y953" s="54" t="s">
        <v>2</v>
      </c>
      <c r="Z953" s="54" t="s">
        <v>2</v>
      </c>
      <c r="AA953" s="54" t="s">
        <v>2</v>
      </c>
      <c r="AB953" s="54" t="s">
        <v>2</v>
      </c>
      <c r="AC953" s="54" t="s">
        <v>2</v>
      </c>
      <c r="AD953" s="54" t="s">
        <v>2</v>
      </c>
      <c r="AE953" s="54" t="s">
        <v>2</v>
      </c>
      <c r="AF953" s="54" t="s">
        <v>2</v>
      </c>
      <c r="AG953" s="54" t="s">
        <v>2</v>
      </c>
    </row>
    <row r="954" ht="15.75" customHeight="1">
      <c r="B954" s="56"/>
      <c r="U954" s="46" t="str">
        <f t="array" ref="U954">IF($D954="","",IFERROR(_xlfn.XLOOKUP($D954,'TIR店舗一覧'!$D:$D,'TIR店舗一覧'!$E:$E,""),""))</f>
        <v/>
      </c>
      <c r="V954" s="54" t="s">
        <v>2</v>
      </c>
      <c r="W954" s="54" t="s">
        <v>2</v>
      </c>
      <c r="X954" s="54" t="s">
        <v>2</v>
      </c>
      <c r="Y954" s="54" t="s">
        <v>2</v>
      </c>
      <c r="Z954" s="54" t="s">
        <v>2</v>
      </c>
      <c r="AA954" s="54" t="s">
        <v>2</v>
      </c>
      <c r="AB954" s="54" t="s">
        <v>2</v>
      </c>
      <c r="AC954" s="54" t="s">
        <v>2</v>
      </c>
      <c r="AD954" s="54" t="s">
        <v>2</v>
      </c>
      <c r="AE954" s="54" t="s">
        <v>2</v>
      </c>
      <c r="AF954" s="54" t="s">
        <v>2</v>
      </c>
      <c r="AG954" s="54" t="s">
        <v>2</v>
      </c>
    </row>
    <row r="955" ht="15.75" customHeight="1">
      <c r="B955" s="56"/>
      <c r="U955" s="46" t="str">
        <f t="array" ref="U955">IF($D955="","",IFERROR(_xlfn.XLOOKUP($D955,'TIR店舗一覧'!$D:$D,'TIR店舗一覧'!$E:$E,""),""))</f>
        <v/>
      </c>
      <c r="V955" s="54" t="s">
        <v>2</v>
      </c>
      <c r="W955" s="54" t="s">
        <v>2</v>
      </c>
      <c r="X955" s="54" t="s">
        <v>2</v>
      </c>
      <c r="Y955" s="54" t="s">
        <v>2</v>
      </c>
      <c r="Z955" s="54" t="s">
        <v>2</v>
      </c>
      <c r="AA955" s="54" t="s">
        <v>2</v>
      </c>
      <c r="AB955" s="54" t="s">
        <v>2</v>
      </c>
      <c r="AC955" s="54" t="s">
        <v>2</v>
      </c>
      <c r="AD955" s="54" t="s">
        <v>2</v>
      </c>
      <c r="AE955" s="54" t="s">
        <v>2</v>
      </c>
      <c r="AF955" s="54" t="s">
        <v>2</v>
      </c>
      <c r="AG955" s="54" t="s">
        <v>2</v>
      </c>
    </row>
    <row r="956" ht="15.75" customHeight="1">
      <c r="B956" s="56"/>
      <c r="U956" s="46" t="str">
        <f t="array" ref="U956">IF($D956="","",IFERROR(_xlfn.XLOOKUP($D956,'TIR店舗一覧'!$D:$D,'TIR店舗一覧'!$E:$E,""),""))</f>
        <v/>
      </c>
      <c r="V956" s="54" t="s">
        <v>2</v>
      </c>
      <c r="W956" s="54" t="s">
        <v>2</v>
      </c>
      <c r="X956" s="54" t="s">
        <v>2</v>
      </c>
      <c r="Y956" s="54" t="s">
        <v>2</v>
      </c>
      <c r="Z956" s="54" t="s">
        <v>2</v>
      </c>
      <c r="AA956" s="54" t="s">
        <v>2</v>
      </c>
      <c r="AB956" s="54" t="s">
        <v>2</v>
      </c>
      <c r="AC956" s="54" t="s">
        <v>2</v>
      </c>
      <c r="AD956" s="54" t="s">
        <v>2</v>
      </c>
      <c r="AE956" s="54" t="s">
        <v>2</v>
      </c>
      <c r="AF956" s="54" t="s">
        <v>2</v>
      </c>
      <c r="AG956" s="54" t="s">
        <v>2</v>
      </c>
    </row>
    <row r="957" ht="15.75" customHeight="1">
      <c r="B957" s="56"/>
      <c r="U957" s="46" t="str">
        <f t="array" ref="U957">IF($D957="","",IFERROR(_xlfn.XLOOKUP($D957,'TIR店舗一覧'!$D:$D,'TIR店舗一覧'!$E:$E,""),""))</f>
        <v/>
      </c>
      <c r="V957" s="54" t="s">
        <v>2</v>
      </c>
      <c r="W957" s="54" t="s">
        <v>2</v>
      </c>
      <c r="X957" s="54" t="s">
        <v>2</v>
      </c>
      <c r="Y957" s="54" t="s">
        <v>2</v>
      </c>
      <c r="Z957" s="54" t="s">
        <v>2</v>
      </c>
      <c r="AA957" s="54" t="s">
        <v>2</v>
      </c>
      <c r="AB957" s="54" t="s">
        <v>2</v>
      </c>
      <c r="AC957" s="54" t="s">
        <v>2</v>
      </c>
      <c r="AD957" s="54" t="s">
        <v>2</v>
      </c>
      <c r="AE957" s="54" t="s">
        <v>2</v>
      </c>
      <c r="AF957" s="54" t="s">
        <v>2</v>
      </c>
      <c r="AG957" s="54" t="s">
        <v>2</v>
      </c>
    </row>
    <row r="958" ht="15.75" customHeight="1">
      <c r="B958" s="56"/>
      <c r="U958" s="46" t="str">
        <f t="array" ref="U958">IF($D958="","",IFERROR(_xlfn.XLOOKUP($D958,'TIR店舗一覧'!$D:$D,'TIR店舗一覧'!$E:$E,""),""))</f>
        <v/>
      </c>
      <c r="V958" s="54" t="s">
        <v>2</v>
      </c>
      <c r="W958" s="54" t="s">
        <v>2</v>
      </c>
      <c r="X958" s="54" t="s">
        <v>2</v>
      </c>
      <c r="Y958" s="54" t="s">
        <v>2</v>
      </c>
      <c r="Z958" s="54" t="s">
        <v>2</v>
      </c>
      <c r="AA958" s="54" t="s">
        <v>2</v>
      </c>
      <c r="AB958" s="54" t="s">
        <v>2</v>
      </c>
      <c r="AC958" s="54" t="s">
        <v>2</v>
      </c>
      <c r="AD958" s="54" t="s">
        <v>2</v>
      </c>
      <c r="AE958" s="54" t="s">
        <v>2</v>
      </c>
      <c r="AF958" s="54" t="s">
        <v>2</v>
      </c>
      <c r="AG958" s="54" t="s">
        <v>2</v>
      </c>
    </row>
    <row r="959" ht="15.75" customHeight="1">
      <c r="B959" s="56"/>
      <c r="U959" s="46" t="str">
        <f t="array" ref="U959">IF($D959="","",IFERROR(_xlfn.XLOOKUP($D959,'TIR店舗一覧'!$D:$D,'TIR店舗一覧'!$E:$E,""),""))</f>
        <v/>
      </c>
      <c r="V959" s="54" t="s">
        <v>2</v>
      </c>
      <c r="W959" s="54" t="s">
        <v>2</v>
      </c>
      <c r="X959" s="54" t="s">
        <v>2</v>
      </c>
      <c r="Y959" s="54" t="s">
        <v>2</v>
      </c>
      <c r="Z959" s="54" t="s">
        <v>2</v>
      </c>
      <c r="AA959" s="54" t="s">
        <v>2</v>
      </c>
      <c r="AB959" s="54" t="s">
        <v>2</v>
      </c>
      <c r="AC959" s="54" t="s">
        <v>2</v>
      </c>
      <c r="AD959" s="54" t="s">
        <v>2</v>
      </c>
      <c r="AE959" s="54" t="s">
        <v>2</v>
      </c>
      <c r="AF959" s="54" t="s">
        <v>2</v>
      </c>
      <c r="AG959" s="54" t="s">
        <v>2</v>
      </c>
    </row>
    <row r="960" ht="15.75" customHeight="1">
      <c r="B960" s="56"/>
      <c r="U960" s="46" t="str">
        <f t="array" ref="U960">IF($D960="","",IFERROR(_xlfn.XLOOKUP($D960,'TIR店舗一覧'!$D:$D,'TIR店舗一覧'!$E:$E,""),""))</f>
        <v/>
      </c>
      <c r="V960" s="54" t="s">
        <v>2</v>
      </c>
      <c r="W960" s="54" t="s">
        <v>2</v>
      </c>
      <c r="X960" s="54" t="s">
        <v>2</v>
      </c>
      <c r="Y960" s="54" t="s">
        <v>2</v>
      </c>
      <c r="Z960" s="54" t="s">
        <v>2</v>
      </c>
      <c r="AA960" s="54" t="s">
        <v>2</v>
      </c>
      <c r="AB960" s="54" t="s">
        <v>2</v>
      </c>
      <c r="AC960" s="54" t="s">
        <v>2</v>
      </c>
      <c r="AD960" s="54" t="s">
        <v>2</v>
      </c>
      <c r="AE960" s="54" t="s">
        <v>2</v>
      </c>
      <c r="AF960" s="54" t="s">
        <v>2</v>
      </c>
      <c r="AG960" s="54" t="s">
        <v>2</v>
      </c>
    </row>
    <row r="961" ht="15.75" customHeight="1">
      <c r="B961" s="56"/>
      <c r="U961" s="46" t="str">
        <f t="array" ref="U961">IF($D961="","",IFERROR(_xlfn.XLOOKUP($D961,'TIR店舗一覧'!$D:$D,'TIR店舗一覧'!$E:$E,""),""))</f>
        <v/>
      </c>
      <c r="V961" s="54" t="s">
        <v>2</v>
      </c>
      <c r="W961" s="54" t="s">
        <v>2</v>
      </c>
      <c r="X961" s="54" t="s">
        <v>2</v>
      </c>
      <c r="Y961" s="54" t="s">
        <v>2</v>
      </c>
      <c r="Z961" s="54" t="s">
        <v>2</v>
      </c>
      <c r="AA961" s="54" t="s">
        <v>2</v>
      </c>
      <c r="AB961" s="54" t="s">
        <v>2</v>
      </c>
      <c r="AC961" s="54" t="s">
        <v>2</v>
      </c>
      <c r="AD961" s="54" t="s">
        <v>2</v>
      </c>
      <c r="AE961" s="54" t="s">
        <v>2</v>
      </c>
      <c r="AF961" s="54" t="s">
        <v>2</v>
      </c>
      <c r="AG961" s="54" t="s">
        <v>2</v>
      </c>
    </row>
    <row r="962" ht="15.75" customHeight="1">
      <c r="B962" s="56"/>
      <c r="U962" s="46" t="str">
        <f t="array" ref="U962">IF($D962="","",IFERROR(_xlfn.XLOOKUP($D962,'TIR店舗一覧'!$D:$D,'TIR店舗一覧'!$E:$E,""),""))</f>
        <v/>
      </c>
      <c r="V962" s="54" t="s">
        <v>2</v>
      </c>
      <c r="W962" s="54" t="s">
        <v>2</v>
      </c>
      <c r="X962" s="54" t="s">
        <v>2</v>
      </c>
      <c r="Y962" s="54" t="s">
        <v>2</v>
      </c>
      <c r="Z962" s="54" t="s">
        <v>2</v>
      </c>
      <c r="AA962" s="54" t="s">
        <v>2</v>
      </c>
      <c r="AB962" s="54" t="s">
        <v>2</v>
      </c>
      <c r="AC962" s="54" t="s">
        <v>2</v>
      </c>
      <c r="AD962" s="54" t="s">
        <v>2</v>
      </c>
      <c r="AE962" s="54" t="s">
        <v>2</v>
      </c>
      <c r="AF962" s="54" t="s">
        <v>2</v>
      </c>
      <c r="AG962" s="54" t="s">
        <v>2</v>
      </c>
    </row>
    <row r="963" ht="15.75" customHeight="1">
      <c r="B963" s="56"/>
      <c r="U963" s="46" t="str">
        <f t="array" ref="U963">IF($D963="","",IFERROR(_xlfn.XLOOKUP($D963,'TIR店舗一覧'!$D:$D,'TIR店舗一覧'!$E:$E,""),""))</f>
        <v/>
      </c>
      <c r="V963" s="54" t="s">
        <v>2</v>
      </c>
      <c r="W963" s="54" t="s">
        <v>2</v>
      </c>
      <c r="X963" s="54" t="s">
        <v>2</v>
      </c>
      <c r="Y963" s="54" t="s">
        <v>2</v>
      </c>
      <c r="Z963" s="54" t="s">
        <v>2</v>
      </c>
      <c r="AA963" s="54" t="s">
        <v>2</v>
      </c>
      <c r="AB963" s="54" t="s">
        <v>2</v>
      </c>
      <c r="AC963" s="54" t="s">
        <v>2</v>
      </c>
      <c r="AD963" s="54" t="s">
        <v>2</v>
      </c>
      <c r="AE963" s="54" t="s">
        <v>2</v>
      </c>
      <c r="AF963" s="54" t="s">
        <v>2</v>
      </c>
      <c r="AG963" s="54" t="s">
        <v>2</v>
      </c>
    </row>
    <row r="964" ht="15.75" customHeight="1">
      <c r="B964" s="56"/>
      <c r="U964" s="46" t="str">
        <f t="array" ref="U964">IF($D964="","",IFERROR(_xlfn.XLOOKUP($D964,'TIR店舗一覧'!$D:$D,'TIR店舗一覧'!$E:$E,""),""))</f>
        <v/>
      </c>
      <c r="V964" s="54" t="s">
        <v>2</v>
      </c>
      <c r="W964" s="54" t="s">
        <v>2</v>
      </c>
      <c r="X964" s="54" t="s">
        <v>2</v>
      </c>
      <c r="Y964" s="54" t="s">
        <v>2</v>
      </c>
      <c r="Z964" s="54" t="s">
        <v>2</v>
      </c>
      <c r="AA964" s="54" t="s">
        <v>2</v>
      </c>
      <c r="AB964" s="54" t="s">
        <v>2</v>
      </c>
      <c r="AC964" s="54" t="s">
        <v>2</v>
      </c>
      <c r="AD964" s="54" t="s">
        <v>2</v>
      </c>
      <c r="AE964" s="54" t="s">
        <v>2</v>
      </c>
      <c r="AF964" s="54" t="s">
        <v>2</v>
      </c>
      <c r="AG964" s="54" t="s">
        <v>2</v>
      </c>
    </row>
    <row r="965" ht="15.75" customHeight="1">
      <c r="B965" s="56"/>
      <c r="U965" s="46" t="str">
        <f t="array" ref="U965">IF($D965="","",IFERROR(_xlfn.XLOOKUP($D965,'TIR店舗一覧'!$D:$D,'TIR店舗一覧'!$E:$E,""),""))</f>
        <v/>
      </c>
      <c r="V965" s="54" t="s">
        <v>2</v>
      </c>
      <c r="W965" s="54" t="s">
        <v>2</v>
      </c>
      <c r="X965" s="54" t="s">
        <v>2</v>
      </c>
      <c r="Y965" s="54" t="s">
        <v>2</v>
      </c>
      <c r="Z965" s="54" t="s">
        <v>2</v>
      </c>
      <c r="AA965" s="54" t="s">
        <v>2</v>
      </c>
      <c r="AB965" s="54" t="s">
        <v>2</v>
      </c>
      <c r="AC965" s="54" t="s">
        <v>2</v>
      </c>
      <c r="AD965" s="54" t="s">
        <v>2</v>
      </c>
      <c r="AE965" s="54" t="s">
        <v>2</v>
      </c>
      <c r="AF965" s="54" t="s">
        <v>2</v>
      </c>
      <c r="AG965" s="54" t="s">
        <v>2</v>
      </c>
    </row>
    <row r="966" ht="15.75" customHeight="1">
      <c r="B966" s="56"/>
      <c r="U966" s="46" t="str">
        <f t="array" ref="U966">IF($D966="","",IFERROR(_xlfn.XLOOKUP($D966,'TIR店舗一覧'!$D:$D,'TIR店舗一覧'!$E:$E,""),""))</f>
        <v/>
      </c>
      <c r="V966" s="54" t="s">
        <v>2</v>
      </c>
      <c r="W966" s="54" t="s">
        <v>2</v>
      </c>
      <c r="X966" s="54" t="s">
        <v>2</v>
      </c>
      <c r="Y966" s="54" t="s">
        <v>2</v>
      </c>
      <c r="Z966" s="54" t="s">
        <v>2</v>
      </c>
      <c r="AA966" s="54" t="s">
        <v>2</v>
      </c>
      <c r="AB966" s="54" t="s">
        <v>2</v>
      </c>
      <c r="AC966" s="54" t="s">
        <v>2</v>
      </c>
      <c r="AD966" s="54" t="s">
        <v>2</v>
      </c>
      <c r="AE966" s="54" t="s">
        <v>2</v>
      </c>
      <c r="AF966" s="54" t="s">
        <v>2</v>
      </c>
      <c r="AG966" s="54" t="s">
        <v>2</v>
      </c>
    </row>
    <row r="967" ht="15.75" customHeight="1">
      <c r="B967" s="56"/>
      <c r="U967" s="46" t="str">
        <f t="array" ref="U967">IF($D967="","",IFERROR(_xlfn.XLOOKUP($D967,'TIR店舗一覧'!$D:$D,'TIR店舗一覧'!$E:$E,""),""))</f>
        <v/>
      </c>
      <c r="V967" s="54" t="s">
        <v>2</v>
      </c>
      <c r="W967" s="54" t="s">
        <v>2</v>
      </c>
      <c r="X967" s="54" t="s">
        <v>2</v>
      </c>
      <c r="Y967" s="54" t="s">
        <v>2</v>
      </c>
      <c r="Z967" s="54" t="s">
        <v>2</v>
      </c>
      <c r="AA967" s="54" t="s">
        <v>2</v>
      </c>
      <c r="AB967" s="54" t="s">
        <v>2</v>
      </c>
      <c r="AC967" s="54" t="s">
        <v>2</v>
      </c>
      <c r="AD967" s="54" t="s">
        <v>2</v>
      </c>
      <c r="AE967" s="54" t="s">
        <v>2</v>
      </c>
      <c r="AF967" s="54" t="s">
        <v>2</v>
      </c>
      <c r="AG967" s="54" t="s">
        <v>2</v>
      </c>
    </row>
    <row r="968" ht="15.75" customHeight="1">
      <c r="B968" s="56"/>
      <c r="U968" s="46" t="str">
        <f t="array" ref="U968">IF($D968="","",IFERROR(_xlfn.XLOOKUP($D968,'TIR店舗一覧'!$D:$D,'TIR店舗一覧'!$E:$E,""),""))</f>
        <v/>
      </c>
      <c r="V968" s="54" t="s">
        <v>2</v>
      </c>
      <c r="W968" s="54" t="s">
        <v>2</v>
      </c>
      <c r="X968" s="54" t="s">
        <v>2</v>
      </c>
      <c r="Y968" s="54" t="s">
        <v>2</v>
      </c>
      <c r="Z968" s="54" t="s">
        <v>2</v>
      </c>
      <c r="AA968" s="54" t="s">
        <v>2</v>
      </c>
      <c r="AB968" s="54" t="s">
        <v>2</v>
      </c>
      <c r="AC968" s="54" t="s">
        <v>2</v>
      </c>
      <c r="AD968" s="54" t="s">
        <v>2</v>
      </c>
      <c r="AE968" s="54" t="s">
        <v>2</v>
      </c>
      <c r="AF968" s="54" t="s">
        <v>2</v>
      </c>
      <c r="AG968" s="54" t="s">
        <v>2</v>
      </c>
    </row>
    <row r="969" ht="15.75" customHeight="1">
      <c r="B969" s="56"/>
      <c r="U969" s="46" t="str">
        <f t="array" ref="U969">IF($D969="","",IFERROR(_xlfn.XLOOKUP($D969,'TIR店舗一覧'!$D:$D,'TIR店舗一覧'!$E:$E,""),""))</f>
        <v/>
      </c>
      <c r="V969" s="54" t="s">
        <v>2</v>
      </c>
      <c r="W969" s="54" t="s">
        <v>2</v>
      </c>
      <c r="X969" s="54" t="s">
        <v>2</v>
      </c>
      <c r="Y969" s="54" t="s">
        <v>2</v>
      </c>
      <c r="Z969" s="54" t="s">
        <v>2</v>
      </c>
      <c r="AA969" s="54" t="s">
        <v>2</v>
      </c>
      <c r="AB969" s="54" t="s">
        <v>2</v>
      </c>
      <c r="AC969" s="54" t="s">
        <v>2</v>
      </c>
      <c r="AD969" s="54" t="s">
        <v>2</v>
      </c>
      <c r="AE969" s="54" t="s">
        <v>2</v>
      </c>
      <c r="AF969" s="54" t="s">
        <v>2</v>
      </c>
      <c r="AG969" s="54" t="s">
        <v>2</v>
      </c>
    </row>
    <row r="970" ht="15.75" customHeight="1">
      <c r="B970" s="56"/>
      <c r="U970" s="46" t="str">
        <f t="array" ref="U970">IF($D970="","",IFERROR(_xlfn.XLOOKUP($D970,'TIR店舗一覧'!$D:$D,'TIR店舗一覧'!$E:$E,""),""))</f>
        <v/>
      </c>
      <c r="V970" s="54" t="s">
        <v>2</v>
      </c>
      <c r="W970" s="54" t="s">
        <v>2</v>
      </c>
      <c r="X970" s="54" t="s">
        <v>2</v>
      </c>
      <c r="Y970" s="54" t="s">
        <v>2</v>
      </c>
      <c r="Z970" s="54" t="s">
        <v>2</v>
      </c>
      <c r="AA970" s="54" t="s">
        <v>2</v>
      </c>
      <c r="AB970" s="54" t="s">
        <v>2</v>
      </c>
      <c r="AC970" s="54" t="s">
        <v>2</v>
      </c>
      <c r="AD970" s="54" t="s">
        <v>2</v>
      </c>
      <c r="AE970" s="54" t="s">
        <v>2</v>
      </c>
      <c r="AF970" s="54" t="s">
        <v>2</v>
      </c>
      <c r="AG970" s="54" t="s">
        <v>2</v>
      </c>
    </row>
    <row r="971" ht="15.75" customHeight="1">
      <c r="B971" s="56"/>
      <c r="U971" s="46" t="str">
        <f t="array" ref="U971">IF($D971="","",IFERROR(_xlfn.XLOOKUP($D971,'TIR店舗一覧'!$D:$D,'TIR店舗一覧'!$E:$E,""),""))</f>
        <v/>
      </c>
      <c r="V971" s="54" t="s">
        <v>2</v>
      </c>
      <c r="W971" s="54" t="s">
        <v>2</v>
      </c>
      <c r="X971" s="54" t="s">
        <v>2</v>
      </c>
      <c r="Y971" s="54" t="s">
        <v>2</v>
      </c>
      <c r="Z971" s="54" t="s">
        <v>2</v>
      </c>
      <c r="AA971" s="54" t="s">
        <v>2</v>
      </c>
      <c r="AB971" s="54" t="s">
        <v>2</v>
      </c>
      <c r="AC971" s="54" t="s">
        <v>2</v>
      </c>
      <c r="AD971" s="54" t="s">
        <v>2</v>
      </c>
      <c r="AE971" s="54" t="s">
        <v>2</v>
      </c>
      <c r="AF971" s="54" t="s">
        <v>2</v>
      </c>
      <c r="AG971" s="54" t="s">
        <v>2</v>
      </c>
    </row>
    <row r="972" ht="15.75" customHeight="1">
      <c r="B972" s="56"/>
      <c r="U972" s="46" t="str">
        <f t="array" ref="U972">IF($D972="","",IFERROR(_xlfn.XLOOKUP($D972,'TIR店舗一覧'!$D:$D,'TIR店舗一覧'!$E:$E,""),""))</f>
        <v/>
      </c>
      <c r="V972" s="54" t="s">
        <v>2</v>
      </c>
      <c r="W972" s="54" t="s">
        <v>2</v>
      </c>
      <c r="X972" s="54" t="s">
        <v>2</v>
      </c>
      <c r="Y972" s="54" t="s">
        <v>2</v>
      </c>
      <c r="Z972" s="54" t="s">
        <v>2</v>
      </c>
      <c r="AA972" s="54" t="s">
        <v>2</v>
      </c>
      <c r="AB972" s="54" t="s">
        <v>2</v>
      </c>
      <c r="AC972" s="54" t="s">
        <v>2</v>
      </c>
      <c r="AD972" s="54" t="s">
        <v>2</v>
      </c>
      <c r="AE972" s="54" t="s">
        <v>2</v>
      </c>
      <c r="AF972" s="54" t="s">
        <v>2</v>
      </c>
      <c r="AG972" s="54" t="s">
        <v>2</v>
      </c>
    </row>
    <row r="973" ht="15.75" customHeight="1">
      <c r="B973" s="56"/>
      <c r="U973" s="46" t="str">
        <f t="array" ref="U973">IF($D973="","",IFERROR(_xlfn.XLOOKUP($D973,'TIR店舗一覧'!$D:$D,'TIR店舗一覧'!$E:$E,""),""))</f>
        <v/>
      </c>
      <c r="V973" s="54" t="s">
        <v>2</v>
      </c>
      <c r="W973" s="54" t="s">
        <v>2</v>
      </c>
      <c r="X973" s="54" t="s">
        <v>2</v>
      </c>
      <c r="Y973" s="54" t="s">
        <v>2</v>
      </c>
      <c r="Z973" s="54" t="s">
        <v>2</v>
      </c>
      <c r="AA973" s="54" t="s">
        <v>2</v>
      </c>
      <c r="AB973" s="54" t="s">
        <v>2</v>
      </c>
      <c r="AC973" s="54" t="s">
        <v>2</v>
      </c>
      <c r="AD973" s="54" t="s">
        <v>2</v>
      </c>
      <c r="AE973" s="54" t="s">
        <v>2</v>
      </c>
      <c r="AF973" s="54" t="s">
        <v>2</v>
      </c>
      <c r="AG973" s="54" t="s">
        <v>2</v>
      </c>
    </row>
    <row r="974" ht="15.75" customHeight="1">
      <c r="B974" s="56"/>
      <c r="U974" s="46" t="str">
        <f t="array" ref="U974">IF($D974="","",IFERROR(_xlfn.XLOOKUP($D974,'TIR店舗一覧'!$D:$D,'TIR店舗一覧'!$E:$E,""),""))</f>
        <v/>
      </c>
      <c r="V974" s="54" t="s">
        <v>2</v>
      </c>
      <c r="W974" s="54" t="s">
        <v>2</v>
      </c>
      <c r="X974" s="54" t="s">
        <v>2</v>
      </c>
      <c r="Y974" s="54" t="s">
        <v>2</v>
      </c>
      <c r="Z974" s="54" t="s">
        <v>2</v>
      </c>
      <c r="AA974" s="54" t="s">
        <v>2</v>
      </c>
      <c r="AB974" s="54" t="s">
        <v>2</v>
      </c>
      <c r="AC974" s="54" t="s">
        <v>2</v>
      </c>
      <c r="AD974" s="54" t="s">
        <v>2</v>
      </c>
      <c r="AE974" s="54" t="s">
        <v>2</v>
      </c>
      <c r="AF974" s="54" t="s">
        <v>2</v>
      </c>
      <c r="AG974" s="54" t="s">
        <v>2</v>
      </c>
    </row>
    <row r="975" ht="15.75" customHeight="1">
      <c r="B975" s="56"/>
      <c r="U975" s="46" t="str">
        <f t="array" ref="U975">IF($D975="","",IFERROR(_xlfn.XLOOKUP($D975,'TIR店舗一覧'!$D:$D,'TIR店舗一覧'!$E:$E,""),""))</f>
        <v/>
      </c>
      <c r="V975" s="54" t="s">
        <v>2</v>
      </c>
      <c r="W975" s="54" t="s">
        <v>2</v>
      </c>
      <c r="X975" s="54" t="s">
        <v>2</v>
      </c>
      <c r="Y975" s="54" t="s">
        <v>2</v>
      </c>
      <c r="Z975" s="54" t="s">
        <v>2</v>
      </c>
      <c r="AA975" s="54" t="s">
        <v>2</v>
      </c>
      <c r="AB975" s="54" t="s">
        <v>2</v>
      </c>
      <c r="AC975" s="54" t="s">
        <v>2</v>
      </c>
      <c r="AD975" s="54" t="s">
        <v>2</v>
      </c>
      <c r="AE975" s="54" t="s">
        <v>2</v>
      </c>
      <c r="AF975" s="54" t="s">
        <v>2</v>
      </c>
      <c r="AG975" s="54" t="s">
        <v>2</v>
      </c>
    </row>
    <row r="976" ht="15.75" customHeight="1">
      <c r="B976" s="56"/>
      <c r="U976" s="46" t="str">
        <f t="array" ref="U976">IF($D976="","",IFERROR(_xlfn.XLOOKUP($D976,'TIR店舗一覧'!$D:$D,'TIR店舗一覧'!$E:$E,""),""))</f>
        <v/>
      </c>
      <c r="V976" s="54" t="s">
        <v>2</v>
      </c>
      <c r="W976" s="54" t="s">
        <v>2</v>
      </c>
      <c r="X976" s="54" t="s">
        <v>2</v>
      </c>
      <c r="Y976" s="54" t="s">
        <v>2</v>
      </c>
      <c r="Z976" s="54" t="s">
        <v>2</v>
      </c>
      <c r="AA976" s="54" t="s">
        <v>2</v>
      </c>
      <c r="AB976" s="54" t="s">
        <v>2</v>
      </c>
      <c r="AC976" s="54" t="s">
        <v>2</v>
      </c>
      <c r="AD976" s="54" t="s">
        <v>2</v>
      </c>
      <c r="AE976" s="54" t="s">
        <v>2</v>
      </c>
      <c r="AF976" s="54" t="s">
        <v>2</v>
      </c>
      <c r="AG976" s="54" t="s">
        <v>2</v>
      </c>
    </row>
    <row r="977" ht="15.75" customHeight="1">
      <c r="B977" s="56"/>
      <c r="U977" s="46" t="str">
        <f t="array" ref="U977">IF($D977="","",IFERROR(_xlfn.XLOOKUP($D977,'TIR店舗一覧'!$D:$D,'TIR店舗一覧'!$E:$E,""),""))</f>
        <v/>
      </c>
      <c r="V977" s="54" t="s">
        <v>2</v>
      </c>
      <c r="W977" s="54" t="s">
        <v>2</v>
      </c>
      <c r="X977" s="54" t="s">
        <v>2</v>
      </c>
      <c r="Y977" s="54" t="s">
        <v>2</v>
      </c>
      <c r="Z977" s="54" t="s">
        <v>2</v>
      </c>
      <c r="AA977" s="54" t="s">
        <v>2</v>
      </c>
      <c r="AB977" s="54" t="s">
        <v>2</v>
      </c>
      <c r="AC977" s="54" t="s">
        <v>2</v>
      </c>
      <c r="AD977" s="54" t="s">
        <v>2</v>
      </c>
      <c r="AE977" s="54" t="s">
        <v>2</v>
      </c>
      <c r="AF977" s="54" t="s">
        <v>2</v>
      </c>
      <c r="AG977" s="54" t="s">
        <v>2</v>
      </c>
    </row>
    <row r="978" ht="15.75" customHeight="1">
      <c r="B978" s="56"/>
      <c r="U978" s="46" t="str">
        <f t="array" ref="U978">IF($D978="","",IFERROR(_xlfn.XLOOKUP($D978,'TIR店舗一覧'!$D:$D,'TIR店舗一覧'!$E:$E,""),""))</f>
        <v/>
      </c>
      <c r="V978" s="54" t="s">
        <v>2</v>
      </c>
      <c r="W978" s="54" t="s">
        <v>2</v>
      </c>
      <c r="X978" s="54" t="s">
        <v>2</v>
      </c>
      <c r="Y978" s="54" t="s">
        <v>2</v>
      </c>
      <c r="Z978" s="54" t="s">
        <v>2</v>
      </c>
      <c r="AA978" s="54" t="s">
        <v>2</v>
      </c>
      <c r="AB978" s="54" t="s">
        <v>2</v>
      </c>
      <c r="AC978" s="54" t="s">
        <v>2</v>
      </c>
      <c r="AD978" s="54" t="s">
        <v>2</v>
      </c>
      <c r="AE978" s="54" t="s">
        <v>2</v>
      </c>
      <c r="AF978" s="54" t="s">
        <v>2</v>
      </c>
      <c r="AG978" s="54" t="s">
        <v>2</v>
      </c>
    </row>
    <row r="979" ht="15.75" customHeight="1">
      <c r="B979" s="56"/>
      <c r="U979" s="46" t="str">
        <f t="array" ref="U979">IF($D979="","",IFERROR(_xlfn.XLOOKUP($D979,'TIR店舗一覧'!$D:$D,'TIR店舗一覧'!$E:$E,""),""))</f>
        <v/>
      </c>
      <c r="V979" s="54" t="s">
        <v>2</v>
      </c>
      <c r="W979" s="54" t="s">
        <v>2</v>
      </c>
      <c r="X979" s="54" t="s">
        <v>2</v>
      </c>
      <c r="Y979" s="54" t="s">
        <v>2</v>
      </c>
      <c r="Z979" s="54" t="s">
        <v>2</v>
      </c>
      <c r="AA979" s="54" t="s">
        <v>2</v>
      </c>
      <c r="AB979" s="54" t="s">
        <v>2</v>
      </c>
      <c r="AC979" s="54" t="s">
        <v>2</v>
      </c>
      <c r="AD979" s="54" t="s">
        <v>2</v>
      </c>
      <c r="AE979" s="54" t="s">
        <v>2</v>
      </c>
      <c r="AF979" s="54" t="s">
        <v>2</v>
      </c>
      <c r="AG979" s="54" t="s">
        <v>2</v>
      </c>
    </row>
    <row r="980" ht="15.75" customHeight="1">
      <c r="B980" s="56"/>
      <c r="U980" s="46" t="str">
        <f t="array" ref="U980">IF($D980="","",IFERROR(_xlfn.XLOOKUP($D980,'TIR店舗一覧'!$D:$D,'TIR店舗一覧'!$E:$E,""),""))</f>
        <v/>
      </c>
      <c r="V980" s="54" t="s">
        <v>2</v>
      </c>
      <c r="W980" s="54" t="s">
        <v>2</v>
      </c>
      <c r="X980" s="54" t="s">
        <v>2</v>
      </c>
      <c r="Y980" s="54" t="s">
        <v>2</v>
      </c>
      <c r="Z980" s="54" t="s">
        <v>2</v>
      </c>
      <c r="AA980" s="54" t="s">
        <v>2</v>
      </c>
      <c r="AB980" s="54" t="s">
        <v>2</v>
      </c>
      <c r="AC980" s="54" t="s">
        <v>2</v>
      </c>
      <c r="AD980" s="54" t="s">
        <v>2</v>
      </c>
      <c r="AE980" s="54" t="s">
        <v>2</v>
      </c>
      <c r="AF980" s="54" t="s">
        <v>2</v>
      </c>
      <c r="AG980" s="54" t="s">
        <v>2</v>
      </c>
    </row>
    <row r="981" ht="15.75" customHeight="1">
      <c r="B981" s="56"/>
      <c r="U981" s="46" t="str">
        <f t="array" ref="U981">IF($D981="","",IFERROR(_xlfn.XLOOKUP($D981,'TIR店舗一覧'!$D:$D,'TIR店舗一覧'!$E:$E,""),""))</f>
        <v/>
      </c>
      <c r="V981" s="54" t="s">
        <v>2</v>
      </c>
      <c r="W981" s="54" t="s">
        <v>2</v>
      </c>
      <c r="X981" s="54" t="s">
        <v>2</v>
      </c>
      <c r="Y981" s="54" t="s">
        <v>2</v>
      </c>
      <c r="Z981" s="54" t="s">
        <v>2</v>
      </c>
      <c r="AA981" s="54" t="s">
        <v>2</v>
      </c>
      <c r="AB981" s="54" t="s">
        <v>2</v>
      </c>
      <c r="AC981" s="54" t="s">
        <v>2</v>
      </c>
      <c r="AD981" s="54" t="s">
        <v>2</v>
      </c>
      <c r="AE981" s="54" t="s">
        <v>2</v>
      </c>
      <c r="AF981" s="54" t="s">
        <v>2</v>
      </c>
      <c r="AG981" s="54" t="s">
        <v>2</v>
      </c>
    </row>
    <row r="982" ht="15.75" customHeight="1">
      <c r="B982" s="56"/>
      <c r="U982" s="46" t="str">
        <f t="array" ref="U982">IF($D982="","",IFERROR(_xlfn.XLOOKUP($D982,'TIR店舗一覧'!$D:$D,'TIR店舗一覧'!$E:$E,""),""))</f>
        <v/>
      </c>
      <c r="V982" s="54" t="s">
        <v>2</v>
      </c>
      <c r="W982" s="54" t="s">
        <v>2</v>
      </c>
      <c r="X982" s="54" t="s">
        <v>2</v>
      </c>
      <c r="Y982" s="54" t="s">
        <v>2</v>
      </c>
      <c r="Z982" s="54" t="s">
        <v>2</v>
      </c>
      <c r="AA982" s="54" t="s">
        <v>2</v>
      </c>
      <c r="AB982" s="54" t="s">
        <v>2</v>
      </c>
      <c r="AC982" s="54" t="s">
        <v>2</v>
      </c>
      <c r="AD982" s="54" t="s">
        <v>2</v>
      </c>
      <c r="AE982" s="54" t="s">
        <v>2</v>
      </c>
      <c r="AF982" s="54" t="s">
        <v>2</v>
      </c>
      <c r="AG982" s="54" t="s">
        <v>2</v>
      </c>
    </row>
    <row r="983" ht="15.75" customHeight="1">
      <c r="B983" s="56"/>
      <c r="U983" s="46" t="str">
        <f t="array" ref="U983">IF($D983="","",IFERROR(_xlfn.XLOOKUP($D983,'TIR店舗一覧'!$D:$D,'TIR店舗一覧'!$E:$E,""),""))</f>
        <v/>
      </c>
      <c r="V983" s="54" t="s">
        <v>2</v>
      </c>
      <c r="W983" s="54" t="s">
        <v>2</v>
      </c>
      <c r="X983" s="54" t="s">
        <v>2</v>
      </c>
      <c r="Y983" s="54" t="s">
        <v>2</v>
      </c>
      <c r="Z983" s="54" t="s">
        <v>2</v>
      </c>
      <c r="AA983" s="54" t="s">
        <v>2</v>
      </c>
      <c r="AB983" s="54" t="s">
        <v>2</v>
      </c>
      <c r="AC983" s="54" t="s">
        <v>2</v>
      </c>
      <c r="AD983" s="54" t="s">
        <v>2</v>
      </c>
      <c r="AE983" s="54" t="s">
        <v>2</v>
      </c>
      <c r="AF983" s="54" t="s">
        <v>2</v>
      </c>
      <c r="AG983" s="54" t="s">
        <v>2</v>
      </c>
    </row>
    <row r="984" ht="15.75" customHeight="1">
      <c r="B984" s="56"/>
      <c r="U984" s="46" t="str">
        <f t="array" ref="U984">IF($D984="","",IFERROR(_xlfn.XLOOKUP($D984,'TIR店舗一覧'!$D:$D,'TIR店舗一覧'!$E:$E,""),""))</f>
        <v/>
      </c>
      <c r="V984" s="54" t="s">
        <v>2</v>
      </c>
      <c r="W984" s="54" t="s">
        <v>2</v>
      </c>
      <c r="X984" s="54" t="s">
        <v>2</v>
      </c>
      <c r="Y984" s="54" t="s">
        <v>2</v>
      </c>
      <c r="Z984" s="54" t="s">
        <v>2</v>
      </c>
      <c r="AA984" s="54" t="s">
        <v>2</v>
      </c>
      <c r="AB984" s="54" t="s">
        <v>2</v>
      </c>
      <c r="AC984" s="54" t="s">
        <v>2</v>
      </c>
      <c r="AD984" s="54" t="s">
        <v>2</v>
      </c>
      <c r="AE984" s="54" t="s">
        <v>2</v>
      </c>
      <c r="AF984" s="54" t="s">
        <v>2</v>
      </c>
      <c r="AG984" s="54" t="s">
        <v>2</v>
      </c>
    </row>
    <row r="985" ht="15.75" customHeight="1">
      <c r="B985" s="56"/>
      <c r="U985" s="46" t="str">
        <f t="array" ref="U985">IF($D985="","",IFERROR(_xlfn.XLOOKUP($D985,'TIR店舗一覧'!$D:$D,'TIR店舗一覧'!$E:$E,""),""))</f>
        <v/>
      </c>
      <c r="V985" s="54" t="s">
        <v>2</v>
      </c>
      <c r="W985" s="54" t="s">
        <v>2</v>
      </c>
      <c r="X985" s="54" t="s">
        <v>2</v>
      </c>
      <c r="Y985" s="54" t="s">
        <v>2</v>
      </c>
      <c r="Z985" s="54" t="s">
        <v>2</v>
      </c>
      <c r="AA985" s="54" t="s">
        <v>2</v>
      </c>
      <c r="AB985" s="54" t="s">
        <v>2</v>
      </c>
      <c r="AC985" s="54" t="s">
        <v>2</v>
      </c>
      <c r="AD985" s="54" t="s">
        <v>2</v>
      </c>
      <c r="AE985" s="54" t="s">
        <v>2</v>
      </c>
      <c r="AF985" s="54" t="s">
        <v>2</v>
      </c>
      <c r="AG985" s="54" t="s">
        <v>2</v>
      </c>
    </row>
    <row r="986" ht="15.75" customHeight="1">
      <c r="B986" s="56"/>
      <c r="U986" s="46" t="str">
        <f t="array" ref="U986">IF($D986="","",IFERROR(_xlfn.XLOOKUP($D986,'TIR店舗一覧'!$D:$D,'TIR店舗一覧'!$E:$E,""),""))</f>
        <v/>
      </c>
      <c r="V986" s="54" t="s">
        <v>2</v>
      </c>
      <c r="W986" s="54" t="s">
        <v>2</v>
      </c>
      <c r="X986" s="54" t="s">
        <v>2</v>
      </c>
      <c r="Y986" s="54" t="s">
        <v>2</v>
      </c>
      <c r="Z986" s="54" t="s">
        <v>2</v>
      </c>
      <c r="AA986" s="54" t="s">
        <v>2</v>
      </c>
      <c r="AB986" s="54" t="s">
        <v>2</v>
      </c>
      <c r="AC986" s="54" t="s">
        <v>2</v>
      </c>
      <c r="AD986" s="54" t="s">
        <v>2</v>
      </c>
      <c r="AE986" s="54" t="s">
        <v>2</v>
      </c>
      <c r="AF986" s="54" t="s">
        <v>2</v>
      </c>
      <c r="AG986" s="54" t="s">
        <v>2</v>
      </c>
    </row>
    <row r="987" ht="15.75" customHeight="1">
      <c r="B987" s="56"/>
      <c r="U987" s="46" t="str">
        <f t="array" ref="U987">IF($D987="","",IFERROR(_xlfn.XLOOKUP($D987,'TIR店舗一覧'!$D:$D,'TIR店舗一覧'!$E:$E,""),""))</f>
        <v/>
      </c>
      <c r="V987" s="54" t="s">
        <v>2</v>
      </c>
      <c r="W987" s="54" t="s">
        <v>2</v>
      </c>
      <c r="X987" s="54" t="s">
        <v>2</v>
      </c>
      <c r="Y987" s="54" t="s">
        <v>2</v>
      </c>
      <c r="Z987" s="54" t="s">
        <v>2</v>
      </c>
      <c r="AA987" s="54" t="s">
        <v>2</v>
      </c>
      <c r="AB987" s="54" t="s">
        <v>2</v>
      </c>
      <c r="AC987" s="54" t="s">
        <v>2</v>
      </c>
      <c r="AD987" s="54" t="s">
        <v>2</v>
      </c>
      <c r="AE987" s="54" t="s">
        <v>2</v>
      </c>
      <c r="AF987" s="54" t="s">
        <v>2</v>
      </c>
      <c r="AG987" s="54" t="s">
        <v>2</v>
      </c>
    </row>
    <row r="988" ht="15.75" customHeight="1">
      <c r="B988" s="56"/>
      <c r="U988" s="46" t="str">
        <f t="array" ref="U988">IF($D988="","",IFERROR(_xlfn.XLOOKUP($D988,'TIR店舗一覧'!$D:$D,'TIR店舗一覧'!$E:$E,""),""))</f>
        <v/>
      </c>
      <c r="V988" s="54" t="s">
        <v>2</v>
      </c>
      <c r="W988" s="54" t="s">
        <v>2</v>
      </c>
      <c r="X988" s="54" t="s">
        <v>2</v>
      </c>
      <c r="Y988" s="54" t="s">
        <v>2</v>
      </c>
      <c r="Z988" s="54" t="s">
        <v>2</v>
      </c>
      <c r="AA988" s="54" t="s">
        <v>2</v>
      </c>
      <c r="AB988" s="54" t="s">
        <v>2</v>
      </c>
      <c r="AC988" s="54" t="s">
        <v>2</v>
      </c>
      <c r="AD988" s="54" t="s">
        <v>2</v>
      </c>
      <c r="AE988" s="54" t="s">
        <v>2</v>
      </c>
      <c r="AF988" s="54" t="s">
        <v>2</v>
      </c>
      <c r="AG988" s="54" t="s">
        <v>2</v>
      </c>
    </row>
    <row r="989" ht="15.75" customHeight="1">
      <c r="B989" s="56"/>
      <c r="U989" s="46" t="str">
        <f t="array" ref="U989">IF($D989="","",IFERROR(_xlfn.XLOOKUP($D989,'TIR店舗一覧'!$D:$D,'TIR店舗一覧'!$E:$E,""),""))</f>
        <v/>
      </c>
      <c r="V989" s="54" t="s">
        <v>2</v>
      </c>
      <c r="W989" s="54" t="s">
        <v>2</v>
      </c>
      <c r="X989" s="54" t="s">
        <v>2</v>
      </c>
      <c r="Y989" s="54" t="s">
        <v>2</v>
      </c>
      <c r="Z989" s="54" t="s">
        <v>2</v>
      </c>
      <c r="AA989" s="54" t="s">
        <v>2</v>
      </c>
      <c r="AB989" s="54" t="s">
        <v>2</v>
      </c>
      <c r="AC989" s="54" t="s">
        <v>2</v>
      </c>
      <c r="AD989" s="54" t="s">
        <v>2</v>
      </c>
      <c r="AE989" s="54" t="s">
        <v>2</v>
      </c>
      <c r="AF989" s="54" t="s">
        <v>2</v>
      </c>
      <c r="AG989" s="54" t="s">
        <v>2</v>
      </c>
    </row>
    <row r="990" ht="15.75" customHeight="1">
      <c r="B990" s="56"/>
      <c r="U990" s="46" t="str">
        <f t="array" ref="U990">IF($D990="","",IFERROR(_xlfn.XLOOKUP($D990,'TIR店舗一覧'!$D:$D,'TIR店舗一覧'!$E:$E,""),""))</f>
        <v/>
      </c>
      <c r="V990" s="54" t="s">
        <v>2</v>
      </c>
      <c r="W990" s="54" t="s">
        <v>2</v>
      </c>
      <c r="X990" s="54" t="s">
        <v>2</v>
      </c>
      <c r="Y990" s="54" t="s">
        <v>2</v>
      </c>
      <c r="Z990" s="54" t="s">
        <v>2</v>
      </c>
      <c r="AA990" s="54" t="s">
        <v>2</v>
      </c>
      <c r="AB990" s="54" t="s">
        <v>2</v>
      </c>
      <c r="AC990" s="54" t="s">
        <v>2</v>
      </c>
      <c r="AD990" s="54" t="s">
        <v>2</v>
      </c>
      <c r="AE990" s="54" t="s">
        <v>2</v>
      </c>
      <c r="AF990" s="54" t="s">
        <v>2</v>
      </c>
      <c r="AG990" s="54" t="s">
        <v>2</v>
      </c>
    </row>
    <row r="991" ht="15.75" customHeight="1">
      <c r="B991" s="56"/>
      <c r="U991" s="46" t="str">
        <f t="array" ref="U991">IF($D991="","",IFERROR(_xlfn.XLOOKUP($D991,'TIR店舗一覧'!$D:$D,'TIR店舗一覧'!$E:$E,""),""))</f>
        <v/>
      </c>
      <c r="V991" s="54" t="s">
        <v>2</v>
      </c>
      <c r="W991" s="54" t="s">
        <v>2</v>
      </c>
      <c r="X991" s="54" t="s">
        <v>2</v>
      </c>
      <c r="Y991" s="54" t="s">
        <v>2</v>
      </c>
      <c r="Z991" s="54" t="s">
        <v>2</v>
      </c>
      <c r="AA991" s="54" t="s">
        <v>2</v>
      </c>
      <c r="AB991" s="54" t="s">
        <v>2</v>
      </c>
      <c r="AC991" s="54" t="s">
        <v>2</v>
      </c>
      <c r="AD991" s="54" t="s">
        <v>2</v>
      </c>
      <c r="AE991" s="54" t="s">
        <v>2</v>
      </c>
      <c r="AF991" s="54" t="s">
        <v>2</v>
      </c>
      <c r="AG991" s="54" t="s">
        <v>2</v>
      </c>
    </row>
    <row r="992" ht="15.75" customHeight="1">
      <c r="B992" s="56"/>
      <c r="U992" s="46" t="str">
        <f t="array" ref="U992">IF($D992="","",IFERROR(_xlfn.XLOOKUP($D992,'TIR店舗一覧'!$D:$D,'TIR店舗一覧'!$E:$E,""),""))</f>
        <v/>
      </c>
      <c r="V992" s="54" t="s">
        <v>2</v>
      </c>
      <c r="W992" s="54" t="s">
        <v>2</v>
      </c>
      <c r="X992" s="54" t="s">
        <v>2</v>
      </c>
      <c r="Y992" s="54" t="s">
        <v>2</v>
      </c>
      <c r="Z992" s="54" t="s">
        <v>2</v>
      </c>
      <c r="AA992" s="54" t="s">
        <v>2</v>
      </c>
      <c r="AB992" s="54" t="s">
        <v>2</v>
      </c>
      <c r="AC992" s="54" t="s">
        <v>2</v>
      </c>
      <c r="AD992" s="54" t="s">
        <v>2</v>
      </c>
      <c r="AE992" s="54" t="s">
        <v>2</v>
      </c>
      <c r="AF992" s="54" t="s">
        <v>2</v>
      </c>
      <c r="AG992" s="54" t="s">
        <v>2</v>
      </c>
    </row>
    <row r="993" ht="15.75" customHeight="1">
      <c r="B993" s="56"/>
      <c r="U993" s="46" t="str">
        <f t="array" ref="U993">IF($D993="","",IFERROR(_xlfn.XLOOKUP($D993,'TIR店舗一覧'!$D:$D,'TIR店舗一覧'!$E:$E,""),""))</f>
        <v/>
      </c>
      <c r="V993" s="54" t="s">
        <v>2</v>
      </c>
      <c r="W993" s="54" t="s">
        <v>2</v>
      </c>
      <c r="X993" s="54" t="s">
        <v>2</v>
      </c>
      <c r="Y993" s="54" t="s">
        <v>2</v>
      </c>
      <c r="Z993" s="54" t="s">
        <v>2</v>
      </c>
      <c r="AA993" s="54" t="s">
        <v>2</v>
      </c>
      <c r="AB993" s="54" t="s">
        <v>2</v>
      </c>
      <c r="AC993" s="54" t="s">
        <v>2</v>
      </c>
      <c r="AD993" s="54" t="s">
        <v>2</v>
      </c>
      <c r="AE993" s="54" t="s">
        <v>2</v>
      </c>
      <c r="AF993" s="54" t="s">
        <v>2</v>
      </c>
      <c r="AG993" s="54" t="s">
        <v>2</v>
      </c>
    </row>
    <row r="994" ht="15.75" customHeight="1">
      <c r="B994" s="56"/>
      <c r="U994" s="46" t="str">
        <f t="array" ref="U994">IF($D994="","",IFERROR(_xlfn.XLOOKUP($D994,'TIR店舗一覧'!$D:$D,'TIR店舗一覧'!$E:$E,""),""))</f>
        <v/>
      </c>
      <c r="V994" s="54" t="s">
        <v>2</v>
      </c>
      <c r="W994" s="54" t="s">
        <v>2</v>
      </c>
      <c r="X994" s="54" t="s">
        <v>2</v>
      </c>
      <c r="Y994" s="54" t="s">
        <v>2</v>
      </c>
      <c r="Z994" s="54" t="s">
        <v>2</v>
      </c>
      <c r="AA994" s="54" t="s">
        <v>2</v>
      </c>
      <c r="AB994" s="54" t="s">
        <v>2</v>
      </c>
      <c r="AC994" s="54" t="s">
        <v>2</v>
      </c>
      <c r="AD994" s="54" t="s">
        <v>2</v>
      </c>
      <c r="AE994" s="54" t="s">
        <v>2</v>
      </c>
      <c r="AF994" s="54" t="s">
        <v>2</v>
      </c>
      <c r="AG994" s="54" t="s">
        <v>2</v>
      </c>
    </row>
    <row r="995" ht="15.75" customHeight="1">
      <c r="B995" s="56"/>
      <c r="U995" s="46" t="str">
        <f t="array" ref="U995">IF($D995="","",IFERROR(_xlfn.XLOOKUP($D995,'TIR店舗一覧'!$D:$D,'TIR店舗一覧'!$E:$E,""),""))</f>
        <v/>
      </c>
      <c r="V995" s="54" t="s">
        <v>2</v>
      </c>
      <c r="W995" s="54" t="s">
        <v>2</v>
      </c>
      <c r="X995" s="54" t="s">
        <v>2</v>
      </c>
      <c r="Y995" s="54" t="s">
        <v>2</v>
      </c>
      <c r="Z995" s="54" t="s">
        <v>2</v>
      </c>
      <c r="AA995" s="54" t="s">
        <v>2</v>
      </c>
      <c r="AB995" s="54" t="s">
        <v>2</v>
      </c>
      <c r="AC995" s="54" t="s">
        <v>2</v>
      </c>
      <c r="AD995" s="54" t="s">
        <v>2</v>
      </c>
      <c r="AE995" s="54" t="s">
        <v>2</v>
      </c>
      <c r="AF995" s="54" t="s">
        <v>2</v>
      </c>
      <c r="AG995" s="54" t="s">
        <v>2</v>
      </c>
    </row>
    <row r="996" ht="15.75" customHeight="1">
      <c r="B996" s="56"/>
      <c r="U996" s="46" t="str">
        <f t="array" ref="U996">IF($D996="","",IFERROR(_xlfn.XLOOKUP($D996,'TIR店舗一覧'!$D:$D,'TIR店舗一覧'!$E:$E,""),""))</f>
        <v/>
      </c>
      <c r="V996" s="54" t="s">
        <v>2</v>
      </c>
      <c r="W996" s="54" t="s">
        <v>2</v>
      </c>
      <c r="X996" s="54" t="s">
        <v>2</v>
      </c>
      <c r="Y996" s="54" t="s">
        <v>2</v>
      </c>
      <c r="Z996" s="54" t="s">
        <v>2</v>
      </c>
      <c r="AA996" s="54" t="s">
        <v>2</v>
      </c>
      <c r="AB996" s="54" t="s">
        <v>2</v>
      </c>
      <c r="AC996" s="54" t="s">
        <v>2</v>
      </c>
      <c r="AD996" s="54" t="s">
        <v>2</v>
      </c>
      <c r="AE996" s="54" t="s">
        <v>2</v>
      </c>
      <c r="AF996" s="54" t="s">
        <v>2</v>
      </c>
      <c r="AG996" s="54" t="s">
        <v>2</v>
      </c>
    </row>
    <row r="997" ht="15.75" customHeight="1">
      <c r="B997" s="56"/>
      <c r="U997" s="46" t="str">
        <f t="array" ref="U997">IF($D997="","",IFERROR(_xlfn.XLOOKUP($D997,'TIR店舗一覧'!$D:$D,'TIR店舗一覧'!$E:$E,""),""))</f>
        <v/>
      </c>
      <c r="V997" s="54" t="s">
        <v>2</v>
      </c>
      <c r="W997" s="54" t="s">
        <v>2</v>
      </c>
      <c r="X997" s="54" t="s">
        <v>2</v>
      </c>
      <c r="Y997" s="54" t="s">
        <v>2</v>
      </c>
      <c r="Z997" s="54" t="s">
        <v>2</v>
      </c>
      <c r="AA997" s="54" t="s">
        <v>2</v>
      </c>
      <c r="AB997" s="54" t="s">
        <v>2</v>
      </c>
      <c r="AC997" s="54" t="s">
        <v>2</v>
      </c>
      <c r="AD997" s="54" t="s">
        <v>2</v>
      </c>
      <c r="AE997" s="54" t="s">
        <v>2</v>
      </c>
      <c r="AF997" s="54" t="s">
        <v>2</v>
      </c>
      <c r="AG997" s="54" t="s">
        <v>2</v>
      </c>
    </row>
    <row r="998" ht="15.75" customHeight="1">
      <c r="B998" s="56"/>
      <c r="U998" s="46" t="str">
        <f t="array" ref="U998">IF($D998="","",IFERROR(_xlfn.XLOOKUP($D998,'TIR店舗一覧'!$D:$D,'TIR店舗一覧'!$E:$E,""),""))</f>
        <v/>
      </c>
      <c r="V998" s="54" t="s">
        <v>2</v>
      </c>
      <c r="W998" s="54" t="s">
        <v>2</v>
      </c>
      <c r="X998" s="54" t="s">
        <v>2</v>
      </c>
      <c r="Y998" s="54" t="s">
        <v>2</v>
      </c>
      <c r="Z998" s="54" t="s">
        <v>2</v>
      </c>
      <c r="AA998" s="54" t="s">
        <v>2</v>
      </c>
      <c r="AB998" s="54" t="s">
        <v>2</v>
      </c>
      <c r="AC998" s="54" t="s">
        <v>2</v>
      </c>
      <c r="AD998" s="54" t="s">
        <v>2</v>
      </c>
      <c r="AE998" s="54" t="s">
        <v>2</v>
      </c>
      <c r="AF998" s="54" t="s">
        <v>2</v>
      </c>
      <c r="AG998" s="54" t="s">
        <v>2</v>
      </c>
    </row>
    <row r="999" ht="15.75" customHeight="1">
      <c r="B999" s="56"/>
      <c r="U999" s="46" t="str">
        <f t="array" ref="U999">IF($D999="","",IFERROR(_xlfn.XLOOKUP($D999,'TIR店舗一覧'!$D:$D,'TIR店舗一覧'!$E:$E,""),""))</f>
        <v/>
      </c>
      <c r="V999" s="54" t="s">
        <v>2</v>
      </c>
      <c r="W999" s="54" t="s">
        <v>2</v>
      </c>
      <c r="X999" s="54" t="s">
        <v>2</v>
      </c>
      <c r="Y999" s="54" t="s">
        <v>2</v>
      </c>
      <c r="Z999" s="54" t="s">
        <v>2</v>
      </c>
      <c r="AA999" s="54" t="s">
        <v>2</v>
      </c>
      <c r="AB999" s="54" t="s">
        <v>2</v>
      </c>
      <c r="AC999" s="54" t="s">
        <v>2</v>
      </c>
      <c r="AD999" s="54" t="s">
        <v>2</v>
      </c>
      <c r="AE999" s="54" t="s">
        <v>2</v>
      </c>
      <c r="AF999" s="54" t="s">
        <v>2</v>
      </c>
      <c r="AG999" s="54" t="s">
        <v>2</v>
      </c>
    </row>
    <row r="1000" ht="15.75" customHeight="1">
      <c r="B1000" s="56"/>
      <c r="U1000" s="46" t="str">
        <f t="array" ref="U1000">IF($D1000="","",IFERROR(_xlfn.XLOOKUP($D1000,'TIR店舗一覧'!$D:$D,'TIR店舗一覧'!$E:$E,""),""))</f>
        <v/>
      </c>
      <c r="V1000" s="54" t="s">
        <v>2</v>
      </c>
      <c r="W1000" s="54" t="s">
        <v>2</v>
      </c>
      <c r="X1000" s="54" t="s">
        <v>2</v>
      </c>
      <c r="Y1000" s="54" t="s">
        <v>2</v>
      </c>
      <c r="Z1000" s="54" t="s">
        <v>2</v>
      </c>
      <c r="AA1000" s="54" t="s">
        <v>2</v>
      </c>
      <c r="AB1000" s="54" t="s">
        <v>2</v>
      </c>
      <c r="AC1000" s="54" t="s">
        <v>2</v>
      </c>
      <c r="AD1000" s="54" t="s">
        <v>2</v>
      </c>
      <c r="AE1000" s="54" t="s">
        <v>2</v>
      </c>
      <c r="AF1000" s="54" t="s">
        <v>2</v>
      </c>
      <c r="AG1000" s="54" t="s">
        <v>2</v>
      </c>
    </row>
    <row r="1001" ht="15.75" customHeight="1">
      <c r="B1001" s="56"/>
      <c r="U1001" s="46" t="str">
        <f t="array" ref="U1001">IF($D1001="","",IFERROR(_xlfn.XLOOKUP($D1001,'TIR店舗一覧'!$D:$D,'TIR店舗一覧'!$E:$E,""),""))</f>
        <v/>
      </c>
      <c r="V1001" s="54" t="s">
        <v>2</v>
      </c>
      <c r="W1001" s="54" t="s">
        <v>2</v>
      </c>
      <c r="X1001" s="54" t="s">
        <v>2</v>
      </c>
      <c r="Y1001" s="54" t="s">
        <v>2</v>
      </c>
      <c r="Z1001" s="54" t="s">
        <v>2</v>
      </c>
      <c r="AA1001" s="54" t="s">
        <v>2</v>
      </c>
      <c r="AB1001" s="54" t="s">
        <v>2</v>
      </c>
      <c r="AC1001" s="54" t="s">
        <v>2</v>
      </c>
      <c r="AD1001" s="54" t="s">
        <v>2</v>
      </c>
      <c r="AE1001" s="54" t="s">
        <v>2</v>
      </c>
      <c r="AF1001" s="54" t="s">
        <v>2</v>
      </c>
      <c r="AG1001" s="54" t="s">
        <v>2</v>
      </c>
    </row>
    <row r="1002" ht="15.75" customHeight="1">
      <c r="B1002" s="56"/>
      <c r="U1002" s="46" t="str">
        <f t="array" ref="U1002">IF($D1002="","",IFERROR(_xlfn.XLOOKUP($D1002,'TIR店舗一覧'!$D:$D,'TIR店舗一覧'!$E:$E,""),""))</f>
        <v/>
      </c>
      <c r="V1002" s="54" t="s">
        <v>2</v>
      </c>
      <c r="W1002" s="54" t="s">
        <v>2</v>
      </c>
      <c r="X1002" s="54" t="s">
        <v>2</v>
      </c>
      <c r="Y1002" s="54" t="s">
        <v>2</v>
      </c>
      <c r="Z1002" s="54" t="s">
        <v>2</v>
      </c>
      <c r="AA1002" s="54" t="s">
        <v>2</v>
      </c>
      <c r="AB1002" s="54" t="s">
        <v>2</v>
      </c>
      <c r="AC1002" s="54" t="s">
        <v>2</v>
      </c>
      <c r="AD1002" s="54" t="s">
        <v>2</v>
      </c>
      <c r="AE1002" s="54" t="s">
        <v>2</v>
      </c>
      <c r="AF1002" s="54" t="s">
        <v>2</v>
      </c>
      <c r="AG1002" s="54" t="s">
        <v>2</v>
      </c>
    </row>
    <row r="1003" ht="15.75" customHeight="1">
      <c r="B1003" s="56"/>
      <c r="U1003" s="46" t="str">
        <f t="array" ref="U1003">IF($D1003="","",IFERROR(_xlfn.XLOOKUP($D1003,'TIR店舗一覧'!$D:$D,'TIR店舗一覧'!$E:$E,""),""))</f>
        <v/>
      </c>
      <c r="V1003" s="54" t="s">
        <v>2</v>
      </c>
      <c r="W1003" s="54" t="s">
        <v>2</v>
      </c>
      <c r="X1003" s="54" t="s">
        <v>2</v>
      </c>
      <c r="Y1003" s="54" t="s">
        <v>2</v>
      </c>
      <c r="Z1003" s="54" t="s">
        <v>2</v>
      </c>
      <c r="AA1003" s="54" t="s">
        <v>2</v>
      </c>
      <c r="AB1003" s="54" t="s">
        <v>2</v>
      </c>
      <c r="AC1003" s="54" t="s">
        <v>2</v>
      </c>
      <c r="AD1003" s="54" t="s">
        <v>2</v>
      </c>
      <c r="AE1003" s="54" t="s">
        <v>2</v>
      </c>
      <c r="AF1003" s="54" t="s">
        <v>2</v>
      </c>
      <c r="AG1003" s="54" t="s">
        <v>2</v>
      </c>
    </row>
    <row r="1004" ht="15.75" customHeight="1">
      <c r="B1004" s="56"/>
      <c r="U1004" s="46" t="str">
        <f t="array" ref="U1004">IF($D1004="","",IFERROR(_xlfn.XLOOKUP($D1004,'TIR店舗一覧'!$D:$D,'TIR店舗一覧'!$E:$E,""),""))</f>
        <v/>
      </c>
      <c r="V1004" s="54" t="s">
        <v>2</v>
      </c>
      <c r="W1004" s="54" t="s">
        <v>2</v>
      </c>
      <c r="X1004" s="54" t="s">
        <v>2</v>
      </c>
      <c r="Y1004" s="54" t="s">
        <v>2</v>
      </c>
      <c r="Z1004" s="54" t="s">
        <v>2</v>
      </c>
      <c r="AA1004" s="54" t="s">
        <v>2</v>
      </c>
      <c r="AB1004" s="54" t="s">
        <v>2</v>
      </c>
      <c r="AC1004" s="54" t="s">
        <v>2</v>
      </c>
      <c r="AD1004" s="54" t="s">
        <v>2</v>
      </c>
      <c r="AE1004" s="54" t="s">
        <v>2</v>
      </c>
      <c r="AF1004" s="54" t="s">
        <v>2</v>
      </c>
      <c r="AG1004" s="54" t="s">
        <v>2</v>
      </c>
    </row>
    <row r="1005" ht="15.75" customHeight="1">
      <c r="B1005" s="56"/>
      <c r="U1005" s="46" t="str">
        <f t="array" ref="U1005">IF($D1005="","",IFERROR(_xlfn.XLOOKUP($D1005,'TIR店舗一覧'!$D:$D,'TIR店舗一覧'!$E:$E,""),""))</f>
        <v/>
      </c>
      <c r="V1005" s="54" t="s">
        <v>2</v>
      </c>
      <c r="W1005" s="54" t="s">
        <v>2</v>
      </c>
      <c r="X1005" s="54" t="s">
        <v>2</v>
      </c>
      <c r="Y1005" s="54" t="s">
        <v>2</v>
      </c>
      <c r="Z1005" s="54" t="s">
        <v>2</v>
      </c>
      <c r="AA1005" s="54" t="s">
        <v>2</v>
      </c>
      <c r="AB1005" s="54" t="s">
        <v>2</v>
      </c>
      <c r="AC1005" s="54" t="s">
        <v>2</v>
      </c>
      <c r="AD1005" s="54" t="s">
        <v>2</v>
      </c>
      <c r="AE1005" s="54" t="s">
        <v>2</v>
      </c>
      <c r="AF1005" s="54" t="s">
        <v>2</v>
      </c>
      <c r="AG1005" s="54" t="s">
        <v>2</v>
      </c>
    </row>
    <row r="1006" ht="15.75" customHeight="1">
      <c r="B1006" s="56"/>
      <c r="U1006" s="46" t="str">
        <f t="array" ref="U1006">IF($D1006="","",IFERROR(_xlfn.XLOOKUP($D1006,'TIR店舗一覧'!$D:$D,'TIR店舗一覧'!$E:$E,""),""))</f>
        <v/>
      </c>
      <c r="V1006" s="54" t="s">
        <v>2</v>
      </c>
      <c r="W1006" s="54" t="s">
        <v>2</v>
      </c>
      <c r="X1006" s="54" t="s">
        <v>2</v>
      </c>
      <c r="Y1006" s="54" t="s">
        <v>2</v>
      </c>
      <c r="Z1006" s="54" t="s">
        <v>2</v>
      </c>
      <c r="AA1006" s="54" t="s">
        <v>2</v>
      </c>
      <c r="AB1006" s="54" t="s">
        <v>2</v>
      </c>
      <c r="AC1006" s="54" t="s">
        <v>2</v>
      </c>
      <c r="AD1006" s="54" t="s">
        <v>2</v>
      </c>
      <c r="AE1006" s="54" t="s">
        <v>2</v>
      </c>
      <c r="AF1006" s="54" t="s">
        <v>2</v>
      </c>
      <c r="AG1006" s="54" t="s">
        <v>2</v>
      </c>
    </row>
    <row r="1007" ht="15.75" customHeight="1">
      <c r="B1007" s="56"/>
      <c r="U1007" s="46" t="str">
        <f t="array" ref="U1007">IF($D1007="","",IFERROR(_xlfn.XLOOKUP($D1007,'TIR店舗一覧'!$D:$D,'TIR店舗一覧'!$E:$E,""),""))</f>
        <v/>
      </c>
      <c r="V1007" s="54" t="s">
        <v>2</v>
      </c>
      <c r="W1007" s="54" t="s">
        <v>2</v>
      </c>
      <c r="X1007" s="54" t="s">
        <v>2</v>
      </c>
      <c r="Y1007" s="54" t="s">
        <v>2</v>
      </c>
      <c r="Z1007" s="54" t="s">
        <v>2</v>
      </c>
      <c r="AA1007" s="54" t="s">
        <v>2</v>
      </c>
      <c r="AB1007" s="54" t="s">
        <v>2</v>
      </c>
      <c r="AC1007" s="54" t="s">
        <v>2</v>
      </c>
      <c r="AD1007" s="54" t="s">
        <v>2</v>
      </c>
      <c r="AE1007" s="54" t="s">
        <v>2</v>
      </c>
      <c r="AF1007" s="54" t="s">
        <v>2</v>
      </c>
      <c r="AG1007" s="54" t="s">
        <v>2</v>
      </c>
    </row>
    <row r="1008" ht="15.75" customHeight="1">
      <c r="B1008" s="56"/>
      <c r="U1008" s="46" t="str">
        <f t="array" ref="U1008">IF($D1008="","",IFERROR(_xlfn.XLOOKUP($D1008,'TIR店舗一覧'!$D:$D,'TIR店舗一覧'!$E:$E,""),""))</f>
        <v/>
      </c>
      <c r="V1008" s="54" t="s">
        <v>2</v>
      </c>
      <c r="W1008" s="54" t="s">
        <v>2</v>
      </c>
      <c r="X1008" s="54" t="s">
        <v>2</v>
      </c>
      <c r="Y1008" s="54" t="s">
        <v>2</v>
      </c>
      <c r="Z1008" s="54" t="s">
        <v>2</v>
      </c>
      <c r="AA1008" s="54" t="s">
        <v>2</v>
      </c>
      <c r="AB1008" s="54" t="s">
        <v>2</v>
      </c>
      <c r="AC1008" s="54" t="s">
        <v>2</v>
      </c>
      <c r="AD1008" s="54" t="s">
        <v>2</v>
      </c>
      <c r="AE1008" s="54" t="s">
        <v>2</v>
      </c>
      <c r="AF1008" s="54" t="s">
        <v>2</v>
      </c>
      <c r="AG1008" s="54" t="s">
        <v>2</v>
      </c>
    </row>
    <row r="1009" ht="15.75" customHeight="1">
      <c r="B1009" s="56"/>
      <c r="U1009" s="46" t="str">
        <f t="array" ref="U1009">IF($D1009="","",IFERROR(_xlfn.XLOOKUP($D1009,'TIR店舗一覧'!$D:$D,'TIR店舗一覧'!$E:$E,""),""))</f>
        <v/>
      </c>
      <c r="V1009" s="54" t="s">
        <v>2</v>
      </c>
      <c r="W1009" s="54" t="s">
        <v>2</v>
      </c>
      <c r="X1009" s="54" t="s">
        <v>2</v>
      </c>
      <c r="Y1009" s="54" t="s">
        <v>2</v>
      </c>
      <c r="Z1009" s="54" t="s">
        <v>2</v>
      </c>
      <c r="AA1009" s="54" t="s">
        <v>2</v>
      </c>
      <c r="AB1009" s="54" t="s">
        <v>2</v>
      </c>
      <c r="AC1009" s="54" t="s">
        <v>2</v>
      </c>
      <c r="AD1009" s="54" t="s">
        <v>2</v>
      </c>
      <c r="AE1009" s="54" t="s">
        <v>2</v>
      </c>
      <c r="AF1009" s="54" t="s">
        <v>2</v>
      </c>
      <c r="AG1009" s="54" t="s">
        <v>2</v>
      </c>
    </row>
    <row r="1010" ht="15.75" customHeight="1">
      <c r="B1010" s="56"/>
      <c r="U1010" s="46" t="str">
        <f t="array" ref="U1010">IF($D1010="","",IFERROR(_xlfn.XLOOKUP($D1010,'TIR店舗一覧'!$D:$D,'TIR店舗一覧'!$E:$E,""),""))</f>
        <v/>
      </c>
      <c r="V1010" s="54" t="s">
        <v>2</v>
      </c>
      <c r="W1010" s="54" t="s">
        <v>2</v>
      </c>
      <c r="X1010" s="54" t="s">
        <v>2</v>
      </c>
      <c r="Y1010" s="54" t="s">
        <v>2</v>
      </c>
      <c r="Z1010" s="54" t="s">
        <v>2</v>
      </c>
      <c r="AA1010" s="54" t="s">
        <v>2</v>
      </c>
      <c r="AB1010" s="54" t="s">
        <v>2</v>
      </c>
      <c r="AC1010" s="54" t="s">
        <v>2</v>
      </c>
      <c r="AD1010" s="54" t="s">
        <v>2</v>
      </c>
      <c r="AE1010" s="54" t="s">
        <v>2</v>
      </c>
      <c r="AF1010" s="54" t="s">
        <v>2</v>
      </c>
      <c r="AG1010" s="54" t="s">
        <v>2</v>
      </c>
    </row>
    <row r="1011" ht="15.75" customHeight="1">
      <c r="B1011" s="56"/>
      <c r="U1011" s="46" t="str">
        <f t="array" ref="U1011">IF($D1011="","",IFERROR(_xlfn.XLOOKUP($D1011,'TIR店舗一覧'!$D:$D,'TIR店舗一覧'!$E:$E,""),""))</f>
        <v/>
      </c>
      <c r="V1011" s="54" t="s">
        <v>2</v>
      </c>
      <c r="W1011" s="54" t="s">
        <v>2</v>
      </c>
      <c r="X1011" s="54" t="s">
        <v>2</v>
      </c>
      <c r="Y1011" s="54" t="s">
        <v>2</v>
      </c>
      <c r="Z1011" s="54" t="s">
        <v>2</v>
      </c>
      <c r="AA1011" s="54" t="s">
        <v>2</v>
      </c>
      <c r="AB1011" s="54" t="s">
        <v>2</v>
      </c>
      <c r="AC1011" s="54" t="s">
        <v>2</v>
      </c>
      <c r="AD1011" s="54" t="s">
        <v>2</v>
      </c>
      <c r="AE1011" s="54" t="s">
        <v>2</v>
      </c>
      <c r="AF1011" s="54" t="s">
        <v>2</v>
      </c>
      <c r="AG1011" s="54" t="s">
        <v>2</v>
      </c>
    </row>
    <row r="1012" ht="15.75" customHeight="1">
      <c r="B1012" s="56"/>
      <c r="U1012" s="46" t="str">
        <f t="array" ref="U1012">IF($D1012="","",IFERROR(_xlfn.XLOOKUP($D1012,'TIR店舗一覧'!$D:$D,'TIR店舗一覧'!$E:$E,""),""))</f>
        <v/>
      </c>
      <c r="V1012" s="54" t="s">
        <v>2</v>
      </c>
      <c r="W1012" s="54" t="s">
        <v>2</v>
      </c>
      <c r="X1012" s="54" t="s">
        <v>2</v>
      </c>
      <c r="Y1012" s="54" t="s">
        <v>2</v>
      </c>
      <c r="Z1012" s="54" t="s">
        <v>2</v>
      </c>
      <c r="AA1012" s="54" t="s">
        <v>2</v>
      </c>
      <c r="AB1012" s="54" t="s">
        <v>2</v>
      </c>
      <c r="AC1012" s="54" t="s">
        <v>2</v>
      </c>
      <c r="AD1012" s="54" t="s">
        <v>2</v>
      </c>
      <c r="AE1012" s="54" t="s">
        <v>2</v>
      </c>
      <c r="AF1012" s="54" t="s">
        <v>2</v>
      </c>
      <c r="AG1012" s="54" t="s">
        <v>2</v>
      </c>
    </row>
    <row r="1013" ht="15.75" customHeight="1">
      <c r="B1013" s="56"/>
      <c r="U1013" s="46" t="str">
        <f t="array" ref="U1013">IF($D1013="","",IFERROR(_xlfn.XLOOKUP($D1013,'TIR店舗一覧'!$D:$D,'TIR店舗一覧'!$E:$E,""),""))</f>
        <v/>
      </c>
      <c r="V1013" s="54" t="s">
        <v>2</v>
      </c>
      <c r="W1013" s="54" t="s">
        <v>2</v>
      </c>
      <c r="X1013" s="54" t="s">
        <v>2</v>
      </c>
      <c r="Y1013" s="54" t="s">
        <v>2</v>
      </c>
      <c r="Z1013" s="54" t="s">
        <v>2</v>
      </c>
      <c r="AA1013" s="54" t="s">
        <v>2</v>
      </c>
      <c r="AB1013" s="54" t="s">
        <v>2</v>
      </c>
      <c r="AC1013" s="54" t="s">
        <v>2</v>
      </c>
      <c r="AD1013" s="54" t="s">
        <v>2</v>
      </c>
      <c r="AE1013" s="54" t="s">
        <v>2</v>
      </c>
      <c r="AF1013" s="54" t="s">
        <v>2</v>
      </c>
      <c r="AG1013" s="54" t="s">
        <v>2</v>
      </c>
    </row>
    <row r="1014" ht="15.75" customHeight="1">
      <c r="B1014" s="56"/>
      <c r="U1014" s="46" t="str">
        <f t="array" ref="U1014">IF($D1014="","",IFERROR(_xlfn.XLOOKUP($D1014,'TIR店舗一覧'!$D:$D,'TIR店舗一覧'!$E:$E,""),""))</f>
        <v/>
      </c>
      <c r="V1014" s="54" t="s">
        <v>2</v>
      </c>
      <c r="W1014" s="54" t="s">
        <v>2</v>
      </c>
      <c r="X1014" s="54" t="s">
        <v>2</v>
      </c>
      <c r="Y1014" s="54" t="s">
        <v>2</v>
      </c>
      <c r="Z1014" s="54" t="s">
        <v>2</v>
      </c>
      <c r="AA1014" s="54" t="s">
        <v>2</v>
      </c>
      <c r="AB1014" s="54" t="s">
        <v>2</v>
      </c>
      <c r="AC1014" s="54" t="s">
        <v>2</v>
      </c>
      <c r="AD1014" s="54" t="s">
        <v>2</v>
      </c>
      <c r="AE1014" s="54" t="s">
        <v>2</v>
      </c>
      <c r="AF1014" s="54" t="s">
        <v>2</v>
      </c>
      <c r="AG1014" s="54" t="s">
        <v>2</v>
      </c>
    </row>
    <row r="1015" ht="15.75" customHeight="1">
      <c r="B1015" s="56"/>
      <c r="U1015" s="46" t="str">
        <f t="array" ref="U1015">IF($D1015="","",IFERROR(_xlfn.XLOOKUP($D1015,'TIR店舗一覧'!$D:$D,'TIR店舗一覧'!$E:$E,""),""))</f>
        <v/>
      </c>
      <c r="V1015" s="54" t="s">
        <v>2</v>
      </c>
      <c r="W1015" s="54" t="s">
        <v>2</v>
      </c>
      <c r="X1015" s="54" t="s">
        <v>2</v>
      </c>
      <c r="Y1015" s="54" t="s">
        <v>2</v>
      </c>
      <c r="Z1015" s="54" t="s">
        <v>2</v>
      </c>
      <c r="AA1015" s="54" t="s">
        <v>2</v>
      </c>
      <c r="AB1015" s="54" t="s">
        <v>2</v>
      </c>
      <c r="AC1015" s="54" t="s">
        <v>2</v>
      </c>
      <c r="AD1015" s="54" t="s">
        <v>2</v>
      </c>
      <c r="AE1015" s="54" t="s">
        <v>2</v>
      </c>
      <c r="AF1015" s="54" t="s">
        <v>2</v>
      </c>
      <c r="AG1015" s="54" t="s">
        <v>2</v>
      </c>
    </row>
    <row r="1016" ht="15.75" customHeight="1">
      <c r="B1016" s="56"/>
      <c r="U1016" s="46" t="str">
        <f t="array" ref="U1016">IF($D1016="","",IFERROR(_xlfn.XLOOKUP($D1016,'TIR店舗一覧'!$D:$D,'TIR店舗一覧'!$E:$E,""),""))</f>
        <v/>
      </c>
      <c r="V1016" s="54" t="s">
        <v>2</v>
      </c>
      <c r="W1016" s="54" t="s">
        <v>2</v>
      </c>
      <c r="X1016" s="54" t="s">
        <v>2</v>
      </c>
      <c r="Y1016" s="54" t="s">
        <v>2</v>
      </c>
      <c r="Z1016" s="54" t="s">
        <v>2</v>
      </c>
      <c r="AA1016" s="54" t="s">
        <v>2</v>
      </c>
      <c r="AB1016" s="54" t="s">
        <v>2</v>
      </c>
      <c r="AC1016" s="54" t="s">
        <v>2</v>
      </c>
      <c r="AD1016" s="54" t="s">
        <v>2</v>
      </c>
      <c r="AE1016" s="54" t="s">
        <v>2</v>
      </c>
      <c r="AF1016" s="54" t="s">
        <v>2</v>
      </c>
      <c r="AG1016" s="54" t="s">
        <v>2</v>
      </c>
    </row>
    <row r="1017" ht="15.75" customHeight="1">
      <c r="B1017" s="56"/>
      <c r="U1017" s="46" t="str">
        <f t="array" ref="U1017">IF($D1017="","",IFERROR(_xlfn.XLOOKUP($D1017,'TIR店舗一覧'!$D:$D,'TIR店舗一覧'!$E:$E,""),""))</f>
        <v/>
      </c>
      <c r="V1017" s="54" t="s">
        <v>2</v>
      </c>
      <c r="W1017" s="54" t="s">
        <v>2</v>
      </c>
      <c r="X1017" s="54" t="s">
        <v>2</v>
      </c>
      <c r="Y1017" s="54" t="s">
        <v>2</v>
      </c>
      <c r="Z1017" s="54" t="s">
        <v>2</v>
      </c>
      <c r="AA1017" s="54" t="s">
        <v>2</v>
      </c>
      <c r="AB1017" s="54" t="s">
        <v>2</v>
      </c>
      <c r="AC1017" s="54" t="s">
        <v>2</v>
      </c>
      <c r="AD1017" s="54" t="s">
        <v>2</v>
      </c>
      <c r="AE1017" s="54" t="s">
        <v>2</v>
      </c>
      <c r="AF1017" s="54" t="s">
        <v>2</v>
      </c>
      <c r="AG1017" s="54" t="s">
        <v>2</v>
      </c>
    </row>
    <row r="1018" ht="15.75" customHeight="1">
      <c r="B1018" s="56"/>
      <c r="U1018" s="46" t="str">
        <f t="array" ref="U1018">IF($D1018="","",IFERROR(_xlfn.XLOOKUP($D1018,'TIR店舗一覧'!$D:$D,'TIR店舗一覧'!$E:$E,""),""))</f>
        <v/>
      </c>
      <c r="V1018" s="54" t="s">
        <v>2</v>
      </c>
      <c r="W1018" s="54" t="s">
        <v>2</v>
      </c>
      <c r="X1018" s="54" t="s">
        <v>2</v>
      </c>
      <c r="Y1018" s="54" t="s">
        <v>2</v>
      </c>
      <c r="Z1018" s="54" t="s">
        <v>2</v>
      </c>
      <c r="AA1018" s="54" t="s">
        <v>2</v>
      </c>
      <c r="AB1018" s="54" t="s">
        <v>2</v>
      </c>
      <c r="AC1018" s="54" t="s">
        <v>2</v>
      </c>
      <c r="AD1018" s="54" t="s">
        <v>2</v>
      </c>
      <c r="AE1018" s="54" t="s">
        <v>2</v>
      </c>
      <c r="AF1018" s="54" t="s">
        <v>2</v>
      </c>
      <c r="AG1018" s="54" t="s">
        <v>2</v>
      </c>
    </row>
    <row r="1019" ht="15.75" customHeight="1">
      <c r="B1019" s="56"/>
      <c r="U1019" s="46" t="str">
        <f t="array" ref="U1019">IF($D1019="","",IFERROR(_xlfn.XLOOKUP($D1019,'TIR店舗一覧'!$D:$D,'TIR店舗一覧'!$E:$E,""),""))</f>
        <v/>
      </c>
      <c r="V1019" s="54" t="s">
        <v>2</v>
      </c>
      <c r="W1019" s="54" t="s">
        <v>2</v>
      </c>
      <c r="X1019" s="54" t="s">
        <v>2</v>
      </c>
      <c r="Y1019" s="54" t="s">
        <v>2</v>
      </c>
      <c r="Z1019" s="54" t="s">
        <v>2</v>
      </c>
      <c r="AA1019" s="54" t="s">
        <v>2</v>
      </c>
      <c r="AB1019" s="54" t="s">
        <v>2</v>
      </c>
      <c r="AC1019" s="54" t="s">
        <v>2</v>
      </c>
      <c r="AD1019" s="54" t="s">
        <v>2</v>
      </c>
      <c r="AE1019" s="54" t="s">
        <v>2</v>
      </c>
      <c r="AF1019" s="54" t="s">
        <v>2</v>
      </c>
      <c r="AG1019" s="54" t="s">
        <v>2</v>
      </c>
    </row>
    <row r="1020" ht="15.75" customHeight="1">
      <c r="B1020" s="56"/>
      <c r="U1020" s="46" t="str">
        <f t="array" ref="U1020">IF($D1020="","",IFERROR(_xlfn.XLOOKUP($D1020,'TIR店舗一覧'!$D:$D,'TIR店舗一覧'!$E:$E,""),""))</f>
        <v/>
      </c>
      <c r="V1020" s="54" t="s">
        <v>2</v>
      </c>
      <c r="W1020" s="54" t="s">
        <v>2</v>
      </c>
      <c r="X1020" s="54" t="s">
        <v>2</v>
      </c>
      <c r="Y1020" s="54" t="s">
        <v>2</v>
      </c>
      <c r="Z1020" s="54" t="s">
        <v>2</v>
      </c>
      <c r="AA1020" s="54" t="s">
        <v>2</v>
      </c>
      <c r="AB1020" s="54" t="s">
        <v>2</v>
      </c>
      <c r="AC1020" s="54" t="s">
        <v>2</v>
      </c>
      <c r="AD1020" s="54" t="s">
        <v>2</v>
      </c>
      <c r="AE1020" s="54" t="s">
        <v>2</v>
      </c>
      <c r="AF1020" s="54" t="s">
        <v>2</v>
      </c>
      <c r="AG1020" s="54" t="s">
        <v>2</v>
      </c>
    </row>
    <row r="1021" ht="15.75" customHeight="1">
      <c r="B1021" s="56"/>
      <c r="U1021" s="46" t="str">
        <f t="array" ref="U1021">IF($D1021="","",IFERROR(_xlfn.XLOOKUP($D1021,'TIR店舗一覧'!$D:$D,'TIR店舗一覧'!$E:$E,""),""))</f>
        <v/>
      </c>
      <c r="V1021" s="54" t="s">
        <v>2</v>
      </c>
      <c r="W1021" s="54" t="s">
        <v>2</v>
      </c>
      <c r="X1021" s="54" t="s">
        <v>2</v>
      </c>
      <c r="Y1021" s="54" t="s">
        <v>2</v>
      </c>
      <c r="Z1021" s="54" t="s">
        <v>2</v>
      </c>
      <c r="AA1021" s="54" t="s">
        <v>2</v>
      </c>
      <c r="AB1021" s="54" t="s">
        <v>2</v>
      </c>
      <c r="AC1021" s="54" t="s">
        <v>2</v>
      </c>
      <c r="AD1021" s="54" t="s">
        <v>2</v>
      </c>
      <c r="AE1021" s="54" t="s">
        <v>2</v>
      </c>
      <c r="AF1021" s="54" t="s">
        <v>2</v>
      </c>
      <c r="AG1021" s="54" t="s">
        <v>2</v>
      </c>
    </row>
    <row r="1022" ht="15.75" customHeight="1">
      <c r="B1022" s="56"/>
      <c r="U1022" s="46" t="str">
        <f t="array" ref="U1022">IF($D1022="","",IFERROR(_xlfn.XLOOKUP($D1022,'TIR店舗一覧'!$D:$D,'TIR店舗一覧'!$E:$E,""),""))</f>
        <v/>
      </c>
      <c r="V1022" s="54" t="s">
        <v>2</v>
      </c>
      <c r="W1022" s="54" t="s">
        <v>2</v>
      </c>
      <c r="X1022" s="54" t="s">
        <v>2</v>
      </c>
      <c r="Y1022" s="54" t="s">
        <v>2</v>
      </c>
      <c r="Z1022" s="54" t="s">
        <v>2</v>
      </c>
      <c r="AA1022" s="54" t="s">
        <v>2</v>
      </c>
      <c r="AB1022" s="54" t="s">
        <v>2</v>
      </c>
      <c r="AC1022" s="54" t="s">
        <v>2</v>
      </c>
      <c r="AD1022" s="54" t="s">
        <v>2</v>
      </c>
      <c r="AE1022" s="54" t="s">
        <v>2</v>
      </c>
      <c r="AF1022" s="54" t="s">
        <v>2</v>
      </c>
      <c r="AG1022" s="54" t="s">
        <v>2</v>
      </c>
    </row>
    <row r="1023" ht="15.75" customHeight="1">
      <c r="B1023" s="56"/>
      <c r="U1023" s="46" t="str">
        <f t="array" ref="U1023">IF($D1023="","",IFERROR(_xlfn.XLOOKUP($D1023,'TIR店舗一覧'!$D:$D,'TIR店舗一覧'!$E:$E,""),""))</f>
        <v/>
      </c>
      <c r="V1023" s="54" t="s">
        <v>2</v>
      </c>
      <c r="W1023" s="54" t="s">
        <v>2</v>
      </c>
      <c r="X1023" s="54" t="s">
        <v>2</v>
      </c>
      <c r="Y1023" s="54" t="s">
        <v>2</v>
      </c>
      <c r="Z1023" s="54" t="s">
        <v>2</v>
      </c>
      <c r="AA1023" s="54" t="s">
        <v>2</v>
      </c>
      <c r="AB1023" s="54" t="s">
        <v>2</v>
      </c>
      <c r="AC1023" s="54" t="s">
        <v>2</v>
      </c>
      <c r="AD1023" s="54" t="s">
        <v>2</v>
      </c>
      <c r="AE1023" s="54" t="s">
        <v>2</v>
      </c>
      <c r="AF1023" s="54" t="s">
        <v>2</v>
      </c>
      <c r="AG1023" s="54" t="s">
        <v>2</v>
      </c>
    </row>
    <row r="1024" ht="15.75" customHeight="1">
      <c r="B1024" s="56"/>
      <c r="U1024" s="46" t="str">
        <f t="array" ref="U1024">IF($D1024="","",IFERROR(_xlfn.XLOOKUP($D1024,'TIR店舗一覧'!$D:$D,'TIR店舗一覧'!$E:$E,""),""))</f>
        <v/>
      </c>
      <c r="V1024" s="54" t="s">
        <v>2</v>
      </c>
      <c r="W1024" s="54" t="s">
        <v>2</v>
      </c>
      <c r="X1024" s="54" t="s">
        <v>2</v>
      </c>
      <c r="Y1024" s="54" t="s">
        <v>2</v>
      </c>
      <c r="Z1024" s="54" t="s">
        <v>2</v>
      </c>
      <c r="AA1024" s="54" t="s">
        <v>2</v>
      </c>
      <c r="AB1024" s="54" t="s">
        <v>2</v>
      </c>
      <c r="AC1024" s="54" t="s">
        <v>2</v>
      </c>
      <c r="AD1024" s="54" t="s">
        <v>2</v>
      </c>
      <c r="AE1024" s="54" t="s">
        <v>2</v>
      </c>
      <c r="AF1024" s="54" t="s">
        <v>2</v>
      </c>
      <c r="AG1024" s="54" t="s">
        <v>2</v>
      </c>
    </row>
    <row r="1025" ht="15.75" customHeight="1">
      <c r="B1025" s="56"/>
      <c r="U1025" s="46" t="str">
        <f t="array" ref="U1025">IF($D1025="","",IFERROR(_xlfn.XLOOKUP($D1025,'TIR店舗一覧'!$D:$D,'TIR店舗一覧'!$E:$E,""),""))</f>
        <v/>
      </c>
      <c r="V1025" s="54" t="s">
        <v>2</v>
      </c>
      <c r="W1025" s="54" t="s">
        <v>2</v>
      </c>
      <c r="X1025" s="54" t="s">
        <v>2</v>
      </c>
      <c r="Y1025" s="54" t="s">
        <v>2</v>
      </c>
      <c r="Z1025" s="54" t="s">
        <v>2</v>
      </c>
      <c r="AA1025" s="54" t="s">
        <v>2</v>
      </c>
      <c r="AB1025" s="54" t="s">
        <v>2</v>
      </c>
      <c r="AC1025" s="54" t="s">
        <v>2</v>
      </c>
      <c r="AD1025" s="54" t="s">
        <v>2</v>
      </c>
      <c r="AE1025" s="54" t="s">
        <v>2</v>
      </c>
      <c r="AF1025" s="54" t="s">
        <v>2</v>
      </c>
      <c r="AG1025" s="54" t="s">
        <v>2</v>
      </c>
    </row>
    <row r="1026" ht="15.75" customHeight="1">
      <c r="B1026" s="56"/>
      <c r="U1026" s="46" t="str">
        <f t="array" ref="U1026">IF($D1026="","",IFERROR(_xlfn.XLOOKUP($D1026,'TIR店舗一覧'!$D:$D,'TIR店舗一覧'!$E:$E,""),""))</f>
        <v/>
      </c>
      <c r="V1026" s="54" t="s">
        <v>2</v>
      </c>
      <c r="W1026" s="54" t="s">
        <v>2</v>
      </c>
      <c r="X1026" s="54" t="s">
        <v>2</v>
      </c>
      <c r="Y1026" s="54" t="s">
        <v>2</v>
      </c>
      <c r="Z1026" s="54" t="s">
        <v>2</v>
      </c>
      <c r="AA1026" s="54" t="s">
        <v>2</v>
      </c>
      <c r="AB1026" s="54" t="s">
        <v>2</v>
      </c>
      <c r="AC1026" s="54" t="s">
        <v>2</v>
      </c>
      <c r="AD1026" s="54" t="s">
        <v>2</v>
      </c>
      <c r="AE1026" s="54" t="s">
        <v>2</v>
      </c>
      <c r="AF1026" s="54" t="s">
        <v>2</v>
      </c>
      <c r="AG1026" s="54" t="s">
        <v>2</v>
      </c>
    </row>
    <row r="1027" ht="15.75" customHeight="1">
      <c r="B1027" s="56"/>
      <c r="U1027" s="46" t="str">
        <f t="array" ref="U1027">IF($D1027="","",IFERROR(_xlfn.XLOOKUP($D1027,'TIR店舗一覧'!$D:$D,'TIR店舗一覧'!$E:$E,""),""))</f>
        <v/>
      </c>
      <c r="V1027" s="54" t="s">
        <v>2</v>
      </c>
      <c r="W1027" s="54" t="s">
        <v>2</v>
      </c>
      <c r="X1027" s="54" t="s">
        <v>2</v>
      </c>
      <c r="Y1027" s="54" t="s">
        <v>2</v>
      </c>
      <c r="Z1027" s="54" t="s">
        <v>2</v>
      </c>
      <c r="AA1027" s="54" t="s">
        <v>2</v>
      </c>
      <c r="AB1027" s="54" t="s">
        <v>2</v>
      </c>
      <c r="AC1027" s="54" t="s">
        <v>2</v>
      </c>
      <c r="AD1027" s="54" t="s">
        <v>2</v>
      </c>
      <c r="AE1027" s="54" t="s">
        <v>2</v>
      </c>
      <c r="AF1027" s="54" t="s">
        <v>2</v>
      </c>
      <c r="AG1027" s="54" t="s">
        <v>2</v>
      </c>
    </row>
    <row r="1028" ht="15.75" customHeight="1">
      <c r="B1028" s="56"/>
      <c r="U1028" s="46" t="str">
        <f t="array" ref="U1028">IF($D1028="","",IFERROR(_xlfn.XLOOKUP($D1028,'TIR店舗一覧'!$D:$D,'TIR店舗一覧'!$E:$E,""),""))</f>
        <v/>
      </c>
      <c r="V1028" s="54" t="s">
        <v>2</v>
      </c>
      <c r="W1028" s="54" t="s">
        <v>2</v>
      </c>
      <c r="X1028" s="54" t="s">
        <v>2</v>
      </c>
      <c r="Y1028" s="54" t="s">
        <v>2</v>
      </c>
      <c r="Z1028" s="54" t="s">
        <v>2</v>
      </c>
      <c r="AA1028" s="54" t="s">
        <v>2</v>
      </c>
      <c r="AB1028" s="54" t="s">
        <v>2</v>
      </c>
      <c r="AC1028" s="54" t="s">
        <v>2</v>
      </c>
      <c r="AD1028" s="54" t="s">
        <v>2</v>
      </c>
      <c r="AE1028" s="54" t="s">
        <v>2</v>
      </c>
      <c r="AF1028" s="54" t="s">
        <v>2</v>
      </c>
      <c r="AG1028" s="54" t="s">
        <v>2</v>
      </c>
    </row>
    <row r="1029" ht="15.75" customHeight="1">
      <c r="B1029" s="56"/>
      <c r="U1029" s="46" t="str">
        <f t="array" ref="U1029">IF($D1029="","",IFERROR(_xlfn.XLOOKUP($D1029,'TIR店舗一覧'!$D:$D,'TIR店舗一覧'!$E:$E,""),""))</f>
        <v/>
      </c>
      <c r="V1029" s="54" t="s">
        <v>2</v>
      </c>
      <c r="W1029" s="54" t="s">
        <v>2</v>
      </c>
      <c r="X1029" s="54" t="s">
        <v>2</v>
      </c>
      <c r="Y1029" s="54" t="s">
        <v>2</v>
      </c>
      <c r="Z1029" s="54" t="s">
        <v>2</v>
      </c>
      <c r="AA1029" s="54" t="s">
        <v>2</v>
      </c>
      <c r="AB1029" s="54" t="s">
        <v>2</v>
      </c>
      <c r="AC1029" s="54" t="s">
        <v>2</v>
      </c>
      <c r="AD1029" s="54" t="s">
        <v>2</v>
      </c>
      <c r="AE1029" s="54" t="s">
        <v>2</v>
      </c>
      <c r="AF1029" s="54" t="s">
        <v>2</v>
      </c>
      <c r="AG1029" s="54" t="s">
        <v>2</v>
      </c>
    </row>
    <row r="1030" ht="15.75" customHeight="1">
      <c r="B1030" s="56"/>
      <c r="U1030" s="46" t="str">
        <f t="array" ref="U1030">IF($D1030="","",IFERROR(_xlfn.XLOOKUP($D1030,'TIR店舗一覧'!$D:$D,'TIR店舗一覧'!$E:$E,""),""))</f>
        <v/>
      </c>
      <c r="V1030" s="54" t="s">
        <v>2</v>
      </c>
      <c r="W1030" s="54" t="s">
        <v>2</v>
      </c>
      <c r="X1030" s="54" t="s">
        <v>2</v>
      </c>
      <c r="Y1030" s="54" t="s">
        <v>2</v>
      </c>
      <c r="Z1030" s="54" t="s">
        <v>2</v>
      </c>
      <c r="AA1030" s="54" t="s">
        <v>2</v>
      </c>
      <c r="AB1030" s="54" t="s">
        <v>2</v>
      </c>
      <c r="AC1030" s="54" t="s">
        <v>2</v>
      </c>
      <c r="AD1030" s="54" t="s">
        <v>2</v>
      </c>
      <c r="AE1030" s="54" t="s">
        <v>2</v>
      </c>
      <c r="AF1030" s="54" t="s">
        <v>2</v>
      </c>
      <c r="AG1030" s="54" t="s">
        <v>2</v>
      </c>
    </row>
    <row r="1031" ht="15.75" customHeight="1">
      <c r="B1031" s="56"/>
      <c r="U1031" s="46" t="str">
        <f t="array" ref="U1031">IF($D1031="","",IFERROR(_xlfn.XLOOKUP($D1031,'TIR店舗一覧'!$D:$D,'TIR店舗一覧'!$E:$E,""),""))</f>
        <v/>
      </c>
      <c r="V1031" s="54" t="s">
        <v>2</v>
      </c>
      <c r="W1031" s="54" t="s">
        <v>2</v>
      </c>
      <c r="X1031" s="54" t="s">
        <v>2</v>
      </c>
      <c r="Y1031" s="54" t="s">
        <v>2</v>
      </c>
      <c r="Z1031" s="54" t="s">
        <v>2</v>
      </c>
      <c r="AA1031" s="54" t="s">
        <v>2</v>
      </c>
      <c r="AB1031" s="54" t="s">
        <v>2</v>
      </c>
      <c r="AC1031" s="54" t="s">
        <v>2</v>
      </c>
      <c r="AD1031" s="54" t="s">
        <v>2</v>
      </c>
      <c r="AE1031" s="54" t="s">
        <v>2</v>
      </c>
      <c r="AF1031" s="54" t="s">
        <v>2</v>
      </c>
      <c r="AG1031" s="54" t="s">
        <v>2</v>
      </c>
    </row>
    <row r="1032" ht="15.75" customHeight="1">
      <c r="B1032" s="56"/>
      <c r="U1032" s="46" t="str">
        <f t="array" ref="U1032">IF($D1032="","",IFERROR(_xlfn.XLOOKUP($D1032,'TIR店舗一覧'!$D:$D,'TIR店舗一覧'!$E:$E,""),""))</f>
        <v/>
      </c>
      <c r="V1032" s="54" t="s">
        <v>2</v>
      </c>
      <c r="W1032" s="54" t="s">
        <v>2</v>
      </c>
      <c r="X1032" s="54" t="s">
        <v>2</v>
      </c>
      <c r="Y1032" s="54" t="s">
        <v>2</v>
      </c>
      <c r="Z1032" s="54" t="s">
        <v>2</v>
      </c>
      <c r="AA1032" s="54" t="s">
        <v>2</v>
      </c>
      <c r="AB1032" s="54" t="s">
        <v>2</v>
      </c>
      <c r="AC1032" s="54" t="s">
        <v>2</v>
      </c>
      <c r="AD1032" s="54" t="s">
        <v>2</v>
      </c>
      <c r="AE1032" s="54" t="s">
        <v>2</v>
      </c>
      <c r="AF1032" s="54" t="s">
        <v>2</v>
      </c>
      <c r="AG1032" s="54" t="s">
        <v>2</v>
      </c>
    </row>
    <row r="1033" ht="15.75" customHeight="1">
      <c r="B1033" s="56"/>
      <c r="U1033" s="46" t="str">
        <f t="array" ref="U1033">IF($D1033="","",IFERROR(_xlfn.XLOOKUP($D1033,'TIR店舗一覧'!$D:$D,'TIR店舗一覧'!$E:$E,""),""))</f>
        <v/>
      </c>
      <c r="V1033" s="54" t="s">
        <v>2</v>
      </c>
      <c r="W1033" s="54" t="s">
        <v>2</v>
      </c>
      <c r="X1033" s="54" t="s">
        <v>2</v>
      </c>
      <c r="Y1033" s="54" t="s">
        <v>2</v>
      </c>
      <c r="Z1033" s="54" t="s">
        <v>2</v>
      </c>
      <c r="AA1033" s="54" t="s">
        <v>2</v>
      </c>
      <c r="AB1033" s="54" t="s">
        <v>2</v>
      </c>
      <c r="AC1033" s="54" t="s">
        <v>2</v>
      </c>
      <c r="AD1033" s="54" t="s">
        <v>2</v>
      </c>
      <c r="AE1033" s="54" t="s">
        <v>2</v>
      </c>
      <c r="AF1033" s="54" t="s">
        <v>2</v>
      </c>
      <c r="AG1033" s="54" t="s">
        <v>2</v>
      </c>
    </row>
    <row r="1034" ht="15.75" customHeight="1">
      <c r="B1034" s="56"/>
      <c r="U1034" s="46" t="str">
        <f t="array" ref="U1034">IF($D1034="","",IFERROR(_xlfn.XLOOKUP($D1034,'TIR店舗一覧'!$D:$D,'TIR店舗一覧'!$E:$E,""),""))</f>
        <v/>
      </c>
      <c r="V1034" s="54" t="s">
        <v>2</v>
      </c>
      <c r="W1034" s="54" t="s">
        <v>2</v>
      </c>
      <c r="X1034" s="54" t="s">
        <v>2</v>
      </c>
      <c r="Y1034" s="54" t="s">
        <v>2</v>
      </c>
      <c r="Z1034" s="54" t="s">
        <v>2</v>
      </c>
      <c r="AA1034" s="54" t="s">
        <v>2</v>
      </c>
      <c r="AB1034" s="54" t="s">
        <v>2</v>
      </c>
      <c r="AC1034" s="54" t="s">
        <v>2</v>
      </c>
      <c r="AD1034" s="54" t="s">
        <v>2</v>
      </c>
      <c r="AE1034" s="54" t="s">
        <v>2</v>
      </c>
      <c r="AF1034" s="54" t="s">
        <v>2</v>
      </c>
      <c r="AG1034" s="54" t="s">
        <v>2</v>
      </c>
    </row>
    <row r="1035" ht="15.75" customHeight="1">
      <c r="B1035" s="56"/>
      <c r="U1035" s="46" t="str">
        <f t="array" ref="U1035">IF($D1035="","",IFERROR(_xlfn.XLOOKUP($D1035,'TIR店舗一覧'!$D:$D,'TIR店舗一覧'!$E:$E,""),""))</f>
        <v/>
      </c>
      <c r="V1035" s="54" t="s">
        <v>2</v>
      </c>
      <c r="W1035" s="54" t="s">
        <v>2</v>
      </c>
      <c r="X1035" s="54" t="s">
        <v>2</v>
      </c>
      <c r="Y1035" s="54" t="s">
        <v>2</v>
      </c>
      <c r="Z1035" s="54" t="s">
        <v>2</v>
      </c>
      <c r="AA1035" s="54" t="s">
        <v>2</v>
      </c>
      <c r="AB1035" s="54" t="s">
        <v>2</v>
      </c>
      <c r="AC1035" s="54" t="s">
        <v>2</v>
      </c>
      <c r="AD1035" s="54" t="s">
        <v>2</v>
      </c>
      <c r="AE1035" s="54" t="s">
        <v>2</v>
      </c>
      <c r="AF1035" s="54" t="s">
        <v>2</v>
      </c>
      <c r="AG1035" s="54" t="s">
        <v>2</v>
      </c>
    </row>
    <row r="1036" ht="15.75" customHeight="1">
      <c r="B1036" s="56"/>
      <c r="U1036" s="46" t="str">
        <f t="array" ref="U1036">IF($D1036="","",IFERROR(_xlfn.XLOOKUP($D1036,'TIR店舗一覧'!$D:$D,'TIR店舗一覧'!$E:$E,""),""))</f>
        <v/>
      </c>
      <c r="V1036" s="54" t="s">
        <v>2</v>
      </c>
      <c r="W1036" s="54" t="s">
        <v>2</v>
      </c>
      <c r="X1036" s="54" t="s">
        <v>2</v>
      </c>
      <c r="Y1036" s="54" t="s">
        <v>2</v>
      </c>
      <c r="Z1036" s="54" t="s">
        <v>2</v>
      </c>
      <c r="AA1036" s="54" t="s">
        <v>2</v>
      </c>
      <c r="AB1036" s="54" t="s">
        <v>2</v>
      </c>
      <c r="AC1036" s="54" t="s">
        <v>2</v>
      </c>
      <c r="AD1036" s="54" t="s">
        <v>2</v>
      </c>
      <c r="AE1036" s="54" t="s">
        <v>2</v>
      </c>
      <c r="AF1036" s="54" t="s">
        <v>2</v>
      </c>
      <c r="AG1036" s="54" t="s">
        <v>2</v>
      </c>
    </row>
    <row r="1037" ht="15.75" customHeight="1">
      <c r="B1037" s="56"/>
      <c r="U1037" s="46" t="str">
        <f t="array" ref="U1037">IF($D1037="","",IFERROR(_xlfn.XLOOKUP($D1037,'TIR店舗一覧'!$D:$D,'TIR店舗一覧'!$E:$E,""),""))</f>
        <v/>
      </c>
      <c r="V1037" s="54" t="s">
        <v>2</v>
      </c>
      <c r="W1037" s="54" t="s">
        <v>2</v>
      </c>
      <c r="X1037" s="54" t="s">
        <v>2</v>
      </c>
      <c r="Y1037" s="54" t="s">
        <v>2</v>
      </c>
      <c r="Z1037" s="54" t="s">
        <v>2</v>
      </c>
      <c r="AA1037" s="54" t="s">
        <v>2</v>
      </c>
      <c r="AB1037" s="54" t="s">
        <v>2</v>
      </c>
      <c r="AC1037" s="54" t="s">
        <v>2</v>
      </c>
      <c r="AD1037" s="54" t="s">
        <v>2</v>
      </c>
      <c r="AE1037" s="54" t="s">
        <v>2</v>
      </c>
      <c r="AF1037" s="54" t="s">
        <v>2</v>
      </c>
      <c r="AG1037" s="54" t="s">
        <v>2</v>
      </c>
    </row>
    <row r="1038" ht="15.75" customHeight="1">
      <c r="B1038" s="56"/>
      <c r="U1038" s="46" t="str">
        <f t="array" ref="U1038">IF($D1038="","",IFERROR(_xlfn.XLOOKUP($D1038,'TIR店舗一覧'!$D:$D,'TIR店舗一覧'!$E:$E,""),""))</f>
        <v/>
      </c>
      <c r="V1038" s="54" t="s">
        <v>2</v>
      </c>
      <c r="W1038" s="54" t="s">
        <v>2</v>
      </c>
      <c r="X1038" s="54" t="s">
        <v>2</v>
      </c>
      <c r="Y1038" s="54" t="s">
        <v>2</v>
      </c>
      <c r="Z1038" s="54" t="s">
        <v>2</v>
      </c>
      <c r="AA1038" s="54" t="s">
        <v>2</v>
      </c>
      <c r="AB1038" s="54" t="s">
        <v>2</v>
      </c>
      <c r="AC1038" s="54" t="s">
        <v>2</v>
      </c>
      <c r="AD1038" s="54" t="s">
        <v>2</v>
      </c>
      <c r="AE1038" s="54" t="s">
        <v>2</v>
      </c>
      <c r="AF1038" s="54" t="s">
        <v>2</v>
      </c>
      <c r="AG1038" s="54" t="s">
        <v>2</v>
      </c>
    </row>
    <row r="1039" ht="15.75" customHeight="1">
      <c r="B1039" s="56"/>
      <c r="U1039" s="46" t="str">
        <f t="array" ref="U1039">IF($D1039="","",IFERROR(_xlfn.XLOOKUP($D1039,'TIR店舗一覧'!$D:$D,'TIR店舗一覧'!$E:$E,""),""))</f>
        <v/>
      </c>
      <c r="V1039" s="54" t="s">
        <v>2</v>
      </c>
      <c r="W1039" s="54" t="s">
        <v>2</v>
      </c>
      <c r="X1039" s="54" t="s">
        <v>2</v>
      </c>
      <c r="Y1039" s="54" t="s">
        <v>2</v>
      </c>
      <c r="Z1039" s="54" t="s">
        <v>2</v>
      </c>
      <c r="AA1039" s="54" t="s">
        <v>2</v>
      </c>
      <c r="AB1039" s="54" t="s">
        <v>2</v>
      </c>
      <c r="AC1039" s="54" t="s">
        <v>2</v>
      </c>
      <c r="AD1039" s="54" t="s">
        <v>2</v>
      </c>
      <c r="AE1039" s="54" t="s">
        <v>2</v>
      </c>
      <c r="AF1039" s="54" t="s">
        <v>2</v>
      </c>
      <c r="AG1039" s="54" t="s">
        <v>2</v>
      </c>
    </row>
    <row r="1040" ht="15.75" customHeight="1">
      <c r="B1040" s="56"/>
      <c r="U1040" s="46" t="str">
        <f t="array" ref="U1040">IF($D1040="","",IFERROR(_xlfn.XLOOKUP($D1040,'TIR店舗一覧'!$D:$D,'TIR店舗一覧'!$E:$E,""),""))</f>
        <v/>
      </c>
      <c r="V1040" s="54" t="s">
        <v>2</v>
      </c>
      <c r="W1040" s="54" t="s">
        <v>2</v>
      </c>
      <c r="X1040" s="54" t="s">
        <v>2</v>
      </c>
      <c r="Y1040" s="54" t="s">
        <v>2</v>
      </c>
      <c r="Z1040" s="54" t="s">
        <v>2</v>
      </c>
      <c r="AA1040" s="54" t="s">
        <v>2</v>
      </c>
      <c r="AB1040" s="54" t="s">
        <v>2</v>
      </c>
      <c r="AC1040" s="54" t="s">
        <v>2</v>
      </c>
      <c r="AD1040" s="54" t="s">
        <v>2</v>
      </c>
      <c r="AE1040" s="54" t="s">
        <v>2</v>
      </c>
      <c r="AF1040" s="54" t="s">
        <v>2</v>
      </c>
      <c r="AG1040" s="54" t="s">
        <v>2</v>
      </c>
    </row>
    <row r="1041" ht="15.75" customHeight="1">
      <c r="B1041" s="56"/>
      <c r="U1041" s="46" t="str">
        <f t="array" ref="U1041">IF($D1041="","",IFERROR(_xlfn.XLOOKUP($D1041,'TIR店舗一覧'!$D:$D,'TIR店舗一覧'!$E:$E,""),""))</f>
        <v/>
      </c>
      <c r="V1041" s="54" t="s">
        <v>2</v>
      </c>
      <c r="W1041" s="54" t="s">
        <v>2</v>
      </c>
      <c r="X1041" s="54" t="s">
        <v>2</v>
      </c>
      <c r="Y1041" s="54" t="s">
        <v>2</v>
      </c>
      <c r="Z1041" s="54" t="s">
        <v>2</v>
      </c>
      <c r="AA1041" s="54" t="s">
        <v>2</v>
      </c>
      <c r="AB1041" s="54" t="s">
        <v>2</v>
      </c>
      <c r="AC1041" s="54" t="s">
        <v>2</v>
      </c>
      <c r="AD1041" s="54" t="s">
        <v>2</v>
      </c>
      <c r="AE1041" s="54" t="s">
        <v>2</v>
      </c>
      <c r="AF1041" s="54" t="s">
        <v>2</v>
      </c>
      <c r="AG1041" s="54" t="s">
        <v>2</v>
      </c>
    </row>
    <row r="1042" ht="15.75" customHeight="1">
      <c r="B1042" s="56"/>
      <c r="U1042" s="46" t="str">
        <f t="array" ref="U1042">IF($D1042="","",IFERROR(_xlfn.XLOOKUP($D1042,'TIR店舗一覧'!$D:$D,'TIR店舗一覧'!$E:$E,""),""))</f>
        <v/>
      </c>
      <c r="V1042" s="54" t="s">
        <v>2</v>
      </c>
      <c r="W1042" s="54" t="s">
        <v>2</v>
      </c>
      <c r="X1042" s="54" t="s">
        <v>2</v>
      </c>
      <c r="Y1042" s="54" t="s">
        <v>2</v>
      </c>
      <c r="Z1042" s="54" t="s">
        <v>2</v>
      </c>
      <c r="AA1042" s="54" t="s">
        <v>2</v>
      </c>
      <c r="AB1042" s="54" t="s">
        <v>2</v>
      </c>
      <c r="AC1042" s="54" t="s">
        <v>2</v>
      </c>
      <c r="AD1042" s="54" t="s">
        <v>2</v>
      </c>
      <c r="AE1042" s="54" t="s">
        <v>2</v>
      </c>
      <c r="AF1042" s="54" t="s">
        <v>2</v>
      </c>
      <c r="AG1042" s="54" t="s">
        <v>2</v>
      </c>
    </row>
    <row r="1043" ht="15.75" customHeight="1">
      <c r="B1043" s="56"/>
      <c r="U1043" s="46" t="str">
        <f t="array" ref="U1043">IF($D1043="","",IFERROR(_xlfn.XLOOKUP($D1043,'TIR店舗一覧'!$D:$D,'TIR店舗一覧'!$E:$E,""),""))</f>
        <v/>
      </c>
      <c r="V1043" s="54" t="s">
        <v>2</v>
      </c>
      <c r="W1043" s="54" t="s">
        <v>2</v>
      </c>
      <c r="X1043" s="54" t="s">
        <v>2</v>
      </c>
      <c r="Y1043" s="54" t="s">
        <v>2</v>
      </c>
      <c r="Z1043" s="54" t="s">
        <v>2</v>
      </c>
      <c r="AA1043" s="54" t="s">
        <v>2</v>
      </c>
      <c r="AB1043" s="54" t="s">
        <v>2</v>
      </c>
      <c r="AC1043" s="54" t="s">
        <v>2</v>
      </c>
      <c r="AD1043" s="54" t="s">
        <v>2</v>
      </c>
      <c r="AE1043" s="54" t="s">
        <v>2</v>
      </c>
      <c r="AF1043" s="54" t="s">
        <v>2</v>
      </c>
      <c r="AG1043" s="54" t="s">
        <v>2</v>
      </c>
    </row>
    <row r="1044" ht="15.75" customHeight="1">
      <c r="B1044" s="56"/>
      <c r="U1044" s="46" t="str">
        <f t="array" ref="U1044">IF($D1044="","",IFERROR(_xlfn.XLOOKUP($D1044,'TIR店舗一覧'!$D:$D,'TIR店舗一覧'!$E:$E,""),""))</f>
        <v/>
      </c>
      <c r="V1044" s="54" t="s">
        <v>2</v>
      </c>
      <c r="W1044" s="54" t="s">
        <v>2</v>
      </c>
      <c r="X1044" s="54" t="s">
        <v>2</v>
      </c>
      <c r="Y1044" s="54" t="s">
        <v>2</v>
      </c>
      <c r="Z1044" s="54" t="s">
        <v>2</v>
      </c>
      <c r="AA1044" s="54" t="s">
        <v>2</v>
      </c>
      <c r="AB1044" s="54" t="s">
        <v>2</v>
      </c>
      <c r="AC1044" s="54" t="s">
        <v>2</v>
      </c>
      <c r="AD1044" s="54" t="s">
        <v>2</v>
      </c>
      <c r="AE1044" s="54" t="s">
        <v>2</v>
      </c>
      <c r="AF1044" s="54" t="s">
        <v>2</v>
      </c>
      <c r="AG1044" s="54" t="s">
        <v>2</v>
      </c>
    </row>
    <row r="1045" ht="15.75" customHeight="1">
      <c r="B1045" s="56"/>
      <c r="U1045" s="46" t="str">
        <f t="array" ref="U1045">IF($D1045="","",IFERROR(_xlfn.XLOOKUP($D1045,'TIR店舗一覧'!$D:$D,'TIR店舗一覧'!$E:$E,""),""))</f>
        <v/>
      </c>
      <c r="V1045" s="54" t="s">
        <v>2</v>
      </c>
      <c r="W1045" s="54" t="s">
        <v>2</v>
      </c>
      <c r="X1045" s="54" t="s">
        <v>2</v>
      </c>
      <c r="Y1045" s="54" t="s">
        <v>2</v>
      </c>
      <c r="Z1045" s="54" t="s">
        <v>2</v>
      </c>
      <c r="AA1045" s="54" t="s">
        <v>2</v>
      </c>
      <c r="AB1045" s="54" t="s">
        <v>2</v>
      </c>
      <c r="AC1045" s="54" t="s">
        <v>2</v>
      </c>
      <c r="AD1045" s="54" t="s">
        <v>2</v>
      </c>
      <c r="AE1045" s="54" t="s">
        <v>2</v>
      </c>
      <c r="AF1045" s="54" t="s">
        <v>2</v>
      </c>
      <c r="AG1045" s="54" t="s">
        <v>2</v>
      </c>
    </row>
    <row r="1046" ht="15.75" customHeight="1">
      <c r="B1046" s="56"/>
      <c r="U1046" s="46" t="str">
        <f t="array" ref="U1046">IF($D1046="","",IFERROR(_xlfn.XLOOKUP($D1046,'TIR店舗一覧'!$D:$D,'TIR店舗一覧'!$E:$E,""),""))</f>
        <v/>
      </c>
      <c r="V1046" s="54" t="s">
        <v>2</v>
      </c>
      <c r="W1046" s="54" t="s">
        <v>2</v>
      </c>
      <c r="X1046" s="54" t="s">
        <v>2</v>
      </c>
      <c r="Y1046" s="54" t="s">
        <v>2</v>
      </c>
      <c r="Z1046" s="54" t="s">
        <v>2</v>
      </c>
      <c r="AA1046" s="54" t="s">
        <v>2</v>
      </c>
      <c r="AB1046" s="54" t="s">
        <v>2</v>
      </c>
      <c r="AC1046" s="54" t="s">
        <v>2</v>
      </c>
      <c r="AD1046" s="54" t="s">
        <v>2</v>
      </c>
      <c r="AE1046" s="54" t="s">
        <v>2</v>
      </c>
      <c r="AF1046" s="54" t="s">
        <v>2</v>
      </c>
      <c r="AG1046" s="54" t="s">
        <v>2</v>
      </c>
    </row>
    <row r="1047" ht="15.75" customHeight="1">
      <c r="B1047" s="56"/>
      <c r="U1047" s="46" t="str">
        <f t="array" ref="U1047">IF($D1047="","",IFERROR(_xlfn.XLOOKUP($D1047,'TIR店舗一覧'!$D:$D,'TIR店舗一覧'!$E:$E,""),""))</f>
        <v/>
      </c>
      <c r="V1047" s="54" t="s">
        <v>2</v>
      </c>
      <c r="W1047" s="54" t="s">
        <v>2</v>
      </c>
      <c r="X1047" s="54" t="s">
        <v>2</v>
      </c>
      <c r="Y1047" s="54" t="s">
        <v>2</v>
      </c>
      <c r="Z1047" s="54" t="s">
        <v>2</v>
      </c>
      <c r="AA1047" s="54" t="s">
        <v>2</v>
      </c>
      <c r="AB1047" s="54" t="s">
        <v>2</v>
      </c>
      <c r="AC1047" s="54" t="s">
        <v>2</v>
      </c>
      <c r="AD1047" s="54" t="s">
        <v>2</v>
      </c>
      <c r="AE1047" s="54" t="s">
        <v>2</v>
      </c>
      <c r="AF1047" s="54" t="s">
        <v>2</v>
      </c>
      <c r="AG1047" s="54" t="s">
        <v>2</v>
      </c>
    </row>
    <row r="1048" ht="15.75" customHeight="1">
      <c r="B1048" s="56"/>
      <c r="U1048" s="46" t="str">
        <f t="array" ref="U1048">IF($D1048="","",IFERROR(_xlfn.XLOOKUP($D1048,'TIR店舗一覧'!$D:$D,'TIR店舗一覧'!$E:$E,""),""))</f>
        <v/>
      </c>
      <c r="V1048" s="54" t="s">
        <v>2</v>
      </c>
      <c r="W1048" s="54" t="s">
        <v>2</v>
      </c>
      <c r="X1048" s="54" t="s">
        <v>2</v>
      </c>
      <c r="Y1048" s="54" t="s">
        <v>2</v>
      </c>
      <c r="Z1048" s="54" t="s">
        <v>2</v>
      </c>
      <c r="AA1048" s="54" t="s">
        <v>2</v>
      </c>
      <c r="AB1048" s="54" t="s">
        <v>2</v>
      </c>
      <c r="AC1048" s="54" t="s">
        <v>2</v>
      </c>
      <c r="AD1048" s="54" t="s">
        <v>2</v>
      </c>
      <c r="AE1048" s="54" t="s">
        <v>2</v>
      </c>
      <c r="AF1048" s="54" t="s">
        <v>2</v>
      </c>
      <c r="AG1048" s="54" t="s">
        <v>2</v>
      </c>
    </row>
    <row r="1049" ht="15.75" customHeight="1">
      <c r="B1049" s="56"/>
      <c r="U1049" s="46" t="str">
        <f t="array" ref="U1049">IF($D1049="","",IFERROR(_xlfn.XLOOKUP($D1049,'TIR店舗一覧'!$D:$D,'TIR店舗一覧'!$E:$E,""),""))</f>
        <v/>
      </c>
      <c r="V1049" s="54" t="s">
        <v>2</v>
      </c>
      <c r="W1049" s="54" t="s">
        <v>2</v>
      </c>
      <c r="X1049" s="54" t="s">
        <v>2</v>
      </c>
      <c r="Y1049" s="54" t="s">
        <v>2</v>
      </c>
      <c r="Z1049" s="54" t="s">
        <v>2</v>
      </c>
      <c r="AA1049" s="54" t="s">
        <v>2</v>
      </c>
      <c r="AB1049" s="54" t="s">
        <v>2</v>
      </c>
      <c r="AC1049" s="54" t="s">
        <v>2</v>
      </c>
      <c r="AD1049" s="54" t="s">
        <v>2</v>
      </c>
      <c r="AE1049" s="54" t="s">
        <v>2</v>
      </c>
      <c r="AF1049" s="54" t="s">
        <v>2</v>
      </c>
      <c r="AG1049" s="54" t="s">
        <v>2</v>
      </c>
    </row>
    <row r="1050" ht="15.75" customHeight="1">
      <c r="B1050" s="56"/>
      <c r="U1050" s="46" t="str">
        <f t="array" ref="U1050">IF($D1050="","",IFERROR(_xlfn.XLOOKUP($D1050,'TIR店舗一覧'!$D:$D,'TIR店舗一覧'!$E:$E,""),""))</f>
        <v/>
      </c>
      <c r="V1050" s="54" t="s">
        <v>2</v>
      </c>
      <c r="W1050" s="54" t="s">
        <v>2</v>
      </c>
      <c r="X1050" s="54" t="s">
        <v>2</v>
      </c>
      <c r="Y1050" s="54" t="s">
        <v>2</v>
      </c>
      <c r="Z1050" s="54" t="s">
        <v>2</v>
      </c>
      <c r="AA1050" s="54" t="s">
        <v>2</v>
      </c>
      <c r="AB1050" s="54" t="s">
        <v>2</v>
      </c>
      <c r="AC1050" s="54" t="s">
        <v>2</v>
      </c>
      <c r="AD1050" s="54" t="s">
        <v>2</v>
      </c>
      <c r="AE1050" s="54" t="s">
        <v>2</v>
      </c>
      <c r="AF1050" s="54" t="s">
        <v>2</v>
      </c>
      <c r="AG1050" s="54" t="s">
        <v>2</v>
      </c>
    </row>
    <row r="1051" ht="15.75" customHeight="1">
      <c r="B1051" s="56"/>
      <c r="U1051" s="46" t="str">
        <f t="array" ref="U1051">IF($D1051="","",IFERROR(_xlfn.XLOOKUP($D1051,'TIR店舗一覧'!$D:$D,'TIR店舗一覧'!$E:$E,""),""))</f>
        <v/>
      </c>
      <c r="V1051" s="54" t="s">
        <v>2</v>
      </c>
      <c r="W1051" s="54" t="s">
        <v>2</v>
      </c>
      <c r="X1051" s="54" t="s">
        <v>2</v>
      </c>
      <c r="Y1051" s="54" t="s">
        <v>2</v>
      </c>
      <c r="Z1051" s="54" t="s">
        <v>2</v>
      </c>
      <c r="AA1051" s="54" t="s">
        <v>2</v>
      </c>
      <c r="AB1051" s="54" t="s">
        <v>2</v>
      </c>
      <c r="AC1051" s="54" t="s">
        <v>2</v>
      </c>
      <c r="AD1051" s="54" t="s">
        <v>2</v>
      </c>
      <c r="AE1051" s="54" t="s">
        <v>2</v>
      </c>
      <c r="AF1051" s="54" t="s">
        <v>2</v>
      </c>
      <c r="AG1051" s="54" t="s">
        <v>2</v>
      </c>
    </row>
    <row r="1052" ht="15.75" customHeight="1">
      <c r="B1052" s="56"/>
      <c r="U1052" s="46" t="str">
        <f t="array" ref="U1052">IF($D1052="","",IFERROR(_xlfn.XLOOKUP($D1052,'TIR店舗一覧'!$D:$D,'TIR店舗一覧'!$E:$E,""),""))</f>
        <v/>
      </c>
      <c r="V1052" s="54" t="s">
        <v>2</v>
      </c>
      <c r="W1052" s="54" t="s">
        <v>2</v>
      </c>
      <c r="X1052" s="54" t="s">
        <v>2</v>
      </c>
      <c r="Y1052" s="54" t="s">
        <v>2</v>
      </c>
      <c r="Z1052" s="54" t="s">
        <v>2</v>
      </c>
      <c r="AA1052" s="54" t="s">
        <v>2</v>
      </c>
      <c r="AB1052" s="54" t="s">
        <v>2</v>
      </c>
      <c r="AC1052" s="54" t="s">
        <v>2</v>
      </c>
      <c r="AD1052" s="54" t="s">
        <v>2</v>
      </c>
      <c r="AE1052" s="54" t="s">
        <v>2</v>
      </c>
      <c r="AF1052" s="54" t="s">
        <v>2</v>
      </c>
      <c r="AG1052" s="54" t="s">
        <v>2</v>
      </c>
    </row>
    <row r="1053" ht="15.75" customHeight="1">
      <c r="B1053" s="56"/>
      <c r="U1053" s="46" t="str">
        <f t="array" ref="U1053">IF($D1053="","",IFERROR(_xlfn.XLOOKUP($D1053,'TIR店舗一覧'!$D:$D,'TIR店舗一覧'!$E:$E,""),""))</f>
        <v/>
      </c>
      <c r="V1053" s="54" t="s">
        <v>2</v>
      </c>
      <c r="W1053" s="54" t="s">
        <v>2</v>
      </c>
      <c r="X1053" s="54" t="s">
        <v>2</v>
      </c>
      <c r="Y1053" s="54" t="s">
        <v>2</v>
      </c>
      <c r="Z1053" s="54" t="s">
        <v>2</v>
      </c>
      <c r="AA1053" s="54" t="s">
        <v>2</v>
      </c>
      <c r="AB1053" s="54" t="s">
        <v>2</v>
      </c>
      <c r="AC1053" s="54" t="s">
        <v>2</v>
      </c>
      <c r="AD1053" s="54" t="s">
        <v>2</v>
      </c>
      <c r="AE1053" s="54" t="s">
        <v>2</v>
      </c>
      <c r="AF1053" s="54" t="s">
        <v>2</v>
      </c>
      <c r="AG1053" s="54" t="s">
        <v>2</v>
      </c>
    </row>
    <row r="1054" ht="15.75" customHeight="1">
      <c r="B1054" s="56"/>
      <c r="U1054" s="46" t="str">
        <f t="array" ref="U1054">IF($D1054="","",IFERROR(_xlfn.XLOOKUP($D1054,'TIR店舗一覧'!$D:$D,'TIR店舗一覧'!$E:$E,""),""))</f>
        <v/>
      </c>
      <c r="V1054" s="54" t="s">
        <v>2</v>
      </c>
      <c r="W1054" s="54" t="s">
        <v>2</v>
      </c>
      <c r="X1054" s="54" t="s">
        <v>2</v>
      </c>
      <c r="Y1054" s="54" t="s">
        <v>2</v>
      </c>
      <c r="Z1054" s="54" t="s">
        <v>2</v>
      </c>
      <c r="AA1054" s="54" t="s">
        <v>2</v>
      </c>
      <c r="AB1054" s="54" t="s">
        <v>2</v>
      </c>
      <c r="AC1054" s="54" t="s">
        <v>2</v>
      </c>
      <c r="AD1054" s="54" t="s">
        <v>2</v>
      </c>
      <c r="AE1054" s="54" t="s">
        <v>2</v>
      </c>
      <c r="AF1054" s="54" t="s">
        <v>2</v>
      </c>
      <c r="AG1054" s="54" t="s">
        <v>2</v>
      </c>
    </row>
    <row r="1055" ht="15.75" customHeight="1">
      <c r="B1055" s="56"/>
      <c r="U1055" s="46" t="str">
        <f t="array" ref="U1055">IF($D1055="","",IFERROR(_xlfn.XLOOKUP($D1055,'TIR店舗一覧'!$D:$D,'TIR店舗一覧'!$E:$E,""),""))</f>
        <v/>
      </c>
      <c r="V1055" s="54" t="s">
        <v>2</v>
      </c>
      <c r="W1055" s="54" t="s">
        <v>2</v>
      </c>
      <c r="X1055" s="54" t="s">
        <v>2</v>
      </c>
      <c r="Y1055" s="54" t="s">
        <v>2</v>
      </c>
      <c r="Z1055" s="54" t="s">
        <v>2</v>
      </c>
      <c r="AA1055" s="54" t="s">
        <v>2</v>
      </c>
      <c r="AB1055" s="54" t="s">
        <v>2</v>
      </c>
      <c r="AC1055" s="54" t="s">
        <v>2</v>
      </c>
      <c r="AD1055" s="54" t="s">
        <v>2</v>
      </c>
      <c r="AE1055" s="54" t="s">
        <v>2</v>
      </c>
      <c r="AF1055" s="54" t="s">
        <v>2</v>
      </c>
      <c r="AG1055" s="54" t="s">
        <v>2</v>
      </c>
    </row>
    <row r="1056" ht="15.75" customHeight="1">
      <c r="B1056" s="56"/>
      <c r="U1056" s="46" t="str">
        <f t="array" ref="U1056">IF($D1056="","",IFERROR(_xlfn.XLOOKUP($D1056,'TIR店舗一覧'!$D:$D,'TIR店舗一覧'!$E:$E,""),""))</f>
        <v/>
      </c>
      <c r="V1056" s="54" t="s">
        <v>2</v>
      </c>
      <c r="W1056" s="54" t="s">
        <v>2</v>
      </c>
      <c r="X1056" s="54" t="s">
        <v>2</v>
      </c>
      <c r="Y1056" s="54" t="s">
        <v>2</v>
      </c>
      <c r="Z1056" s="54" t="s">
        <v>2</v>
      </c>
      <c r="AA1056" s="54" t="s">
        <v>2</v>
      </c>
      <c r="AB1056" s="54" t="s">
        <v>2</v>
      </c>
      <c r="AC1056" s="54" t="s">
        <v>2</v>
      </c>
      <c r="AD1056" s="54" t="s">
        <v>2</v>
      </c>
      <c r="AE1056" s="54" t="s">
        <v>2</v>
      </c>
      <c r="AF1056" s="54" t="s">
        <v>2</v>
      </c>
      <c r="AG1056" s="54" t="s">
        <v>2</v>
      </c>
    </row>
    <row r="1057" ht="15.75" customHeight="1">
      <c r="B1057" s="56"/>
      <c r="U1057" s="46" t="str">
        <f t="array" ref="U1057">IF($D1057="","",IFERROR(_xlfn.XLOOKUP($D1057,'TIR店舗一覧'!$D:$D,'TIR店舗一覧'!$E:$E,""),""))</f>
        <v/>
      </c>
      <c r="V1057" s="54" t="s">
        <v>2</v>
      </c>
      <c r="W1057" s="54" t="s">
        <v>2</v>
      </c>
      <c r="X1057" s="54" t="s">
        <v>2</v>
      </c>
      <c r="Y1057" s="54" t="s">
        <v>2</v>
      </c>
      <c r="Z1057" s="54" t="s">
        <v>2</v>
      </c>
      <c r="AA1057" s="54" t="s">
        <v>2</v>
      </c>
      <c r="AB1057" s="54" t="s">
        <v>2</v>
      </c>
      <c r="AC1057" s="54" t="s">
        <v>2</v>
      </c>
      <c r="AD1057" s="54" t="s">
        <v>2</v>
      </c>
      <c r="AE1057" s="54" t="s">
        <v>2</v>
      </c>
      <c r="AF1057" s="54" t="s">
        <v>2</v>
      </c>
      <c r="AG1057" s="54" t="s">
        <v>2</v>
      </c>
    </row>
    <row r="1058" ht="15.75" customHeight="1">
      <c r="B1058" s="56"/>
      <c r="U1058" s="46" t="str">
        <f t="array" ref="U1058">IF($D1058="","",IFERROR(_xlfn.XLOOKUP($D1058,'TIR店舗一覧'!$D:$D,'TIR店舗一覧'!$E:$E,""),""))</f>
        <v/>
      </c>
      <c r="V1058" s="54" t="s">
        <v>2</v>
      </c>
      <c r="W1058" s="54" t="s">
        <v>2</v>
      </c>
      <c r="X1058" s="54" t="s">
        <v>2</v>
      </c>
      <c r="Y1058" s="54" t="s">
        <v>2</v>
      </c>
      <c r="Z1058" s="54" t="s">
        <v>2</v>
      </c>
      <c r="AA1058" s="54" t="s">
        <v>2</v>
      </c>
      <c r="AB1058" s="54" t="s">
        <v>2</v>
      </c>
      <c r="AC1058" s="54" t="s">
        <v>2</v>
      </c>
      <c r="AD1058" s="54" t="s">
        <v>2</v>
      </c>
      <c r="AE1058" s="54" t="s">
        <v>2</v>
      </c>
      <c r="AF1058" s="54" t="s">
        <v>2</v>
      </c>
      <c r="AG1058" s="54" t="s">
        <v>2</v>
      </c>
    </row>
    <row r="1059" ht="15.75" customHeight="1">
      <c r="B1059" s="56"/>
      <c r="U1059" s="46" t="str">
        <f t="array" ref="U1059">IF($D1059="","",IFERROR(_xlfn.XLOOKUP($D1059,'TIR店舗一覧'!$D:$D,'TIR店舗一覧'!$E:$E,""),""))</f>
        <v/>
      </c>
      <c r="V1059" s="54" t="s">
        <v>2</v>
      </c>
      <c r="W1059" s="54" t="s">
        <v>2</v>
      </c>
      <c r="X1059" s="54" t="s">
        <v>2</v>
      </c>
      <c r="Y1059" s="54" t="s">
        <v>2</v>
      </c>
      <c r="Z1059" s="54" t="s">
        <v>2</v>
      </c>
      <c r="AA1059" s="54" t="s">
        <v>2</v>
      </c>
      <c r="AB1059" s="54" t="s">
        <v>2</v>
      </c>
      <c r="AC1059" s="54" t="s">
        <v>2</v>
      </c>
      <c r="AD1059" s="54" t="s">
        <v>2</v>
      </c>
      <c r="AE1059" s="54" t="s">
        <v>2</v>
      </c>
      <c r="AF1059" s="54" t="s">
        <v>2</v>
      </c>
      <c r="AG1059" s="54" t="s">
        <v>2</v>
      </c>
    </row>
    <row r="1060" ht="15.75" customHeight="1">
      <c r="B1060" s="56"/>
      <c r="U1060" s="46" t="str">
        <f t="array" ref="U1060">IF($D1060="","",IFERROR(_xlfn.XLOOKUP($D1060,'TIR店舗一覧'!$D:$D,'TIR店舗一覧'!$E:$E,""),""))</f>
        <v/>
      </c>
      <c r="V1060" s="54" t="s">
        <v>2</v>
      </c>
      <c r="W1060" s="54" t="s">
        <v>2</v>
      </c>
      <c r="X1060" s="54" t="s">
        <v>2</v>
      </c>
      <c r="Y1060" s="54" t="s">
        <v>2</v>
      </c>
      <c r="Z1060" s="54" t="s">
        <v>2</v>
      </c>
      <c r="AA1060" s="54" t="s">
        <v>2</v>
      </c>
      <c r="AB1060" s="54" t="s">
        <v>2</v>
      </c>
      <c r="AC1060" s="54" t="s">
        <v>2</v>
      </c>
      <c r="AD1060" s="54" t="s">
        <v>2</v>
      </c>
      <c r="AE1060" s="54" t="s">
        <v>2</v>
      </c>
      <c r="AF1060" s="54" t="s">
        <v>2</v>
      </c>
      <c r="AG1060" s="54" t="s">
        <v>2</v>
      </c>
    </row>
    <row r="1061" ht="15.75" customHeight="1">
      <c r="B1061" s="56"/>
      <c r="U1061" s="46" t="str">
        <f t="array" ref="U1061">IF($D1061="","",IFERROR(_xlfn.XLOOKUP($D1061,'TIR店舗一覧'!$D:$D,'TIR店舗一覧'!$E:$E,""),""))</f>
        <v/>
      </c>
      <c r="V1061" s="54" t="s">
        <v>2</v>
      </c>
      <c r="W1061" s="54" t="s">
        <v>2</v>
      </c>
      <c r="X1061" s="54" t="s">
        <v>2</v>
      </c>
      <c r="Y1061" s="54" t="s">
        <v>2</v>
      </c>
      <c r="Z1061" s="54" t="s">
        <v>2</v>
      </c>
      <c r="AA1061" s="54" t="s">
        <v>2</v>
      </c>
      <c r="AB1061" s="54" t="s">
        <v>2</v>
      </c>
      <c r="AC1061" s="54" t="s">
        <v>2</v>
      </c>
      <c r="AD1061" s="54" t="s">
        <v>2</v>
      </c>
      <c r="AE1061" s="54" t="s">
        <v>2</v>
      </c>
      <c r="AF1061" s="54" t="s">
        <v>2</v>
      </c>
      <c r="AG1061" s="54" t="s">
        <v>2</v>
      </c>
    </row>
    <row r="1062" ht="15.75" customHeight="1">
      <c r="B1062" s="56"/>
      <c r="U1062" s="46" t="str">
        <f t="array" ref="U1062">IF($D1062="","",IFERROR(_xlfn.XLOOKUP($D1062,'TIR店舗一覧'!$D:$D,'TIR店舗一覧'!$E:$E,""),""))</f>
        <v/>
      </c>
      <c r="V1062" s="54" t="s">
        <v>2</v>
      </c>
      <c r="W1062" s="54" t="s">
        <v>2</v>
      </c>
      <c r="X1062" s="54" t="s">
        <v>2</v>
      </c>
      <c r="Y1062" s="54" t="s">
        <v>2</v>
      </c>
      <c r="Z1062" s="54" t="s">
        <v>2</v>
      </c>
      <c r="AA1062" s="54" t="s">
        <v>2</v>
      </c>
      <c r="AB1062" s="54" t="s">
        <v>2</v>
      </c>
      <c r="AC1062" s="54" t="s">
        <v>2</v>
      </c>
      <c r="AD1062" s="54" t="s">
        <v>2</v>
      </c>
      <c r="AE1062" s="54" t="s">
        <v>2</v>
      </c>
      <c r="AF1062" s="54" t="s">
        <v>2</v>
      </c>
      <c r="AG1062" s="54" t="s">
        <v>2</v>
      </c>
    </row>
    <row r="1063" ht="15.75" customHeight="1">
      <c r="B1063" s="56"/>
      <c r="U1063" s="46" t="str">
        <f t="array" ref="U1063">IF($D1063="","",IFERROR(_xlfn.XLOOKUP($D1063,'TIR店舗一覧'!$D:$D,'TIR店舗一覧'!$E:$E,""),""))</f>
        <v/>
      </c>
      <c r="V1063" s="54" t="s">
        <v>2</v>
      </c>
      <c r="W1063" s="54" t="s">
        <v>2</v>
      </c>
      <c r="X1063" s="54" t="s">
        <v>2</v>
      </c>
      <c r="Y1063" s="54" t="s">
        <v>2</v>
      </c>
      <c r="Z1063" s="54" t="s">
        <v>2</v>
      </c>
      <c r="AA1063" s="54" t="s">
        <v>2</v>
      </c>
      <c r="AB1063" s="54" t="s">
        <v>2</v>
      </c>
      <c r="AC1063" s="54" t="s">
        <v>2</v>
      </c>
      <c r="AD1063" s="54" t="s">
        <v>2</v>
      </c>
      <c r="AE1063" s="54" t="s">
        <v>2</v>
      </c>
      <c r="AF1063" s="54" t="s">
        <v>2</v>
      </c>
      <c r="AG1063" s="54" t="s">
        <v>2</v>
      </c>
    </row>
    <row r="1064" ht="15.75" customHeight="1">
      <c r="B1064" s="56"/>
      <c r="U1064" s="46" t="str">
        <f t="array" ref="U1064">IF($D1064="","",IFERROR(_xlfn.XLOOKUP($D1064,'TIR店舗一覧'!$D:$D,'TIR店舗一覧'!$E:$E,""),""))</f>
        <v/>
      </c>
      <c r="V1064" s="54" t="s">
        <v>2</v>
      </c>
      <c r="W1064" s="54" t="s">
        <v>2</v>
      </c>
      <c r="X1064" s="54" t="s">
        <v>2</v>
      </c>
      <c r="Y1064" s="54" t="s">
        <v>2</v>
      </c>
      <c r="Z1064" s="54" t="s">
        <v>2</v>
      </c>
      <c r="AA1064" s="54" t="s">
        <v>2</v>
      </c>
      <c r="AB1064" s="54" t="s">
        <v>2</v>
      </c>
      <c r="AC1064" s="54" t="s">
        <v>2</v>
      </c>
      <c r="AD1064" s="54" t="s">
        <v>2</v>
      </c>
      <c r="AE1064" s="54" t="s">
        <v>2</v>
      </c>
      <c r="AF1064" s="54" t="s">
        <v>2</v>
      </c>
      <c r="AG1064" s="54" t="s">
        <v>2</v>
      </c>
    </row>
    <row r="1065" ht="15.75" customHeight="1">
      <c r="B1065" s="56"/>
      <c r="U1065" s="46" t="str">
        <f t="array" ref="U1065">IF($D1065="","",IFERROR(_xlfn.XLOOKUP($D1065,'TIR店舗一覧'!$D:$D,'TIR店舗一覧'!$E:$E,""),""))</f>
        <v/>
      </c>
      <c r="V1065" s="54" t="s">
        <v>2</v>
      </c>
      <c r="W1065" s="54" t="s">
        <v>2</v>
      </c>
      <c r="X1065" s="54" t="s">
        <v>2</v>
      </c>
      <c r="Y1065" s="54" t="s">
        <v>2</v>
      </c>
      <c r="Z1065" s="54" t="s">
        <v>2</v>
      </c>
      <c r="AA1065" s="54" t="s">
        <v>2</v>
      </c>
      <c r="AB1065" s="54" t="s">
        <v>2</v>
      </c>
      <c r="AC1065" s="54" t="s">
        <v>2</v>
      </c>
      <c r="AD1065" s="54" t="s">
        <v>2</v>
      </c>
      <c r="AE1065" s="54" t="s">
        <v>2</v>
      </c>
      <c r="AF1065" s="54" t="s">
        <v>2</v>
      </c>
      <c r="AG1065" s="54" t="s">
        <v>2</v>
      </c>
    </row>
    <row r="1066" ht="15.75" customHeight="1">
      <c r="B1066" s="56"/>
      <c r="U1066" s="46" t="str">
        <f t="array" ref="U1066">IF($D1066="","",IFERROR(_xlfn.XLOOKUP($D1066,'TIR店舗一覧'!$D:$D,'TIR店舗一覧'!$E:$E,""),""))</f>
        <v/>
      </c>
      <c r="V1066" s="54" t="s">
        <v>2</v>
      </c>
      <c r="W1066" s="54" t="s">
        <v>2</v>
      </c>
      <c r="X1066" s="54" t="s">
        <v>2</v>
      </c>
      <c r="Y1066" s="54" t="s">
        <v>2</v>
      </c>
      <c r="Z1066" s="54" t="s">
        <v>2</v>
      </c>
      <c r="AA1066" s="54" t="s">
        <v>2</v>
      </c>
      <c r="AB1066" s="54" t="s">
        <v>2</v>
      </c>
      <c r="AC1066" s="54" t="s">
        <v>2</v>
      </c>
      <c r="AD1066" s="54" t="s">
        <v>2</v>
      </c>
      <c r="AE1066" s="54" t="s">
        <v>2</v>
      </c>
      <c r="AF1066" s="54" t="s">
        <v>2</v>
      </c>
      <c r="AG1066" s="54" t="s">
        <v>2</v>
      </c>
    </row>
    <row r="1067" ht="15.75" customHeight="1">
      <c r="B1067" s="56"/>
      <c r="U1067" s="46" t="str">
        <f t="array" ref="U1067">IF($D1067="","",IFERROR(_xlfn.XLOOKUP($D1067,'TIR店舗一覧'!$D:$D,'TIR店舗一覧'!$E:$E,""),""))</f>
        <v/>
      </c>
      <c r="V1067" s="54" t="s">
        <v>2</v>
      </c>
      <c r="W1067" s="54" t="s">
        <v>2</v>
      </c>
      <c r="X1067" s="54" t="s">
        <v>2</v>
      </c>
      <c r="Y1067" s="54" t="s">
        <v>2</v>
      </c>
      <c r="Z1067" s="54" t="s">
        <v>2</v>
      </c>
      <c r="AA1067" s="54" t="s">
        <v>2</v>
      </c>
      <c r="AB1067" s="54" t="s">
        <v>2</v>
      </c>
      <c r="AC1067" s="54" t="s">
        <v>2</v>
      </c>
      <c r="AD1067" s="54" t="s">
        <v>2</v>
      </c>
      <c r="AE1067" s="54" t="s">
        <v>2</v>
      </c>
      <c r="AF1067" s="54" t="s">
        <v>2</v>
      </c>
      <c r="AG1067" s="54" t="s">
        <v>2</v>
      </c>
    </row>
    <row r="1068" ht="15.75" customHeight="1">
      <c r="B1068" s="56"/>
      <c r="U1068" s="46" t="str">
        <f t="array" ref="U1068">IF($D1068="","",IFERROR(_xlfn.XLOOKUP($D1068,'TIR店舗一覧'!$D:$D,'TIR店舗一覧'!$E:$E,""),""))</f>
        <v/>
      </c>
      <c r="V1068" s="54" t="s">
        <v>2</v>
      </c>
      <c r="W1068" s="54" t="s">
        <v>2</v>
      </c>
      <c r="X1068" s="54" t="s">
        <v>2</v>
      </c>
      <c r="Y1068" s="54" t="s">
        <v>2</v>
      </c>
      <c r="Z1068" s="54" t="s">
        <v>2</v>
      </c>
      <c r="AA1068" s="54" t="s">
        <v>2</v>
      </c>
      <c r="AB1068" s="54" t="s">
        <v>2</v>
      </c>
      <c r="AC1068" s="54" t="s">
        <v>2</v>
      </c>
      <c r="AD1068" s="54" t="s">
        <v>2</v>
      </c>
      <c r="AE1068" s="54" t="s">
        <v>2</v>
      </c>
      <c r="AF1068" s="54" t="s">
        <v>2</v>
      </c>
      <c r="AG1068" s="54" t="s">
        <v>2</v>
      </c>
    </row>
    <row r="1069" ht="15.75" customHeight="1">
      <c r="B1069" s="56"/>
      <c r="U1069" s="46" t="str">
        <f t="array" ref="U1069">IF($D1069="","",IFERROR(_xlfn.XLOOKUP($D1069,'TIR店舗一覧'!$D:$D,'TIR店舗一覧'!$E:$E,""),""))</f>
        <v/>
      </c>
      <c r="V1069" s="54" t="s">
        <v>2</v>
      </c>
      <c r="W1069" s="54" t="s">
        <v>2</v>
      </c>
      <c r="X1069" s="54" t="s">
        <v>2</v>
      </c>
      <c r="Y1069" s="54" t="s">
        <v>2</v>
      </c>
      <c r="Z1069" s="54" t="s">
        <v>2</v>
      </c>
      <c r="AA1069" s="54" t="s">
        <v>2</v>
      </c>
      <c r="AB1069" s="54" t="s">
        <v>2</v>
      </c>
      <c r="AC1069" s="54" t="s">
        <v>2</v>
      </c>
      <c r="AD1069" s="54" t="s">
        <v>2</v>
      </c>
      <c r="AE1069" s="54" t="s">
        <v>2</v>
      </c>
      <c r="AF1069" s="54" t="s">
        <v>2</v>
      </c>
      <c r="AG1069" s="54" t="s">
        <v>2</v>
      </c>
    </row>
    <row r="1070" ht="15.75" customHeight="1">
      <c r="B1070" s="56"/>
      <c r="U1070" s="46" t="str">
        <f t="array" ref="U1070">IF($D1070="","",IFERROR(_xlfn.XLOOKUP($D1070,'TIR店舗一覧'!$D:$D,'TIR店舗一覧'!$E:$E,""),""))</f>
        <v/>
      </c>
      <c r="V1070" s="54" t="s">
        <v>2</v>
      </c>
      <c r="W1070" s="54" t="s">
        <v>2</v>
      </c>
      <c r="X1070" s="54" t="s">
        <v>2</v>
      </c>
      <c r="Y1070" s="54" t="s">
        <v>2</v>
      </c>
      <c r="Z1070" s="54" t="s">
        <v>2</v>
      </c>
      <c r="AA1070" s="54" t="s">
        <v>2</v>
      </c>
      <c r="AB1070" s="54" t="s">
        <v>2</v>
      </c>
      <c r="AC1070" s="54" t="s">
        <v>2</v>
      </c>
      <c r="AD1070" s="54" t="s">
        <v>2</v>
      </c>
      <c r="AE1070" s="54" t="s">
        <v>2</v>
      </c>
      <c r="AF1070" s="54" t="s">
        <v>2</v>
      </c>
      <c r="AG1070" s="54" t="s">
        <v>2</v>
      </c>
    </row>
    <row r="1071" ht="15.75" customHeight="1">
      <c r="B1071" s="56"/>
      <c r="U1071" s="46" t="str">
        <f t="array" ref="U1071">IF($D1071="","",IFERROR(_xlfn.XLOOKUP($D1071,'TIR店舗一覧'!$D:$D,'TIR店舗一覧'!$E:$E,""),""))</f>
        <v/>
      </c>
      <c r="V1071" s="54" t="s">
        <v>2</v>
      </c>
      <c r="W1071" s="54" t="s">
        <v>2</v>
      </c>
      <c r="X1071" s="54" t="s">
        <v>2</v>
      </c>
      <c r="Y1071" s="54" t="s">
        <v>2</v>
      </c>
      <c r="Z1071" s="54" t="s">
        <v>2</v>
      </c>
      <c r="AA1071" s="54" t="s">
        <v>2</v>
      </c>
      <c r="AB1071" s="54" t="s">
        <v>2</v>
      </c>
      <c r="AC1071" s="54" t="s">
        <v>2</v>
      </c>
      <c r="AD1071" s="54" t="s">
        <v>2</v>
      </c>
      <c r="AE1071" s="54" t="s">
        <v>2</v>
      </c>
      <c r="AF1071" s="54" t="s">
        <v>2</v>
      </c>
      <c r="AG1071" s="54" t="s">
        <v>2</v>
      </c>
    </row>
    <row r="1072" ht="15.75" customHeight="1">
      <c r="B1072" s="56"/>
      <c r="U1072" s="46" t="str">
        <f t="array" ref="U1072">IF($D1072="","",IFERROR(_xlfn.XLOOKUP($D1072,'TIR店舗一覧'!$D:$D,'TIR店舗一覧'!$E:$E,""),""))</f>
        <v/>
      </c>
      <c r="V1072" s="54" t="s">
        <v>2</v>
      </c>
      <c r="W1072" s="54" t="s">
        <v>2</v>
      </c>
      <c r="X1072" s="54" t="s">
        <v>2</v>
      </c>
      <c r="Y1072" s="54" t="s">
        <v>2</v>
      </c>
      <c r="Z1072" s="54" t="s">
        <v>2</v>
      </c>
      <c r="AA1072" s="54" t="s">
        <v>2</v>
      </c>
      <c r="AB1072" s="54" t="s">
        <v>2</v>
      </c>
      <c r="AC1072" s="54" t="s">
        <v>2</v>
      </c>
      <c r="AD1072" s="54" t="s">
        <v>2</v>
      </c>
      <c r="AE1072" s="54" t="s">
        <v>2</v>
      </c>
      <c r="AF1072" s="54" t="s">
        <v>2</v>
      </c>
      <c r="AG1072" s="54" t="s">
        <v>2</v>
      </c>
    </row>
    <row r="1073" ht="15.75" customHeight="1">
      <c r="B1073" s="56"/>
      <c r="U1073" s="46" t="str">
        <f t="array" ref="U1073">IF($D1073="","",IFERROR(_xlfn.XLOOKUP($D1073,'TIR店舗一覧'!$D:$D,'TIR店舗一覧'!$E:$E,""),""))</f>
        <v/>
      </c>
      <c r="V1073" s="54" t="s">
        <v>2</v>
      </c>
      <c r="W1073" s="54" t="s">
        <v>2</v>
      </c>
      <c r="X1073" s="54" t="s">
        <v>2</v>
      </c>
      <c r="Y1073" s="54" t="s">
        <v>2</v>
      </c>
      <c r="Z1073" s="54" t="s">
        <v>2</v>
      </c>
      <c r="AA1073" s="54" t="s">
        <v>2</v>
      </c>
      <c r="AB1073" s="54" t="s">
        <v>2</v>
      </c>
      <c r="AC1073" s="54" t="s">
        <v>2</v>
      </c>
      <c r="AD1073" s="54" t="s">
        <v>2</v>
      </c>
      <c r="AE1073" s="54" t="s">
        <v>2</v>
      </c>
      <c r="AF1073" s="54" t="s">
        <v>2</v>
      </c>
      <c r="AG1073" s="54" t="s">
        <v>2</v>
      </c>
    </row>
    <row r="1074" ht="15.75" customHeight="1">
      <c r="B1074" s="56"/>
      <c r="U1074" s="46" t="str">
        <f t="array" ref="U1074">IF($D1074="","",IFERROR(_xlfn.XLOOKUP($D1074,'TIR店舗一覧'!$D:$D,'TIR店舗一覧'!$E:$E,""),""))</f>
        <v/>
      </c>
      <c r="V1074" s="54" t="s">
        <v>2</v>
      </c>
      <c r="W1074" s="54" t="s">
        <v>2</v>
      </c>
      <c r="X1074" s="54" t="s">
        <v>2</v>
      </c>
      <c r="Y1074" s="54" t="s">
        <v>2</v>
      </c>
      <c r="Z1074" s="54" t="s">
        <v>2</v>
      </c>
      <c r="AA1074" s="54" t="s">
        <v>2</v>
      </c>
      <c r="AB1074" s="54" t="s">
        <v>2</v>
      </c>
      <c r="AC1074" s="54" t="s">
        <v>2</v>
      </c>
      <c r="AD1074" s="54" t="s">
        <v>2</v>
      </c>
      <c r="AE1074" s="54" t="s">
        <v>2</v>
      </c>
      <c r="AF1074" s="54" t="s">
        <v>2</v>
      </c>
      <c r="AG1074" s="54" t="s">
        <v>2</v>
      </c>
    </row>
    <row r="1075" ht="15.75" customHeight="1">
      <c r="B1075" s="56"/>
      <c r="U1075" s="46" t="str">
        <f t="array" ref="U1075">IF($D1075="","",IFERROR(_xlfn.XLOOKUP($D1075,'TIR店舗一覧'!$D:$D,'TIR店舗一覧'!$E:$E,""),""))</f>
        <v/>
      </c>
      <c r="V1075" s="54" t="s">
        <v>2</v>
      </c>
      <c r="W1075" s="54" t="s">
        <v>2</v>
      </c>
      <c r="X1075" s="54" t="s">
        <v>2</v>
      </c>
      <c r="Y1075" s="54" t="s">
        <v>2</v>
      </c>
      <c r="Z1075" s="54" t="s">
        <v>2</v>
      </c>
      <c r="AA1075" s="54" t="s">
        <v>2</v>
      </c>
      <c r="AB1075" s="54" t="s">
        <v>2</v>
      </c>
      <c r="AC1075" s="54" t="s">
        <v>2</v>
      </c>
      <c r="AD1075" s="54" t="s">
        <v>2</v>
      </c>
      <c r="AE1075" s="54" t="s">
        <v>2</v>
      </c>
      <c r="AF1075" s="54" t="s">
        <v>2</v>
      </c>
      <c r="AG1075" s="54" t="s">
        <v>2</v>
      </c>
    </row>
    <row r="1076" ht="15.75" customHeight="1">
      <c r="B1076" s="56"/>
      <c r="U1076" s="46" t="str">
        <f t="array" ref="U1076">IF($D1076="","",IFERROR(_xlfn.XLOOKUP($D1076,'TIR店舗一覧'!$D:$D,'TIR店舗一覧'!$E:$E,""),""))</f>
        <v/>
      </c>
      <c r="V1076" s="54" t="s">
        <v>2</v>
      </c>
      <c r="W1076" s="54" t="s">
        <v>2</v>
      </c>
      <c r="X1076" s="54" t="s">
        <v>2</v>
      </c>
      <c r="Y1076" s="54" t="s">
        <v>2</v>
      </c>
      <c r="Z1076" s="54" t="s">
        <v>2</v>
      </c>
      <c r="AA1076" s="54" t="s">
        <v>2</v>
      </c>
      <c r="AB1076" s="54" t="s">
        <v>2</v>
      </c>
      <c r="AC1076" s="54" t="s">
        <v>2</v>
      </c>
      <c r="AD1076" s="54" t="s">
        <v>2</v>
      </c>
      <c r="AE1076" s="54" t="s">
        <v>2</v>
      </c>
      <c r="AF1076" s="54" t="s">
        <v>2</v>
      </c>
      <c r="AG1076" s="54" t="s">
        <v>2</v>
      </c>
    </row>
    <row r="1077" ht="15.75" customHeight="1">
      <c r="B1077" s="56"/>
      <c r="U1077" s="46" t="str">
        <f t="array" ref="U1077">IF($D1077="","",IFERROR(_xlfn.XLOOKUP($D1077,'TIR店舗一覧'!$D:$D,'TIR店舗一覧'!$E:$E,""),""))</f>
        <v/>
      </c>
      <c r="V1077" s="54" t="s">
        <v>2</v>
      </c>
      <c r="W1077" s="54" t="s">
        <v>2</v>
      </c>
      <c r="X1077" s="54" t="s">
        <v>2</v>
      </c>
      <c r="Y1077" s="54" t="s">
        <v>2</v>
      </c>
      <c r="Z1077" s="54" t="s">
        <v>2</v>
      </c>
      <c r="AA1077" s="54" t="s">
        <v>2</v>
      </c>
      <c r="AB1077" s="54" t="s">
        <v>2</v>
      </c>
      <c r="AC1077" s="54" t="s">
        <v>2</v>
      </c>
      <c r="AD1077" s="54" t="s">
        <v>2</v>
      </c>
      <c r="AE1077" s="54" t="s">
        <v>2</v>
      </c>
      <c r="AF1077" s="54" t="s">
        <v>2</v>
      </c>
      <c r="AG1077" s="54" t="s">
        <v>2</v>
      </c>
    </row>
    <row r="1078" ht="15.75" customHeight="1">
      <c r="B1078" s="56"/>
      <c r="U1078" s="46" t="str">
        <f t="array" ref="U1078">IF($D1078="","",IFERROR(_xlfn.XLOOKUP($D1078,'TIR店舗一覧'!$D:$D,'TIR店舗一覧'!$E:$E,""),""))</f>
        <v/>
      </c>
      <c r="V1078" s="54" t="s">
        <v>2</v>
      </c>
      <c r="W1078" s="54" t="s">
        <v>2</v>
      </c>
      <c r="X1078" s="54" t="s">
        <v>2</v>
      </c>
      <c r="Y1078" s="54" t="s">
        <v>2</v>
      </c>
      <c r="Z1078" s="54" t="s">
        <v>2</v>
      </c>
      <c r="AA1078" s="54" t="s">
        <v>2</v>
      </c>
      <c r="AB1078" s="54" t="s">
        <v>2</v>
      </c>
      <c r="AC1078" s="54" t="s">
        <v>2</v>
      </c>
      <c r="AD1078" s="54" t="s">
        <v>2</v>
      </c>
      <c r="AE1078" s="54" t="s">
        <v>2</v>
      </c>
      <c r="AF1078" s="54" t="s">
        <v>2</v>
      </c>
      <c r="AG1078" s="54" t="s">
        <v>2</v>
      </c>
    </row>
    <row r="1079" ht="15.75" customHeight="1">
      <c r="B1079" s="56"/>
      <c r="U1079" s="46" t="str">
        <f t="array" ref="U1079">IF($D1079="","",IFERROR(_xlfn.XLOOKUP($D1079,'TIR店舗一覧'!$D:$D,'TIR店舗一覧'!$E:$E,""),""))</f>
        <v/>
      </c>
      <c r="V1079" s="54" t="s">
        <v>2</v>
      </c>
      <c r="W1079" s="54" t="s">
        <v>2</v>
      </c>
      <c r="X1079" s="54" t="s">
        <v>2</v>
      </c>
      <c r="Y1079" s="54" t="s">
        <v>2</v>
      </c>
      <c r="Z1079" s="54" t="s">
        <v>2</v>
      </c>
      <c r="AA1079" s="54" t="s">
        <v>2</v>
      </c>
      <c r="AB1079" s="54" t="s">
        <v>2</v>
      </c>
      <c r="AC1079" s="54" t="s">
        <v>2</v>
      </c>
      <c r="AD1079" s="54" t="s">
        <v>2</v>
      </c>
      <c r="AE1079" s="54" t="s">
        <v>2</v>
      </c>
      <c r="AF1079" s="54" t="s">
        <v>2</v>
      </c>
      <c r="AG1079" s="54" t="s">
        <v>2</v>
      </c>
    </row>
    <row r="1080" ht="15.75" customHeight="1">
      <c r="B1080" s="56"/>
      <c r="U1080" s="46" t="str">
        <f t="array" ref="U1080">IF($D1080="","",IFERROR(_xlfn.XLOOKUP($D1080,'TIR店舗一覧'!$D:$D,'TIR店舗一覧'!$E:$E,""),""))</f>
        <v/>
      </c>
      <c r="V1080" s="54" t="s">
        <v>2</v>
      </c>
      <c r="W1080" s="54" t="s">
        <v>2</v>
      </c>
      <c r="X1080" s="54" t="s">
        <v>2</v>
      </c>
      <c r="Y1080" s="54" t="s">
        <v>2</v>
      </c>
      <c r="Z1080" s="54" t="s">
        <v>2</v>
      </c>
      <c r="AA1080" s="54" t="s">
        <v>2</v>
      </c>
      <c r="AB1080" s="54" t="s">
        <v>2</v>
      </c>
      <c r="AC1080" s="54" t="s">
        <v>2</v>
      </c>
      <c r="AD1080" s="54" t="s">
        <v>2</v>
      </c>
      <c r="AE1080" s="54" t="s">
        <v>2</v>
      </c>
      <c r="AF1080" s="54" t="s">
        <v>2</v>
      </c>
      <c r="AG1080" s="54" t="s">
        <v>2</v>
      </c>
    </row>
    <row r="1081" ht="15.75" customHeight="1">
      <c r="B1081" s="56"/>
      <c r="U1081" s="46" t="str">
        <f t="array" ref="U1081">IF($D1081="","",IFERROR(_xlfn.XLOOKUP($D1081,'TIR店舗一覧'!$D:$D,'TIR店舗一覧'!$E:$E,""),""))</f>
        <v/>
      </c>
      <c r="V1081" s="54" t="s">
        <v>2</v>
      </c>
      <c r="W1081" s="54" t="s">
        <v>2</v>
      </c>
      <c r="X1081" s="54" t="s">
        <v>2</v>
      </c>
      <c r="Y1081" s="54" t="s">
        <v>2</v>
      </c>
      <c r="Z1081" s="54" t="s">
        <v>2</v>
      </c>
      <c r="AA1081" s="54" t="s">
        <v>2</v>
      </c>
      <c r="AB1081" s="54" t="s">
        <v>2</v>
      </c>
      <c r="AC1081" s="54" t="s">
        <v>2</v>
      </c>
      <c r="AD1081" s="54" t="s">
        <v>2</v>
      </c>
      <c r="AE1081" s="54" t="s">
        <v>2</v>
      </c>
      <c r="AF1081" s="54" t="s">
        <v>2</v>
      </c>
      <c r="AG1081" s="54" t="s">
        <v>2</v>
      </c>
    </row>
    <row r="1082" ht="15.75" customHeight="1">
      <c r="B1082" s="56"/>
      <c r="U1082" s="46" t="str">
        <f t="array" ref="U1082">IF($D1082="","",IFERROR(_xlfn.XLOOKUP($D1082,'TIR店舗一覧'!$D:$D,'TIR店舗一覧'!$E:$E,""),""))</f>
        <v/>
      </c>
      <c r="V1082" s="54" t="s">
        <v>2</v>
      </c>
      <c r="W1082" s="54" t="s">
        <v>2</v>
      </c>
      <c r="X1082" s="54" t="s">
        <v>2</v>
      </c>
      <c r="Y1082" s="54" t="s">
        <v>2</v>
      </c>
      <c r="Z1082" s="54" t="s">
        <v>2</v>
      </c>
      <c r="AA1082" s="54" t="s">
        <v>2</v>
      </c>
      <c r="AB1082" s="54" t="s">
        <v>2</v>
      </c>
      <c r="AC1082" s="54" t="s">
        <v>2</v>
      </c>
      <c r="AD1082" s="54" t="s">
        <v>2</v>
      </c>
      <c r="AE1082" s="54" t="s">
        <v>2</v>
      </c>
      <c r="AF1082" s="54" t="s">
        <v>2</v>
      </c>
      <c r="AG1082" s="54" t="s">
        <v>2</v>
      </c>
    </row>
    <row r="1083" ht="15.75" customHeight="1">
      <c r="B1083" s="56"/>
      <c r="U1083" s="46" t="str">
        <f t="array" ref="U1083">IF($D1083="","",IFERROR(_xlfn.XLOOKUP($D1083,'TIR店舗一覧'!$D:$D,'TIR店舗一覧'!$E:$E,""),""))</f>
        <v/>
      </c>
      <c r="V1083" s="54" t="s">
        <v>2</v>
      </c>
      <c r="W1083" s="54" t="s">
        <v>2</v>
      </c>
      <c r="X1083" s="54" t="s">
        <v>2</v>
      </c>
      <c r="Y1083" s="54" t="s">
        <v>2</v>
      </c>
      <c r="Z1083" s="54" t="s">
        <v>2</v>
      </c>
      <c r="AA1083" s="54" t="s">
        <v>2</v>
      </c>
      <c r="AB1083" s="54" t="s">
        <v>2</v>
      </c>
      <c r="AC1083" s="54" t="s">
        <v>2</v>
      </c>
      <c r="AD1083" s="54" t="s">
        <v>2</v>
      </c>
      <c r="AE1083" s="54" t="s">
        <v>2</v>
      </c>
      <c r="AF1083" s="54" t="s">
        <v>2</v>
      </c>
      <c r="AG1083" s="54" t="s">
        <v>2</v>
      </c>
    </row>
    <row r="1084" ht="15.75" customHeight="1">
      <c r="B1084" s="56"/>
      <c r="U1084" s="46" t="str">
        <f t="array" ref="U1084">IF($D1084="","",IFERROR(_xlfn.XLOOKUP($D1084,'TIR店舗一覧'!$D:$D,'TIR店舗一覧'!$E:$E,""),""))</f>
        <v/>
      </c>
      <c r="V1084" s="54" t="s">
        <v>2</v>
      </c>
      <c r="W1084" s="54" t="s">
        <v>2</v>
      </c>
      <c r="X1084" s="54" t="s">
        <v>2</v>
      </c>
      <c r="Y1084" s="54" t="s">
        <v>2</v>
      </c>
      <c r="Z1084" s="54" t="s">
        <v>2</v>
      </c>
      <c r="AA1084" s="54" t="s">
        <v>2</v>
      </c>
      <c r="AB1084" s="54" t="s">
        <v>2</v>
      </c>
      <c r="AC1084" s="54" t="s">
        <v>2</v>
      </c>
      <c r="AD1084" s="54" t="s">
        <v>2</v>
      </c>
      <c r="AE1084" s="54" t="s">
        <v>2</v>
      </c>
      <c r="AF1084" s="54" t="s">
        <v>2</v>
      </c>
      <c r="AG1084" s="54" t="s">
        <v>2</v>
      </c>
    </row>
    <row r="1085" ht="15.75" customHeight="1">
      <c r="B1085" s="56"/>
      <c r="U1085" s="46" t="str">
        <f t="array" ref="U1085">IF($D1085="","",IFERROR(_xlfn.XLOOKUP($D1085,'TIR店舗一覧'!$D:$D,'TIR店舗一覧'!$E:$E,""),""))</f>
        <v/>
      </c>
      <c r="V1085" s="54" t="s">
        <v>2</v>
      </c>
      <c r="W1085" s="54" t="s">
        <v>2</v>
      </c>
      <c r="X1085" s="54" t="s">
        <v>2</v>
      </c>
      <c r="Y1085" s="54" t="s">
        <v>2</v>
      </c>
      <c r="Z1085" s="54" t="s">
        <v>2</v>
      </c>
      <c r="AA1085" s="54" t="s">
        <v>2</v>
      </c>
      <c r="AB1085" s="54" t="s">
        <v>2</v>
      </c>
      <c r="AC1085" s="54" t="s">
        <v>2</v>
      </c>
      <c r="AD1085" s="54" t="s">
        <v>2</v>
      </c>
      <c r="AE1085" s="54" t="s">
        <v>2</v>
      </c>
      <c r="AF1085" s="54" t="s">
        <v>2</v>
      </c>
      <c r="AG1085" s="54" t="s">
        <v>2</v>
      </c>
    </row>
    <row r="1086" ht="15.75" customHeight="1">
      <c r="B1086" s="56"/>
      <c r="U1086" s="46" t="str">
        <f t="array" ref="U1086">IF($D1086="","",IFERROR(_xlfn.XLOOKUP($D1086,'TIR店舗一覧'!$D:$D,'TIR店舗一覧'!$E:$E,""),""))</f>
        <v/>
      </c>
      <c r="V1086" s="54" t="s">
        <v>2</v>
      </c>
      <c r="W1086" s="54" t="s">
        <v>2</v>
      </c>
      <c r="X1086" s="54" t="s">
        <v>2</v>
      </c>
      <c r="Y1086" s="54" t="s">
        <v>2</v>
      </c>
      <c r="Z1086" s="54" t="s">
        <v>2</v>
      </c>
      <c r="AA1086" s="54" t="s">
        <v>2</v>
      </c>
      <c r="AB1086" s="54" t="s">
        <v>2</v>
      </c>
      <c r="AC1086" s="54" t="s">
        <v>2</v>
      </c>
      <c r="AD1086" s="54" t="s">
        <v>2</v>
      </c>
      <c r="AE1086" s="54" t="s">
        <v>2</v>
      </c>
      <c r="AF1086" s="54" t="s">
        <v>2</v>
      </c>
      <c r="AG1086" s="54" t="s">
        <v>2</v>
      </c>
    </row>
    <row r="1087" ht="15.75" customHeight="1">
      <c r="B1087" s="56"/>
      <c r="U1087" s="46" t="str">
        <f t="array" ref="U1087">IF($D1087="","",IFERROR(_xlfn.XLOOKUP($D1087,'TIR店舗一覧'!$D:$D,'TIR店舗一覧'!$E:$E,""),""))</f>
        <v/>
      </c>
      <c r="V1087" s="54" t="s">
        <v>2</v>
      </c>
      <c r="W1087" s="54" t="s">
        <v>2</v>
      </c>
      <c r="X1087" s="54" t="s">
        <v>2</v>
      </c>
      <c r="Y1087" s="54" t="s">
        <v>2</v>
      </c>
      <c r="Z1087" s="54" t="s">
        <v>2</v>
      </c>
      <c r="AA1087" s="54" t="s">
        <v>2</v>
      </c>
      <c r="AB1087" s="54" t="s">
        <v>2</v>
      </c>
      <c r="AC1087" s="54" t="s">
        <v>2</v>
      </c>
      <c r="AD1087" s="54" t="s">
        <v>2</v>
      </c>
      <c r="AE1087" s="54" t="s">
        <v>2</v>
      </c>
      <c r="AF1087" s="54" t="s">
        <v>2</v>
      </c>
      <c r="AG1087" s="54" t="s">
        <v>2</v>
      </c>
    </row>
    <row r="1088" ht="15.75" customHeight="1">
      <c r="B1088" s="56"/>
      <c r="U1088" s="46" t="str">
        <f t="array" ref="U1088">IF($D1088="","",IFERROR(_xlfn.XLOOKUP($D1088,'TIR店舗一覧'!$D:$D,'TIR店舗一覧'!$E:$E,""),""))</f>
        <v/>
      </c>
      <c r="V1088" s="54" t="s">
        <v>2</v>
      </c>
      <c r="W1088" s="54" t="s">
        <v>2</v>
      </c>
      <c r="X1088" s="54" t="s">
        <v>2</v>
      </c>
      <c r="Y1088" s="54" t="s">
        <v>2</v>
      </c>
      <c r="Z1088" s="54" t="s">
        <v>2</v>
      </c>
      <c r="AA1088" s="54" t="s">
        <v>2</v>
      </c>
      <c r="AB1088" s="54" t="s">
        <v>2</v>
      </c>
      <c r="AC1088" s="54" t="s">
        <v>2</v>
      </c>
      <c r="AD1088" s="54" t="s">
        <v>2</v>
      </c>
      <c r="AE1088" s="54" t="s">
        <v>2</v>
      </c>
      <c r="AF1088" s="54" t="s">
        <v>2</v>
      </c>
      <c r="AG1088" s="54" t="s">
        <v>2</v>
      </c>
    </row>
    <row r="1089" ht="15.75" customHeight="1">
      <c r="B1089" s="56"/>
      <c r="U1089" s="46" t="str">
        <f t="array" ref="U1089">IF($D1089="","",IFERROR(_xlfn.XLOOKUP($D1089,'TIR店舗一覧'!$D:$D,'TIR店舗一覧'!$E:$E,""),""))</f>
        <v/>
      </c>
      <c r="V1089" s="54" t="s">
        <v>2</v>
      </c>
      <c r="W1089" s="54" t="s">
        <v>2</v>
      </c>
      <c r="X1089" s="54" t="s">
        <v>2</v>
      </c>
      <c r="Y1089" s="54" t="s">
        <v>2</v>
      </c>
      <c r="Z1089" s="54" t="s">
        <v>2</v>
      </c>
      <c r="AA1089" s="54" t="s">
        <v>2</v>
      </c>
      <c r="AB1089" s="54" t="s">
        <v>2</v>
      </c>
      <c r="AC1089" s="54" t="s">
        <v>2</v>
      </c>
      <c r="AD1089" s="54" t="s">
        <v>2</v>
      </c>
      <c r="AE1089" s="54" t="s">
        <v>2</v>
      </c>
      <c r="AF1089" s="54" t="s">
        <v>2</v>
      </c>
      <c r="AG1089" s="54" t="s">
        <v>2</v>
      </c>
    </row>
    <row r="1090" ht="15.75" customHeight="1">
      <c r="B1090" s="56"/>
      <c r="U1090" s="46" t="str">
        <f t="array" ref="U1090">IF($D1090="","",IFERROR(_xlfn.XLOOKUP($D1090,'TIR店舗一覧'!$D:$D,'TIR店舗一覧'!$E:$E,""),""))</f>
        <v/>
      </c>
      <c r="V1090" s="54" t="s">
        <v>2</v>
      </c>
      <c r="W1090" s="54" t="s">
        <v>2</v>
      </c>
      <c r="X1090" s="54" t="s">
        <v>2</v>
      </c>
      <c r="Y1090" s="54" t="s">
        <v>2</v>
      </c>
      <c r="Z1090" s="54" t="s">
        <v>2</v>
      </c>
      <c r="AA1090" s="54" t="s">
        <v>2</v>
      </c>
      <c r="AB1090" s="54" t="s">
        <v>2</v>
      </c>
      <c r="AC1090" s="54" t="s">
        <v>2</v>
      </c>
      <c r="AD1090" s="54" t="s">
        <v>2</v>
      </c>
      <c r="AE1090" s="54" t="s">
        <v>2</v>
      </c>
      <c r="AF1090" s="54" t="s">
        <v>2</v>
      </c>
      <c r="AG1090" s="54" t="s">
        <v>2</v>
      </c>
    </row>
    <row r="1091" ht="15.75" customHeight="1">
      <c r="B1091" s="56"/>
      <c r="U1091" s="46" t="str">
        <f t="array" ref="U1091">IF($D1091="","",IFERROR(_xlfn.XLOOKUP($D1091,'TIR店舗一覧'!$D:$D,'TIR店舗一覧'!$E:$E,""),""))</f>
        <v/>
      </c>
      <c r="V1091" s="54" t="s">
        <v>2</v>
      </c>
      <c r="W1091" s="54" t="s">
        <v>2</v>
      </c>
      <c r="X1091" s="54" t="s">
        <v>2</v>
      </c>
      <c r="Y1091" s="54" t="s">
        <v>2</v>
      </c>
      <c r="Z1091" s="54" t="s">
        <v>2</v>
      </c>
      <c r="AA1091" s="54" t="s">
        <v>2</v>
      </c>
      <c r="AB1091" s="54" t="s">
        <v>2</v>
      </c>
      <c r="AC1091" s="54" t="s">
        <v>2</v>
      </c>
      <c r="AD1091" s="54" t="s">
        <v>2</v>
      </c>
      <c r="AE1091" s="54" t="s">
        <v>2</v>
      </c>
      <c r="AF1091" s="54" t="s">
        <v>2</v>
      </c>
      <c r="AG1091" s="54" t="s">
        <v>2</v>
      </c>
    </row>
    <row r="1092" ht="15.75" customHeight="1">
      <c r="B1092" s="56"/>
      <c r="U1092" s="46" t="str">
        <f t="array" ref="U1092">IF($D1092="","",IFERROR(_xlfn.XLOOKUP($D1092,'TIR店舗一覧'!$D:$D,'TIR店舗一覧'!$E:$E,""),""))</f>
        <v/>
      </c>
      <c r="V1092" s="54" t="s">
        <v>2</v>
      </c>
      <c r="W1092" s="54" t="s">
        <v>2</v>
      </c>
      <c r="X1092" s="54" t="s">
        <v>2</v>
      </c>
      <c r="Y1092" s="54" t="s">
        <v>2</v>
      </c>
      <c r="Z1092" s="54" t="s">
        <v>2</v>
      </c>
      <c r="AA1092" s="54" t="s">
        <v>2</v>
      </c>
      <c r="AB1092" s="54" t="s">
        <v>2</v>
      </c>
      <c r="AC1092" s="54" t="s">
        <v>2</v>
      </c>
      <c r="AD1092" s="54" t="s">
        <v>2</v>
      </c>
      <c r="AE1092" s="54" t="s">
        <v>2</v>
      </c>
      <c r="AF1092" s="54" t="s">
        <v>2</v>
      </c>
      <c r="AG1092" s="54" t="s">
        <v>2</v>
      </c>
    </row>
    <row r="1093" ht="15.75" customHeight="1">
      <c r="B1093" s="56"/>
      <c r="U1093" s="46" t="str">
        <f t="array" ref="U1093">IF($D1093="","",IFERROR(_xlfn.XLOOKUP($D1093,'TIR店舗一覧'!$D:$D,'TIR店舗一覧'!$E:$E,""),""))</f>
        <v/>
      </c>
      <c r="V1093" s="54" t="s">
        <v>2</v>
      </c>
      <c r="W1093" s="54" t="s">
        <v>2</v>
      </c>
      <c r="X1093" s="54" t="s">
        <v>2</v>
      </c>
      <c r="Y1093" s="54" t="s">
        <v>2</v>
      </c>
      <c r="Z1093" s="54" t="s">
        <v>2</v>
      </c>
      <c r="AA1093" s="54" t="s">
        <v>2</v>
      </c>
      <c r="AB1093" s="54" t="s">
        <v>2</v>
      </c>
      <c r="AC1093" s="54" t="s">
        <v>2</v>
      </c>
      <c r="AD1093" s="54" t="s">
        <v>2</v>
      </c>
      <c r="AE1093" s="54" t="s">
        <v>2</v>
      </c>
      <c r="AF1093" s="54" t="s">
        <v>2</v>
      </c>
      <c r="AG1093" s="54" t="s">
        <v>2</v>
      </c>
    </row>
    <row r="1094" ht="15.75" customHeight="1">
      <c r="B1094" s="56"/>
      <c r="U1094" s="46" t="str">
        <f t="array" ref="U1094">IF($D1094="","",IFERROR(_xlfn.XLOOKUP($D1094,'TIR店舗一覧'!$D:$D,'TIR店舗一覧'!$E:$E,""),""))</f>
        <v/>
      </c>
      <c r="V1094" s="54" t="s">
        <v>2</v>
      </c>
      <c r="W1094" s="54" t="s">
        <v>2</v>
      </c>
      <c r="X1094" s="54" t="s">
        <v>2</v>
      </c>
      <c r="Y1094" s="54" t="s">
        <v>2</v>
      </c>
      <c r="Z1094" s="54" t="s">
        <v>2</v>
      </c>
      <c r="AA1094" s="54" t="s">
        <v>2</v>
      </c>
      <c r="AB1094" s="54" t="s">
        <v>2</v>
      </c>
      <c r="AC1094" s="54" t="s">
        <v>2</v>
      </c>
      <c r="AD1094" s="54" t="s">
        <v>2</v>
      </c>
      <c r="AE1094" s="54" t="s">
        <v>2</v>
      </c>
      <c r="AF1094" s="54" t="s">
        <v>2</v>
      </c>
      <c r="AG1094" s="54" t="s">
        <v>2</v>
      </c>
    </row>
    <row r="1095" ht="15.75" customHeight="1">
      <c r="B1095" s="56"/>
      <c r="U1095" s="46" t="str">
        <f t="array" ref="U1095">IF($D1095="","",IFERROR(_xlfn.XLOOKUP($D1095,'TIR店舗一覧'!$D:$D,'TIR店舗一覧'!$E:$E,""),""))</f>
        <v/>
      </c>
      <c r="V1095" s="54" t="s">
        <v>2</v>
      </c>
      <c r="W1095" s="54" t="s">
        <v>2</v>
      </c>
      <c r="X1095" s="54" t="s">
        <v>2</v>
      </c>
      <c r="Y1095" s="54" t="s">
        <v>2</v>
      </c>
      <c r="Z1095" s="54" t="s">
        <v>2</v>
      </c>
      <c r="AA1095" s="54" t="s">
        <v>2</v>
      </c>
      <c r="AB1095" s="54" t="s">
        <v>2</v>
      </c>
      <c r="AC1095" s="54" t="s">
        <v>2</v>
      </c>
      <c r="AD1095" s="54" t="s">
        <v>2</v>
      </c>
      <c r="AE1095" s="54" t="s">
        <v>2</v>
      </c>
      <c r="AF1095" s="54" t="s">
        <v>2</v>
      </c>
      <c r="AG1095" s="54" t="s">
        <v>2</v>
      </c>
    </row>
    <row r="1096" ht="15.75" customHeight="1">
      <c r="B1096" s="56"/>
      <c r="U1096" s="46" t="str">
        <f t="array" ref="U1096">IF($D1096="","",IFERROR(_xlfn.XLOOKUP($D1096,'TIR店舗一覧'!$D:$D,'TIR店舗一覧'!$E:$E,""),""))</f>
        <v/>
      </c>
      <c r="V1096" s="54" t="s">
        <v>2</v>
      </c>
      <c r="W1096" s="54" t="s">
        <v>2</v>
      </c>
      <c r="X1096" s="54" t="s">
        <v>2</v>
      </c>
      <c r="Y1096" s="54" t="s">
        <v>2</v>
      </c>
      <c r="Z1096" s="54" t="s">
        <v>2</v>
      </c>
      <c r="AA1096" s="54" t="s">
        <v>2</v>
      </c>
      <c r="AB1096" s="54" t="s">
        <v>2</v>
      </c>
      <c r="AC1096" s="54" t="s">
        <v>2</v>
      </c>
      <c r="AD1096" s="54" t="s">
        <v>2</v>
      </c>
      <c r="AE1096" s="54" t="s">
        <v>2</v>
      </c>
      <c r="AF1096" s="54" t="s">
        <v>2</v>
      </c>
      <c r="AG1096" s="54" t="s">
        <v>2</v>
      </c>
    </row>
    <row r="1097" ht="15.75" customHeight="1">
      <c r="B1097" s="56"/>
      <c r="U1097" s="46" t="str">
        <f t="array" ref="U1097">IF($D1097="","",IFERROR(_xlfn.XLOOKUP($D1097,'TIR店舗一覧'!$D:$D,'TIR店舗一覧'!$E:$E,""),""))</f>
        <v/>
      </c>
      <c r="V1097" s="54" t="s">
        <v>2</v>
      </c>
      <c r="W1097" s="54" t="s">
        <v>2</v>
      </c>
      <c r="X1097" s="54" t="s">
        <v>2</v>
      </c>
      <c r="Y1097" s="54" t="s">
        <v>2</v>
      </c>
      <c r="Z1097" s="54" t="s">
        <v>2</v>
      </c>
      <c r="AA1097" s="54" t="s">
        <v>2</v>
      </c>
      <c r="AB1097" s="54" t="s">
        <v>2</v>
      </c>
      <c r="AC1097" s="54" t="s">
        <v>2</v>
      </c>
      <c r="AD1097" s="54" t="s">
        <v>2</v>
      </c>
      <c r="AE1097" s="54" t="s">
        <v>2</v>
      </c>
      <c r="AF1097" s="54" t="s">
        <v>2</v>
      </c>
      <c r="AG1097" s="54" t="s">
        <v>2</v>
      </c>
    </row>
    <row r="1098" ht="15.75" customHeight="1">
      <c r="B1098" s="56"/>
      <c r="U1098" s="46" t="str">
        <f t="array" ref="U1098">IF($D1098="","",IFERROR(_xlfn.XLOOKUP($D1098,'TIR店舗一覧'!$D:$D,'TIR店舗一覧'!$E:$E,""),""))</f>
        <v/>
      </c>
      <c r="V1098" s="54" t="s">
        <v>2</v>
      </c>
      <c r="W1098" s="54" t="s">
        <v>2</v>
      </c>
      <c r="X1098" s="54" t="s">
        <v>2</v>
      </c>
      <c r="Y1098" s="54" t="s">
        <v>2</v>
      </c>
      <c r="Z1098" s="54" t="s">
        <v>2</v>
      </c>
      <c r="AA1098" s="54" t="s">
        <v>2</v>
      </c>
      <c r="AB1098" s="54" t="s">
        <v>2</v>
      </c>
      <c r="AC1098" s="54" t="s">
        <v>2</v>
      </c>
      <c r="AD1098" s="54" t="s">
        <v>2</v>
      </c>
      <c r="AE1098" s="54" t="s">
        <v>2</v>
      </c>
      <c r="AF1098" s="54" t="s">
        <v>2</v>
      </c>
      <c r="AG1098" s="54" t="s">
        <v>2</v>
      </c>
    </row>
    <row r="1099" ht="15.75" customHeight="1">
      <c r="B1099" s="56"/>
      <c r="U1099" s="46" t="str">
        <f t="array" ref="U1099">IF($D1099="","",IFERROR(_xlfn.XLOOKUP($D1099,'TIR店舗一覧'!$D:$D,'TIR店舗一覧'!$E:$E,""),""))</f>
        <v/>
      </c>
      <c r="V1099" s="54" t="s">
        <v>2</v>
      </c>
      <c r="W1099" s="54" t="s">
        <v>2</v>
      </c>
      <c r="X1099" s="54" t="s">
        <v>2</v>
      </c>
      <c r="Y1099" s="54" t="s">
        <v>2</v>
      </c>
      <c r="Z1099" s="54" t="s">
        <v>2</v>
      </c>
      <c r="AA1099" s="54" t="s">
        <v>2</v>
      </c>
      <c r="AB1099" s="54" t="s">
        <v>2</v>
      </c>
      <c r="AC1099" s="54" t="s">
        <v>2</v>
      </c>
      <c r="AD1099" s="54" t="s">
        <v>2</v>
      </c>
      <c r="AE1099" s="54" t="s">
        <v>2</v>
      </c>
      <c r="AF1099" s="54" t="s">
        <v>2</v>
      </c>
      <c r="AG1099" s="54" t="s">
        <v>2</v>
      </c>
    </row>
    <row r="1100" ht="15.75" customHeight="1">
      <c r="B1100" s="56"/>
      <c r="U1100" s="46" t="str">
        <f t="array" ref="U1100">IF($D1100="","",IFERROR(_xlfn.XLOOKUP($D1100,'TIR店舗一覧'!$D:$D,'TIR店舗一覧'!$E:$E,""),""))</f>
        <v/>
      </c>
      <c r="V1100" s="54" t="s">
        <v>2</v>
      </c>
      <c r="W1100" s="54" t="s">
        <v>2</v>
      </c>
      <c r="X1100" s="54" t="s">
        <v>2</v>
      </c>
      <c r="Y1100" s="54" t="s">
        <v>2</v>
      </c>
      <c r="Z1100" s="54" t="s">
        <v>2</v>
      </c>
      <c r="AA1100" s="54" t="s">
        <v>2</v>
      </c>
      <c r="AB1100" s="54" t="s">
        <v>2</v>
      </c>
      <c r="AC1100" s="54" t="s">
        <v>2</v>
      </c>
      <c r="AD1100" s="54" t="s">
        <v>2</v>
      </c>
      <c r="AE1100" s="54" t="s">
        <v>2</v>
      </c>
      <c r="AF1100" s="54" t="s">
        <v>2</v>
      </c>
      <c r="AG1100" s="54" t="s">
        <v>2</v>
      </c>
    </row>
    <row r="1101" ht="15.75" customHeight="1">
      <c r="B1101" s="56"/>
      <c r="U1101" s="46" t="str">
        <f t="array" ref="U1101">IF($D1101="","",IFERROR(_xlfn.XLOOKUP($D1101,'TIR店舗一覧'!$D:$D,'TIR店舗一覧'!$E:$E,""),""))</f>
        <v/>
      </c>
      <c r="V1101" s="54" t="s">
        <v>2</v>
      </c>
      <c r="W1101" s="54" t="s">
        <v>2</v>
      </c>
      <c r="X1101" s="54" t="s">
        <v>2</v>
      </c>
      <c r="Y1101" s="54" t="s">
        <v>2</v>
      </c>
      <c r="Z1101" s="54" t="s">
        <v>2</v>
      </c>
      <c r="AA1101" s="54" t="s">
        <v>2</v>
      </c>
      <c r="AB1101" s="54" t="s">
        <v>2</v>
      </c>
      <c r="AC1101" s="54" t="s">
        <v>2</v>
      </c>
      <c r="AD1101" s="54" t="s">
        <v>2</v>
      </c>
      <c r="AE1101" s="54" t="s">
        <v>2</v>
      </c>
      <c r="AF1101" s="54" t="s">
        <v>2</v>
      </c>
      <c r="AG1101" s="54" t="s">
        <v>2</v>
      </c>
    </row>
    <row r="1102" ht="15.75" customHeight="1">
      <c r="B1102" s="56"/>
      <c r="U1102" s="46" t="str">
        <f t="array" ref="U1102">IF($D1102="","",IFERROR(_xlfn.XLOOKUP($D1102,'TIR店舗一覧'!$D:$D,'TIR店舗一覧'!$E:$E,""),""))</f>
        <v/>
      </c>
      <c r="V1102" s="54" t="s">
        <v>2</v>
      </c>
      <c r="W1102" s="54" t="s">
        <v>2</v>
      </c>
      <c r="X1102" s="54" t="s">
        <v>2</v>
      </c>
      <c r="Y1102" s="54" t="s">
        <v>2</v>
      </c>
      <c r="Z1102" s="54" t="s">
        <v>2</v>
      </c>
      <c r="AA1102" s="54" t="s">
        <v>2</v>
      </c>
      <c r="AB1102" s="54" t="s">
        <v>2</v>
      </c>
      <c r="AC1102" s="54" t="s">
        <v>2</v>
      </c>
      <c r="AD1102" s="54" t="s">
        <v>2</v>
      </c>
      <c r="AE1102" s="54" t="s">
        <v>2</v>
      </c>
      <c r="AF1102" s="54" t="s">
        <v>2</v>
      </c>
      <c r="AG1102" s="54" t="s">
        <v>2</v>
      </c>
    </row>
    <row r="1103" ht="15.75" customHeight="1">
      <c r="B1103" s="56"/>
      <c r="U1103" s="46" t="str">
        <f t="array" ref="U1103">IF($D1103="","",IFERROR(_xlfn.XLOOKUP($D1103,'TIR店舗一覧'!$D:$D,'TIR店舗一覧'!$E:$E,""),""))</f>
        <v/>
      </c>
      <c r="V1103" s="54" t="s">
        <v>2</v>
      </c>
      <c r="W1103" s="54" t="s">
        <v>2</v>
      </c>
      <c r="X1103" s="54" t="s">
        <v>2</v>
      </c>
      <c r="Y1103" s="54" t="s">
        <v>2</v>
      </c>
      <c r="Z1103" s="54" t="s">
        <v>2</v>
      </c>
      <c r="AA1103" s="54" t="s">
        <v>2</v>
      </c>
      <c r="AB1103" s="54" t="s">
        <v>2</v>
      </c>
      <c r="AC1103" s="54" t="s">
        <v>2</v>
      </c>
      <c r="AD1103" s="54" t="s">
        <v>2</v>
      </c>
      <c r="AE1103" s="54" t="s">
        <v>2</v>
      </c>
      <c r="AF1103" s="54" t="s">
        <v>2</v>
      </c>
      <c r="AG1103" s="54" t="s">
        <v>2</v>
      </c>
    </row>
    <row r="1104" ht="15.75" customHeight="1">
      <c r="B1104" s="56"/>
      <c r="U1104" s="46" t="str">
        <f t="array" ref="U1104">IF($D1104="","",IFERROR(_xlfn.XLOOKUP($D1104,'TIR店舗一覧'!$D:$D,'TIR店舗一覧'!$E:$E,""),""))</f>
        <v/>
      </c>
      <c r="V1104" s="54" t="s">
        <v>2</v>
      </c>
      <c r="W1104" s="54" t="s">
        <v>2</v>
      </c>
      <c r="X1104" s="54" t="s">
        <v>2</v>
      </c>
      <c r="Y1104" s="54" t="s">
        <v>2</v>
      </c>
      <c r="Z1104" s="54" t="s">
        <v>2</v>
      </c>
      <c r="AA1104" s="54" t="s">
        <v>2</v>
      </c>
      <c r="AB1104" s="54" t="s">
        <v>2</v>
      </c>
      <c r="AC1104" s="54" t="s">
        <v>2</v>
      </c>
      <c r="AD1104" s="54" t="s">
        <v>2</v>
      </c>
      <c r="AE1104" s="54" t="s">
        <v>2</v>
      </c>
      <c r="AF1104" s="54" t="s">
        <v>2</v>
      </c>
      <c r="AG1104" s="54" t="s">
        <v>2</v>
      </c>
    </row>
    <row r="1105" ht="15.75" customHeight="1">
      <c r="B1105" s="56"/>
      <c r="U1105" s="46" t="str">
        <f t="array" ref="U1105">IF($D1105="","",IFERROR(_xlfn.XLOOKUP($D1105,'TIR店舗一覧'!$D:$D,'TIR店舗一覧'!$E:$E,""),""))</f>
        <v/>
      </c>
      <c r="V1105" s="54" t="s">
        <v>2</v>
      </c>
      <c r="W1105" s="54" t="s">
        <v>2</v>
      </c>
      <c r="X1105" s="54" t="s">
        <v>2</v>
      </c>
      <c r="Y1105" s="54" t="s">
        <v>2</v>
      </c>
      <c r="Z1105" s="54" t="s">
        <v>2</v>
      </c>
      <c r="AA1105" s="54" t="s">
        <v>2</v>
      </c>
      <c r="AB1105" s="54" t="s">
        <v>2</v>
      </c>
      <c r="AC1105" s="54" t="s">
        <v>2</v>
      </c>
      <c r="AD1105" s="54" t="s">
        <v>2</v>
      </c>
      <c r="AE1105" s="54" t="s">
        <v>2</v>
      </c>
      <c r="AF1105" s="54" t="s">
        <v>2</v>
      </c>
      <c r="AG1105" s="54" t="s">
        <v>2</v>
      </c>
    </row>
    <row r="1106" ht="15.75" customHeight="1">
      <c r="B1106" s="56"/>
      <c r="U1106" s="46" t="str">
        <f t="array" ref="U1106">IF($D1106="","",IFERROR(_xlfn.XLOOKUP($D1106,'TIR店舗一覧'!$D:$D,'TIR店舗一覧'!$E:$E,""),""))</f>
        <v/>
      </c>
      <c r="V1106" s="54" t="s">
        <v>2</v>
      </c>
      <c r="W1106" s="54" t="s">
        <v>2</v>
      </c>
      <c r="X1106" s="54" t="s">
        <v>2</v>
      </c>
      <c r="Y1106" s="54" t="s">
        <v>2</v>
      </c>
      <c r="Z1106" s="54" t="s">
        <v>2</v>
      </c>
      <c r="AA1106" s="54" t="s">
        <v>2</v>
      </c>
      <c r="AB1106" s="54" t="s">
        <v>2</v>
      </c>
      <c r="AC1106" s="54" t="s">
        <v>2</v>
      </c>
      <c r="AD1106" s="54" t="s">
        <v>2</v>
      </c>
      <c r="AE1106" s="54" t="s">
        <v>2</v>
      </c>
      <c r="AF1106" s="54" t="s">
        <v>2</v>
      </c>
      <c r="AG1106" s="54" t="s">
        <v>2</v>
      </c>
    </row>
    <row r="1107" ht="15.75" customHeight="1">
      <c r="B1107" s="56"/>
      <c r="U1107" s="46" t="str">
        <f t="array" ref="U1107">IF($D1107="","",IFERROR(_xlfn.XLOOKUP($D1107,'TIR店舗一覧'!$D:$D,'TIR店舗一覧'!$E:$E,""),""))</f>
        <v/>
      </c>
      <c r="V1107" s="54" t="s">
        <v>2</v>
      </c>
      <c r="W1107" s="54" t="s">
        <v>2</v>
      </c>
      <c r="X1107" s="54" t="s">
        <v>2</v>
      </c>
      <c r="Y1107" s="54" t="s">
        <v>2</v>
      </c>
      <c r="Z1107" s="54" t="s">
        <v>2</v>
      </c>
      <c r="AA1107" s="54" t="s">
        <v>2</v>
      </c>
      <c r="AB1107" s="54" t="s">
        <v>2</v>
      </c>
      <c r="AC1107" s="54" t="s">
        <v>2</v>
      </c>
      <c r="AD1107" s="54" t="s">
        <v>2</v>
      </c>
      <c r="AE1107" s="54" t="s">
        <v>2</v>
      </c>
      <c r="AF1107" s="54" t="s">
        <v>2</v>
      </c>
      <c r="AG1107" s="54" t="s">
        <v>2</v>
      </c>
    </row>
    <row r="1108" ht="15.75" customHeight="1">
      <c r="B1108" s="56"/>
      <c r="U1108" s="46" t="str">
        <f t="array" ref="U1108">IF($D1108="","",IFERROR(_xlfn.XLOOKUP($D1108,'TIR店舗一覧'!$D:$D,'TIR店舗一覧'!$E:$E,""),""))</f>
        <v/>
      </c>
      <c r="V1108" s="54" t="s">
        <v>2</v>
      </c>
      <c r="W1108" s="54" t="s">
        <v>2</v>
      </c>
      <c r="X1108" s="54" t="s">
        <v>2</v>
      </c>
      <c r="Y1108" s="54" t="s">
        <v>2</v>
      </c>
      <c r="Z1108" s="54" t="s">
        <v>2</v>
      </c>
      <c r="AA1108" s="54" t="s">
        <v>2</v>
      </c>
      <c r="AB1108" s="54" t="s">
        <v>2</v>
      </c>
      <c r="AC1108" s="54" t="s">
        <v>2</v>
      </c>
      <c r="AD1108" s="54" t="s">
        <v>2</v>
      </c>
      <c r="AE1108" s="54" t="s">
        <v>2</v>
      </c>
      <c r="AF1108" s="54" t="s">
        <v>2</v>
      </c>
      <c r="AG1108" s="54" t="s">
        <v>2</v>
      </c>
    </row>
    <row r="1109" ht="15.75" customHeight="1">
      <c r="B1109" s="56"/>
      <c r="U1109" s="46" t="str">
        <f t="array" ref="U1109">IF($D1109="","",IFERROR(_xlfn.XLOOKUP($D1109,'TIR店舗一覧'!$D:$D,'TIR店舗一覧'!$E:$E,""),""))</f>
        <v/>
      </c>
      <c r="V1109" s="54" t="s">
        <v>2</v>
      </c>
      <c r="W1109" s="54" t="s">
        <v>2</v>
      </c>
      <c r="X1109" s="54" t="s">
        <v>2</v>
      </c>
      <c r="Y1109" s="54" t="s">
        <v>2</v>
      </c>
      <c r="Z1109" s="54" t="s">
        <v>2</v>
      </c>
      <c r="AA1109" s="54" t="s">
        <v>2</v>
      </c>
      <c r="AB1109" s="54" t="s">
        <v>2</v>
      </c>
      <c r="AC1109" s="54" t="s">
        <v>2</v>
      </c>
      <c r="AD1109" s="54" t="s">
        <v>2</v>
      </c>
      <c r="AE1109" s="54" t="s">
        <v>2</v>
      </c>
      <c r="AF1109" s="54" t="s">
        <v>2</v>
      </c>
      <c r="AG1109" s="54" t="s">
        <v>2</v>
      </c>
    </row>
    <row r="1110" ht="15.75" customHeight="1">
      <c r="B1110" s="56"/>
      <c r="U1110" s="46" t="str">
        <f t="array" ref="U1110">IF($D1110="","",IFERROR(_xlfn.XLOOKUP($D1110,'TIR店舗一覧'!$D:$D,'TIR店舗一覧'!$E:$E,""),""))</f>
        <v/>
      </c>
      <c r="V1110" s="54" t="s">
        <v>2</v>
      </c>
      <c r="W1110" s="54" t="s">
        <v>2</v>
      </c>
      <c r="X1110" s="54" t="s">
        <v>2</v>
      </c>
      <c r="Y1110" s="54" t="s">
        <v>2</v>
      </c>
      <c r="Z1110" s="54" t="s">
        <v>2</v>
      </c>
      <c r="AA1110" s="54" t="s">
        <v>2</v>
      </c>
      <c r="AB1110" s="54" t="s">
        <v>2</v>
      </c>
      <c r="AC1110" s="54" t="s">
        <v>2</v>
      </c>
      <c r="AD1110" s="54" t="s">
        <v>2</v>
      </c>
      <c r="AE1110" s="54" t="s">
        <v>2</v>
      </c>
      <c r="AF1110" s="54" t="s">
        <v>2</v>
      </c>
      <c r="AG1110" s="54" t="s">
        <v>2</v>
      </c>
    </row>
    <row r="1111" ht="15.75" customHeight="1">
      <c r="B1111" s="56"/>
      <c r="U1111" s="46" t="str">
        <f t="array" ref="U1111">IF($D1111="","",IFERROR(_xlfn.XLOOKUP($D1111,'TIR店舗一覧'!$D:$D,'TIR店舗一覧'!$E:$E,""),""))</f>
        <v/>
      </c>
      <c r="V1111" s="54" t="s">
        <v>2</v>
      </c>
      <c r="W1111" s="54" t="s">
        <v>2</v>
      </c>
      <c r="X1111" s="54" t="s">
        <v>2</v>
      </c>
      <c r="Y1111" s="54" t="s">
        <v>2</v>
      </c>
      <c r="Z1111" s="54" t="s">
        <v>2</v>
      </c>
      <c r="AA1111" s="54" t="s">
        <v>2</v>
      </c>
      <c r="AB1111" s="54" t="s">
        <v>2</v>
      </c>
      <c r="AC1111" s="54" t="s">
        <v>2</v>
      </c>
      <c r="AD1111" s="54" t="s">
        <v>2</v>
      </c>
      <c r="AE1111" s="54" t="s">
        <v>2</v>
      </c>
      <c r="AF1111" s="54" t="s">
        <v>2</v>
      </c>
      <c r="AG1111" s="54" t="s">
        <v>2</v>
      </c>
    </row>
    <row r="1112" ht="15.75" customHeight="1">
      <c r="B1112" s="56"/>
      <c r="U1112" s="46" t="str">
        <f t="array" ref="U1112">IF($D1112="","",IFERROR(_xlfn.XLOOKUP($D1112,'TIR店舗一覧'!$D:$D,'TIR店舗一覧'!$E:$E,""),""))</f>
        <v/>
      </c>
      <c r="V1112" s="54" t="s">
        <v>2</v>
      </c>
      <c r="W1112" s="54" t="s">
        <v>2</v>
      </c>
      <c r="X1112" s="54" t="s">
        <v>2</v>
      </c>
      <c r="Y1112" s="54" t="s">
        <v>2</v>
      </c>
      <c r="Z1112" s="54" t="s">
        <v>2</v>
      </c>
      <c r="AA1112" s="54" t="s">
        <v>2</v>
      </c>
      <c r="AB1112" s="54" t="s">
        <v>2</v>
      </c>
      <c r="AC1112" s="54" t="s">
        <v>2</v>
      </c>
      <c r="AD1112" s="54" t="s">
        <v>2</v>
      </c>
      <c r="AE1112" s="54" t="s">
        <v>2</v>
      </c>
      <c r="AF1112" s="54" t="s">
        <v>2</v>
      </c>
      <c r="AG1112" s="54" t="s">
        <v>2</v>
      </c>
    </row>
    <row r="1113" ht="15.75" customHeight="1">
      <c r="B1113" s="56"/>
      <c r="U1113" s="46" t="str">
        <f t="array" ref="U1113">IF($D1113="","",IFERROR(_xlfn.XLOOKUP($D1113,'TIR店舗一覧'!$D:$D,'TIR店舗一覧'!$E:$E,""),""))</f>
        <v/>
      </c>
      <c r="V1113" s="54" t="s">
        <v>2</v>
      </c>
      <c r="W1113" s="54" t="s">
        <v>2</v>
      </c>
      <c r="X1113" s="54" t="s">
        <v>2</v>
      </c>
      <c r="Y1113" s="54" t="s">
        <v>2</v>
      </c>
      <c r="Z1113" s="54" t="s">
        <v>2</v>
      </c>
      <c r="AA1113" s="54" t="s">
        <v>2</v>
      </c>
      <c r="AB1113" s="54" t="s">
        <v>2</v>
      </c>
      <c r="AC1113" s="54" t="s">
        <v>2</v>
      </c>
      <c r="AD1113" s="54" t="s">
        <v>2</v>
      </c>
      <c r="AE1113" s="54" t="s">
        <v>2</v>
      </c>
      <c r="AF1113" s="54" t="s">
        <v>2</v>
      </c>
      <c r="AG1113" s="54" t="s">
        <v>2</v>
      </c>
    </row>
    <row r="1114" ht="15.75" customHeight="1">
      <c r="B1114" s="56"/>
      <c r="U1114" s="46" t="str">
        <f t="array" ref="U1114">IF($D1114="","",IFERROR(_xlfn.XLOOKUP($D1114,'TIR店舗一覧'!$D:$D,'TIR店舗一覧'!$E:$E,""),""))</f>
        <v/>
      </c>
      <c r="V1114" s="54" t="s">
        <v>2</v>
      </c>
      <c r="W1114" s="54" t="s">
        <v>2</v>
      </c>
      <c r="X1114" s="54" t="s">
        <v>2</v>
      </c>
      <c r="Y1114" s="54" t="s">
        <v>2</v>
      </c>
      <c r="Z1114" s="54" t="s">
        <v>2</v>
      </c>
      <c r="AA1114" s="54" t="s">
        <v>2</v>
      </c>
      <c r="AB1114" s="54" t="s">
        <v>2</v>
      </c>
      <c r="AC1114" s="54" t="s">
        <v>2</v>
      </c>
      <c r="AD1114" s="54" t="s">
        <v>2</v>
      </c>
      <c r="AE1114" s="54" t="s">
        <v>2</v>
      </c>
      <c r="AF1114" s="54" t="s">
        <v>2</v>
      </c>
      <c r="AG1114" s="54" t="s">
        <v>2</v>
      </c>
    </row>
    <row r="1115" ht="15.75" customHeight="1">
      <c r="B1115" s="56"/>
      <c r="U1115" s="46" t="str">
        <f t="array" ref="U1115">IF($D1115="","",IFERROR(_xlfn.XLOOKUP($D1115,'TIR店舗一覧'!$D:$D,'TIR店舗一覧'!$E:$E,""),""))</f>
        <v/>
      </c>
      <c r="V1115" s="54" t="s">
        <v>2</v>
      </c>
      <c r="W1115" s="54" t="s">
        <v>2</v>
      </c>
      <c r="X1115" s="54" t="s">
        <v>2</v>
      </c>
      <c r="Y1115" s="54" t="s">
        <v>2</v>
      </c>
      <c r="Z1115" s="54" t="s">
        <v>2</v>
      </c>
      <c r="AA1115" s="54" t="s">
        <v>2</v>
      </c>
      <c r="AB1115" s="54" t="s">
        <v>2</v>
      </c>
      <c r="AC1115" s="54" t="s">
        <v>2</v>
      </c>
      <c r="AD1115" s="54" t="s">
        <v>2</v>
      </c>
      <c r="AE1115" s="54" t="s">
        <v>2</v>
      </c>
      <c r="AF1115" s="54" t="s">
        <v>2</v>
      </c>
      <c r="AG1115" s="54" t="s">
        <v>2</v>
      </c>
    </row>
    <row r="1116" ht="15.75" customHeight="1">
      <c r="B1116" s="56"/>
      <c r="U1116" s="46" t="str">
        <f t="array" ref="U1116">IF($D1116="","",IFERROR(_xlfn.XLOOKUP($D1116,'TIR店舗一覧'!$D:$D,'TIR店舗一覧'!$E:$E,""),""))</f>
        <v/>
      </c>
      <c r="V1116" s="54" t="s">
        <v>2</v>
      </c>
      <c r="W1116" s="54" t="s">
        <v>2</v>
      </c>
      <c r="X1116" s="54" t="s">
        <v>2</v>
      </c>
      <c r="Y1116" s="54" t="s">
        <v>2</v>
      </c>
      <c r="Z1116" s="54" t="s">
        <v>2</v>
      </c>
      <c r="AA1116" s="54" t="s">
        <v>2</v>
      </c>
      <c r="AB1116" s="54" t="s">
        <v>2</v>
      </c>
      <c r="AC1116" s="54" t="s">
        <v>2</v>
      </c>
      <c r="AD1116" s="54" t="s">
        <v>2</v>
      </c>
      <c r="AE1116" s="54" t="s">
        <v>2</v>
      </c>
      <c r="AF1116" s="54" t="s">
        <v>2</v>
      </c>
      <c r="AG1116" s="54" t="s">
        <v>2</v>
      </c>
    </row>
    <row r="1117" ht="15.75" customHeight="1">
      <c r="B1117" s="56"/>
      <c r="U1117" s="46" t="str">
        <f t="array" ref="U1117">IF($D1117="","",IFERROR(_xlfn.XLOOKUP($D1117,'TIR店舗一覧'!$D:$D,'TIR店舗一覧'!$E:$E,""),""))</f>
        <v/>
      </c>
      <c r="V1117" s="54" t="s">
        <v>2</v>
      </c>
      <c r="W1117" s="54" t="s">
        <v>2</v>
      </c>
      <c r="X1117" s="54" t="s">
        <v>2</v>
      </c>
      <c r="Y1117" s="54" t="s">
        <v>2</v>
      </c>
      <c r="Z1117" s="54" t="s">
        <v>2</v>
      </c>
      <c r="AA1117" s="54" t="s">
        <v>2</v>
      </c>
      <c r="AB1117" s="54" t="s">
        <v>2</v>
      </c>
      <c r="AC1117" s="54" t="s">
        <v>2</v>
      </c>
      <c r="AD1117" s="54" t="s">
        <v>2</v>
      </c>
      <c r="AE1117" s="54" t="s">
        <v>2</v>
      </c>
      <c r="AF1117" s="54" t="s">
        <v>2</v>
      </c>
      <c r="AG1117" s="54" t="s">
        <v>2</v>
      </c>
    </row>
    <row r="1118" ht="15.75" customHeight="1">
      <c r="B1118" s="56"/>
      <c r="U1118" s="46" t="str">
        <f t="array" ref="U1118">IF($D1118="","",IFERROR(_xlfn.XLOOKUP($D1118,'TIR店舗一覧'!$D:$D,'TIR店舗一覧'!$E:$E,""),""))</f>
        <v/>
      </c>
      <c r="V1118" s="54" t="s">
        <v>2</v>
      </c>
      <c r="W1118" s="54" t="s">
        <v>2</v>
      </c>
      <c r="X1118" s="54" t="s">
        <v>2</v>
      </c>
      <c r="Y1118" s="54" t="s">
        <v>2</v>
      </c>
      <c r="Z1118" s="54" t="s">
        <v>2</v>
      </c>
      <c r="AA1118" s="54" t="s">
        <v>2</v>
      </c>
      <c r="AB1118" s="54" t="s">
        <v>2</v>
      </c>
      <c r="AC1118" s="54" t="s">
        <v>2</v>
      </c>
      <c r="AD1118" s="54" t="s">
        <v>2</v>
      </c>
      <c r="AE1118" s="54" t="s">
        <v>2</v>
      </c>
      <c r="AF1118" s="54" t="s">
        <v>2</v>
      </c>
      <c r="AG1118" s="54" t="s">
        <v>2</v>
      </c>
    </row>
    <row r="1119" ht="15.75" customHeight="1">
      <c r="B1119" s="56"/>
      <c r="U1119" s="46" t="str">
        <f t="array" ref="U1119">IF($D1119="","",IFERROR(_xlfn.XLOOKUP($D1119,'TIR店舗一覧'!$D:$D,'TIR店舗一覧'!$E:$E,""),""))</f>
        <v/>
      </c>
      <c r="V1119" s="54" t="s">
        <v>2</v>
      </c>
      <c r="W1119" s="54" t="s">
        <v>2</v>
      </c>
      <c r="X1119" s="54" t="s">
        <v>2</v>
      </c>
      <c r="Y1119" s="54" t="s">
        <v>2</v>
      </c>
      <c r="Z1119" s="54" t="s">
        <v>2</v>
      </c>
      <c r="AA1119" s="54" t="s">
        <v>2</v>
      </c>
      <c r="AB1119" s="54" t="s">
        <v>2</v>
      </c>
      <c r="AC1119" s="54" t="s">
        <v>2</v>
      </c>
      <c r="AD1119" s="54" t="s">
        <v>2</v>
      </c>
      <c r="AE1119" s="54" t="s">
        <v>2</v>
      </c>
      <c r="AF1119" s="54" t="s">
        <v>2</v>
      </c>
      <c r="AG1119" s="54" t="s">
        <v>2</v>
      </c>
    </row>
    <row r="1120" ht="15.75" customHeight="1">
      <c r="B1120" s="56"/>
      <c r="U1120" s="46" t="str">
        <f t="array" ref="U1120">IF($D1120="","",IFERROR(_xlfn.XLOOKUP($D1120,'TIR店舗一覧'!$D:$D,'TIR店舗一覧'!$E:$E,""),""))</f>
        <v/>
      </c>
      <c r="V1120" s="54" t="s">
        <v>2</v>
      </c>
      <c r="W1120" s="54" t="s">
        <v>2</v>
      </c>
      <c r="X1120" s="54" t="s">
        <v>2</v>
      </c>
      <c r="Y1120" s="54" t="s">
        <v>2</v>
      </c>
      <c r="Z1120" s="54" t="s">
        <v>2</v>
      </c>
      <c r="AA1120" s="54" t="s">
        <v>2</v>
      </c>
      <c r="AB1120" s="54" t="s">
        <v>2</v>
      </c>
      <c r="AC1120" s="54" t="s">
        <v>2</v>
      </c>
      <c r="AD1120" s="54" t="s">
        <v>2</v>
      </c>
      <c r="AE1120" s="54" t="s">
        <v>2</v>
      </c>
      <c r="AF1120" s="54" t="s">
        <v>2</v>
      </c>
      <c r="AG1120" s="54" t="s">
        <v>2</v>
      </c>
    </row>
    <row r="1121" ht="15.75" customHeight="1">
      <c r="B1121" s="56"/>
      <c r="U1121" s="46" t="str">
        <f t="array" ref="U1121">IF($D1121="","",IFERROR(_xlfn.XLOOKUP($D1121,'TIR店舗一覧'!$D:$D,'TIR店舗一覧'!$E:$E,""),""))</f>
        <v/>
      </c>
      <c r="V1121" s="54" t="s">
        <v>2</v>
      </c>
      <c r="W1121" s="54" t="s">
        <v>2</v>
      </c>
      <c r="X1121" s="54" t="s">
        <v>2</v>
      </c>
      <c r="Y1121" s="54" t="s">
        <v>2</v>
      </c>
      <c r="Z1121" s="54" t="s">
        <v>2</v>
      </c>
      <c r="AA1121" s="54" t="s">
        <v>2</v>
      </c>
      <c r="AB1121" s="54" t="s">
        <v>2</v>
      </c>
      <c r="AC1121" s="54" t="s">
        <v>2</v>
      </c>
      <c r="AD1121" s="54" t="s">
        <v>2</v>
      </c>
      <c r="AE1121" s="54" t="s">
        <v>2</v>
      </c>
      <c r="AF1121" s="54" t="s">
        <v>2</v>
      </c>
      <c r="AG1121" s="54" t="s">
        <v>2</v>
      </c>
    </row>
    <row r="1122" ht="15.75" customHeight="1">
      <c r="B1122" s="56"/>
      <c r="U1122" s="46" t="str">
        <f t="array" ref="U1122">IF($D1122="","",IFERROR(_xlfn.XLOOKUP($D1122,'TIR店舗一覧'!$D:$D,'TIR店舗一覧'!$E:$E,""),""))</f>
        <v/>
      </c>
      <c r="V1122" s="54" t="s">
        <v>2</v>
      </c>
      <c r="W1122" s="54" t="s">
        <v>2</v>
      </c>
      <c r="X1122" s="54" t="s">
        <v>2</v>
      </c>
      <c r="Y1122" s="54" t="s">
        <v>2</v>
      </c>
      <c r="Z1122" s="54" t="s">
        <v>2</v>
      </c>
      <c r="AA1122" s="54" t="s">
        <v>2</v>
      </c>
      <c r="AB1122" s="54" t="s">
        <v>2</v>
      </c>
      <c r="AC1122" s="54" t="s">
        <v>2</v>
      </c>
      <c r="AD1122" s="54" t="s">
        <v>2</v>
      </c>
      <c r="AE1122" s="54" t="s">
        <v>2</v>
      </c>
      <c r="AF1122" s="54" t="s">
        <v>2</v>
      </c>
      <c r="AG1122" s="54" t="s">
        <v>2</v>
      </c>
    </row>
    <row r="1123" ht="15.75" customHeight="1">
      <c r="B1123" s="56"/>
      <c r="U1123" s="46" t="str">
        <f t="array" ref="U1123">IF($D1123="","",IFERROR(_xlfn.XLOOKUP($D1123,'TIR店舗一覧'!$D:$D,'TIR店舗一覧'!$E:$E,""),""))</f>
        <v/>
      </c>
      <c r="V1123" s="54" t="s">
        <v>2</v>
      </c>
      <c r="W1123" s="54" t="s">
        <v>2</v>
      </c>
      <c r="X1123" s="54" t="s">
        <v>2</v>
      </c>
      <c r="Y1123" s="54" t="s">
        <v>2</v>
      </c>
      <c r="Z1123" s="54" t="s">
        <v>2</v>
      </c>
      <c r="AA1123" s="54" t="s">
        <v>2</v>
      </c>
      <c r="AB1123" s="54" t="s">
        <v>2</v>
      </c>
      <c r="AC1123" s="54" t="s">
        <v>2</v>
      </c>
      <c r="AD1123" s="54" t="s">
        <v>2</v>
      </c>
      <c r="AE1123" s="54" t="s">
        <v>2</v>
      </c>
      <c r="AF1123" s="54" t="s">
        <v>2</v>
      </c>
      <c r="AG1123" s="54" t="s">
        <v>2</v>
      </c>
    </row>
    <row r="1124" ht="15.75" customHeight="1">
      <c r="B1124" s="56"/>
      <c r="U1124" s="46" t="str">
        <f t="array" ref="U1124">IF($D1124="","",IFERROR(_xlfn.XLOOKUP($D1124,'TIR店舗一覧'!$D:$D,'TIR店舗一覧'!$E:$E,""),""))</f>
        <v/>
      </c>
      <c r="V1124" s="54" t="s">
        <v>2</v>
      </c>
      <c r="W1124" s="54" t="s">
        <v>2</v>
      </c>
      <c r="X1124" s="54" t="s">
        <v>2</v>
      </c>
      <c r="Y1124" s="54" t="s">
        <v>2</v>
      </c>
      <c r="Z1124" s="54" t="s">
        <v>2</v>
      </c>
      <c r="AA1124" s="54" t="s">
        <v>2</v>
      </c>
      <c r="AB1124" s="54" t="s">
        <v>2</v>
      </c>
      <c r="AC1124" s="54" t="s">
        <v>2</v>
      </c>
      <c r="AD1124" s="54" t="s">
        <v>2</v>
      </c>
      <c r="AE1124" s="54" t="s">
        <v>2</v>
      </c>
      <c r="AF1124" s="54" t="s">
        <v>2</v>
      </c>
      <c r="AG1124" s="54" t="s">
        <v>2</v>
      </c>
    </row>
    <row r="1125" ht="15.75" customHeight="1">
      <c r="B1125" s="56"/>
      <c r="U1125" s="46" t="str">
        <f t="array" ref="U1125">IF($D1125="","",IFERROR(_xlfn.XLOOKUP($D1125,'TIR店舗一覧'!$D:$D,'TIR店舗一覧'!$E:$E,""),""))</f>
        <v/>
      </c>
      <c r="V1125" s="54" t="s">
        <v>2</v>
      </c>
      <c r="W1125" s="54" t="s">
        <v>2</v>
      </c>
      <c r="X1125" s="54" t="s">
        <v>2</v>
      </c>
      <c r="Y1125" s="54" t="s">
        <v>2</v>
      </c>
      <c r="Z1125" s="54" t="s">
        <v>2</v>
      </c>
      <c r="AA1125" s="54" t="s">
        <v>2</v>
      </c>
      <c r="AB1125" s="54" t="s">
        <v>2</v>
      </c>
      <c r="AC1125" s="54" t="s">
        <v>2</v>
      </c>
      <c r="AD1125" s="54" t="s">
        <v>2</v>
      </c>
      <c r="AE1125" s="54" t="s">
        <v>2</v>
      </c>
      <c r="AF1125" s="54" t="s">
        <v>2</v>
      </c>
      <c r="AG1125" s="54" t="s">
        <v>2</v>
      </c>
    </row>
    <row r="1126" ht="15.75" customHeight="1">
      <c r="B1126" s="56"/>
      <c r="U1126" s="46" t="str">
        <f t="array" ref="U1126">IF($D1126="","",IFERROR(_xlfn.XLOOKUP($D1126,'TIR店舗一覧'!$D:$D,'TIR店舗一覧'!$E:$E,""),""))</f>
        <v/>
      </c>
      <c r="V1126" s="54" t="s">
        <v>2</v>
      </c>
      <c r="W1126" s="54" t="s">
        <v>2</v>
      </c>
      <c r="X1126" s="54" t="s">
        <v>2</v>
      </c>
      <c r="Y1126" s="54" t="s">
        <v>2</v>
      </c>
      <c r="Z1126" s="54" t="s">
        <v>2</v>
      </c>
      <c r="AA1126" s="54" t="s">
        <v>2</v>
      </c>
      <c r="AB1126" s="54" t="s">
        <v>2</v>
      </c>
      <c r="AC1126" s="54" t="s">
        <v>2</v>
      </c>
      <c r="AD1126" s="54" t="s">
        <v>2</v>
      </c>
      <c r="AE1126" s="54" t="s">
        <v>2</v>
      </c>
      <c r="AF1126" s="54" t="s">
        <v>2</v>
      </c>
      <c r="AG1126" s="54" t="s">
        <v>2</v>
      </c>
    </row>
    <row r="1127" ht="15.75" customHeight="1">
      <c r="B1127" s="56"/>
      <c r="U1127" s="46" t="str">
        <f t="array" ref="U1127">IF($D1127="","",IFERROR(_xlfn.XLOOKUP($D1127,'TIR店舗一覧'!$D:$D,'TIR店舗一覧'!$E:$E,""),""))</f>
        <v/>
      </c>
      <c r="V1127" s="54" t="s">
        <v>2</v>
      </c>
      <c r="W1127" s="54" t="s">
        <v>2</v>
      </c>
      <c r="X1127" s="54" t="s">
        <v>2</v>
      </c>
      <c r="Y1127" s="54" t="s">
        <v>2</v>
      </c>
      <c r="Z1127" s="54" t="s">
        <v>2</v>
      </c>
      <c r="AA1127" s="54" t="s">
        <v>2</v>
      </c>
      <c r="AB1127" s="54" t="s">
        <v>2</v>
      </c>
      <c r="AC1127" s="54" t="s">
        <v>2</v>
      </c>
      <c r="AD1127" s="54" t="s">
        <v>2</v>
      </c>
      <c r="AE1127" s="54" t="s">
        <v>2</v>
      </c>
      <c r="AF1127" s="54" t="s">
        <v>2</v>
      </c>
      <c r="AG1127" s="54" t="s">
        <v>2</v>
      </c>
    </row>
    <row r="1128" ht="15.75" customHeight="1">
      <c r="B1128" s="56"/>
      <c r="U1128" s="46" t="str">
        <f t="array" ref="U1128">IF($D1128="","",IFERROR(_xlfn.XLOOKUP($D1128,'TIR店舗一覧'!$D:$D,'TIR店舗一覧'!$E:$E,""),""))</f>
        <v/>
      </c>
      <c r="V1128" s="54" t="s">
        <v>2</v>
      </c>
      <c r="W1128" s="54" t="s">
        <v>2</v>
      </c>
      <c r="X1128" s="54" t="s">
        <v>2</v>
      </c>
      <c r="Y1128" s="54" t="s">
        <v>2</v>
      </c>
      <c r="Z1128" s="54" t="s">
        <v>2</v>
      </c>
      <c r="AA1128" s="54" t="s">
        <v>2</v>
      </c>
      <c r="AB1128" s="54" t="s">
        <v>2</v>
      </c>
      <c r="AC1128" s="54" t="s">
        <v>2</v>
      </c>
      <c r="AD1128" s="54" t="s">
        <v>2</v>
      </c>
      <c r="AE1128" s="54" t="s">
        <v>2</v>
      </c>
      <c r="AF1128" s="54" t="s">
        <v>2</v>
      </c>
      <c r="AG1128" s="54" t="s">
        <v>2</v>
      </c>
    </row>
    <row r="1129" ht="15.75" customHeight="1">
      <c r="B1129" s="56"/>
      <c r="U1129" s="46" t="str">
        <f t="array" ref="U1129">IF($D1129="","",IFERROR(_xlfn.XLOOKUP($D1129,'TIR店舗一覧'!$D:$D,'TIR店舗一覧'!$E:$E,""),""))</f>
        <v/>
      </c>
      <c r="V1129" s="54" t="s">
        <v>2</v>
      </c>
      <c r="W1129" s="54" t="s">
        <v>2</v>
      </c>
      <c r="X1129" s="54" t="s">
        <v>2</v>
      </c>
      <c r="Y1129" s="54" t="s">
        <v>2</v>
      </c>
      <c r="Z1129" s="54" t="s">
        <v>2</v>
      </c>
      <c r="AA1129" s="54" t="s">
        <v>2</v>
      </c>
      <c r="AB1129" s="54" t="s">
        <v>2</v>
      </c>
      <c r="AC1129" s="54" t="s">
        <v>2</v>
      </c>
      <c r="AD1129" s="54" t="s">
        <v>2</v>
      </c>
      <c r="AE1129" s="54" t="s">
        <v>2</v>
      </c>
      <c r="AF1129" s="54" t="s">
        <v>2</v>
      </c>
      <c r="AG1129" s="54" t="s">
        <v>2</v>
      </c>
    </row>
    <row r="1130" ht="15.75" customHeight="1">
      <c r="B1130" s="56"/>
      <c r="U1130" s="46" t="str">
        <f t="array" ref="U1130">IF($D1130="","",IFERROR(_xlfn.XLOOKUP($D1130,'TIR店舗一覧'!$D:$D,'TIR店舗一覧'!$E:$E,""),""))</f>
        <v/>
      </c>
      <c r="V1130" s="54" t="s">
        <v>2</v>
      </c>
      <c r="W1130" s="54" t="s">
        <v>2</v>
      </c>
      <c r="X1130" s="54" t="s">
        <v>2</v>
      </c>
      <c r="Y1130" s="54" t="s">
        <v>2</v>
      </c>
      <c r="Z1130" s="54" t="s">
        <v>2</v>
      </c>
      <c r="AA1130" s="54" t="s">
        <v>2</v>
      </c>
      <c r="AB1130" s="54" t="s">
        <v>2</v>
      </c>
      <c r="AC1130" s="54" t="s">
        <v>2</v>
      </c>
      <c r="AD1130" s="54" t="s">
        <v>2</v>
      </c>
      <c r="AE1130" s="54" t="s">
        <v>2</v>
      </c>
      <c r="AF1130" s="54" t="s">
        <v>2</v>
      </c>
      <c r="AG1130" s="54" t="s">
        <v>2</v>
      </c>
    </row>
    <row r="1131" ht="15.75" customHeight="1">
      <c r="B1131" s="56"/>
      <c r="U1131" s="46" t="str">
        <f t="array" ref="U1131">IF($D1131="","",IFERROR(_xlfn.XLOOKUP($D1131,'TIR店舗一覧'!$D:$D,'TIR店舗一覧'!$E:$E,""),""))</f>
        <v/>
      </c>
      <c r="V1131" s="54" t="s">
        <v>2</v>
      </c>
      <c r="W1131" s="54" t="s">
        <v>2</v>
      </c>
      <c r="X1131" s="54" t="s">
        <v>2</v>
      </c>
      <c r="Y1131" s="54" t="s">
        <v>2</v>
      </c>
      <c r="Z1131" s="54" t="s">
        <v>2</v>
      </c>
      <c r="AA1131" s="54" t="s">
        <v>2</v>
      </c>
      <c r="AB1131" s="54" t="s">
        <v>2</v>
      </c>
      <c r="AC1131" s="54" t="s">
        <v>2</v>
      </c>
      <c r="AD1131" s="54" t="s">
        <v>2</v>
      </c>
      <c r="AE1131" s="54" t="s">
        <v>2</v>
      </c>
      <c r="AF1131" s="54" t="s">
        <v>2</v>
      </c>
      <c r="AG1131" s="54" t="s">
        <v>2</v>
      </c>
    </row>
    <row r="1132" ht="15.75" customHeight="1">
      <c r="B1132" s="56"/>
      <c r="U1132" s="46" t="str">
        <f t="array" ref="U1132">IF($D1132="","",IFERROR(_xlfn.XLOOKUP($D1132,'TIR店舗一覧'!$D:$D,'TIR店舗一覧'!$E:$E,""),""))</f>
        <v/>
      </c>
      <c r="V1132" s="54" t="s">
        <v>2</v>
      </c>
      <c r="W1132" s="54" t="s">
        <v>2</v>
      </c>
      <c r="X1132" s="54" t="s">
        <v>2</v>
      </c>
      <c r="Y1132" s="54" t="s">
        <v>2</v>
      </c>
      <c r="Z1132" s="54" t="s">
        <v>2</v>
      </c>
      <c r="AA1132" s="54" t="s">
        <v>2</v>
      </c>
      <c r="AB1132" s="54" t="s">
        <v>2</v>
      </c>
      <c r="AC1132" s="54" t="s">
        <v>2</v>
      </c>
      <c r="AD1132" s="54" t="s">
        <v>2</v>
      </c>
      <c r="AE1132" s="54" t="s">
        <v>2</v>
      </c>
      <c r="AF1132" s="54" t="s">
        <v>2</v>
      </c>
      <c r="AG1132" s="54" t="s">
        <v>2</v>
      </c>
    </row>
    <row r="1133" ht="15.75" customHeight="1">
      <c r="B1133" s="56"/>
      <c r="U1133" s="46" t="str">
        <f t="array" ref="U1133">IF($D1133="","",IFERROR(_xlfn.XLOOKUP($D1133,'TIR店舗一覧'!$D:$D,'TIR店舗一覧'!$E:$E,""),""))</f>
        <v/>
      </c>
      <c r="V1133" s="54" t="s">
        <v>2</v>
      </c>
      <c r="W1133" s="54" t="s">
        <v>2</v>
      </c>
      <c r="X1133" s="54" t="s">
        <v>2</v>
      </c>
      <c r="Y1133" s="54" t="s">
        <v>2</v>
      </c>
      <c r="Z1133" s="54" t="s">
        <v>2</v>
      </c>
      <c r="AA1133" s="54" t="s">
        <v>2</v>
      </c>
      <c r="AB1133" s="54" t="s">
        <v>2</v>
      </c>
      <c r="AC1133" s="54" t="s">
        <v>2</v>
      </c>
      <c r="AD1133" s="54" t="s">
        <v>2</v>
      </c>
      <c r="AE1133" s="54" t="s">
        <v>2</v>
      </c>
      <c r="AF1133" s="54" t="s">
        <v>2</v>
      </c>
      <c r="AG1133" s="54" t="s">
        <v>2</v>
      </c>
    </row>
    <row r="1134" ht="15.75" customHeight="1">
      <c r="B1134" s="56"/>
      <c r="U1134" s="46" t="str">
        <f t="array" ref="U1134">IF($D1134="","",IFERROR(_xlfn.XLOOKUP($D1134,'TIR店舗一覧'!$D:$D,'TIR店舗一覧'!$E:$E,""),""))</f>
        <v/>
      </c>
      <c r="V1134" s="54" t="s">
        <v>2</v>
      </c>
      <c r="W1134" s="54" t="s">
        <v>2</v>
      </c>
      <c r="X1134" s="54" t="s">
        <v>2</v>
      </c>
      <c r="Y1134" s="54" t="s">
        <v>2</v>
      </c>
      <c r="Z1134" s="54" t="s">
        <v>2</v>
      </c>
      <c r="AA1134" s="54" t="s">
        <v>2</v>
      </c>
      <c r="AB1134" s="54" t="s">
        <v>2</v>
      </c>
      <c r="AC1134" s="54" t="s">
        <v>2</v>
      </c>
      <c r="AD1134" s="54" t="s">
        <v>2</v>
      </c>
      <c r="AE1134" s="54" t="s">
        <v>2</v>
      </c>
      <c r="AF1134" s="54" t="s">
        <v>2</v>
      </c>
      <c r="AG1134" s="54" t="s">
        <v>2</v>
      </c>
    </row>
    <row r="1135" ht="15.75" customHeight="1">
      <c r="B1135" s="56"/>
      <c r="U1135" s="46" t="str">
        <f t="array" ref="U1135">IF($D1135="","",IFERROR(_xlfn.XLOOKUP($D1135,'TIR店舗一覧'!$D:$D,'TIR店舗一覧'!$E:$E,""),""))</f>
        <v/>
      </c>
      <c r="V1135" s="54" t="s">
        <v>2</v>
      </c>
      <c r="W1135" s="54" t="s">
        <v>2</v>
      </c>
      <c r="X1135" s="54" t="s">
        <v>2</v>
      </c>
      <c r="Y1135" s="54" t="s">
        <v>2</v>
      </c>
      <c r="Z1135" s="54" t="s">
        <v>2</v>
      </c>
      <c r="AA1135" s="54" t="s">
        <v>2</v>
      </c>
      <c r="AB1135" s="54" t="s">
        <v>2</v>
      </c>
      <c r="AC1135" s="54" t="s">
        <v>2</v>
      </c>
      <c r="AD1135" s="54" t="s">
        <v>2</v>
      </c>
      <c r="AE1135" s="54" t="s">
        <v>2</v>
      </c>
      <c r="AF1135" s="54" t="s">
        <v>2</v>
      </c>
      <c r="AG1135" s="54" t="s">
        <v>2</v>
      </c>
    </row>
    <row r="1136" ht="15.75" customHeight="1">
      <c r="B1136" s="56"/>
      <c r="U1136" s="46" t="str">
        <f t="array" ref="U1136">IF($D1136="","",IFERROR(_xlfn.XLOOKUP($D1136,'TIR店舗一覧'!$D:$D,'TIR店舗一覧'!$E:$E,""),""))</f>
        <v/>
      </c>
      <c r="V1136" s="54" t="s">
        <v>2</v>
      </c>
      <c r="W1136" s="54" t="s">
        <v>2</v>
      </c>
      <c r="X1136" s="54" t="s">
        <v>2</v>
      </c>
      <c r="Y1136" s="54" t="s">
        <v>2</v>
      </c>
      <c r="Z1136" s="54" t="s">
        <v>2</v>
      </c>
      <c r="AA1136" s="54" t="s">
        <v>2</v>
      </c>
      <c r="AB1136" s="54" t="s">
        <v>2</v>
      </c>
      <c r="AC1136" s="54" t="s">
        <v>2</v>
      </c>
      <c r="AD1136" s="54" t="s">
        <v>2</v>
      </c>
      <c r="AE1136" s="54" t="s">
        <v>2</v>
      </c>
      <c r="AF1136" s="54" t="s">
        <v>2</v>
      </c>
      <c r="AG1136" s="54" t="s">
        <v>2</v>
      </c>
    </row>
    <row r="1137" ht="15.75" customHeight="1">
      <c r="B1137" s="56"/>
      <c r="U1137" s="46" t="str">
        <f t="array" ref="U1137">IF($D1137="","",IFERROR(_xlfn.XLOOKUP($D1137,'TIR店舗一覧'!$D:$D,'TIR店舗一覧'!$E:$E,""),""))</f>
        <v/>
      </c>
      <c r="V1137" s="54" t="s">
        <v>2</v>
      </c>
      <c r="W1137" s="54" t="s">
        <v>2</v>
      </c>
      <c r="X1137" s="54" t="s">
        <v>2</v>
      </c>
      <c r="Y1137" s="54" t="s">
        <v>2</v>
      </c>
      <c r="Z1137" s="54" t="s">
        <v>2</v>
      </c>
      <c r="AA1137" s="54" t="s">
        <v>2</v>
      </c>
      <c r="AB1137" s="54" t="s">
        <v>2</v>
      </c>
      <c r="AC1137" s="54" t="s">
        <v>2</v>
      </c>
      <c r="AD1137" s="54" t="s">
        <v>2</v>
      </c>
      <c r="AE1137" s="54" t="s">
        <v>2</v>
      </c>
      <c r="AF1137" s="54" t="s">
        <v>2</v>
      </c>
      <c r="AG1137" s="54" t="s">
        <v>2</v>
      </c>
    </row>
    <row r="1138" ht="15.75" customHeight="1">
      <c r="B1138" s="56"/>
      <c r="U1138" s="46" t="str">
        <f t="array" ref="U1138">IF($D1138="","",IFERROR(_xlfn.XLOOKUP($D1138,'TIR店舗一覧'!$D:$D,'TIR店舗一覧'!$E:$E,""),""))</f>
        <v/>
      </c>
      <c r="V1138" s="54" t="s">
        <v>2</v>
      </c>
      <c r="W1138" s="54" t="s">
        <v>2</v>
      </c>
      <c r="X1138" s="54" t="s">
        <v>2</v>
      </c>
      <c r="Y1138" s="54" t="s">
        <v>2</v>
      </c>
      <c r="Z1138" s="54" t="s">
        <v>2</v>
      </c>
      <c r="AA1138" s="54" t="s">
        <v>2</v>
      </c>
      <c r="AB1138" s="54" t="s">
        <v>2</v>
      </c>
      <c r="AC1138" s="54" t="s">
        <v>2</v>
      </c>
      <c r="AD1138" s="54" t="s">
        <v>2</v>
      </c>
      <c r="AE1138" s="54" t="s">
        <v>2</v>
      </c>
      <c r="AF1138" s="54" t="s">
        <v>2</v>
      </c>
      <c r="AG1138" s="54" t="s">
        <v>2</v>
      </c>
    </row>
    <row r="1139" ht="15.75" customHeight="1">
      <c r="B1139" s="56"/>
      <c r="U1139" s="46" t="str">
        <f t="array" ref="U1139">IF($D1139="","",IFERROR(_xlfn.XLOOKUP($D1139,'TIR店舗一覧'!$D:$D,'TIR店舗一覧'!$E:$E,""),""))</f>
        <v/>
      </c>
      <c r="V1139" s="54" t="s">
        <v>2</v>
      </c>
      <c r="W1139" s="54" t="s">
        <v>2</v>
      </c>
      <c r="X1139" s="54" t="s">
        <v>2</v>
      </c>
      <c r="Y1139" s="54" t="s">
        <v>2</v>
      </c>
      <c r="Z1139" s="54" t="s">
        <v>2</v>
      </c>
      <c r="AA1139" s="54" t="s">
        <v>2</v>
      </c>
      <c r="AB1139" s="54" t="s">
        <v>2</v>
      </c>
      <c r="AC1139" s="54" t="s">
        <v>2</v>
      </c>
      <c r="AD1139" s="54" t="s">
        <v>2</v>
      </c>
      <c r="AE1139" s="54" t="s">
        <v>2</v>
      </c>
      <c r="AF1139" s="54" t="s">
        <v>2</v>
      </c>
      <c r="AG1139" s="54" t="s">
        <v>2</v>
      </c>
    </row>
    <row r="1140" ht="15.75" customHeight="1">
      <c r="B1140" s="56"/>
      <c r="U1140" s="46" t="str">
        <f t="array" ref="U1140">IF($D1140="","",IFERROR(_xlfn.XLOOKUP($D1140,'TIR店舗一覧'!$D:$D,'TIR店舗一覧'!$E:$E,""),""))</f>
        <v/>
      </c>
      <c r="V1140" s="54" t="s">
        <v>2</v>
      </c>
      <c r="W1140" s="54" t="s">
        <v>2</v>
      </c>
      <c r="X1140" s="54" t="s">
        <v>2</v>
      </c>
      <c r="Y1140" s="54" t="s">
        <v>2</v>
      </c>
      <c r="Z1140" s="54" t="s">
        <v>2</v>
      </c>
      <c r="AA1140" s="54" t="s">
        <v>2</v>
      </c>
      <c r="AB1140" s="54" t="s">
        <v>2</v>
      </c>
      <c r="AC1140" s="54" t="s">
        <v>2</v>
      </c>
      <c r="AD1140" s="54" t="s">
        <v>2</v>
      </c>
      <c r="AE1140" s="54" t="s">
        <v>2</v>
      </c>
      <c r="AF1140" s="54" t="s">
        <v>2</v>
      </c>
      <c r="AG1140" s="54" t="s">
        <v>2</v>
      </c>
    </row>
    <row r="1141" ht="15.75" customHeight="1">
      <c r="B1141" s="56"/>
      <c r="U1141" s="46" t="str">
        <f t="array" ref="U1141">IF($D1141="","",IFERROR(_xlfn.XLOOKUP($D1141,'TIR店舗一覧'!$D:$D,'TIR店舗一覧'!$E:$E,""),""))</f>
        <v/>
      </c>
      <c r="V1141" s="54" t="s">
        <v>2</v>
      </c>
      <c r="W1141" s="54" t="s">
        <v>2</v>
      </c>
      <c r="X1141" s="54" t="s">
        <v>2</v>
      </c>
      <c r="Y1141" s="54" t="s">
        <v>2</v>
      </c>
      <c r="Z1141" s="54" t="s">
        <v>2</v>
      </c>
      <c r="AA1141" s="54" t="s">
        <v>2</v>
      </c>
      <c r="AB1141" s="54" t="s">
        <v>2</v>
      </c>
      <c r="AC1141" s="54" t="s">
        <v>2</v>
      </c>
      <c r="AD1141" s="54" t="s">
        <v>2</v>
      </c>
      <c r="AE1141" s="54" t="s">
        <v>2</v>
      </c>
      <c r="AF1141" s="54" t="s">
        <v>2</v>
      </c>
      <c r="AG1141" s="54" t="s">
        <v>2</v>
      </c>
    </row>
    <row r="1142" ht="15.75" customHeight="1">
      <c r="B1142" s="56"/>
      <c r="U1142" s="46" t="str">
        <f t="array" ref="U1142">IF($D1142="","",IFERROR(_xlfn.XLOOKUP($D1142,'TIR店舗一覧'!$D:$D,'TIR店舗一覧'!$E:$E,""),""))</f>
        <v/>
      </c>
      <c r="V1142" s="54" t="s">
        <v>2</v>
      </c>
      <c r="W1142" s="54" t="s">
        <v>2</v>
      </c>
      <c r="X1142" s="54" t="s">
        <v>2</v>
      </c>
      <c r="Y1142" s="54" t="s">
        <v>2</v>
      </c>
      <c r="Z1142" s="54" t="s">
        <v>2</v>
      </c>
      <c r="AA1142" s="54" t="s">
        <v>2</v>
      </c>
      <c r="AB1142" s="54" t="s">
        <v>2</v>
      </c>
      <c r="AC1142" s="54" t="s">
        <v>2</v>
      </c>
      <c r="AD1142" s="54" t="s">
        <v>2</v>
      </c>
      <c r="AE1142" s="54" t="s">
        <v>2</v>
      </c>
      <c r="AF1142" s="54" t="s">
        <v>2</v>
      </c>
      <c r="AG1142" s="54" t="s">
        <v>2</v>
      </c>
    </row>
    <row r="1143" ht="15.75" customHeight="1">
      <c r="B1143" s="56"/>
      <c r="U1143" s="46" t="str">
        <f t="array" ref="U1143">IF($D1143="","",IFERROR(_xlfn.XLOOKUP($D1143,'TIR店舗一覧'!$D:$D,'TIR店舗一覧'!$E:$E,""),""))</f>
        <v/>
      </c>
      <c r="V1143" s="54" t="s">
        <v>2</v>
      </c>
      <c r="W1143" s="54" t="s">
        <v>2</v>
      </c>
      <c r="X1143" s="54" t="s">
        <v>2</v>
      </c>
      <c r="Y1143" s="54" t="s">
        <v>2</v>
      </c>
      <c r="Z1143" s="54" t="s">
        <v>2</v>
      </c>
      <c r="AA1143" s="54" t="s">
        <v>2</v>
      </c>
      <c r="AB1143" s="54" t="s">
        <v>2</v>
      </c>
      <c r="AC1143" s="54" t="s">
        <v>2</v>
      </c>
      <c r="AD1143" s="54" t="s">
        <v>2</v>
      </c>
      <c r="AE1143" s="54" t="s">
        <v>2</v>
      </c>
      <c r="AF1143" s="54" t="s">
        <v>2</v>
      </c>
      <c r="AG1143" s="54" t="s">
        <v>2</v>
      </c>
    </row>
    <row r="1144" ht="15.75" customHeight="1">
      <c r="B1144" s="56"/>
      <c r="U1144" s="46" t="str">
        <f t="array" ref="U1144">IF($D1144="","",IFERROR(_xlfn.XLOOKUP($D1144,'TIR店舗一覧'!$D:$D,'TIR店舗一覧'!$E:$E,""),""))</f>
        <v/>
      </c>
      <c r="V1144" s="54" t="s">
        <v>2</v>
      </c>
      <c r="W1144" s="54" t="s">
        <v>2</v>
      </c>
      <c r="X1144" s="54" t="s">
        <v>2</v>
      </c>
      <c r="Y1144" s="54" t="s">
        <v>2</v>
      </c>
      <c r="Z1144" s="54" t="s">
        <v>2</v>
      </c>
      <c r="AA1144" s="54" t="s">
        <v>2</v>
      </c>
      <c r="AB1144" s="54" t="s">
        <v>2</v>
      </c>
      <c r="AC1144" s="54" t="s">
        <v>2</v>
      </c>
      <c r="AD1144" s="54" t="s">
        <v>2</v>
      </c>
      <c r="AE1144" s="54" t="s">
        <v>2</v>
      </c>
      <c r="AF1144" s="54" t="s">
        <v>2</v>
      </c>
      <c r="AG1144" s="54" t="s">
        <v>2</v>
      </c>
    </row>
    <row r="1145" ht="15.75" customHeight="1">
      <c r="B1145" s="56"/>
      <c r="U1145" s="46" t="str">
        <f t="array" ref="U1145">IF($D1145="","",IFERROR(_xlfn.XLOOKUP($D1145,'TIR店舗一覧'!$D:$D,'TIR店舗一覧'!$E:$E,""),""))</f>
        <v/>
      </c>
      <c r="V1145" s="54" t="s">
        <v>2</v>
      </c>
      <c r="W1145" s="54" t="s">
        <v>2</v>
      </c>
      <c r="X1145" s="54" t="s">
        <v>2</v>
      </c>
      <c r="Y1145" s="54" t="s">
        <v>2</v>
      </c>
      <c r="Z1145" s="54" t="s">
        <v>2</v>
      </c>
      <c r="AA1145" s="54" t="s">
        <v>2</v>
      </c>
      <c r="AB1145" s="54" t="s">
        <v>2</v>
      </c>
      <c r="AC1145" s="54" t="s">
        <v>2</v>
      </c>
      <c r="AD1145" s="54" t="s">
        <v>2</v>
      </c>
      <c r="AE1145" s="54" t="s">
        <v>2</v>
      </c>
      <c r="AF1145" s="54" t="s">
        <v>2</v>
      </c>
      <c r="AG1145" s="54" t="s">
        <v>2</v>
      </c>
    </row>
    <row r="1146" ht="15.75" customHeight="1">
      <c r="B1146" s="56"/>
      <c r="U1146" s="46" t="str">
        <f t="array" ref="U1146">IF($D1146="","",IFERROR(_xlfn.XLOOKUP($D1146,'TIR店舗一覧'!$D:$D,'TIR店舗一覧'!$E:$E,""),""))</f>
        <v/>
      </c>
      <c r="V1146" s="54" t="s">
        <v>2</v>
      </c>
      <c r="W1146" s="54" t="s">
        <v>2</v>
      </c>
      <c r="X1146" s="54" t="s">
        <v>2</v>
      </c>
      <c r="Y1146" s="54" t="s">
        <v>2</v>
      </c>
      <c r="Z1146" s="54" t="s">
        <v>2</v>
      </c>
      <c r="AA1146" s="54" t="s">
        <v>2</v>
      </c>
      <c r="AB1146" s="54" t="s">
        <v>2</v>
      </c>
      <c r="AC1146" s="54" t="s">
        <v>2</v>
      </c>
      <c r="AD1146" s="54" t="s">
        <v>2</v>
      </c>
      <c r="AE1146" s="54" t="s">
        <v>2</v>
      </c>
      <c r="AF1146" s="54" t="s">
        <v>2</v>
      </c>
      <c r="AG1146" s="54" t="s">
        <v>2</v>
      </c>
    </row>
    <row r="1147" ht="15.75" customHeight="1">
      <c r="B1147" s="56"/>
      <c r="U1147" s="46" t="str">
        <f t="array" ref="U1147">IF($D1147="","",IFERROR(_xlfn.XLOOKUP($D1147,'TIR店舗一覧'!$D:$D,'TIR店舗一覧'!$E:$E,""),""))</f>
        <v/>
      </c>
      <c r="V1147" s="54" t="s">
        <v>2</v>
      </c>
      <c r="W1147" s="54" t="s">
        <v>2</v>
      </c>
      <c r="X1147" s="54" t="s">
        <v>2</v>
      </c>
      <c r="Y1147" s="54" t="s">
        <v>2</v>
      </c>
      <c r="Z1147" s="54" t="s">
        <v>2</v>
      </c>
      <c r="AA1147" s="54" t="s">
        <v>2</v>
      </c>
      <c r="AB1147" s="54" t="s">
        <v>2</v>
      </c>
      <c r="AC1147" s="54" t="s">
        <v>2</v>
      </c>
      <c r="AD1147" s="54" t="s">
        <v>2</v>
      </c>
      <c r="AE1147" s="54" t="s">
        <v>2</v>
      </c>
      <c r="AF1147" s="54" t="s">
        <v>2</v>
      </c>
      <c r="AG1147" s="54" t="s">
        <v>2</v>
      </c>
    </row>
    <row r="1148" ht="15.75" customHeight="1">
      <c r="B1148" s="56"/>
      <c r="U1148" s="46" t="str">
        <f t="array" ref="U1148">IF($D1148="","",IFERROR(_xlfn.XLOOKUP($D1148,'TIR店舗一覧'!$D:$D,'TIR店舗一覧'!$E:$E,""),""))</f>
        <v/>
      </c>
      <c r="V1148" s="54" t="s">
        <v>2</v>
      </c>
      <c r="W1148" s="54" t="s">
        <v>2</v>
      </c>
      <c r="X1148" s="54" t="s">
        <v>2</v>
      </c>
      <c r="Y1148" s="54" t="s">
        <v>2</v>
      </c>
      <c r="Z1148" s="54" t="s">
        <v>2</v>
      </c>
      <c r="AA1148" s="54" t="s">
        <v>2</v>
      </c>
      <c r="AB1148" s="54" t="s">
        <v>2</v>
      </c>
      <c r="AC1148" s="54" t="s">
        <v>2</v>
      </c>
      <c r="AD1148" s="54" t="s">
        <v>2</v>
      </c>
      <c r="AE1148" s="54" t="s">
        <v>2</v>
      </c>
      <c r="AF1148" s="54" t="s">
        <v>2</v>
      </c>
      <c r="AG1148" s="54" t="s">
        <v>2</v>
      </c>
    </row>
    <row r="1149" ht="15.75" customHeight="1">
      <c r="B1149" s="56"/>
      <c r="U1149" s="46" t="str">
        <f t="array" ref="U1149">IF($D1149="","",IFERROR(_xlfn.XLOOKUP($D1149,'TIR店舗一覧'!$D:$D,'TIR店舗一覧'!$E:$E,""),""))</f>
        <v/>
      </c>
      <c r="V1149" s="54" t="s">
        <v>2</v>
      </c>
      <c r="W1149" s="54" t="s">
        <v>2</v>
      </c>
      <c r="X1149" s="54" t="s">
        <v>2</v>
      </c>
      <c r="Y1149" s="54" t="s">
        <v>2</v>
      </c>
      <c r="Z1149" s="54" t="s">
        <v>2</v>
      </c>
      <c r="AA1149" s="54" t="s">
        <v>2</v>
      </c>
      <c r="AB1149" s="54" t="s">
        <v>2</v>
      </c>
      <c r="AC1149" s="54" t="s">
        <v>2</v>
      </c>
      <c r="AD1149" s="54" t="s">
        <v>2</v>
      </c>
      <c r="AE1149" s="54" t="s">
        <v>2</v>
      </c>
      <c r="AF1149" s="54" t="s">
        <v>2</v>
      </c>
      <c r="AG1149" s="54" t="s">
        <v>2</v>
      </c>
    </row>
    <row r="1150" ht="15.75" customHeight="1">
      <c r="B1150" s="56"/>
      <c r="U1150" s="46" t="str">
        <f t="array" ref="U1150">IF($D1150="","",IFERROR(_xlfn.XLOOKUP($D1150,'TIR店舗一覧'!$D:$D,'TIR店舗一覧'!$E:$E,""),""))</f>
        <v/>
      </c>
      <c r="V1150" s="54" t="s">
        <v>2</v>
      </c>
      <c r="W1150" s="54" t="s">
        <v>2</v>
      </c>
      <c r="X1150" s="54" t="s">
        <v>2</v>
      </c>
      <c r="Y1150" s="54" t="s">
        <v>2</v>
      </c>
      <c r="Z1150" s="54" t="s">
        <v>2</v>
      </c>
      <c r="AA1150" s="54" t="s">
        <v>2</v>
      </c>
      <c r="AB1150" s="54" t="s">
        <v>2</v>
      </c>
      <c r="AC1150" s="54" t="s">
        <v>2</v>
      </c>
      <c r="AD1150" s="54" t="s">
        <v>2</v>
      </c>
      <c r="AE1150" s="54" t="s">
        <v>2</v>
      </c>
      <c r="AF1150" s="54" t="s">
        <v>2</v>
      </c>
      <c r="AG1150" s="54" t="s">
        <v>2</v>
      </c>
    </row>
    <row r="1151" ht="15.75" customHeight="1">
      <c r="B1151" s="56"/>
      <c r="U1151" s="46" t="str">
        <f t="array" ref="U1151">IF($D1151="","",IFERROR(_xlfn.XLOOKUP($D1151,'TIR店舗一覧'!$D:$D,'TIR店舗一覧'!$E:$E,""),""))</f>
        <v/>
      </c>
      <c r="V1151" s="54" t="s">
        <v>2</v>
      </c>
      <c r="W1151" s="54" t="s">
        <v>2</v>
      </c>
      <c r="X1151" s="54" t="s">
        <v>2</v>
      </c>
      <c r="Y1151" s="54" t="s">
        <v>2</v>
      </c>
      <c r="Z1151" s="54" t="s">
        <v>2</v>
      </c>
      <c r="AA1151" s="54" t="s">
        <v>2</v>
      </c>
      <c r="AB1151" s="54" t="s">
        <v>2</v>
      </c>
      <c r="AC1151" s="54" t="s">
        <v>2</v>
      </c>
      <c r="AD1151" s="54" t="s">
        <v>2</v>
      </c>
      <c r="AE1151" s="54" t="s">
        <v>2</v>
      </c>
      <c r="AF1151" s="54" t="s">
        <v>2</v>
      </c>
      <c r="AG1151" s="54" t="s">
        <v>2</v>
      </c>
    </row>
    <row r="1152" ht="15.75" customHeight="1">
      <c r="B1152" s="56"/>
      <c r="U1152" s="46" t="str">
        <f t="array" ref="U1152">IF($D1152="","",IFERROR(_xlfn.XLOOKUP($D1152,'TIR店舗一覧'!$D:$D,'TIR店舗一覧'!$E:$E,""),""))</f>
        <v/>
      </c>
      <c r="V1152" s="54" t="s">
        <v>2</v>
      </c>
      <c r="W1152" s="54" t="s">
        <v>2</v>
      </c>
      <c r="X1152" s="54" t="s">
        <v>2</v>
      </c>
      <c r="Y1152" s="54" t="s">
        <v>2</v>
      </c>
      <c r="Z1152" s="54" t="s">
        <v>2</v>
      </c>
      <c r="AA1152" s="54" t="s">
        <v>2</v>
      </c>
      <c r="AB1152" s="54" t="s">
        <v>2</v>
      </c>
      <c r="AC1152" s="54" t="s">
        <v>2</v>
      </c>
      <c r="AD1152" s="54" t="s">
        <v>2</v>
      </c>
      <c r="AE1152" s="54" t="s">
        <v>2</v>
      </c>
      <c r="AF1152" s="54" t="s">
        <v>2</v>
      </c>
      <c r="AG1152" s="54" t="s">
        <v>2</v>
      </c>
    </row>
    <row r="1153" ht="15.75" customHeight="1">
      <c r="B1153" s="56"/>
      <c r="U1153" s="46" t="str">
        <f t="array" ref="U1153">IF($D1153="","",IFERROR(_xlfn.XLOOKUP($D1153,'TIR店舗一覧'!$D:$D,'TIR店舗一覧'!$E:$E,""),""))</f>
        <v/>
      </c>
      <c r="V1153" s="54" t="s">
        <v>2</v>
      </c>
      <c r="W1153" s="54" t="s">
        <v>2</v>
      </c>
      <c r="X1153" s="54" t="s">
        <v>2</v>
      </c>
      <c r="Y1153" s="54" t="s">
        <v>2</v>
      </c>
      <c r="Z1153" s="54" t="s">
        <v>2</v>
      </c>
      <c r="AA1153" s="54" t="s">
        <v>2</v>
      </c>
      <c r="AB1153" s="54" t="s">
        <v>2</v>
      </c>
      <c r="AC1153" s="54" t="s">
        <v>2</v>
      </c>
      <c r="AD1153" s="54" t="s">
        <v>2</v>
      </c>
      <c r="AE1153" s="54" t="s">
        <v>2</v>
      </c>
      <c r="AF1153" s="54" t="s">
        <v>2</v>
      </c>
      <c r="AG1153" s="54" t="s">
        <v>2</v>
      </c>
    </row>
    <row r="1154" ht="15.75" customHeight="1">
      <c r="B1154" s="56"/>
      <c r="U1154" s="46" t="str">
        <f t="array" ref="U1154">IF($D1154="","",IFERROR(_xlfn.XLOOKUP($D1154,'TIR店舗一覧'!$D:$D,'TIR店舗一覧'!$E:$E,""),""))</f>
        <v/>
      </c>
      <c r="V1154" s="54" t="s">
        <v>2</v>
      </c>
      <c r="W1154" s="54" t="s">
        <v>2</v>
      </c>
      <c r="X1154" s="54" t="s">
        <v>2</v>
      </c>
      <c r="Y1154" s="54" t="s">
        <v>2</v>
      </c>
      <c r="Z1154" s="54" t="s">
        <v>2</v>
      </c>
      <c r="AA1154" s="54" t="s">
        <v>2</v>
      </c>
      <c r="AB1154" s="54" t="s">
        <v>2</v>
      </c>
      <c r="AC1154" s="54" t="s">
        <v>2</v>
      </c>
      <c r="AD1154" s="54" t="s">
        <v>2</v>
      </c>
      <c r="AE1154" s="54" t="s">
        <v>2</v>
      </c>
      <c r="AF1154" s="54" t="s">
        <v>2</v>
      </c>
      <c r="AG1154" s="54" t="s">
        <v>2</v>
      </c>
    </row>
    <row r="1155" ht="15.75" customHeight="1">
      <c r="B1155" s="56"/>
      <c r="U1155" s="46" t="str">
        <f t="array" ref="U1155">IF($D1155="","",IFERROR(_xlfn.XLOOKUP($D1155,'TIR店舗一覧'!$D:$D,'TIR店舗一覧'!$E:$E,""),""))</f>
        <v/>
      </c>
      <c r="V1155" s="54" t="s">
        <v>2</v>
      </c>
      <c r="W1155" s="54" t="s">
        <v>2</v>
      </c>
      <c r="X1155" s="54" t="s">
        <v>2</v>
      </c>
      <c r="Y1155" s="54" t="s">
        <v>2</v>
      </c>
      <c r="Z1155" s="54" t="s">
        <v>2</v>
      </c>
      <c r="AA1155" s="54" t="s">
        <v>2</v>
      </c>
      <c r="AB1155" s="54" t="s">
        <v>2</v>
      </c>
      <c r="AC1155" s="54" t="s">
        <v>2</v>
      </c>
      <c r="AD1155" s="54" t="s">
        <v>2</v>
      </c>
      <c r="AE1155" s="54" t="s">
        <v>2</v>
      </c>
      <c r="AF1155" s="54" t="s">
        <v>2</v>
      </c>
      <c r="AG1155" s="54" t="s">
        <v>2</v>
      </c>
    </row>
    <row r="1156" ht="15.75" customHeight="1">
      <c r="B1156" s="56"/>
      <c r="U1156" s="46" t="str">
        <f t="array" ref="U1156">IF($D1156="","",IFERROR(_xlfn.XLOOKUP($D1156,'TIR店舗一覧'!$D:$D,'TIR店舗一覧'!$E:$E,""),""))</f>
        <v/>
      </c>
      <c r="V1156" s="54" t="s">
        <v>2</v>
      </c>
      <c r="W1156" s="54" t="s">
        <v>2</v>
      </c>
      <c r="X1156" s="54" t="s">
        <v>2</v>
      </c>
      <c r="Y1156" s="54" t="s">
        <v>2</v>
      </c>
      <c r="Z1156" s="54" t="s">
        <v>2</v>
      </c>
      <c r="AA1156" s="54" t="s">
        <v>2</v>
      </c>
      <c r="AB1156" s="54" t="s">
        <v>2</v>
      </c>
      <c r="AC1156" s="54" t="s">
        <v>2</v>
      </c>
      <c r="AD1156" s="54" t="s">
        <v>2</v>
      </c>
      <c r="AE1156" s="54" t="s">
        <v>2</v>
      </c>
      <c r="AF1156" s="54" t="s">
        <v>2</v>
      </c>
      <c r="AG1156" s="54" t="s">
        <v>2</v>
      </c>
    </row>
    <row r="1157" ht="15.75" customHeight="1">
      <c r="B1157" s="56"/>
      <c r="U1157" s="46" t="str">
        <f t="array" ref="U1157">IF($D1157="","",IFERROR(_xlfn.XLOOKUP($D1157,'TIR店舗一覧'!$D:$D,'TIR店舗一覧'!$E:$E,""),""))</f>
        <v/>
      </c>
      <c r="V1157" s="54" t="s">
        <v>2</v>
      </c>
      <c r="W1157" s="54" t="s">
        <v>2</v>
      </c>
      <c r="X1157" s="54" t="s">
        <v>2</v>
      </c>
      <c r="Y1157" s="54" t="s">
        <v>2</v>
      </c>
      <c r="Z1157" s="54" t="s">
        <v>2</v>
      </c>
      <c r="AA1157" s="54" t="s">
        <v>2</v>
      </c>
      <c r="AB1157" s="54" t="s">
        <v>2</v>
      </c>
      <c r="AC1157" s="54" t="s">
        <v>2</v>
      </c>
      <c r="AD1157" s="54" t="s">
        <v>2</v>
      </c>
      <c r="AE1157" s="54" t="s">
        <v>2</v>
      </c>
      <c r="AF1157" s="54" t="s">
        <v>2</v>
      </c>
      <c r="AG1157" s="54" t="s">
        <v>2</v>
      </c>
    </row>
    <row r="1158" ht="15.75" customHeight="1">
      <c r="B1158" s="56"/>
      <c r="U1158" s="46" t="str">
        <f t="array" ref="U1158">IF($D1158="","",IFERROR(_xlfn.XLOOKUP($D1158,'TIR店舗一覧'!$D:$D,'TIR店舗一覧'!$E:$E,""),""))</f>
        <v/>
      </c>
      <c r="V1158" s="54" t="s">
        <v>2</v>
      </c>
      <c r="W1158" s="54" t="s">
        <v>2</v>
      </c>
      <c r="X1158" s="54" t="s">
        <v>2</v>
      </c>
      <c r="Y1158" s="54" t="s">
        <v>2</v>
      </c>
      <c r="Z1158" s="54" t="s">
        <v>2</v>
      </c>
      <c r="AA1158" s="54" t="s">
        <v>2</v>
      </c>
      <c r="AB1158" s="54" t="s">
        <v>2</v>
      </c>
      <c r="AC1158" s="54" t="s">
        <v>2</v>
      </c>
      <c r="AD1158" s="54" t="s">
        <v>2</v>
      </c>
      <c r="AE1158" s="54" t="s">
        <v>2</v>
      </c>
      <c r="AF1158" s="54" t="s">
        <v>2</v>
      </c>
      <c r="AG1158" s="54" t="s">
        <v>2</v>
      </c>
    </row>
    <row r="1159" ht="15.75" customHeight="1">
      <c r="B1159" s="56"/>
      <c r="U1159" s="46" t="str">
        <f t="array" ref="U1159">IF($D1159="","",IFERROR(_xlfn.XLOOKUP($D1159,'TIR店舗一覧'!$D:$D,'TIR店舗一覧'!$E:$E,""),""))</f>
        <v/>
      </c>
      <c r="V1159" s="54" t="s">
        <v>2</v>
      </c>
      <c r="W1159" s="54" t="s">
        <v>2</v>
      </c>
      <c r="X1159" s="54" t="s">
        <v>2</v>
      </c>
      <c r="Y1159" s="54" t="s">
        <v>2</v>
      </c>
      <c r="Z1159" s="54" t="s">
        <v>2</v>
      </c>
      <c r="AA1159" s="54" t="s">
        <v>2</v>
      </c>
      <c r="AB1159" s="54" t="s">
        <v>2</v>
      </c>
      <c r="AC1159" s="54" t="s">
        <v>2</v>
      </c>
      <c r="AD1159" s="54" t="s">
        <v>2</v>
      </c>
      <c r="AE1159" s="54" t="s">
        <v>2</v>
      </c>
      <c r="AF1159" s="54" t="s">
        <v>2</v>
      </c>
      <c r="AG1159" s="54" t="s">
        <v>2</v>
      </c>
    </row>
    <row r="1160" ht="15.75" customHeight="1">
      <c r="B1160" s="56"/>
      <c r="U1160" s="46" t="str">
        <f t="array" ref="U1160">IF($D1160="","",IFERROR(_xlfn.XLOOKUP($D1160,'TIR店舗一覧'!$D:$D,'TIR店舗一覧'!$E:$E,""),""))</f>
        <v/>
      </c>
      <c r="V1160" s="54" t="s">
        <v>2</v>
      </c>
      <c r="W1160" s="54" t="s">
        <v>2</v>
      </c>
      <c r="X1160" s="54" t="s">
        <v>2</v>
      </c>
      <c r="Y1160" s="54" t="s">
        <v>2</v>
      </c>
      <c r="Z1160" s="54" t="s">
        <v>2</v>
      </c>
      <c r="AA1160" s="54" t="s">
        <v>2</v>
      </c>
      <c r="AB1160" s="54" t="s">
        <v>2</v>
      </c>
      <c r="AC1160" s="54" t="s">
        <v>2</v>
      </c>
      <c r="AD1160" s="54" t="s">
        <v>2</v>
      </c>
      <c r="AE1160" s="54" t="s">
        <v>2</v>
      </c>
      <c r="AF1160" s="54" t="s">
        <v>2</v>
      </c>
      <c r="AG1160" s="54" t="s">
        <v>2</v>
      </c>
    </row>
    <row r="1161" ht="15.75" customHeight="1">
      <c r="B1161" s="56"/>
      <c r="U1161" s="46" t="str">
        <f t="array" ref="U1161">IF($D1161="","",IFERROR(_xlfn.XLOOKUP($D1161,'TIR店舗一覧'!$D:$D,'TIR店舗一覧'!$E:$E,""),""))</f>
        <v/>
      </c>
      <c r="V1161" s="54" t="s">
        <v>2</v>
      </c>
      <c r="W1161" s="54" t="s">
        <v>2</v>
      </c>
      <c r="X1161" s="54" t="s">
        <v>2</v>
      </c>
      <c r="Y1161" s="54" t="s">
        <v>2</v>
      </c>
      <c r="Z1161" s="54" t="s">
        <v>2</v>
      </c>
      <c r="AA1161" s="54" t="s">
        <v>2</v>
      </c>
      <c r="AB1161" s="54" t="s">
        <v>2</v>
      </c>
      <c r="AC1161" s="54" t="s">
        <v>2</v>
      </c>
      <c r="AD1161" s="54" t="s">
        <v>2</v>
      </c>
      <c r="AE1161" s="54" t="s">
        <v>2</v>
      </c>
      <c r="AF1161" s="54" t="s">
        <v>2</v>
      </c>
      <c r="AG1161" s="54" t="s">
        <v>2</v>
      </c>
    </row>
    <row r="1162" ht="15.75" customHeight="1">
      <c r="B1162" s="56"/>
      <c r="U1162" s="46" t="str">
        <f t="array" ref="U1162">IF($D1162="","",IFERROR(_xlfn.XLOOKUP($D1162,'TIR店舗一覧'!$D:$D,'TIR店舗一覧'!$E:$E,""),""))</f>
        <v/>
      </c>
      <c r="V1162" s="54" t="s">
        <v>2</v>
      </c>
      <c r="W1162" s="54" t="s">
        <v>2</v>
      </c>
      <c r="X1162" s="54" t="s">
        <v>2</v>
      </c>
      <c r="Y1162" s="54" t="s">
        <v>2</v>
      </c>
      <c r="Z1162" s="54" t="s">
        <v>2</v>
      </c>
      <c r="AA1162" s="54" t="s">
        <v>2</v>
      </c>
      <c r="AB1162" s="54" t="s">
        <v>2</v>
      </c>
      <c r="AC1162" s="54" t="s">
        <v>2</v>
      </c>
      <c r="AD1162" s="54" t="s">
        <v>2</v>
      </c>
      <c r="AE1162" s="54" t="s">
        <v>2</v>
      </c>
      <c r="AF1162" s="54" t="s">
        <v>2</v>
      </c>
      <c r="AG1162" s="54" t="s">
        <v>2</v>
      </c>
    </row>
    <row r="1163" ht="15.75" customHeight="1">
      <c r="B1163" s="56"/>
      <c r="U1163" s="46" t="str">
        <f t="array" ref="U1163">IF($D1163="","",IFERROR(_xlfn.XLOOKUP($D1163,'TIR店舗一覧'!$D:$D,'TIR店舗一覧'!$E:$E,""),""))</f>
        <v/>
      </c>
      <c r="V1163" s="54" t="s">
        <v>2</v>
      </c>
      <c r="W1163" s="54" t="s">
        <v>2</v>
      </c>
      <c r="X1163" s="54" t="s">
        <v>2</v>
      </c>
      <c r="Y1163" s="54" t="s">
        <v>2</v>
      </c>
      <c r="Z1163" s="54" t="s">
        <v>2</v>
      </c>
      <c r="AA1163" s="54" t="s">
        <v>2</v>
      </c>
      <c r="AB1163" s="54" t="s">
        <v>2</v>
      </c>
      <c r="AC1163" s="54" t="s">
        <v>2</v>
      </c>
      <c r="AD1163" s="54" t="s">
        <v>2</v>
      </c>
      <c r="AE1163" s="54" t="s">
        <v>2</v>
      </c>
      <c r="AF1163" s="54" t="s">
        <v>2</v>
      </c>
      <c r="AG1163" s="54" t="s">
        <v>2</v>
      </c>
    </row>
    <row r="1164" ht="15.75" customHeight="1">
      <c r="B1164" s="56"/>
      <c r="U1164" s="46" t="str">
        <f t="array" ref="U1164">IF($D1164="","",IFERROR(_xlfn.XLOOKUP($D1164,'TIR店舗一覧'!$D:$D,'TIR店舗一覧'!$E:$E,""),""))</f>
        <v/>
      </c>
      <c r="V1164" s="54" t="s">
        <v>2</v>
      </c>
      <c r="W1164" s="54" t="s">
        <v>2</v>
      </c>
      <c r="X1164" s="54" t="s">
        <v>2</v>
      </c>
      <c r="Y1164" s="54" t="s">
        <v>2</v>
      </c>
      <c r="Z1164" s="54" t="s">
        <v>2</v>
      </c>
      <c r="AA1164" s="54" t="s">
        <v>2</v>
      </c>
      <c r="AB1164" s="54" t="s">
        <v>2</v>
      </c>
      <c r="AC1164" s="54" t="s">
        <v>2</v>
      </c>
      <c r="AD1164" s="54" t="s">
        <v>2</v>
      </c>
      <c r="AE1164" s="54" t="s">
        <v>2</v>
      </c>
      <c r="AF1164" s="54" t="s">
        <v>2</v>
      </c>
      <c r="AG1164" s="54" t="s">
        <v>2</v>
      </c>
    </row>
    <row r="1165" ht="15.75" customHeight="1">
      <c r="B1165" s="56"/>
      <c r="U1165" s="46" t="str">
        <f t="array" ref="U1165">IF($D1165="","",IFERROR(_xlfn.XLOOKUP($D1165,'TIR店舗一覧'!$D:$D,'TIR店舗一覧'!$E:$E,""),""))</f>
        <v/>
      </c>
      <c r="V1165" s="54" t="s">
        <v>2</v>
      </c>
      <c r="W1165" s="54" t="s">
        <v>2</v>
      </c>
      <c r="X1165" s="54" t="s">
        <v>2</v>
      </c>
      <c r="Y1165" s="54" t="s">
        <v>2</v>
      </c>
      <c r="Z1165" s="54" t="s">
        <v>2</v>
      </c>
      <c r="AA1165" s="54" t="s">
        <v>2</v>
      </c>
      <c r="AB1165" s="54" t="s">
        <v>2</v>
      </c>
      <c r="AC1165" s="54" t="s">
        <v>2</v>
      </c>
      <c r="AD1165" s="54" t="s">
        <v>2</v>
      </c>
      <c r="AE1165" s="54" t="s">
        <v>2</v>
      </c>
      <c r="AF1165" s="54" t="s">
        <v>2</v>
      </c>
      <c r="AG1165" s="54" t="s">
        <v>2</v>
      </c>
    </row>
    <row r="1166" ht="15.75" customHeight="1">
      <c r="B1166" s="56"/>
      <c r="U1166" s="46" t="str">
        <f t="array" ref="U1166">IF($D1166="","",IFERROR(_xlfn.XLOOKUP($D1166,'TIR店舗一覧'!$D:$D,'TIR店舗一覧'!$E:$E,""),""))</f>
        <v/>
      </c>
      <c r="V1166" s="54" t="s">
        <v>2</v>
      </c>
      <c r="W1166" s="54" t="s">
        <v>2</v>
      </c>
      <c r="X1166" s="54" t="s">
        <v>2</v>
      </c>
      <c r="Y1166" s="54" t="s">
        <v>2</v>
      </c>
      <c r="Z1166" s="54" t="s">
        <v>2</v>
      </c>
      <c r="AA1166" s="54" t="s">
        <v>2</v>
      </c>
      <c r="AB1166" s="54" t="s">
        <v>2</v>
      </c>
      <c r="AC1166" s="54" t="s">
        <v>2</v>
      </c>
      <c r="AD1166" s="54" t="s">
        <v>2</v>
      </c>
      <c r="AE1166" s="54" t="s">
        <v>2</v>
      </c>
      <c r="AF1166" s="54" t="s">
        <v>2</v>
      </c>
      <c r="AG1166" s="54" t="s">
        <v>2</v>
      </c>
    </row>
    <row r="1167" ht="15.75" customHeight="1">
      <c r="B1167" s="56"/>
      <c r="U1167" s="46" t="str">
        <f t="array" ref="U1167">IF($D1167="","",IFERROR(_xlfn.XLOOKUP($D1167,'TIR店舗一覧'!$D:$D,'TIR店舗一覧'!$E:$E,""),""))</f>
        <v/>
      </c>
      <c r="V1167" s="54" t="s">
        <v>2</v>
      </c>
      <c r="W1167" s="54" t="s">
        <v>2</v>
      </c>
      <c r="X1167" s="54" t="s">
        <v>2</v>
      </c>
      <c r="Y1167" s="54" t="s">
        <v>2</v>
      </c>
      <c r="Z1167" s="54" t="s">
        <v>2</v>
      </c>
      <c r="AA1167" s="54" t="s">
        <v>2</v>
      </c>
      <c r="AB1167" s="54" t="s">
        <v>2</v>
      </c>
      <c r="AC1167" s="54" t="s">
        <v>2</v>
      </c>
      <c r="AD1167" s="54" t="s">
        <v>2</v>
      </c>
      <c r="AE1167" s="54" t="s">
        <v>2</v>
      </c>
      <c r="AF1167" s="54" t="s">
        <v>2</v>
      </c>
      <c r="AG1167" s="54" t="s">
        <v>2</v>
      </c>
    </row>
    <row r="1168" ht="15.75" customHeight="1">
      <c r="B1168" s="56"/>
      <c r="U1168" s="46" t="str">
        <f t="array" ref="U1168">IF($D1168="","",IFERROR(_xlfn.XLOOKUP($D1168,'TIR店舗一覧'!$D:$D,'TIR店舗一覧'!$E:$E,""),""))</f>
        <v/>
      </c>
      <c r="V1168" s="54" t="s">
        <v>2</v>
      </c>
      <c r="W1168" s="54" t="s">
        <v>2</v>
      </c>
      <c r="X1168" s="54" t="s">
        <v>2</v>
      </c>
      <c r="Y1168" s="54" t="s">
        <v>2</v>
      </c>
      <c r="Z1168" s="54" t="s">
        <v>2</v>
      </c>
      <c r="AA1168" s="54" t="s">
        <v>2</v>
      </c>
      <c r="AB1168" s="54" t="s">
        <v>2</v>
      </c>
      <c r="AC1168" s="54" t="s">
        <v>2</v>
      </c>
      <c r="AD1168" s="54" t="s">
        <v>2</v>
      </c>
      <c r="AE1168" s="54" t="s">
        <v>2</v>
      </c>
      <c r="AF1168" s="54" t="s">
        <v>2</v>
      </c>
      <c r="AG1168" s="54" t="s">
        <v>2</v>
      </c>
    </row>
    <row r="1169" ht="15.75" customHeight="1">
      <c r="B1169" s="56"/>
      <c r="U1169" s="46" t="str">
        <f t="array" ref="U1169">IF($D1169="","",IFERROR(_xlfn.XLOOKUP($D1169,'TIR店舗一覧'!$D:$D,'TIR店舗一覧'!$E:$E,""),""))</f>
        <v/>
      </c>
      <c r="V1169" s="54" t="s">
        <v>2</v>
      </c>
      <c r="W1169" s="54" t="s">
        <v>2</v>
      </c>
      <c r="X1169" s="54" t="s">
        <v>2</v>
      </c>
      <c r="Y1169" s="54" t="s">
        <v>2</v>
      </c>
      <c r="Z1169" s="54" t="s">
        <v>2</v>
      </c>
      <c r="AA1169" s="54" t="s">
        <v>2</v>
      </c>
      <c r="AB1169" s="54" t="s">
        <v>2</v>
      </c>
      <c r="AC1169" s="54" t="s">
        <v>2</v>
      </c>
      <c r="AD1169" s="54" t="s">
        <v>2</v>
      </c>
      <c r="AE1169" s="54" t="s">
        <v>2</v>
      </c>
      <c r="AF1169" s="54" t="s">
        <v>2</v>
      </c>
      <c r="AG1169" s="54" t="s">
        <v>2</v>
      </c>
    </row>
    <row r="1170" ht="15.75" customHeight="1">
      <c r="B1170" s="56"/>
      <c r="U1170" s="46" t="str">
        <f t="array" ref="U1170">IF($D1170="","",IFERROR(_xlfn.XLOOKUP($D1170,'TIR店舗一覧'!$D:$D,'TIR店舗一覧'!$E:$E,""),""))</f>
        <v/>
      </c>
      <c r="V1170" s="54" t="s">
        <v>2</v>
      </c>
      <c r="W1170" s="54" t="s">
        <v>2</v>
      </c>
      <c r="X1170" s="54" t="s">
        <v>2</v>
      </c>
      <c r="Y1170" s="54" t="s">
        <v>2</v>
      </c>
      <c r="Z1170" s="54" t="s">
        <v>2</v>
      </c>
      <c r="AA1170" s="54" t="s">
        <v>2</v>
      </c>
      <c r="AB1170" s="54" t="s">
        <v>2</v>
      </c>
      <c r="AC1170" s="54" t="s">
        <v>2</v>
      </c>
      <c r="AD1170" s="54" t="s">
        <v>2</v>
      </c>
      <c r="AE1170" s="54" t="s">
        <v>2</v>
      </c>
      <c r="AF1170" s="54" t="s">
        <v>2</v>
      </c>
      <c r="AG1170" s="54" t="s">
        <v>2</v>
      </c>
    </row>
    <row r="1171" ht="15.75" customHeight="1">
      <c r="B1171" s="56"/>
      <c r="U1171" s="46" t="str">
        <f t="array" ref="U1171">IF($D1171="","",IFERROR(_xlfn.XLOOKUP($D1171,'TIR店舗一覧'!$D:$D,'TIR店舗一覧'!$E:$E,""),""))</f>
        <v/>
      </c>
      <c r="V1171" s="54" t="s">
        <v>2</v>
      </c>
      <c r="W1171" s="54" t="s">
        <v>2</v>
      </c>
      <c r="X1171" s="54" t="s">
        <v>2</v>
      </c>
      <c r="Y1171" s="54" t="s">
        <v>2</v>
      </c>
      <c r="Z1171" s="54" t="s">
        <v>2</v>
      </c>
      <c r="AA1171" s="54" t="s">
        <v>2</v>
      </c>
      <c r="AB1171" s="54" t="s">
        <v>2</v>
      </c>
      <c r="AC1171" s="54" t="s">
        <v>2</v>
      </c>
      <c r="AD1171" s="54" t="s">
        <v>2</v>
      </c>
      <c r="AE1171" s="54" t="s">
        <v>2</v>
      </c>
      <c r="AF1171" s="54" t="s">
        <v>2</v>
      </c>
      <c r="AG1171" s="54" t="s">
        <v>2</v>
      </c>
    </row>
    <row r="1172" ht="15.75" customHeight="1">
      <c r="B1172" s="56"/>
      <c r="U1172" s="46" t="str">
        <f t="array" ref="U1172">IF($D1172="","",IFERROR(_xlfn.XLOOKUP($D1172,'TIR店舗一覧'!$D:$D,'TIR店舗一覧'!$E:$E,""),""))</f>
        <v/>
      </c>
      <c r="V1172" s="54" t="s">
        <v>2</v>
      </c>
      <c r="W1172" s="54" t="s">
        <v>2</v>
      </c>
      <c r="X1172" s="54" t="s">
        <v>2</v>
      </c>
      <c r="Y1172" s="54" t="s">
        <v>2</v>
      </c>
      <c r="Z1172" s="54" t="s">
        <v>2</v>
      </c>
      <c r="AA1172" s="54" t="s">
        <v>2</v>
      </c>
      <c r="AB1172" s="54" t="s">
        <v>2</v>
      </c>
      <c r="AC1172" s="54" t="s">
        <v>2</v>
      </c>
      <c r="AD1172" s="54" t="s">
        <v>2</v>
      </c>
      <c r="AE1172" s="54" t="s">
        <v>2</v>
      </c>
      <c r="AF1172" s="54" t="s">
        <v>2</v>
      </c>
      <c r="AG1172" s="54" t="s">
        <v>2</v>
      </c>
    </row>
    <row r="1173" ht="15.75" customHeight="1">
      <c r="B1173" s="56"/>
      <c r="U1173" s="46" t="str">
        <f t="array" ref="U1173">IF($D1173="","",IFERROR(_xlfn.XLOOKUP($D1173,'TIR店舗一覧'!$D:$D,'TIR店舗一覧'!$E:$E,""),""))</f>
        <v/>
      </c>
      <c r="V1173" s="54" t="s">
        <v>2</v>
      </c>
      <c r="W1173" s="54" t="s">
        <v>2</v>
      </c>
      <c r="X1173" s="54" t="s">
        <v>2</v>
      </c>
      <c r="Y1173" s="54" t="s">
        <v>2</v>
      </c>
      <c r="Z1173" s="54" t="s">
        <v>2</v>
      </c>
      <c r="AA1173" s="54" t="s">
        <v>2</v>
      </c>
      <c r="AB1173" s="54" t="s">
        <v>2</v>
      </c>
      <c r="AC1173" s="54" t="s">
        <v>2</v>
      </c>
      <c r="AD1173" s="54" t="s">
        <v>2</v>
      </c>
      <c r="AE1173" s="54" t="s">
        <v>2</v>
      </c>
      <c r="AF1173" s="54" t="s">
        <v>2</v>
      </c>
      <c r="AG1173" s="54" t="s">
        <v>2</v>
      </c>
    </row>
    <row r="1174" ht="15.75" customHeight="1">
      <c r="B1174" s="56"/>
      <c r="U1174" s="46" t="str">
        <f t="array" ref="U1174">IF($D1174="","",IFERROR(_xlfn.XLOOKUP($D1174,'TIR店舗一覧'!$D:$D,'TIR店舗一覧'!$E:$E,""),""))</f>
        <v/>
      </c>
      <c r="V1174" s="54" t="s">
        <v>2</v>
      </c>
      <c r="W1174" s="54" t="s">
        <v>2</v>
      </c>
      <c r="X1174" s="54" t="s">
        <v>2</v>
      </c>
      <c r="Y1174" s="54" t="s">
        <v>2</v>
      </c>
      <c r="Z1174" s="54" t="s">
        <v>2</v>
      </c>
      <c r="AA1174" s="54" t="s">
        <v>2</v>
      </c>
      <c r="AB1174" s="54" t="s">
        <v>2</v>
      </c>
      <c r="AC1174" s="54" t="s">
        <v>2</v>
      </c>
      <c r="AD1174" s="54" t="s">
        <v>2</v>
      </c>
      <c r="AE1174" s="54" t="s">
        <v>2</v>
      </c>
      <c r="AF1174" s="54" t="s">
        <v>2</v>
      </c>
      <c r="AG1174" s="54" t="s">
        <v>2</v>
      </c>
    </row>
    <row r="1175" ht="15.75" customHeight="1">
      <c r="B1175" s="56"/>
      <c r="U1175" s="46" t="str">
        <f t="array" ref="U1175">IF($D1175="","",IFERROR(_xlfn.XLOOKUP($D1175,'TIR店舗一覧'!$D:$D,'TIR店舗一覧'!$E:$E,""),""))</f>
        <v/>
      </c>
      <c r="V1175" s="54" t="s">
        <v>2</v>
      </c>
      <c r="W1175" s="54" t="s">
        <v>2</v>
      </c>
      <c r="X1175" s="54" t="s">
        <v>2</v>
      </c>
      <c r="Y1175" s="54" t="s">
        <v>2</v>
      </c>
      <c r="Z1175" s="54" t="s">
        <v>2</v>
      </c>
      <c r="AA1175" s="54" t="s">
        <v>2</v>
      </c>
      <c r="AB1175" s="54" t="s">
        <v>2</v>
      </c>
      <c r="AC1175" s="54" t="s">
        <v>2</v>
      </c>
      <c r="AD1175" s="54" t="s">
        <v>2</v>
      </c>
      <c r="AE1175" s="54" t="s">
        <v>2</v>
      </c>
      <c r="AF1175" s="54" t="s">
        <v>2</v>
      </c>
      <c r="AG1175" s="54" t="s">
        <v>2</v>
      </c>
    </row>
    <row r="1176" ht="15.75" customHeight="1">
      <c r="B1176" s="56"/>
      <c r="U1176" s="46" t="str">
        <f t="array" ref="U1176">IF($D1176="","",IFERROR(_xlfn.XLOOKUP($D1176,'TIR店舗一覧'!$D:$D,'TIR店舗一覧'!$E:$E,""),""))</f>
        <v/>
      </c>
      <c r="V1176" s="54" t="s">
        <v>2</v>
      </c>
      <c r="W1176" s="54" t="s">
        <v>2</v>
      </c>
      <c r="X1176" s="54" t="s">
        <v>2</v>
      </c>
      <c r="Y1176" s="54" t="s">
        <v>2</v>
      </c>
      <c r="Z1176" s="54" t="s">
        <v>2</v>
      </c>
      <c r="AA1176" s="54" t="s">
        <v>2</v>
      </c>
      <c r="AB1176" s="54" t="s">
        <v>2</v>
      </c>
      <c r="AC1176" s="54" t="s">
        <v>2</v>
      </c>
      <c r="AD1176" s="54" t="s">
        <v>2</v>
      </c>
      <c r="AE1176" s="54" t="s">
        <v>2</v>
      </c>
      <c r="AF1176" s="54" t="s">
        <v>2</v>
      </c>
      <c r="AG1176" s="54" t="s">
        <v>2</v>
      </c>
    </row>
    <row r="1177" ht="15.75" customHeight="1">
      <c r="B1177" s="56"/>
      <c r="U1177" s="46" t="str">
        <f t="array" ref="U1177">IF($D1177="","",IFERROR(_xlfn.XLOOKUP($D1177,'TIR店舗一覧'!$D:$D,'TIR店舗一覧'!$E:$E,""),""))</f>
        <v/>
      </c>
      <c r="V1177" s="54" t="s">
        <v>2</v>
      </c>
      <c r="W1177" s="54" t="s">
        <v>2</v>
      </c>
      <c r="X1177" s="54" t="s">
        <v>2</v>
      </c>
      <c r="Y1177" s="54" t="s">
        <v>2</v>
      </c>
      <c r="Z1177" s="54" t="s">
        <v>2</v>
      </c>
      <c r="AA1177" s="54" t="s">
        <v>2</v>
      </c>
      <c r="AB1177" s="54" t="s">
        <v>2</v>
      </c>
      <c r="AC1177" s="54" t="s">
        <v>2</v>
      </c>
      <c r="AD1177" s="54" t="s">
        <v>2</v>
      </c>
      <c r="AE1177" s="54" t="s">
        <v>2</v>
      </c>
      <c r="AF1177" s="54" t="s">
        <v>2</v>
      </c>
      <c r="AG1177" s="54" t="s">
        <v>2</v>
      </c>
    </row>
    <row r="1178" ht="15.75" customHeight="1">
      <c r="B1178" s="56"/>
      <c r="U1178" s="46" t="str">
        <f t="array" ref="U1178">IF($D1178="","",IFERROR(_xlfn.XLOOKUP($D1178,'TIR店舗一覧'!$D:$D,'TIR店舗一覧'!$E:$E,""),""))</f>
        <v/>
      </c>
      <c r="V1178" s="54" t="s">
        <v>2</v>
      </c>
      <c r="W1178" s="54" t="s">
        <v>2</v>
      </c>
      <c r="X1178" s="54" t="s">
        <v>2</v>
      </c>
      <c r="Y1178" s="54" t="s">
        <v>2</v>
      </c>
      <c r="Z1178" s="54" t="s">
        <v>2</v>
      </c>
      <c r="AA1178" s="54" t="s">
        <v>2</v>
      </c>
      <c r="AB1178" s="54" t="s">
        <v>2</v>
      </c>
      <c r="AC1178" s="54" t="s">
        <v>2</v>
      </c>
      <c r="AD1178" s="54" t="s">
        <v>2</v>
      </c>
      <c r="AE1178" s="54" t="s">
        <v>2</v>
      </c>
      <c r="AF1178" s="54" t="s">
        <v>2</v>
      </c>
      <c r="AG1178" s="54" t="s">
        <v>2</v>
      </c>
    </row>
    <row r="1179" ht="15.75" customHeight="1">
      <c r="B1179" s="56"/>
      <c r="U1179" s="46" t="str">
        <f t="array" ref="U1179">IF($D1179="","",IFERROR(_xlfn.XLOOKUP($D1179,'TIR店舗一覧'!$D:$D,'TIR店舗一覧'!$E:$E,""),""))</f>
        <v/>
      </c>
      <c r="V1179" s="54" t="s">
        <v>2</v>
      </c>
      <c r="W1179" s="54" t="s">
        <v>2</v>
      </c>
      <c r="X1179" s="54" t="s">
        <v>2</v>
      </c>
      <c r="Y1179" s="54" t="s">
        <v>2</v>
      </c>
      <c r="Z1179" s="54" t="s">
        <v>2</v>
      </c>
      <c r="AA1179" s="54" t="s">
        <v>2</v>
      </c>
      <c r="AB1179" s="54" t="s">
        <v>2</v>
      </c>
      <c r="AC1179" s="54" t="s">
        <v>2</v>
      </c>
      <c r="AD1179" s="54" t="s">
        <v>2</v>
      </c>
      <c r="AE1179" s="54" t="s">
        <v>2</v>
      </c>
      <c r="AF1179" s="54" t="s">
        <v>2</v>
      </c>
      <c r="AG1179" s="54" t="s">
        <v>2</v>
      </c>
    </row>
    <row r="1180" ht="15.75" customHeight="1">
      <c r="B1180" s="56"/>
      <c r="U1180" s="46" t="str">
        <f t="array" ref="U1180">IF($D1180="","",IFERROR(_xlfn.XLOOKUP($D1180,'TIR店舗一覧'!$D:$D,'TIR店舗一覧'!$E:$E,""),""))</f>
        <v/>
      </c>
      <c r="V1180" s="54" t="s">
        <v>2</v>
      </c>
      <c r="W1180" s="54" t="s">
        <v>2</v>
      </c>
      <c r="X1180" s="54" t="s">
        <v>2</v>
      </c>
      <c r="Y1180" s="54" t="s">
        <v>2</v>
      </c>
      <c r="Z1180" s="54" t="s">
        <v>2</v>
      </c>
      <c r="AA1180" s="54" t="s">
        <v>2</v>
      </c>
      <c r="AB1180" s="54" t="s">
        <v>2</v>
      </c>
      <c r="AC1180" s="54" t="s">
        <v>2</v>
      </c>
      <c r="AD1180" s="54" t="s">
        <v>2</v>
      </c>
      <c r="AE1180" s="54" t="s">
        <v>2</v>
      </c>
      <c r="AF1180" s="54" t="s">
        <v>2</v>
      </c>
      <c r="AG1180" s="54" t="s">
        <v>2</v>
      </c>
    </row>
    <row r="1181" ht="15.75" customHeight="1">
      <c r="B1181" s="56"/>
      <c r="U1181" s="46" t="str">
        <f t="array" ref="U1181">IF($D1181="","",IFERROR(_xlfn.XLOOKUP($D1181,'TIR店舗一覧'!$D:$D,'TIR店舗一覧'!$E:$E,""),""))</f>
        <v/>
      </c>
      <c r="V1181" s="54" t="s">
        <v>2</v>
      </c>
      <c r="W1181" s="54" t="s">
        <v>2</v>
      </c>
      <c r="X1181" s="54" t="s">
        <v>2</v>
      </c>
      <c r="Y1181" s="54" t="s">
        <v>2</v>
      </c>
      <c r="Z1181" s="54" t="s">
        <v>2</v>
      </c>
      <c r="AA1181" s="54" t="s">
        <v>2</v>
      </c>
      <c r="AB1181" s="54" t="s">
        <v>2</v>
      </c>
      <c r="AC1181" s="54" t="s">
        <v>2</v>
      </c>
      <c r="AD1181" s="54" t="s">
        <v>2</v>
      </c>
      <c r="AE1181" s="54" t="s">
        <v>2</v>
      </c>
      <c r="AF1181" s="54" t="s">
        <v>2</v>
      </c>
      <c r="AG1181" s="54" t="s">
        <v>2</v>
      </c>
    </row>
    <row r="1182" ht="15.75" customHeight="1">
      <c r="B1182" s="56"/>
      <c r="U1182" s="46" t="str">
        <f t="array" ref="U1182">IF($D1182="","",IFERROR(_xlfn.XLOOKUP($D1182,'TIR店舗一覧'!$D:$D,'TIR店舗一覧'!$E:$E,""),""))</f>
        <v/>
      </c>
      <c r="V1182" s="54" t="s">
        <v>2</v>
      </c>
      <c r="W1182" s="54" t="s">
        <v>2</v>
      </c>
      <c r="X1182" s="54" t="s">
        <v>2</v>
      </c>
      <c r="Y1182" s="54" t="s">
        <v>2</v>
      </c>
      <c r="Z1182" s="54" t="s">
        <v>2</v>
      </c>
      <c r="AA1182" s="54" t="s">
        <v>2</v>
      </c>
      <c r="AB1182" s="54" t="s">
        <v>2</v>
      </c>
      <c r="AC1182" s="54" t="s">
        <v>2</v>
      </c>
      <c r="AD1182" s="54" t="s">
        <v>2</v>
      </c>
      <c r="AE1182" s="54" t="s">
        <v>2</v>
      </c>
      <c r="AF1182" s="54" t="s">
        <v>2</v>
      </c>
      <c r="AG1182" s="54" t="s">
        <v>2</v>
      </c>
    </row>
    <row r="1183" ht="15.75" customHeight="1">
      <c r="B1183" s="56"/>
      <c r="U1183" s="46" t="str">
        <f t="array" ref="U1183">IF($D1183="","",IFERROR(_xlfn.XLOOKUP($D1183,'TIR店舗一覧'!$D:$D,'TIR店舗一覧'!$E:$E,""),""))</f>
        <v/>
      </c>
      <c r="V1183" s="54" t="s">
        <v>2</v>
      </c>
      <c r="W1183" s="54" t="s">
        <v>2</v>
      </c>
      <c r="X1183" s="54" t="s">
        <v>2</v>
      </c>
      <c r="Y1183" s="54" t="s">
        <v>2</v>
      </c>
      <c r="Z1183" s="54" t="s">
        <v>2</v>
      </c>
      <c r="AA1183" s="54" t="s">
        <v>2</v>
      </c>
      <c r="AB1183" s="54" t="s">
        <v>2</v>
      </c>
      <c r="AC1183" s="54" t="s">
        <v>2</v>
      </c>
      <c r="AD1183" s="54" t="s">
        <v>2</v>
      </c>
      <c r="AE1183" s="54" t="s">
        <v>2</v>
      </c>
      <c r="AF1183" s="54" t="s">
        <v>2</v>
      </c>
      <c r="AG1183" s="54" t="s">
        <v>2</v>
      </c>
    </row>
    <row r="1184" ht="15.75" customHeight="1">
      <c r="B1184" s="56"/>
      <c r="U1184" s="46" t="str">
        <f t="array" ref="U1184">IF($D1184="","",IFERROR(_xlfn.XLOOKUP($D1184,'TIR店舗一覧'!$D:$D,'TIR店舗一覧'!$E:$E,""),""))</f>
        <v/>
      </c>
      <c r="V1184" s="54" t="s">
        <v>2</v>
      </c>
      <c r="W1184" s="54" t="s">
        <v>2</v>
      </c>
      <c r="X1184" s="54" t="s">
        <v>2</v>
      </c>
      <c r="Y1184" s="54" t="s">
        <v>2</v>
      </c>
      <c r="Z1184" s="54" t="s">
        <v>2</v>
      </c>
      <c r="AA1184" s="54" t="s">
        <v>2</v>
      </c>
      <c r="AB1184" s="54" t="s">
        <v>2</v>
      </c>
      <c r="AC1184" s="54" t="s">
        <v>2</v>
      </c>
      <c r="AD1184" s="54" t="s">
        <v>2</v>
      </c>
      <c r="AE1184" s="54" t="s">
        <v>2</v>
      </c>
      <c r="AF1184" s="54" t="s">
        <v>2</v>
      </c>
      <c r="AG1184" s="54" t="s">
        <v>2</v>
      </c>
    </row>
    <row r="1185" ht="15.75" customHeight="1">
      <c r="B1185" s="56"/>
      <c r="U1185" s="46" t="str">
        <f t="array" ref="U1185">IF($D1185="","",IFERROR(_xlfn.XLOOKUP($D1185,'TIR店舗一覧'!$D:$D,'TIR店舗一覧'!$E:$E,""),""))</f>
        <v/>
      </c>
      <c r="V1185" s="54" t="s">
        <v>2</v>
      </c>
      <c r="W1185" s="54" t="s">
        <v>2</v>
      </c>
      <c r="X1185" s="54" t="s">
        <v>2</v>
      </c>
      <c r="Y1185" s="54" t="s">
        <v>2</v>
      </c>
      <c r="Z1185" s="54" t="s">
        <v>2</v>
      </c>
      <c r="AA1185" s="54" t="s">
        <v>2</v>
      </c>
      <c r="AB1185" s="54" t="s">
        <v>2</v>
      </c>
      <c r="AC1185" s="54" t="s">
        <v>2</v>
      </c>
      <c r="AD1185" s="54" t="s">
        <v>2</v>
      </c>
      <c r="AE1185" s="54" t="s">
        <v>2</v>
      </c>
      <c r="AF1185" s="54" t="s">
        <v>2</v>
      </c>
      <c r="AG1185" s="54" t="s">
        <v>2</v>
      </c>
    </row>
    <row r="1186" ht="15.75" customHeight="1">
      <c r="B1186" s="56"/>
      <c r="U1186" s="46" t="str">
        <f t="array" ref="U1186">IF($D1186="","",IFERROR(_xlfn.XLOOKUP($D1186,'TIR店舗一覧'!$D:$D,'TIR店舗一覧'!$E:$E,""),""))</f>
        <v/>
      </c>
      <c r="V1186" s="54" t="s">
        <v>2</v>
      </c>
      <c r="W1186" s="54" t="s">
        <v>2</v>
      </c>
      <c r="X1186" s="54" t="s">
        <v>2</v>
      </c>
      <c r="Y1186" s="54" t="s">
        <v>2</v>
      </c>
      <c r="Z1186" s="54" t="s">
        <v>2</v>
      </c>
      <c r="AA1186" s="54" t="s">
        <v>2</v>
      </c>
      <c r="AB1186" s="54" t="s">
        <v>2</v>
      </c>
      <c r="AC1186" s="54" t="s">
        <v>2</v>
      </c>
      <c r="AD1186" s="54" t="s">
        <v>2</v>
      </c>
      <c r="AE1186" s="54" t="s">
        <v>2</v>
      </c>
      <c r="AF1186" s="54" t="s">
        <v>2</v>
      </c>
      <c r="AG1186" s="54" t="s">
        <v>2</v>
      </c>
    </row>
    <row r="1187" ht="15.75" customHeight="1">
      <c r="B1187" s="56"/>
      <c r="U1187" s="46" t="str">
        <f t="array" ref="U1187">IF($D1187="","",IFERROR(_xlfn.XLOOKUP($D1187,'TIR店舗一覧'!$D:$D,'TIR店舗一覧'!$E:$E,""),""))</f>
        <v/>
      </c>
      <c r="V1187" s="54" t="s">
        <v>2</v>
      </c>
      <c r="W1187" s="54" t="s">
        <v>2</v>
      </c>
      <c r="X1187" s="54" t="s">
        <v>2</v>
      </c>
      <c r="Y1187" s="54" t="s">
        <v>2</v>
      </c>
      <c r="Z1187" s="54" t="s">
        <v>2</v>
      </c>
      <c r="AA1187" s="54" t="s">
        <v>2</v>
      </c>
      <c r="AB1187" s="54" t="s">
        <v>2</v>
      </c>
      <c r="AC1187" s="54" t="s">
        <v>2</v>
      </c>
      <c r="AD1187" s="54" t="s">
        <v>2</v>
      </c>
      <c r="AE1187" s="54" t="s">
        <v>2</v>
      </c>
      <c r="AF1187" s="54" t="s">
        <v>2</v>
      </c>
      <c r="AG1187" s="54" t="s">
        <v>2</v>
      </c>
    </row>
    <row r="1188" ht="15.75" customHeight="1">
      <c r="B1188" s="56"/>
      <c r="U1188" s="46" t="str">
        <f t="array" ref="U1188">IF($D1188="","",IFERROR(_xlfn.XLOOKUP($D1188,'TIR店舗一覧'!$D:$D,'TIR店舗一覧'!$E:$E,""),""))</f>
        <v/>
      </c>
      <c r="V1188" s="54" t="s">
        <v>2</v>
      </c>
      <c r="W1188" s="54" t="s">
        <v>2</v>
      </c>
      <c r="X1188" s="54" t="s">
        <v>2</v>
      </c>
      <c r="Y1188" s="54" t="s">
        <v>2</v>
      </c>
      <c r="Z1188" s="54" t="s">
        <v>2</v>
      </c>
      <c r="AA1188" s="54" t="s">
        <v>2</v>
      </c>
      <c r="AB1188" s="54" t="s">
        <v>2</v>
      </c>
      <c r="AC1188" s="54" t="s">
        <v>2</v>
      </c>
      <c r="AD1188" s="54" t="s">
        <v>2</v>
      </c>
      <c r="AE1188" s="54" t="s">
        <v>2</v>
      </c>
      <c r="AF1188" s="54" t="s">
        <v>2</v>
      </c>
      <c r="AG1188" s="54" t="s">
        <v>2</v>
      </c>
    </row>
    <row r="1189" ht="15.75" customHeight="1">
      <c r="B1189" s="56"/>
      <c r="U1189" s="46" t="str">
        <f t="array" ref="U1189">IF($D1189="","",IFERROR(_xlfn.XLOOKUP($D1189,'TIR店舗一覧'!$D:$D,'TIR店舗一覧'!$E:$E,""),""))</f>
        <v/>
      </c>
      <c r="V1189" s="54" t="s">
        <v>2</v>
      </c>
      <c r="W1189" s="54" t="s">
        <v>2</v>
      </c>
      <c r="X1189" s="54" t="s">
        <v>2</v>
      </c>
      <c r="Y1189" s="54" t="s">
        <v>2</v>
      </c>
      <c r="Z1189" s="54" t="s">
        <v>2</v>
      </c>
      <c r="AA1189" s="54" t="s">
        <v>2</v>
      </c>
      <c r="AB1189" s="54" t="s">
        <v>2</v>
      </c>
      <c r="AC1189" s="54" t="s">
        <v>2</v>
      </c>
      <c r="AD1189" s="54" t="s">
        <v>2</v>
      </c>
      <c r="AE1189" s="54" t="s">
        <v>2</v>
      </c>
      <c r="AF1189" s="54" t="s">
        <v>2</v>
      </c>
      <c r="AG1189" s="54" t="s">
        <v>2</v>
      </c>
    </row>
    <row r="1190" ht="15.75" customHeight="1">
      <c r="B1190" s="56"/>
      <c r="U1190" s="46" t="str">
        <f t="array" ref="U1190">IF($D1190="","",IFERROR(_xlfn.XLOOKUP($D1190,'TIR店舗一覧'!$D:$D,'TIR店舗一覧'!$E:$E,""),""))</f>
        <v/>
      </c>
      <c r="V1190" s="54" t="s">
        <v>2</v>
      </c>
      <c r="W1190" s="54" t="s">
        <v>2</v>
      </c>
      <c r="X1190" s="54" t="s">
        <v>2</v>
      </c>
      <c r="Y1190" s="54" t="s">
        <v>2</v>
      </c>
      <c r="Z1190" s="54" t="s">
        <v>2</v>
      </c>
      <c r="AA1190" s="54" t="s">
        <v>2</v>
      </c>
      <c r="AB1190" s="54" t="s">
        <v>2</v>
      </c>
      <c r="AC1190" s="54" t="s">
        <v>2</v>
      </c>
      <c r="AD1190" s="54" t="s">
        <v>2</v>
      </c>
      <c r="AE1190" s="54" t="s">
        <v>2</v>
      </c>
      <c r="AF1190" s="54" t="s">
        <v>2</v>
      </c>
      <c r="AG1190" s="54" t="s">
        <v>2</v>
      </c>
    </row>
    <row r="1191" ht="15.75" customHeight="1">
      <c r="B1191" s="56"/>
      <c r="U1191" s="46" t="str">
        <f t="array" ref="U1191">IF($D1191="","",IFERROR(_xlfn.XLOOKUP($D1191,'TIR店舗一覧'!$D:$D,'TIR店舗一覧'!$E:$E,""),""))</f>
        <v/>
      </c>
      <c r="V1191" s="54" t="s">
        <v>2</v>
      </c>
      <c r="W1191" s="54" t="s">
        <v>2</v>
      </c>
      <c r="X1191" s="54" t="s">
        <v>2</v>
      </c>
      <c r="Y1191" s="54" t="s">
        <v>2</v>
      </c>
      <c r="Z1191" s="54" t="s">
        <v>2</v>
      </c>
      <c r="AA1191" s="54" t="s">
        <v>2</v>
      </c>
      <c r="AB1191" s="54" t="s">
        <v>2</v>
      </c>
      <c r="AC1191" s="54" t="s">
        <v>2</v>
      </c>
      <c r="AD1191" s="54" t="s">
        <v>2</v>
      </c>
      <c r="AE1191" s="54" t="s">
        <v>2</v>
      </c>
      <c r="AF1191" s="54" t="s">
        <v>2</v>
      </c>
      <c r="AG1191" s="54" t="s">
        <v>2</v>
      </c>
    </row>
    <row r="1192" ht="15.75" customHeight="1">
      <c r="B1192" s="56"/>
      <c r="U1192" s="46" t="str">
        <f t="array" ref="U1192">IF($D1192="","",IFERROR(_xlfn.XLOOKUP($D1192,'TIR店舗一覧'!$D:$D,'TIR店舗一覧'!$E:$E,""),""))</f>
        <v/>
      </c>
      <c r="V1192" s="54" t="s">
        <v>2</v>
      </c>
      <c r="W1192" s="54" t="s">
        <v>2</v>
      </c>
      <c r="X1192" s="54" t="s">
        <v>2</v>
      </c>
      <c r="Y1192" s="54" t="s">
        <v>2</v>
      </c>
      <c r="Z1192" s="54" t="s">
        <v>2</v>
      </c>
      <c r="AA1192" s="54" t="s">
        <v>2</v>
      </c>
      <c r="AB1192" s="54" t="s">
        <v>2</v>
      </c>
      <c r="AC1192" s="54" t="s">
        <v>2</v>
      </c>
      <c r="AD1192" s="54" t="s">
        <v>2</v>
      </c>
      <c r="AE1192" s="54" t="s">
        <v>2</v>
      </c>
      <c r="AF1192" s="54" t="s">
        <v>2</v>
      </c>
      <c r="AG1192" s="54" t="s">
        <v>2</v>
      </c>
    </row>
    <row r="1193" ht="15.75" customHeight="1">
      <c r="B1193" s="56"/>
      <c r="U1193" s="46" t="str">
        <f t="array" ref="U1193">IF($D1193="","",IFERROR(_xlfn.XLOOKUP($D1193,'TIR店舗一覧'!$D:$D,'TIR店舗一覧'!$E:$E,""),""))</f>
        <v/>
      </c>
      <c r="V1193" s="54" t="s">
        <v>2</v>
      </c>
      <c r="W1193" s="54" t="s">
        <v>2</v>
      </c>
      <c r="X1193" s="54" t="s">
        <v>2</v>
      </c>
      <c r="Y1193" s="54" t="s">
        <v>2</v>
      </c>
      <c r="Z1193" s="54" t="s">
        <v>2</v>
      </c>
      <c r="AA1193" s="54" t="s">
        <v>2</v>
      </c>
      <c r="AB1193" s="54" t="s">
        <v>2</v>
      </c>
      <c r="AC1193" s="54" t="s">
        <v>2</v>
      </c>
      <c r="AD1193" s="54" t="s">
        <v>2</v>
      </c>
      <c r="AE1193" s="54" t="s">
        <v>2</v>
      </c>
      <c r="AF1193" s="54" t="s">
        <v>2</v>
      </c>
      <c r="AG1193" s="54" t="s">
        <v>2</v>
      </c>
    </row>
    <row r="1194" ht="15.75" customHeight="1">
      <c r="B1194" s="56"/>
      <c r="U1194" s="46" t="str">
        <f t="array" ref="U1194">IF($D1194="","",IFERROR(_xlfn.XLOOKUP($D1194,'TIR店舗一覧'!$D:$D,'TIR店舗一覧'!$E:$E,""),""))</f>
        <v/>
      </c>
      <c r="V1194" s="54" t="s">
        <v>2</v>
      </c>
      <c r="W1194" s="54" t="s">
        <v>2</v>
      </c>
      <c r="X1194" s="54" t="s">
        <v>2</v>
      </c>
      <c r="Y1194" s="54" t="s">
        <v>2</v>
      </c>
      <c r="Z1194" s="54" t="s">
        <v>2</v>
      </c>
      <c r="AA1194" s="54" t="s">
        <v>2</v>
      </c>
      <c r="AB1194" s="54" t="s">
        <v>2</v>
      </c>
      <c r="AC1194" s="54" t="s">
        <v>2</v>
      </c>
      <c r="AD1194" s="54" t="s">
        <v>2</v>
      </c>
      <c r="AE1194" s="54" t="s">
        <v>2</v>
      </c>
      <c r="AF1194" s="54" t="s">
        <v>2</v>
      </c>
      <c r="AG1194" s="54" t="s">
        <v>2</v>
      </c>
    </row>
    <row r="1195" ht="15.75" customHeight="1">
      <c r="B1195" s="56"/>
      <c r="U1195" s="46" t="str">
        <f t="array" ref="U1195">IF($D1195="","",IFERROR(_xlfn.XLOOKUP($D1195,'TIR店舗一覧'!$D:$D,'TIR店舗一覧'!$E:$E,""),""))</f>
        <v/>
      </c>
      <c r="V1195" s="54" t="s">
        <v>2</v>
      </c>
      <c r="W1195" s="54" t="s">
        <v>2</v>
      </c>
      <c r="X1195" s="54" t="s">
        <v>2</v>
      </c>
      <c r="Y1195" s="54" t="s">
        <v>2</v>
      </c>
      <c r="Z1195" s="54" t="s">
        <v>2</v>
      </c>
      <c r="AA1195" s="54" t="s">
        <v>2</v>
      </c>
      <c r="AB1195" s="54" t="s">
        <v>2</v>
      </c>
      <c r="AC1195" s="54" t="s">
        <v>2</v>
      </c>
      <c r="AD1195" s="54" t="s">
        <v>2</v>
      </c>
      <c r="AE1195" s="54" t="s">
        <v>2</v>
      </c>
      <c r="AF1195" s="54" t="s">
        <v>2</v>
      </c>
      <c r="AG1195" s="54" t="s">
        <v>2</v>
      </c>
    </row>
    <row r="1196" ht="15.75" customHeight="1">
      <c r="B1196" s="56"/>
      <c r="U1196" s="46" t="str">
        <f t="array" ref="U1196">IF($D1196="","",IFERROR(_xlfn.XLOOKUP($D1196,'TIR店舗一覧'!$D:$D,'TIR店舗一覧'!$E:$E,""),""))</f>
        <v/>
      </c>
      <c r="V1196" s="54" t="s">
        <v>2</v>
      </c>
      <c r="W1196" s="54" t="s">
        <v>2</v>
      </c>
      <c r="X1196" s="54" t="s">
        <v>2</v>
      </c>
      <c r="Y1196" s="54" t="s">
        <v>2</v>
      </c>
      <c r="Z1196" s="54" t="s">
        <v>2</v>
      </c>
      <c r="AA1196" s="54" t="s">
        <v>2</v>
      </c>
      <c r="AB1196" s="54" t="s">
        <v>2</v>
      </c>
      <c r="AC1196" s="54" t="s">
        <v>2</v>
      </c>
      <c r="AD1196" s="54" t="s">
        <v>2</v>
      </c>
      <c r="AE1196" s="54" t="s">
        <v>2</v>
      </c>
      <c r="AF1196" s="54" t="s">
        <v>2</v>
      </c>
      <c r="AG1196" s="54" t="s">
        <v>2</v>
      </c>
    </row>
    <row r="1197" ht="15.75" customHeight="1">
      <c r="B1197" s="56"/>
      <c r="U1197" s="46" t="str">
        <f t="array" ref="U1197">IF($D1197="","",IFERROR(_xlfn.XLOOKUP($D1197,'TIR店舗一覧'!$D:$D,'TIR店舗一覧'!$E:$E,""),""))</f>
        <v/>
      </c>
      <c r="V1197" s="54" t="s">
        <v>2</v>
      </c>
      <c r="W1197" s="54" t="s">
        <v>2</v>
      </c>
      <c r="X1197" s="54" t="s">
        <v>2</v>
      </c>
      <c r="Y1197" s="54" t="s">
        <v>2</v>
      </c>
      <c r="Z1197" s="54" t="s">
        <v>2</v>
      </c>
      <c r="AA1197" s="54" t="s">
        <v>2</v>
      </c>
      <c r="AB1197" s="54" t="s">
        <v>2</v>
      </c>
      <c r="AC1197" s="54" t="s">
        <v>2</v>
      </c>
      <c r="AD1197" s="54" t="s">
        <v>2</v>
      </c>
      <c r="AE1197" s="54" t="s">
        <v>2</v>
      </c>
      <c r="AF1197" s="54" t="s">
        <v>2</v>
      </c>
      <c r="AG1197" s="54" t="s">
        <v>2</v>
      </c>
    </row>
    <row r="1198" ht="15.75" customHeight="1">
      <c r="B1198" s="56"/>
      <c r="U1198" s="46" t="str">
        <f t="array" ref="U1198">IF($D1198="","",IFERROR(_xlfn.XLOOKUP($D1198,'TIR店舗一覧'!$D:$D,'TIR店舗一覧'!$E:$E,""),""))</f>
        <v/>
      </c>
      <c r="V1198" s="54" t="s">
        <v>2</v>
      </c>
      <c r="W1198" s="54" t="s">
        <v>2</v>
      </c>
      <c r="X1198" s="54" t="s">
        <v>2</v>
      </c>
      <c r="Y1198" s="54" t="s">
        <v>2</v>
      </c>
      <c r="Z1198" s="54" t="s">
        <v>2</v>
      </c>
      <c r="AA1198" s="54" t="s">
        <v>2</v>
      </c>
      <c r="AB1198" s="54" t="s">
        <v>2</v>
      </c>
      <c r="AC1198" s="54" t="s">
        <v>2</v>
      </c>
      <c r="AD1198" s="54" t="s">
        <v>2</v>
      </c>
      <c r="AE1198" s="54" t="s">
        <v>2</v>
      </c>
      <c r="AF1198" s="54" t="s">
        <v>2</v>
      </c>
      <c r="AG1198" s="54" t="s">
        <v>2</v>
      </c>
    </row>
    <row r="1199" ht="15.75" customHeight="1">
      <c r="B1199" s="56"/>
      <c r="U1199" s="46" t="str">
        <f t="array" ref="U1199">IF($D1199="","",IFERROR(_xlfn.XLOOKUP($D1199,'TIR店舗一覧'!$D:$D,'TIR店舗一覧'!$E:$E,""),""))</f>
        <v/>
      </c>
      <c r="V1199" s="54" t="s">
        <v>2</v>
      </c>
      <c r="W1199" s="54" t="s">
        <v>2</v>
      </c>
      <c r="X1199" s="54" t="s">
        <v>2</v>
      </c>
      <c r="Y1199" s="54" t="s">
        <v>2</v>
      </c>
      <c r="Z1199" s="54" t="s">
        <v>2</v>
      </c>
      <c r="AA1199" s="54" t="s">
        <v>2</v>
      </c>
      <c r="AB1199" s="54" t="s">
        <v>2</v>
      </c>
      <c r="AC1199" s="54" t="s">
        <v>2</v>
      </c>
      <c r="AD1199" s="54" t="s">
        <v>2</v>
      </c>
      <c r="AE1199" s="54" t="s">
        <v>2</v>
      </c>
      <c r="AF1199" s="54" t="s">
        <v>2</v>
      </c>
      <c r="AG1199" s="54" t="s">
        <v>2</v>
      </c>
    </row>
    <row r="1200" ht="15.75" customHeight="1">
      <c r="B1200" s="56"/>
      <c r="U1200" s="46" t="str">
        <f t="array" ref="U1200">IF($D1200="","",IFERROR(_xlfn.XLOOKUP($D1200,'TIR店舗一覧'!$D:$D,'TIR店舗一覧'!$E:$E,""),""))</f>
        <v/>
      </c>
      <c r="V1200" s="54" t="s">
        <v>2</v>
      </c>
      <c r="W1200" s="54" t="s">
        <v>2</v>
      </c>
      <c r="X1200" s="54" t="s">
        <v>2</v>
      </c>
      <c r="Y1200" s="54" t="s">
        <v>2</v>
      </c>
      <c r="Z1200" s="54" t="s">
        <v>2</v>
      </c>
      <c r="AA1200" s="54" t="s">
        <v>2</v>
      </c>
      <c r="AB1200" s="54" t="s">
        <v>2</v>
      </c>
      <c r="AC1200" s="54" t="s">
        <v>2</v>
      </c>
      <c r="AD1200" s="54" t="s">
        <v>2</v>
      </c>
      <c r="AE1200" s="54" t="s">
        <v>2</v>
      </c>
      <c r="AF1200" s="54" t="s">
        <v>2</v>
      </c>
      <c r="AG1200" s="54" t="s">
        <v>2</v>
      </c>
    </row>
    <row r="1201" ht="15.75" customHeight="1">
      <c r="B1201" s="56"/>
      <c r="U1201" s="46" t="str">
        <f t="array" ref="U1201">IF($D1201="","",IFERROR(_xlfn.XLOOKUP($D1201,'TIR店舗一覧'!$D:$D,'TIR店舗一覧'!$E:$E,""),""))</f>
        <v/>
      </c>
      <c r="V1201" s="54" t="s">
        <v>2</v>
      </c>
      <c r="W1201" s="54" t="s">
        <v>2</v>
      </c>
      <c r="X1201" s="54" t="s">
        <v>2</v>
      </c>
      <c r="Y1201" s="54" t="s">
        <v>2</v>
      </c>
      <c r="Z1201" s="54" t="s">
        <v>2</v>
      </c>
      <c r="AA1201" s="54" t="s">
        <v>2</v>
      </c>
      <c r="AB1201" s="54" t="s">
        <v>2</v>
      </c>
      <c r="AC1201" s="54" t="s">
        <v>2</v>
      </c>
      <c r="AD1201" s="54" t="s">
        <v>2</v>
      </c>
      <c r="AE1201" s="54" t="s">
        <v>2</v>
      </c>
      <c r="AF1201" s="54" t="s">
        <v>2</v>
      </c>
      <c r="AG1201" s="54" t="s">
        <v>2</v>
      </c>
    </row>
    <row r="1202" ht="15.75" customHeight="1">
      <c r="B1202" s="56"/>
      <c r="U1202" s="46" t="str">
        <f t="array" ref="U1202">IF($D1202="","",IFERROR(_xlfn.XLOOKUP($D1202,'TIR店舗一覧'!$D:$D,'TIR店舗一覧'!$E:$E,""),""))</f>
        <v/>
      </c>
      <c r="V1202" s="54" t="s">
        <v>2</v>
      </c>
      <c r="W1202" s="54" t="s">
        <v>2</v>
      </c>
      <c r="X1202" s="54" t="s">
        <v>2</v>
      </c>
      <c r="Y1202" s="54" t="s">
        <v>2</v>
      </c>
      <c r="Z1202" s="54" t="s">
        <v>2</v>
      </c>
      <c r="AA1202" s="54" t="s">
        <v>2</v>
      </c>
      <c r="AB1202" s="54" t="s">
        <v>2</v>
      </c>
      <c r="AC1202" s="54" t="s">
        <v>2</v>
      </c>
      <c r="AD1202" s="54" t="s">
        <v>2</v>
      </c>
      <c r="AE1202" s="54" t="s">
        <v>2</v>
      </c>
      <c r="AF1202" s="54" t="s">
        <v>2</v>
      </c>
      <c r="AG1202" s="54" t="s">
        <v>2</v>
      </c>
    </row>
    <row r="1203" ht="15.75" customHeight="1">
      <c r="B1203" s="56"/>
      <c r="U1203" s="46" t="str">
        <f t="array" ref="U1203">IF($D1203="","",IFERROR(_xlfn.XLOOKUP($D1203,'TIR店舗一覧'!$D:$D,'TIR店舗一覧'!$E:$E,""),""))</f>
        <v/>
      </c>
      <c r="V1203" s="54" t="s">
        <v>2</v>
      </c>
      <c r="W1203" s="54" t="s">
        <v>2</v>
      </c>
      <c r="X1203" s="54" t="s">
        <v>2</v>
      </c>
      <c r="Y1203" s="54" t="s">
        <v>2</v>
      </c>
      <c r="Z1203" s="54" t="s">
        <v>2</v>
      </c>
      <c r="AA1203" s="54" t="s">
        <v>2</v>
      </c>
      <c r="AB1203" s="54" t="s">
        <v>2</v>
      </c>
      <c r="AC1203" s="54" t="s">
        <v>2</v>
      </c>
      <c r="AD1203" s="54" t="s">
        <v>2</v>
      </c>
      <c r="AE1203" s="54" t="s">
        <v>2</v>
      </c>
      <c r="AF1203" s="54" t="s">
        <v>2</v>
      </c>
      <c r="AG1203" s="54" t="s">
        <v>2</v>
      </c>
    </row>
    <row r="1204" ht="15.75" customHeight="1">
      <c r="B1204" s="56"/>
      <c r="U1204" s="46" t="str">
        <f t="array" ref="U1204">IF($D1204="","",IFERROR(_xlfn.XLOOKUP($D1204,'TIR店舗一覧'!$D:$D,'TIR店舗一覧'!$E:$E,""),""))</f>
        <v/>
      </c>
      <c r="V1204" s="54" t="s">
        <v>2</v>
      </c>
      <c r="W1204" s="54" t="s">
        <v>2</v>
      </c>
      <c r="X1204" s="54" t="s">
        <v>2</v>
      </c>
      <c r="Y1204" s="54" t="s">
        <v>2</v>
      </c>
      <c r="Z1204" s="54" t="s">
        <v>2</v>
      </c>
      <c r="AA1204" s="54" t="s">
        <v>2</v>
      </c>
      <c r="AB1204" s="54" t="s">
        <v>2</v>
      </c>
      <c r="AC1204" s="54" t="s">
        <v>2</v>
      </c>
      <c r="AD1204" s="54" t="s">
        <v>2</v>
      </c>
      <c r="AE1204" s="54" t="s">
        <v>2</v>
      </c>
      <c r="AF1204" s="54" t="s">
        <v>2</v>
      </c>
      <c r="AG1204" s="54" t="s">
        <v>2</v>
      </c>
    </row>
    <row r="1205" ht="15.75" customHeight="1">
      <c r="B1205" s="56"/>
      <c r="U1205" s="46" t="str">
        <f t="array" ref="U1205">IF($D1205="","",IFERROR(_xlfn.XLOOKUP($D1205,'TIR店舗一覧'!$D:$D,'TIR店舗一覧'!$E:$E,""),""))</f>
        <v/>
      </c>
      <c r="V1205" s="54" t="s">
        <v>2</v>
      </c>
      <c r="W1205" s="54" t="s">
        <v>2</v>
      </c>
      <c r="X1205" s="54" t="s">
        <v>2</v>
      </c>
      <c r="Y1205" s="54" t="s">
        <v>2</v>
      </c>
      <c r="Z1205" s="54" t="s">
        <v>2</v>
      </c>
      <c r="AA1205" s="54" t="s">
        <v>2</v>
      </c>
      <c r="AB1205" s="54" t="s">
        <v>2</v>
      </c>
      <c r="AC1205" s="54" t="s">
        <v>2</v>
      </c>
      <c r="AD1205" s="54" t="s">
        <v>2</v>
      </c>
      <c r="AE1205" s="54" t="s">
        <v>2</v>
      </c>
      <c r="AF1205" s="54" t="s">
        <v>2</v>
      </c>
      <c r="AG1205" s="54" t="s">
        <v>2</v>
      </c>
    </row>
    <row r="1206" ht="15.75" customHeight="1">
      <c r="B1206" s="56"/>
      <c r="U1206" s="46" t="str">
        <f t="array" ref="U1206">IF($D1206="","",IFERROR(_xlfn.XLOOKUP($D1206,'TIR店舗一覧'!$D:$D,'TIR店舗一覧'!$E:$E,""),""))</f>
        <v/>
      </c>
      <c r="V1206" s="54" t="s">
        <v>2</v>
      </c>
      <c r="W1206" s="54" t="s">
        <v>2</v>
      </c>
      <c r="X1206" s="54" t="s">
        <v>2</v>
      </c>
      <c r="Y1206" s="54" t="s">
        <v>2</v>
      </c>
      <c r="Z1206" s="54" t="s">
        <v>2</v>
      </c>
      <c r="AA1206" s="54" t="s">
        <v>2</v>
      </c>
      <c r="AB1206" s="54" t="s">
        <v>2</v>
      </c>
      <c r="AC1206" s="54" t="s">
        <v>2</v>
      </c>
      <c r="AD1206" s="54" t="s">
        <v>2</v>
      </c>
      <c r="AE1206" s="54" t="s">
        <v>2</v>
      </c>
      <c r="AF1206" s="54" t="s">
        <v>2</v>
      </c>
      <c r="AG1206" s="54" t="s">
        <v>2</v>
      </c>
    </row>
    <row r="1207" ht="15.75" customHeight="1">
      <c r="B1207" s="56"/>
      <c r="U1207" s="46" t="str">
        <f t="array" ref="U1207">IF($D1207="","",IFERROR(_xlfn.XLOOKUP($D1207,'TIR店舗一覧'!$D:$D,'TIR店舗一覧'!$E:$E,""),""))</f>
        <v/>
      </c>
      <c r="V1207" s="54" t="s">
        <v>2</v>
      </c>
      <c r="W1207" s="54" t="s">
        <v>2</v>
      </c>
      <c r="X1207" s="54" t="s">
        <v>2</v>
      </c>
      <c r="Y1207" s="54" t="s">
        <v>2</v>
      </c>
      <c r="Z1207" s="54" t="s">
        <v>2</v>
      </c>
      <c r="AA1207" s="54" t="s">
        <v>2</v>
      </c>
      <c r="AB1207" s="54" t="s">
        <v>2</v>
      </c>
      <c r="AC1207" s="54" t="s">
        <v>2</v>
      </c>
      <c r="AD1207" s="54" t="s">
        <v>2</v>
      </c>
      <c r="AE1207" s="54" t="s">
        <v>2</v>
      </c>
      <c r="AF1207" s="54" t="s">
        <v>2</v>
      </c>
      <c r="AG1207" s="54" t="s">
        <v>2</v>
      </c>
    </row>
    <row r="1208" ht="15.75" customHeight="1">
      <c r="B1208" s="56"/>
      <c r="U1208" s="46" t="str">
        <f t="array" ref="U1208">IF($D1208="","",IFERROR(_xlfn.XLOOKUP($D1208,'TIR店舗一覧'!$D:$D,'TIR店舗一覧'!$E:$E,""),""))</f>
        <v/>
      </c>
      <c r="V1208" s="54" t="s">
        <v>2</v>
      </c>
      <c r="W1208" s="54" t="s">
        <v>2</v>
      </c>
      <c r="X1208" s="54" t="s">
        <v>2</v>
      </c>
      <c r="Y1208" s="54" t="s">
        <v>2</v>
      </c>
      <c r="Z1208" s="54" t="s">
        <v>2</v>
      </c>
      <c r="AA1208" s="54" t="s">
        <v>2</v>
      </c>
      <c r="AB1208" s="54" t="s">
        <v>2</v>
      </c>
      <c r="AC1208" s="54" t="s">
        <v>2</v>
      </c>
      <c r="AD1208" s="54" t="s">
        <v>2</v>
      </c>
      <c r="AE1208" s="54" t="s">
        <v>2</v>
      </c>
      <c r="AF1208" s="54" t="s">
        <v>2</v>
      </c>
      <c r="AG1208" s="54" t="s">
        <v>2</v>
      </c>
    </row>
    <row r="1209" ht="15.75" customHeight="1">
      <c r="B1209" s="56"/>
      <c r="U1209" s="46" t="str">
        <f t="array" ref="U1209">IF($D1209="","",IFERROR(_xlfn.XLOOKUP($D1209,'TIR店舗一覧'!$D:$D,'TIR店舗一覧'!$E:$E,""),""))</f>
        <v/>
      </c>
      <c r="V1209" s="54" t="s">
        <v>2</v>
      </c>
      <c r="W1209" s="54" t="s">
        <v>2</v>
      </c>
      <c r="X1209" s="54" t="s">
        <v>2</v>
      </c>
      <c r="Y1209" s="54" t="s">
        <v>2</v>
      </c>
      <c r="Z1209" s="54" t="s">
        <v>2</v>
      </c>
      <c r="AA1209" s="54" t="s">
        <v>2</v>
      </c>
      <c r="AB1209" s="54" t="s">
        <v>2</v>
      </c>
      <c r="AC1209" s="54" t="s">
        <v>2</v>
      </c>
      <c r="AD1209" s="54" t="s">
        <v>2</v>
      </c>
      <c r="AE1209" s="54" t="s">
        <v>2</v>
      </c>
      <c r="AF1209" s="54" t="s">
        <v>2</v>
      </c>
      <c r="AG1209" s="54" t="s">
        <v>2</v>
      </c>
    </row>
    <row r="1210" ht="15.75" customHeight="1">
      <c r="B1210" s="56"/>
      <c r="U1210" s="46" t="str">
        <f t="array" ref="U1210">IF($D1210="","",IFERROR(_xlfn.XLOOKUP($D1210,'TIR店舗一覧'!$D:$D,'TIR店舗一覧'!$E:$E,""),""))</f>
        <v/>
      </c>
      <c r="V1210" s="54" t="s">
        <v>2</v>
      </c>
      <c r="W1210" s="54" t="s">
        <v>2</v>
      </c>
      <c r="X1210" s="54" t="s">
        <v>2</v>
      </c>
      <c r="Y1210" s="54" t="s">
        <v>2</v>
      </c>
      <c r="Z1210" s="54" t="s">
        <v>2</v>
      </c>
      <c r="AA1210" s="54" t="s">
        <v>2</v>
      </c>
      <c r="AB1210" s="54" t="s">
        <v>2</v>
      </c>
      <c r="AC1210" s="54" t="s">
        <v>2</v>
      </c>
      <c r="AD1210" s="54" t="s">
        <v>2</v>
      </c>
      <c r="AE1210" s="54" t="s">
        <v>2</v>
      </c>
      <c r="AF1210" s="54" t="s">
        <v>2</v>
      </c>
      <c r="AG1210" s="54" t="s">
        <v>2</v>
      </c>
    </row>
    <row r="1211" ht="15.75" customHeight="1">
      <c r="B1211" s="56"/>
      <c r="U1211" s="46" t="str">
        <f t="array" ref="U1211">IF($D1211="","",IFERROR(_xlfn.XLOOKUP($D1211,'TIR店舗一覧'!$D:$D,'TIR店舗一覧'!$E:$E,""),""))</f>
        <v/>
      </c>
      <c r="V1211" s="54" t="s">
        <v>2</v>
      </c>
      <c r="W1211" s="54" t="s">
        <v>2</v>
      </c>
      <c r="X1211" s="54" t="s">
        <v>2</v>
      </c>
      <c r="Y1211" s="54" t="s">
        <v>2</v>
      </c>
      <c r="Z1211" s="54" t="s">
        <v>2</v>
      </c>
      <c r="AA1211" s="54" t="s">
        <v>2</v>
      </c>
      <c r="AB1211" s="54" t="s">
        <v>2</v>
      </c>
      <c r="AC1211" s="54" t="s">
        <v>2</v>
      </c>
      <c r="AD1211" s="54" t="s">
        <v>2</v>
      </c>
      <c r="AE1211" s="54" t="s">
        <v>2</v>
      </c>
      <c r="AF1211" s="54" t="s">
        <v>2</v>
      </c>
      <c r="AG1211" s="54" t="s">
        <v>2</v>
      </c>
    </row>
    <row r="1212" ht="15.75" customHeight="1">
      <c r="B1212" s="56"/>
      <c r="U1212" s="46" t="str">
        <f t="array" ref="U1212">IF($D1212="","",IFERROR(_xlfn.XLOOKUP($D1212,'TIR店舗一覧'!$D:$D,'TIR店舗一覧'!$E:$E,""),""))</f>
        <v/>
      </c>
      <c r="V1212" s="54" t="s">
        <v>2</v>
      </c>
      <c r="W1212" s="54" t="s">
        <v>2</v>
      </c>
      <c r="X1212" s="54" t="s">
        <v>2</v>
      </c>
      <c r="Y1212" s="54" t="s">
        <v>2</v>
      </c>
      <c r="Z1212" s="54" t="s">
        <v>2</v>
      </c>
      <c r="AA1212" s="54" t="s">
        <v>2</v>
      </c>
      <c r="AB1212" s="54" t="s">
        <v>2</v>
      </c>
      <c r="AC1212" s="54" t="s">
        <v>2</v>
      </c>
      <c r="AD1212" s="54" t="s">
        <v>2</v>
      </c>
      <c r="AE1212" s="54" t="s">
        <v>2</v>
      </c>
      <c r="AF1212" s="54" t="s">
        <v>2</v>
      </c>
      <c r="AG1212" s="54" t="s">
        <v>2</v>
      </c>
    </row>
    <row r="1213" ht="15.75" customHeight="1">
      <c r="B1213" s="56"/>
      <c r="U1213" s="46" t="str">
        <f t="array" ref="U1213">IF($D1213="","",IFERROR(_xlfn.XLOOKUP($D1213,'TIR店舗一覧'!$D:$D,'TIR店舗一覧'!$E:$E,""),""))</f>
        <v/>
      </c>
      <c r="V1213" s="54" t="s">
        <v>2</v>
      </c>
      <c r="W1213" s="54" t="s">
        <v>2</v>
      </c>
      <c r="X1213" s="54" t="s">
        <v>2</v>
      </c>
      <c r="Y1213" s="54" t="s">
        <v>2</v>
      </c>
      <c r="Z1213" s="54" t="s">
        <v>2</v>
      </c>
      <c r="AA1213" s="54" t="s">
        <v>2</v>
      </c>
      <c r="AB1213" s="54" t="s">
        <v>2</v>
      </c>
      <c r="AC1213" s="54" t="s">
        <v>2</v>
      </c>
      <c r="AD1213" s="54" t="s">
        <v>2</v>
      </c>
      <c r="AE1213" s="54" t="s">
        <v>2</v>
      </c>
      <c r="AF1213" s="54" t="s">
        <v>2</v>
      </c>
      <c r="AG1213" s="54" t="s">
        <v>2</v>
      </c>
    </row>
    <row r="1214" ht="15.75" customHeight="1">
      <c r="B1214" s="56"/>
      <c r="U1214" s="46" t="str">
        <f t="array" ref="U1214">IF($D1214="","",IFERROR(_xlfn.XLOOKUP($D1214,'TIR店舗一覧'!$D:$D,'TIR店舗一覧'!$E:$E,""),""))</f>
        <v/>
      </c>
      <c r="V1214" s="54" t="s">
        <v>2</v>
      </c>
      <c r="W1214" s="54" t="s">
        <v>2</v>
      </c>
      <c r="X1214" s="54" t="s">
        <v>2</v>
      </c>
      <c r="Y1214" s="54" t="s">
        <v>2</v>
      </c>
      <c r="Z1214" s="54" t="s">
        <v>2</v>
      </c>
      <c r="AA1214" s="54" t="s">
        <v>2</v>
      </c>
      <c r="AB1214" s="54" t="s">
        <v>2</v>
      </c>
      <c r="AC1214" s="54" t="s">
        <v>2</v>
      </c>
      <c r="AD1214" s="54" t="s">
        <v>2</v>
      </c>
      <c r="AE1214" s="54" t="s">
        <v>2</v>
      </c>
      <c r="AF1214" s="54" t="s">
        <v>2</v>
      </c>
      <c r="AG1214" s="54" t="s">
        <v>2</v>
      </c>
    </row>
    <row r="1215" ht="15.75" customHeight="1">
      <c r="B1215" s="56"/>
      <c r="U1215" s="46" t="str">
        <f t="array" ref="U1215">IF($D1215="","",IFERROR(_xlfn.XLOOKUP($D1215,'TIR店舗一覧'!$D:$D,'TIR店舗一覧'!$E:$E,""),""))</f>
        <v/>
      </c>
      <c r="V1215" s="54" t="s">
        <v>2</v>
      </c>
      <c r="W1215" s="54" t="s">
        <v>2</v>
      </c>
      <c r="X1215" s="54" t="s">
        <v>2</v>
      </c>
      <c r="Y1215" s="54" t="s">
        <v>2</v>
      </c>
      <c r="Z1215" s="54" t="s">
        <v>2</v>
      </c>
      <c r="AA1215" s="54" t="s">
        <v>2</v>
      </c>
      <c r="AB1215" s="54" t="s">
        <v>2</v>
      </c>
      <c r="AC1215" s="54" t="s">
        <v>2</v>
      </c>
      <c r="AD1215" s="54" t="s">
        <v>2</v>
      </c>
      <c r="AE1215" s="54" t="s">
        <v>2</v>
      </c>
      <c r="AF1215" s="54" t="s">
        <v>2</v>
      </c>
      <c r="AG1215" s="54" t="s">
        <v>2</v>
      </c>
    </row>
    <row r="1216" ht="15.75" customHeight="1">
      <c r="B1216" s="56"/>
      <c r="U1216" s="46" t="str">
        <f t="array" ref="U1216">IF($D1216="","",IFERROR(_xlfn.XLOOKUP($D1216,'TIR店舗一覧'!$D:$D,'TIR店舗一覧'!$E:$E,""),""))</f>
        <v/>
      </c>
      <c r="V1216" s="54" t="s">
        <v>2</v>
      </c>
      <c r="W1216" s="54" t="s">
        <v>2</v>
      </c>
      <c r="X1216" s="54" t="s">
        <v>2</v>
      </c>
      <c r="Y1216" s="54" t="s">
        <v>2</v>
      </c>
      <c r="Z1216" s="54" t="s">
        <v>2</v>
      </c>
      <c r="AA1216" s="54" t="s">
        <v>2</v>
      </c>
      <c r="AB1216" s="54" t="s">
        <v>2</v>
      </c>
      <c r="AC1216" s="54" t="s">
        <v>2</v>
      </c>
      <c r="AD1216" s="54" t="s">
        <v>2</v>
      </c>
      <c r="AE1216" s="54" t="s">
        <v>2</v>
      </c>
      <c r="AF1216" s="54" t="s">
        <v>2</v>
      </c>
      <c r="AG1216" s="54" t="s">
        <v>2</v>
      </c>
    </row>
    <row r="1217" ht="15.75" customHeight="1">
      <c r="B1217" s="56"/>
      <c r="U1217" s="46" t="str">
        <f t="array" ref="U1217">IF($D1217="","",IFERROR(_xlfn.XLOOKUP($D1217,'TIR店舗一覧'!$D:$D,'TIR店舗一覧'!$E:$E,""),""))</f>
        <v/>
      </c>
      <c r="V1217" s="54" t="s">
        <v>2</v>
      </c>
      <c r="W1217" s="54" t="s">
        <v>2</v>
      </c>
      <c r="X1217" s="54" t="s">
        <v>2</v>
      </c>
      <c r="Y1217" s="54" t="s">
        <v>2</v>
      </c>
      <c r="Z1217" s="54" t="s">
        <v>2</v>
      </c>
      <c r="AA1217" s="54" t="s">
        <v>2</v>
      </c>
      <c r="AB1217" s="54" t="s">
        <v>2</v>
      </c>
      <c r="AC1217" s="54" t="s">
        <v>2</v>
      </c>
      <c r="AD1217" s="54" t="s">
        <v>2</v>
      </c>
      <c r="AE1217" s="54" t="s">
        <v>2</v>
      </c>
      <c r="AF1217" s="54" t="s">
        <v>2</v>
      </c>
      <c r="AG1217" s="54" t="s">
        <v>2</v>
      </c>
    </row>
    <row r="1218" ht="15.75" customHeight="1">
      <c r="B1218" s="56"/>
      <c r="U1218" s="46" t="str">
        <f t="array" ref="U1218">IF($D1218="","",IFERROR(_xlfn.XLOOKUP($D1218,'TIR店舗一覧'!$D:$D,'TIR店舗一覧'!$E:$E,""),""))</f>
        <v/>
      </c>
      <c r="V1218" s="54" t="s">
        <v>2</v>
      </c>
      <c r="W1218" s="54" t="s">
        <v>2</v>
      </c>
      <c r="X1218" s="54" t="s">
        <v>2</v>
      </c>
      <c r="Y1218" s="54" t="s">
        <v>2</v>
      </c>
      <c r="Z1218" s="54" t="s">
        <v>2</v>
      </c>
      <c r="AA1218" s="54" t="s">
        <v>2</v>
      </c>
      <c r="AB1218" s="54" t="s">
        <v>2</v>
      </c>
      <c r="AC1218" s="54" t="s">
        <v>2</v>
      </c>
      <c r="AD1218" s="54" t="s">
        <v>2</v>
      </c>
      <c r="AE1218" s="54" t="s">
        <v>2</v>
      </c>
      <c r="AF1218" s="54" t="s">
        <v>2</v>
      </c>
      <c r="AG1218" s="54" t="s">
        <v>2</v>
      </c>
    </row>
    <row r="1219" ht="15.75" customHeight="1">
      <c r="B1219" s="56"/>
      <c r="U1219" s="46" t="str">
        <f t="array" ref="U1219">IF($D1219="","",IFERROR(_xlfn.XLOOKUP($D1219,'TIR店舗一覧'!$D:$D,'TIR店舗一覧'!$E:$E,""),""))</f>
        <v/>
      </c>
      <c r="V1219" s="54" t="s">
        <v>2</v>
      </c>
      <c r="W1219" s="54" t="s">
        <v>2</v>
      </c>
      <c r="X1219" s="54" t="s">
        <v>2</v>
      </c>
      <c r="Y1219" s="54" t="s">
        <v>2</v>
      </c>
      <c r="Z1219" s="54" t="s">
        <v>2</v>
      </c>
      <c r="AA1219" s="54" t="s">
        <v>2</v>
      </c>
      <c r="AB1219" s="54" t="s">
        <v>2</v>
      </c>
      <c r="AC1219" s="54" t="s">
        <v>2</v>
      </c>
      <c r="AD1219" s="54" t="s">
        <v>2</v>
      </c>
      <c r="AE1219" s="54" t="s">
        <v>2</v>
      </c>
      <c r="AF1219" s="54" t="s">
        <v>2</v>
      </c>
      <c r="AG1219" s="54" t="s">
        <v>2</v>
      </c>
    </row>
    <row r="1220" ht="15.75" customHeight="1">
      <c r="B1220" s="56"/>
      <c r="U1220" s="46" t="str">
        <f t="array" ref="U1220">IF($D1220="","",IFERROR(_xlfn.XLOOKUP($D1220,'TIR店舗一覧'!$D:$D,'TIR店舗一覧'!$E:$E,""),""))</f>
        <v/>
      </c>
      <c r="V1220" s="54" t="s">
        <v>2</v>
      </c>
      <c r="W1220" s="54" t="s">
        <v>2</v>
      </c>
      <c r="X1220" s="54" t="s">
        <v>2</v>
      </c>
      <c r="Y1220" s="54" t="s">
        <v>2</v>
      </c>
      <c r="Z1220" s="54" t="s">
        <v>2</v>
      </c>
      <c r="AA1220" s="54" t="s">
        <v>2</v>
      </c>
      <c r="AB1220" s="54" t="s">
        <v>2</v>
      </c>
      <c r="AC1220" s="54" t="s">
        <v>2</v>
      </c>
      <c r="AD1220" s="54" t="s">
        <v>2</v>
      </c>
      <c r="AE1220" s="54" t="s">
        <v>2</v>
      </c>
      <c r="AF1220" s="54" t="s">
        <v>2</v>
      </c>
      <c r="AG1220" s="54" t="s">
        <v>2</v>
      </c>
    </row>
    <row r="1221" ht="15.75" customHeight="1">
      <c r="B1221" s="56"/>
      <c r="U1221" s="46" t="str">
        <f t="array" ref="U1221">IF($D1221="","",IFERROR(_xlfn.XLOOKUP($D1221,'TIR店舗一覧'!$D:$D,'TIR店舗一覧'!$E:$E,""),""))</f>
        <v/>
      </c>
      <c r="V1221" s="54" t="s">
        <v>2</v>
      </c>
      <c r="W1221" s="54" t="s">
        <v>2</v>
      </c>
      <c r="X1221" s="54" t="s">
        <v>2</v>
      </c>
      <c r="Y1221" s="54" t="s">
        <v>2</v>
      </c>
      <c r="Z1221" s="54" t="s">
        <v>2</v>
      </c>
      <c r="AA1221" s="54" t="s">
        <v>2</v>
      </c>
      <c r="AB1221" s="54" t="s">
        <v>2</v>
      </c>
      <c r="AC1221" s="54" t="s">
        <v>2</v>
      </c>
      <c r="AD1221" s="54" t="s">
        <v>2</v>
      </c>
      <c r="AE1221" s="54" t="s">
        <v>2</v>
      </c>
      <c r="AF1221" s="54" t="s">
        <v>2</v>
      </c>
      <c r="AG1221" s="54" t="s">
        <v>2</v>
      </c>
    </row>
    <row r="1222" ht="15.75" customHeight="1">
      <c r="B1222" s="56"/>
      <c r="U1222" s="46" t="str">
        <f t="array" ref="U1222">IF($D1222="","",IFERROR(_xlfn.XLOOKUP($D1222,'TIR店舗一覧'!$D:$D,'TIR店舗一覧'!$E:$E,""),""))</f>
        <v/>
      </c>
      <c r="V1222" s="54" t="s">
        <v>2</v>
      </c>
      <c r="W1222" s="54" t="s">
        <v>2</v>
      </c>
      <c r="X1222" s="54" t="s">
        <v>2</v>
      </c>
      <c r="Y1222" s="54" t="s">
        <v>2</v>
      </c>
      <c r="Z1222" s="54" t="s">
        <v>2</v>
      </c>
      <c r="AA1222" s="54" t="s">
        <v>2</v>
      </c>
      <c r="AB1222" s="54" t="s">
        <v>2</v>
      </c>
      <c r="AC1222" s="54" t="s">
        <v>2</v>
      </c>
      <c r="AD1222" s="54" t="s">
        <v>2</v>
      </c>
      <c r="AE1222" s="54" t="s">
        <v>2</v>
      </c>
      <c r="AF1222" s="54" t="s">
        <v>2</v>
      </c>
      <c r="AG1222" s="54" t="s">
        <v>2</v>
      </c>
    </row>
    <row r="1223" ht="15.75" customHeight="1">
      <c r="B1223" s="56"/>
      <c r="U1223" s="46" t="str">
        <f t="array" ref="U1223">IF($D1223="","",IFERROR(_xlfn.XLOOKUP($D1223,'TIR店舗一覧'!$D:$D,'TIR店舗一覧'!$E:$E,""),""))</f>
        <v/>
      </c>
      <c r="V1223" s="54" t="s">
        <v>2</v>
      </c>
      <c r="W1223" s="54" t="s">
        <v>2</v>
      </c>
      <c r="X1223" s="54" t="s">
        <v>2</v>
      </c>
      <c r="Y1223" s="54" t="s">
        <v>2</v>
      </c>
      <c r="Z1223" s="54" t="s">
        <v>2</v>
      </c>
      <c r="AA1223" s="54" t="s">
        <v>2</v>
      </c>
      <c r="AB1223" s="54" t="s">
        <v>2</v>
      </c>
      <c r="AC1223" s="54" t="s">
        <v>2</v>
      </c>
      <c r="AD1223" s="54" t="s">
        <v>2</v>
      </c>
      <c r="AE1223" s="54" t="s">
        <v>2</v>
      </c>
      <c r="AF1223" s="54" t="s">
        <v>2</v>
      </c>
      <c r="AG1223" s="54" t="s">
        <v>2</v>
      </c>
    </row>
    <row r="1224" ht="15.75" customHeight="1">
      <c r="B1224" s="56"/>
      <c r="U1224" s="46" t="str">
        <f t="array" ref="U1224">IF($D1224="","",IFERROR(_xlfn.XLOOKUP($D1224,'TIR店舗一覧'!$D:$D,'TIR店舗一覧'!$E:$E,""),""))</f>
        <v/>
      </c>
      <c r="V1224" s="54" t="s">
        <v>2</v>
      </c>
      <c r="W1224" s="54" t="s">
        <v>2</v>
      </c>
      <c r="X1224" s="54" t="s">
        <v>2</v>
      </c>
      <c r="Y1224" s="54" t="s">
        <v>2</v>
      </c>
      <c r="Z1224" s="54" t="s">
        <v>2</v>
      </c>
      <c r="AA1224" s="54" t="s">
        <v>2</v>
      </c>
      <c r="AB1224" s="54" t="s">
        <v>2</v>
      </c>
      <c r="AC1224" s="54" t="s">
        <v>2</v>
      </c>
      <c r="AD1224" s="54" t="s">
        <v>2</v>
      </c>
      <c r="AE1224" s="54" t="s">
        <v>2</v>
      </c>
      <c r="AF1224" s="54" t="s">
        <v>2</v>
      </c>
      <c r="AG1224" s="54" t="s">
        <v>2</v>
      </c>
    </row>
    <row r="1225" ht="15.75" customHeight="1">
      <c r="B1225" s="56"/>
      <c r="U1225" s="46" t="str">
        <f t="array" ref="U1225">IF($D1225="","",IFERROR(_xlfn.XLOOKUP($D1225,'TIR店舗一覧'!$D:$D,'TIR店舗一覧'!$E:$E,""),""))</f>
        <v/>
      </c>
      <c r="V1225" s="54" t="s">
        <v>2</v>
      </c>
      <c r="W1225" s="54" t="s">
        <v>2</v>
      </c>
      <c r="X1225" s="54" t="s">
        <v>2</v>
      </c>
      <c r="Y1225" s="54" t="s">
        <v>2</v>
      </c>
      <c r="Z1225" s="54" t="s">
        <v>2</v>
      </c>
      <c r="AA1225" s="54" t="s">
        <v>2</v>
      </c>
      <c r="AB1225" s="54" t="s">
        <v>2</v>
      </c>
      <c r="AC1225" s="54" t="s">
        <v>2</v>
      </c>
      <c r="AD1225" s="54" t="s">
        <v>2</v>
      </c>
      <c r="AE1225" s="54" t="s">
        <v>2</v>
      </c>
      <c r="AF1225" s="54" t="s">
        <v>2</v>
      </c>
      <c r="AG1225" s="54" t="s">
        <v>2</v>
      </c>
    </row>
    <row r="1226" ht="15.75" customHeight="1">
      <c r="B1226" s="56"/>
      <c r="U1226" s="46" t="str">
        <f t="array" ref="U1226">IF($D1226="","",IFERROR(_xlfn.XLOOKUP($D1226,'TIR店舗一覧'!$D:$D,'TIR店舗一覧'!$E:$E,""),""))</f>
        <v/>
      </c>
      <c r="V1226" s="54" t="s">
        <v>2</v>
      </c>
      <c r="W1226" s="54" t="s">
        <v>2</v>
      </c>
      <c r="X1226" s="54" t="s">
        <v>2</v>
      </c>
      <c r="Y1226" s="54" t="s">
        <v>2</v>
      </c>
      <c r="Z1226" s="54" t="s">
        <v>2</v>
      </c>
      <c r="AA1226" s="54" t="s">
        <v>2</v>
      </c>
      <c r="AB1226" s="54" t="s">
        <v>2</v>
      </c>
      <c r="AC1226" s="54" t="s">
        <v>2</v>
      </c>
      <c r="AD1226" s="54" t="s">
        <v>2</v>
      </c>
      <c r="AE1226" s="54" t="s">
        <v>2</v>
      </c>
      <c r="AF1226" s="54" t="s">
        <v>2</v>
      </c>
      <c r="AG1226" s="54" t="s">
        <v>2</v>
      </c>
    </row>
    <row r="1227" ht="15.75" customHeight="1">
      <c r="B1227" s="56"/>
      <c r="U1227" s="46" t="str">
        <f t="array" ref="U1227">IF($D1227="","",IFERROR(_xlfn.XLOOKUP($D1227,'TIR店舗一覧'!$D:$D,'TIR店舗一覧'!$E:$E,""),""))</f>
        <v/>
      </c>
      <c r="V1227" s="54" t="s">
        <v>2</v>
      </c>
      <c r="W1227" s="54" t="s">
        <v>2</v>
      </c>
      <c r="X1227" s="54" t="s">
        <v>2</v>
      </c>
      <c r="Y1227" s="54" t="s">
        <v>2</v>
      </c>
      <c r="Z1227" s="54" t="s">
        <v>2</v>
      </c>
      <c r="AA1227" s="54" t="s">
        <v>2</v>
      </c>
      <c r="AB1227" s="54" t="s">
        <v>2</v>
      </c>
      <c r="AC1227" s="54" t="s">
        <v>2</v>
      </c>
      <c r="AD1227" s="54" t="s">
        <v>2</v>
      </c>
      <c r="AE1227" s="54" t="s">
        <v>2</v>
      </c>
      <c r="AF1227" s="54" t="s">
        <v>2</v>
      </c>
      <c r="AG1227" s="54" t="s">
        <v>2</v>
      </c>
    </row>
    <row r="1228" ht="15.75" customHeight="1">
      <c r="B1228" s="56"/>
      <c r="U1228" s="46" t="str">
        <f t="array" ref="U1228">IF($D1228="","",IFERROR(_xlfn.XLOOKUP($D1228,'TIR店舗一覧'!$D:$D,'TIR店舗一覧'!$E:$E,""),""))</f>
        <v/>
      </c>
      <c r="V1228" s="54" t="s">
        <v>2</v>
      </c>
      <c r="W1228" s="54" t="s">
        <v>2</v>
      </c>
      <c r="X1228" s="54" t="s">
        <v>2</v>
      </c>
      <c r="Y1228" s="54" t="s">
        <v>2</v>
      </c>
      <c r="Z1228" s="54" t="s">
        <v>2</v>
      </c>
      <c r="AA1228" s="54" t="s">
        <v>2</v>
      </c>
      <c r="AB1228" s="54" t="s">
        <v>2</v>
      </c>
      <c r="AC1228" s="54" t="s">
        <v>2</v>
      </c>
      <c r="AD1228" s="54" t="s">
        <v>2</v>
      </c>
      <c r="AE1228" s="54" t="s">
        <v>2</v>
      </c>
      <c r="AF1228" s="54" t="s">
        <v>2</v>
      </c>
      <c r="AG1228" s="54" t="s">
        <v>2</v>
      </c>
    </row>
    <row r="1229" ht="15.75" customHeight="1">
      <c r="B1229" s="56"/>
      <c r="U1229" s="46" t="str">
        <f t="array" ref="U1229">IF($D1229="","",IFERROR(_xlfn.XLOOKUP($D1229,'TIR店舗一覧'!$D:$D,'TIR店舗一覧'!$E:$E,""),""))</f>
        <v/>
      </c>
      <c r="V1229" s="54" t="s">
        <v>2</v>
      </c>
      <c r="W1229" s="54" t="s">
        <v>2</v>
      </c>
      <c r="X1229" s="54" t="s">
        <v>2</v>
      </c>
      <c r="Y1229" s="54" t="s">
        <v>2</v>
      </c>
      <c r="Z1229" s="54" t="s">
        <v>2</v>
      </c>
      <c r="AA1229" s="54" t="s">
        <v>2</v>
      </c>
      <c r="AB1229" s="54" t="s">
        <v>2</v>
      </c>
      <c r="AC1229" s="54" t="s">
        <v>2</v>
      </c>
      <c r="AD1229" s="54" t="s">
        <v>2</v>
      </c>
      <c r="AE1229" s="54" t="s">
        <v>2</v>
      </c>
      <c r="AF1229" s="54" t="s">
        <v>2</v>
      </c>
      <c r="AG1229" s="54" t="s">
        <v>2</v>
      </c>
    </row>
    <row r="1230" ht="15.75" customHeight="1">
      <c r="B1230" s="56"/>
      <c r="U1230" s="46" t="str">
        <f t="array" ref="U1230">IF($D1230="","",IFERROR(_xlfn.XLOOKUP($D1230,'TIR店舗一覧'!$D:$D,'TIR店舗一覧'!$E:$E,""),""))</f>
        <v/>
      </c>
      <c r="V1230" s="54" t="s">
        <v>2</v>
      </c>
      <c r="W1230" s="54" t="s">
        <v>2</v>
      </c>
      <c r="X1230" s="54" t="s">
        <v>2</v>
      </c>
      <c r="Y1230" s="54" t="s">
        <v>2</v>
      </c>
      <c r="Z1230" s="54" t="s">
        <v>2</v>
      </c>
      <c r="AA1230" s="54" t="s">
        <v>2</v>
      </c>
      <c r="AB1230" s="54" t="s">
        <v>2</v>
      </c>
      <c r="AC1230" s="54" t="s">
        <v>2</v>
      </c>
      <c r="AD1230" s="54" t="s">
        <v>2</v>
      </c>
      <c r="AE1230" s="54" t="s">
        <v>2</v>
      </c>
      <c r="AF1230" s="54" t="s">
        <v>2</v>
      </c>
      <c r="AG1230" s="54" t="s">
        <v>2</v>
      </c>
    </row>
    <row r="1231" ht="15.75" customHeight="1">
      <c r="B1231" s="56"/>
      <c r="U1231" s="46" t="str">
        <f t="array" ref="U1231">IF($D1231="","",IFERROR(_xlfn.XLOOKUP($D1231,'TIR店舗一覧'!$D:$D,'TIR店舗一覧'!$E:$E,""),""))</f>
        <v/>
      </c>
      <c r="V1231" s="54" t="s">
        <v>2</v>
      </c>
      <c r="W1231" s="54" t="s">
        <v>2</v>
      </c>
      <c r="X1231" s="54" t="s">
        <v>2</v>
      </c>
      <c r="Y1231" s="54" t="s">
        <v>2</v>
      </c>
      <c r="Z1231" s="54" t="s">
        <v>2</v>
      </c>
      <c r="AA1231" s="54" t="s">
        <v>2</v>
      </c>
      <c r="AB1231" s="54" t="s">
        <v>2</v>
      </c>
      <c r="AC1231" s="54" t="s">
        <v>2</v>
      </c>
      <c r="AD1231" s="54" t="s">
        <v>2</v>
      </c>
      <c r="AE1231" s="54" t="s">
        <v>2</v>
      </c>
      <c r="AF1231" s="54" t="s">
        <v>2</v>
      </c>
      <c r="AG1231" s="54" t="s">
        <v>2</v>
      </c>
    </row>
    <row r="1232" ht="15.75" customHeight="1">
      <c r="B1232" s="56"/>
      <c r="U1232" s="46" t="str">
        <f t="array" ref="U1232">IF($D1232="","",IFERROR(_xlfn.XLOOKUP($D1232,'TIR店舗一覧'!$D:$D,'TIR店舗一覧'!$E:$E,""),""))</f>
        <v/>
      </c>
      <c r="V1232" s="54" t="s">
        <v>2</v>
      </c>
      <c r="W1232" s="54" t="s">
        <v>2</v>
      </c>
      <c r="X1232" s="54" t="s">
        <v>2</v>
      </c>
      <c r="Y1232" s="54" t="s">
        <v>2</v>
      </c>
      <c r="Z1232" s="54" t="s">
        <v>2</v>
      </c>
      <c r="AA1232" s="54" t="s">
        <v>2</v>
      </c>
      <c r="AB1232" s="54" t="s">
        <v>2</v>
      </c>
      <c r="AC1232" s="54" t="s">
        <v>2</v>
      </c>
      <c r="AD1232" s="54" t="s">
        <v>2</v>
      </c>
      <c r="AE1232" s="54" t="s">
        <v>2</v>
      </c>
      <c r="AF1232" s="54" t="s">
        <v>2</v>
      </c>
      <c r="AG1232" s="54" t="s">
        <v>2</v>
      </c>
    </row>
    <row r="1233" ht="15.75" customHeight="1">
      <c r="B1233" s="56"/>
      <c r="U1233" s="46" t="str">
        <f t="array" ref="U1233">IF($D1233="","",IFERROR(_xlfn.XLOOKUP($D1233,'TIR店舗一覧'!$D:$D,'TIR店舗一覧'!$E:$E,""),""))</f>
        <v/>
      </c>
      <c r="V1233" s="54" t="s">
        <v>2</v>
      </c>
      <c r="W1233" s="54" t="s">
        <v>2</v>
      </c>
      <c r="X1233" s="54" t="s">
        <v>2</v>
      </c>
      <c r="Y1233" s="54" t="s">
        <v>2</v>
      </c>
      <c r="Z1233" s="54" t="s">
        <v>2</v>
      </c>
      <c r="AA1233" s="54" t="s">
        <v>2</v>
      </c>
      <c r="AB1233" s="54" t="s">
        <v>2</v>
      </c>
      <c r="AC1233" s="54" t="s">
        <v>2</v>
      </c>
      <c r="AD1233" s="54" t="s">
        <v>2</v>
      </c>
      <c r="AE1233" s="54" t="s">
        <v>2</v>
      </c>
      <c r="AF1233" s="54" t="s">
        <v>2</v>
      </c>
      <c r="AG1233" s="54" t="s">
        <v>2</v>
      </c>
    </row>
    <row r="1234" ht="15.75" customHeight="1">
      <c r="B1234" s="56"/>
      <c r="U1234" s="46" t="str">
        <f t="array" ref="U1234">IF($D1234="","",IFERROR(_xlfn.XLOOKUP($D1234,'TIR店舗一覧'!$D:$D,'TIR店舗一覧'!$E:$E,""),""))</f>
        <v/>
      </c>
      <c r="V1234" s="54" t="s">
        <v>2</v>
      </c>
      <c r="W1234" s="54" t="s">
        <v>2</v>
      </c>
      <c r="X1234" s="54" t="s">
        <v>2</v>
      </c>
      <c r="Y1234" s="54" t="s">
        <v>2</v>
      </c>
      <c r="Z1234" s="54" t="s">
        <v>2</v>
      </c>
      <c r="AA1234" s="54" t="s">
        <v>2</v>
      </c>
      <c r="AB1234" s="54" t="s">
        <v>2</v>
      </c>
      <c r="AC1234" s="54" t="s">
        <v>2</v>
      </c>
      <c r="AD1234" s="54" t="s">
        <v>2</v>
      </c>
      <c r="AE1234" s="54" t="s">
        <v>2</v>
      </c>
      <c r="AF1234" s="54" t="s">
        <v>2</v>
      </c>
      <c r="AG1234" s="54" t="s">
        <v>2</v>
      </c>
    </row>
    <row r="1235" ht="15.75" customHeight="1">
      <c r="B1235" s="56"/>
      <c r="U1235" s="46" t="str">
        <f t="array" ref="U1235">IF($D1235="","",IFERROR(_xlfn.XLOOKUP($D1235,'TIR店舗一覧'!$D:$D,'TIR店舗一覧'!$E:$E,""),""))</f>
        <v/>
      </c>
      <c r="V1235" s="54" t="s">
        <v>2</v>
      </c>
      <c r="W1235" s="54" t="s">
        <v>2</v>
      </c>
      <c r="X1235" s="54" t="s">
        <v>2</v>
      </c>
      <c r="Y1235" s="54" t="s">
        <v>2</v>
      </c>
      <c r="Z1235" s="54" t="s">
        <v>2</v>
      </c>
      <c r="AA1235" s="54" t="s">
        <v>2</v>
      </c>
      <c r="AB1235" s="54" t="s">
        <v>2</v>
      </c>
      <c r="AC1235" s="54" t="s">
        <v>2</v>
      </c>
      <c r="AD1235" s="54" t="s">
        <v>2</v>
      </c>
      <c r="AE1235" s="54" t="s">
        <v>2</v>
      </c>
      <c r="AF1235" s="54" t="s">
        <v>2</v>
      </c>
      <c r="AG1235" s="54" t="s">
        <v>2</v>
      </c>
    </row>
    <row r="1236" ht="15.75" customHeight="1">
      <c r="B1236" s="56"/>
      <c r="U1236" s="46" t="str">
        <f t="array" ref="U1236">IF($D1236="","",IFERROR(_xlfn.XLOOKUP($D1236,'TIR店舗一覧'!$D:$D,'TIR店舗一覧'!$E:$E,""),""))</f>
        <v/>
      </c>
      <c r="V1236" s="54" t="s">
        <v>2</v>
      </c>
      <c r="W1236" s="54" t="s">
        <v>2</v>
      </c>
      <c r="X1236" s="54" t="s">
        <v>2</v>
      </c>
      <c r="Y1236" s="54" t="s">
        <v>2</v>
      </c>
      <c r="Z1236" s="54" t="s">
        <v>2</v>
      </c>
      <c r="AA1236" s="54" t="s">
        <v>2</v>
      </c>
      <c r="AB1236" s="54" t="s">
        <v>2</v>
      </c>
      <c r="AC1236" s="54" t="s">
        <v>2</v>
      </c>
      <c r="AD1236" s="54" t="s">
        <v>2</v>
      </c>
      <c r="AE1236" s="54" t="s">
        <v>2</v>
      </c>
      <c r="AF1236" s="54" t="s">
        <v>2</v>
      </c>
      <c r="AG1236" s="54" t="s">
        <v>2</v>
      </c>
    </row>
    <row r="1237" ht="15.75" customHeight="1">
      <c r="B1237" s="56"/>
      <c r="U1237" s="46" t="str">
        <f t="array" ref="U1237">IF($D1237="","",IFERROR(_xlfn.XLOOKUP($D1237,'TIR店舗一覧'!$D:$D,'TIR店舗一覧'!$E:$E,""),""))</f>
        <v/>
      </c>
      <c r="V1237" s="54" t="s">
        <v>2</v>
      </c>
      <c r="W1237" s="54" t="s">
        <v>2</v>
      </c>
      <c r="X1237" s="54" t="s">
        <v>2</v>
      </c>
      <c r="Y1237" s="54" t="s">
        <v>2</v>
      </c>
      <c r="Z1237" s="54" t="s">
        <v>2</v>
      </c>
      <c r="AA1237" s="54" t="s">
        <v>2</v>
      </c>
      <c r="AB1237" s="54" t="s">
        <v>2</v>
      </c>
      <c r="AC1237" s="54" t="s">
        <v>2</v>
      </c>
      <c r="AD1237" s="54" t="s">
        <v>2</v>
      </c>
      <c r="AE1237" s="54" t="s">
        <v>2</v>
      </c>
      <c r="AF1237" s="54" t="s">
        <v>2</v>
      </c>
      <c r="AG1237" s="54" t="s">
        <v>2</v>
      </c>
    </row>
    <row r="1238" ht="15.75" customHeight="1">
      <c r="B1238" s="56"/>
      <c r="U1238" s="46" t="str">
        <f t="array" ref="U1238">IF($D1238="","",IFERROR(_xlfn.XLOOKUP($D1238,'TIR店舗一覧'!$D:$D,'TIR店舗一覧'!$E:$E,""),""))</f>
        <v/>
      </c>
      <c r="V1238" s="54" t="s">
        <v>2</v>
      </c>
      <c r="W1238" s="54" t="s">
        <v>2</v>
      </c>
      <c r="X1238" s="54" t="s">
        <v>2</v>
      </c>
      <c r="Y1238" s="54" t="s">
        <v>2</v>
      </c>
      <c r="Z1238" s="54" t="s">
        <v>2</v>
      </c>
      <c r="AA1238" s="54" t="s">
        <v>2</v>
      </c>
      <c r="AB1238" s="54" t="s">
        <v>2</v>
      </c>
      <c r="AC1238" s="54" t="s">
        <v>2</v>
      </c>
      <c r="AD1238" s="54" t="s">
        <v>2</v>
      </c>
      <c r="AE1238" s="54" t="s">
        <v>2</v>
      </c>
      <c r="AF1238" s="54" t="s">
        <v>2</v>
      </c>
      <c r="AG1238" s="54" t="s">
        <v>2</v>
      </c>
    </row>
    <row r="1239" ht="15.75" customHeight="1">
      <c r="B1239" s="56"/>
      <c r="U1239" s="46" t="str">
        <f t="array" ref="U1239">IF($D1239="","",IFERROR(_xlfn.XLOOKUP($D1239,'TIR店舗一覧'!$D:$D,'TIR店舗一覧'!$E:$E,""),""))</f>
        <v/>
      </c>
      <c r="V1239" s="54" t="s">
        <v>2</v>
      </c>
      <c r="W1239" s="54" t="s">
        <v>2</v>
      </c>
      <c r="X1239" s="54" t="s">
        <v>2</v>
      </c>
      <c r="Y1239" s="54" t="s">
        <v>2</v>
      </c>
      <c r="Z1239" s="54" t="s">
        <v>2</v>
      </c>
      <c r="AA1239" s="54" t="s">
        <v>2</v>
      </c>
      <c r="AB1239" s="54" t="s">
        <v>2</v>
      </c>
      <c r="AC1239" s="54" t="s">
        <v>2</v>
      </c>
      <c r="AD1239" s="54" t="s">
        <v>2</v>
      </c>
      <c r="AE1239" s="54" t="s">
        <v>2</v>
      </c>
      <c r="AF1239" s="54" t="s">
        <v>2</v>
      </c>
      <c r="AG1239" s="54" t="s">
        <v>2</v>
      </c>
    </row>
    <row r="1240" ht="15.75" customHeight="1">
      <c r="B1240" s="56"/>
      <c r="U1240" s="46" t="str">
        <f t="array" ref="U1240">IF($D1240="","",IFERROR(_xlfn.XLOOKUP($D1240,'TIR店舗一覧'!$D:$D,'TIR店舗一覧'!$E:$E,""),""))</f>
        <v/>
      </c>
      <c r="V1240" s="54" t="s">
        <v>2</v>
      </c>
      <c r="W1240" s="54" t="s">
        <v>2</v>
      </c>
      <c r="X1240" s="54" t="s">
        <v>2</v>
      </c>
      <c r="Y1240" s="54" t="s">
        <v>2</v>
      </c>
      <c r="Z1240" s="54" t="s">
        <v>2</v>
      </c>
      <c r="AA1240" s="54" t="s">
        <v>2</v>
      </c>
      <c r="AB1240" s="54" t="s">
        <v>2</v>
      </c>
      <c r="AC1240" s="54" t="s">
        <v>2</v>
      </c>
      <c r="AD1240" s="54" t="s">
        <v>2</v>
      </c>
      <c r="AE1240" s="54" t="s">
        <v>2</v>
      </c>
      <c r="AF1240" s="54" t="s">
        <v>2</v>
      </c>
      <c r="AG1240" s="54" t="s">
        <v>2</v>
      </c>
    </row>
    <row r="1241" ht="15.75" customHeight="1">
      <c r="B1241" s="56"/>
      <c r="U1241" s="46" t="str">
        <f t="array" ref="U1241">IF($D1241="","",IFERROR(_xlfn.XLOOKUP($D1241,'TIR店舗一覧'!$D:$D,'TIR店舗一覧'!$E:$E,""),""))</f>
        <v/>
      </c>
      <c r="V1241" s="54" t="s">
        <v>2</v>
      </c>
      <c r="W1241" s="54" t="s">
        <v>2</v>
      </c>
      <c r="X1241" s="54" t="s">
        <v>2</v>
      </c>
      <c r="Y1241" s="54" t="s">
        <v>2</v>
      </c>
      <c r="Z1241" s="54" t="s">
        <v>2</v>
      </c>
      <c r="AA1241" s="54" t="s">
        <v>2</v>
      </c>
      <c r="AB1241" s="54" t="s">
        <v>2</v>
      </c>
      <c r="AC1241" s="54" t="s">
        <v>2</v>
      </c>
      <c r="AD1241" s="54" t="s">
        <v>2</v>
      </c>
      <c r="AE1241" s="54" t="s">
        <v>2</v>
      </c>
      <c r="AF1241" s="54" t="s">
        <v>2</v>
      </c>
      <c r="AG1241" s="54" t="s">
        <v>2</v>
      </c>
    </row>
    <row r="1242" ht="15.75" customHeight="1">
      <c r="B1242" s="56"/>
      <c r="U1242" s="46" t="str">
        <f t="array" ref="U1242">IF($D1242="","",IFERROR(_xlfn.XLOOKUP($D1242,'TIR店舗一覧'!$D:$D,'TIR店舗一覧'!$E:$E,""),""))</f>
        <v/>
      </c>
      <c r="V1242" s="54" t="s">
        <v>2</v>
      </c>
      <c r="W1242" s="54" t="s">
        <v>2</v>
      </c>
      <c r="X1242" s="54" t="s">
        <v>2</v>
      </c>
      <c r="Y1242" s="54" t="s">
        <v>2</v>
      </c>
      <c r="Z1242" s="54" t="s">
        <v>2</v>
      </c>
      <c r="AA1242" s="54" t="s">
        <v>2</v>
      </c>
      <c r="AB1242" s="54" t="s">
        <v>2</v>
      </c>
      <c r="AC1242" s="54" t="s">
        <v>2</v>
      </c>
      <c r="AD1242" s="54" t="s">
        <v>2</v>
      </c>
      <c r="AE1242" s="54" t="s">
        <v>2</v>
      </c>
      <c r="AF1242" s="54" t="s">
        <v>2</v>
      </c>
      <c r="AG1242" s="54" t="s">
        <v>2</v>
      </c>
    </row>
    <row r="1243" ht="15.75" customHeight="1">
      <c r="B1243" s="56"/>
      <c r="U1243" s="46" t="str">
        <f t="array" ref="U1243">IF($D1243="","",IFERROR(_xlfn.XLOOKUP($D1243,'TIR店舗一覧'!$D:$D,'TIR店舗一覧'!$E:$E,""),""))</f>
        <v/>
      </c>
      <c r="V1243" s="54" t="s">
        <v>2</v>
      </c>
      <c r="W1243" s="54" t="s">
        <v>2</v>
      </c>
      <c r="X1243" s="54" t="s">
        <v>2</v>
      </c>
      <c r="Y1243" s="54" t="s">
        <v>2</v>
      </c>
      <c r="Z1243" s="54" t="s">
        <v>2</v>
      </c>
      <c r="AA1243" s="54" t="s">
        <v>2</v>
      </c>
      <c r="AB1243" s="54" t="s">
        <v>2</v>
      </c>
      <c r="AC1243" s="54" t="s">
        <v>2</v>
      </c>
      <c r="AD1243" s="54" t="s">
        <v>2</v>
      </c>
      <c r="AE1243" s="54" t="s">
        <v>2</v>
      </c>
      <c r="AF1243" s="54" t="s">
        <v>2</v>
      </c>
      <c r="AG1243" s="54" t="s">
        <v>2</v>
      </c>
    </row>
    <row r="1244" ht="15.75" customHeight="1">
      <c r="B1244" s="56"/>
      <c r="U1244" s="46" t="str">
        <f t="array" ref="U1244">IF($D1244="","",IFERROR(_xlfn.XLOOKUP($D1244,'TIR店舗一覧'!$D:$D,'TIR店舗一覧'!$E:$E,""),""))</f>
        <v/>
      </c>
      <c r="V1244" s="54" t="s">
        <v>2</v>
      </c>
      <c r="W1244" s="54" t="s">
        <v>2</v>
      </c>
      <c r="X1244" s="54" t="s">
        <v>2</v>
      </c>
      <c r="Y1244" s="54" t="s">
        <v>2</v>
      </c>
      <c r="Z1244" s="54" t="s">
        <v>2</v>
      </c>
      <c r="AA1244" s="54" t="s">
        <v>2</v>
      </c>
      <c r="AB1244" s="54" t="s">
        <v>2</v>
      </c>
      <c r="AC1244" s="54" t="s">
        <v>2</v>
      </c>
      <c r="AD1244" s="54" t="s">
        <v>2</v>
      </c>
      <c r="AE1244" s="54" t="s">
        <v>2</v>
      </c>
      <c r="AF1244" s="54" t="s">
        <v>2</v>
      </c>
      <c r="AG1244" s="54" t="s">
        <v>2</v>
      </c>
    </row>
    <row r="1245" ht="15.75" customHeight="1">
      <c r="B1245" s="56"/>
      <c r="U1245" s="46" t="str">
        <f t="array" ref="U1245">IF($D1245="","",IFERROR(_xlfn.XLOOKUP($D1245,'TIR店舗一覧'!$D:$D,'TIR店舗一覧'!$E:$E,""),""))</f>
        <v/>
      </c>
      <c r="V1245" s="54" t="s">
        <v>2</v>
      </c>
      <c r="W1245" s="54" t="s">
        <v>2</v>
      </c>
      <c r="X1245" s="54" t="s">
        <v>2</v>
      </c>
      <c r="Y1245" s="54" t="s">
        <v>2</v>
      </c>
      <c r="Z1245" s="54" t="s">
        <v>2</v>
      </c>
      <c r="AA1245" s="54" t="s">
        <v>2</v>
      </c>
      <c r="AB1245" s="54" t="s">
        <v>2</v>
      </c>
      <c r="AC1245" s="54" t="s">
        <v>2</v>
      </c>
      <c r="AD1245" s="54" t="s">
        <v>2</v>
      </c>
      <c r="AE1245" s="54" t="s">
        <v>2</v>
      </c>
      <c r="AF1245" s="54" t="s">
        <v>2</v>
      </c>
      <c r="AG1245" s="54" t="s">
        <v>2</v>
      </c>
    </row>
    <row r="1246" ht="15.75" customHeight="1">
      <c r="B1246" s="56"/>
      <c r="U1246" s="46" t="str">
        <f t="array" ref="U1246">IF($D1246="","",IFERROR(_xlfn.XLOOKUP($D1246,'TIR店舗一覧'!$D:$D,'TIR店舗一覧'!$E:$E,""),""))</f>
        <v/>
      </c>
      <c r="V1246" s="54" t="s">
        <v>2</v>
      </c>
      <c r="W1246" s="54" t="s">
        <v>2</v>
      </c>
      <c r="X1246" s="54" t="s">
        <v>2</v>
      </c>
      <c r="Y1246" s="54" t="s">
        <v>2</v>
      </c>
      <c r="Z1246" s="54" t="s">
        <v>2</v>
      </c>
      <c r="AA1246" s="54" t="s">
        <v>2</v>
      </c>
      <c r="AB1246" s="54" t="s">
        <v>2</v>
      </c>
      <c r="AC1246" s="54" t="s">
        <v>2</v>
      </c>
      <c r="AD1246" s="54" t="s">
        <v>2</v>
      </c>
      <c r="AE1246" s="54" t="s">
        <v>2</v>
      </c>
      <c r="AF1246" s="54" t="s">
        <v>2</v>
      </c>
      <c r="AG1246" s="54" t="s">
        <v>2</v>
      </c>
    </row>
    <row r="1247" ht="15.75" customHeight="1">
      <c r="B1247" s="56"/>
      <c r="U1247" s="46" t="str">
        <f t="array" ref="U1247">IF($D1247="","",IFERROR(_xlfn.XLOOKUP($D1247,'TIR店舗一覧'!$D:$D,'TIR店舗一覧'!$E:$E,""),""))</f>
        <v/>
      </c>
      <c r="V1247" s="54" t="s">
        <v>2</v>
      </c>
      <c r="W1247" s="54" t="s">
        <v>2</v>
      </c>
      <c r="X1247" s="54" t="s">
        <v>2</v>
      </c>
      <c r="Y1247" s="54" t="s">
        <v>2</v>
      </c>
      <c r="Z1247" s="54" t="s">
        <v>2</v>
      </c>
      <c r="AA1247" s="54" t="s">
        <v>2</v>
      </c>
      <c r="AB1247" s="54" t="s">
        <v>2</v>
      </c>
      <c r="AC1247" s="54" t="s">
        <v>2</v>
      </c>
      <c r="AD1247" s="54" t="s">
        <v>2</v>
      </c>
      <c r="AE1247" s="54" t="s">
        <v>2</v>
      </c>
      <c r="AF1247" s="54" t="s">
        <v>2</v>
      </c>
      <c r="AG1247" s="54" t="s">
        <v>2</v>
      </c>
    </row>
    <row r="1248" ht="15.75" customHeight="1">
      <c r="B1248" s="56"/>
      <c r="U1248" s="46" t="str">
        <f t="array" ref="U1248">IF($D1248="","",IFERROR(_xlfn.XLOOKUP($D1248,'TIR店舗一覧'!$D:$D,'TIR店舗一覧'!$E:$E,""),""))</f>
        <v/>
      </c>
      <c r="V1248" s="54" t="s">
        <v>2</v>
      </c>
      <c r="W1248" s="54" t="s">
        <v>2</v>
      </c>
      <c r="X1248" s="54" t="s">
        <v>2</v>
      </c>
      <c r="Y1248" s="54" t="s">
        <v>2</v>
      </c>
      <c r="Z1248" s="54" t="s">
        <v>2</v>
      </c>
      <c r="AA1248" s="54" t="s">
        <v>2</v>
      </c>
      <c r="AB1248" s="54" t="s">
        <v>2</v>
      </c>
      <c r="AC1248" s="54" t="s">
        <v>2</v>
      </c>
      <c r="AD1248" s="54" t="s">
        <v>2</v>
      </c>
      <c r="AE1248" s="54" t="s">
        <v>2</v>
      </c>
      <c r="AF1248" s="54" t="s">
        <v>2</v>
      </c>
      <c r="AG1248" s="54" t="s">
        <v>2</v>
      </c>
    </row>
    <row r="1249" ht="15.75" customHeight="1">
      <c r="B1249" s="56"/>
      <c r="U1249" s="46" t="str">
        <f t="array" ref="U1249">IF($D1249="","",IFERROR(_xlfn.XLOOKUP($D1249,'TIR店舗一覧'!$D:$D,'TIR店舗一覧'!$E:$E,""),""))</f>
        <v/>
      </c>
      <c r="V1249" s="54" t="s">
        <v>2</v>
      </c>
      <c r="W1249" s="54" t="s">
        <v>2</v>
      </c>
      <c r="X1249" s="54" t="s">
        <v>2</v>
      </c>
      <c r="Y1249" s="54" t="s">
        <v>2</v>
      </c>
      <c r="Z1249" s="54" t="s">
        <v>2</v>
      </c>
      <c r="AA1249" s="54" t="s">
        <v>2</v>
      </c>
      <c r="AB1249" s="54" t="s">
        <v>2</v>
      </c>
      <c r="AC1249" s="54" t="s">
        <v>2</v>
      </c>
      <c r="AD1249" s="54" t="s">
        <v>2</v>
      </c>
      <c r="AE1249" s="54" t="s">
        <v>2</v>
      </c>
      <c r="AF1249" s="54" t="s">
        <v>2</v>
      </c>
      <c r="AG1249" s="54" t="s">
        <v>2</v>
      </c>
    </row>
    <row r="1250" ht="15.75" customHeight="1">
      <c r="B1250" s="56"/>
      <c r="U1250" s="46" t="str">
        <f t="array" ref="U1250">IF($D1250="","",IFERROR(_xlfn.XLOOKUP($D1250,'TIR店舗一覧'!$D:$D,'TIR店舗一覧'!$E:$E,""),""))</f>
        <v/>
      </c>
      <c r="V1250" s="54" t="s">
        <v>2</v>
      </c>
      <c r="W1250" s="54" t="s">
        <v>2</v>
      </c>
      <c r="X1250" s="54" t="s">
        <v>2</v>
      </c>
      <c r="Y1250" s="54" t="s">
        <v>2</v>
      </c>
      <c r="Z1250" s="54" t="s">
        <v>2</v>
      </c>
      <c r="AA1250" s="54" t="s">
        <v>2</v>
      </c>
      <c r="AB1250" s="54" t="s">
        <v>2</v>
      </c>
      <c r="AC1250" s="54" t="s">
        <v>2</v>
      </c>
      <c r="AD1250" s="54" t="s">
        <v>2</v>
      </c>
      <c r="AE1250" s="54" t="s">
        <v>2</v>
      </c>
      <c r="AF1250" s="54" t="s">
        <v>2</v>
      </c>
      <c r="AG1250" s="54" t="s">
        <v>2</v>
      </c>
    </row>
    <row r="1251" ht="15.75" customHeight="1">
      <c r="B1251" s="56"/>
      <c r="U1251" s="46" t="str">
        <f t="array" ref="U1251">IF($D1251="","",IFERROR(_xlfn.XLOOKUP($D1251,'TIR店舗一覧'!$D:$D,'TIR店舗一覧'!$E:$E,""),""))</f>
        <v/>
      </c>
      <c r="V1251" s="54" t="s">
        <v>2</v>
      </c>
      <c r="W1251" s="54" t="s">
        <v>2</v>
      </c>
      <c r="X1251" s="54" t="s">
        <v>2</v>
      </c>
      <c r="Y1251" s="54" t="s">
        <v>2</v>
      </c>
      <c r="Z1251" s="54" t="s">
        <v>2</v>
      </c>
      <c r="AA1251" s="54" t="s">
        <v>2</v>
      </c>
      <c r="AB1251" s="54" t="s">
        <v>2</v>
      </c>
      <c r="AC1251" s="54" t="s">
        <v>2</v>
      </c>
      <c r="AD1251" s="54" t="s">
        <v>2</v>
      </c>
      <c r="AE1251" s="54" t="s">
        <v>2</v>
      </c>
      <c r="AF1251" s="54" t="s">
        <v>2</v>
      </c>
      <c r="AG1251" s="54" t="s">
        <v>2</v>
      </c>
    </row>
    <row r="1252" ht="15.75" customHeight="1">
      <c r="B1252" s="56"/>
      <c r="U1252" s="46" t="str">
        <f t="array" ref="U1252">IF($D1252="","",IFERROR(_xlfn.XLOOKUP($D1252,'TIR店舗一覧'!$D:$D,'TIR店舗一覧'!$E:$E,""),""))</f>
        <v/>
      </c>
      <c r="V1252" s="54" t="s">
        <v>2</v>
      </c>
      <c r="W1252" s="54" t="s">
        <v>2</v>
      </c>
      <c r="X1252" s="54" t="s">
        <v>2</v>
      </c>
      <c r="Y1252" s="54" t="s">
        <v>2</v>
      </c>
      <c r="Z1252" s="54" t="s">
        <v>2</v>
      </c>
      <c r="AA1252" s="54" t="s">
        <v>2</v>
      </c>
      <c r="AB1252" s="54" t="s">
        <v>2</v>
      </c>
      <c r="AC1252" s="54" t="s">
        <v>2</v>
      </c>
      <c r="AD1252" s="54" t="s">
        <v>2</v>
      </c>
      <c r="AE1252" s="54" t="s">
        <v>2</v>
      </c>
      <c r="AF1252" s="54" t="s">
        <v>2</v>
      </c>
      <c r="AG1252" s="54" t="s">
        <v>2</v>
      </c>
    </row>
    <row r="1253" ht="15.75" customHeight="1">
      <c r="B1253" s="56"/>
      <c r="U1253" s="46" t="str">
        <f t="array" ref="U1253">IF($D1253="","",IFERROR(_xlfn.XLOOKUP($D1253,'TIR店舗一覧'!$D:$D,'TIR店舗一覧'!$E:$E,""),""))</f>
        <v/>
      </c>
      <c r="V1253" s="54" t="s">
        <v>2</v>
      </c>
      <c r="W1253" s="54" t="s">
        <v>2</v>
      </c>
      <c r="X1253" s="54" t="s">
        <v>2</v>
      </c>
      <c r="Y1253" s="54" t="s">
        <v>2</v>
      </c>
      <c r="Z1253" s="54" t="s">
        <v>2</v>
      </c>
      <c r="AA1253" s="54" t="s">
        <v>2</v>
      </c>
      <c r="AB1253" s="54" t="s">
        <v>2</v>
      </c>
      <c r="AC1253" s="54" t="s">
        <v>2</v>
      </c>
      <c r="AD1253" s="54" t="s">
        <v>2</v>
      </c>
      <c r="AE1253" s="54" t="s">
        <v>2</v>
      </c>
      <c r="AF1253" s="54" t="s">
        <v>2</v>
      </c>
      <c r="AG1253" s="54" t="s">
        <v>2</v>
      </c>
    </row>
    <row r="1254" ht="15.75" customHeight="1">
      <c r="B1254" s="56"/>
      <c r="U1254" s="46" t="str">
        <f t="array" ref="U1254">IF($D1254="","",IFERROR(_xlfn.XLOOKUP($D1254,'TIR店舗一覧'!$D:$D,'TIR店舗一覧'!$E:$E,""),""))</f>
        <v/>
      </c>
      <c r="V1254" s="54" t="s">
        <v>2</v>
      </c>
      <c r="W1254" s="54" t="s">
        <v>2</v>
      </c>
      <c r="X1254" s="54" t="s">
        <v>2</v>
      </c>
      <c r="Y1254" s="54" t="s">
        <v>2</v>
      </c>
      <c r="Z1254" s="54" t="s">
        <v>2</v>
      </c>
      <c r="AA1254" s="54" t="s">
        <v>2</v>
      </c>
      <c r="AB1254" s="54" t="s">
        <v>2</v>
      </c>
      <c r="AC1254" s="54" t="s">
        <v>2</v>
      </c>
      <c r="AD1254" s="54" t="s">
        <v>2</v>
      </c>
      <c r="AE1254" s="54" t="s">
        <v>2</v>
      </c>
      <c r="AF1254" s="54" t="s">
        <v>2</v>
      </c>
      <c r="AG1254" s="54" t="s">
        <v>2</v>
      </c>
    </row>
    <row r="1255" ht="15.75" customHeight="1">
      <c r="B1255" s="56"/>
      <c r="U1255" s="46" t="str">
        <f t="array" ref="U1255">IF($D1255="","",IFERROR(_xlfn.XLOOKUP($D1255,'TIR店舗一覧'!$D:$D,'TIR店舗一覧'!$E:$E,""),""))</f>
        <v/>
      </c>
      <c r="V1255" s="54" t="s">
        <v>2</v>
      </c>
      <c r="W1255" s="54" t="s">
        <v>2</v>
      </c>
      <c r="X1255" s="54" t="s">
        <v>2</v>
      </c>
      <c r="Y1255" s="54" t="s">
        <v>2</v>
      </c>
      <c r="Z1255" s="54" t="s">
        <v>2</v>
      </c>
      <c r="AA1255" s="54" t="s">
        <v>2</v>
      </c>
      <c r="AB1255" s="54" t="s">
        <v>2</v>
      </c>
      <c r="AC1255" s="54" t="s">
        <v>2</v>
      </c>
      <c r="AD1255" s="54" t="s">
        <v>2</v>
      </c>
      <c r="AE1255" s="54" t="s">
        <v>2</v>
      </c>
      <c r="AF1255" s="54" t="s">
        <v>2</v>
      </c>
      <c r="AG1255" s="54" t="s">
        <v>2</v>
      </c>
    </row>
    <row r="1256" ht="15.75" customHeight="1">
      <c r="B1256" s="56"/>
      <c r="U1256" s="46" t="str">
        <f t="array" ref="U1256">IF($D1256="","",IFERROR(_xlfn.XLOOKUP($D1256,'TIR店舗一覧'!$D:$D,'TIR店舗一覧'!$E:$E,""),""))</f>
        <v/>
      </c>
      <c r="V1256" s="54" t="s">
        <v>2</v>
      </c>
      <c r="W1256" s="54" t="s">
        <v>2</v>
      </c>
      <c r="X1256" s="54" t="s">
        <v>2</v>
      </c>
      <c r="Y1256" s="54" t="s">
        <v>2</v>
      </c>
      <c r="Z1256" s="54" t="s">
        <v>2</v>
      </c>
      <c r="AA1256" s="54" t="s">
        <v>2</v>
      </c>
      <c r="AB1256" s="54" t="s">
        <v>2</v>
      </c>
      <c r="AC1256" s="54" t="s">
        <v>2</v>
      </c>
      <c r="AD1256" s="54" t="s">
        <v>2</v>
      </c>
      <c r="AE1256" s="54" t="s">
        <v>2</v>
      </c>
      <c r="AF1256" s="54" t="s">
        <v>2</v>
      </c>
      <c r="AG1256" s="54" t="s">
        <v>2</v>
      </c>
    </row>
    <row r="1257" ht="15.75" customHeight="1">
      <c r="B1257" s="56"/>
      <c r="U1257" s="46" t="str">
        <f t="array" ref="U1257">IF($D1257="","",IFERROR(_xlfn.XLOOKUP($D1257,'TIR店舗一覧'!$D:$D,'TIR店舗一覧'!$E:$E,""),""))</f>
        <v/>
      </c>
      <c r="V1257" s="54" t="s">
        <v>2</v>
      </c>
      <c r="W1257" s="54" t="s">
        <v>2</v>
      </c>
      <c r="X1257" s="54" t="s">
        <v>2</v>
      </c>
      <c r="Y1257" s="54" t="s">
        <v>2</v>
      </c>
      <c r="Z1257" s="54" t="s">
        <v>2</v>
      </c>
      <c r="AA1257" s="54" t="s">
        <v>2</v>
      </c>
      <c r="AB1257" s="54" t="s">
        <v>2</v>
      </c>
      <c r="AC1257" s="54" t="s">
        <v>2</v>
      </c>
      <c r="AD1257" s="54" t="s">
        <v>2</v>
      </c>
      <c r="AE1257" s="54" t="s">
        <v>2</v>
      </c>
      <c r="AF1257" s="54" t="s">
        <v>2</v>
      </c>
      <c r="AG1257" s="54" t="s">
        <v>2</v>
      </c>
    </row>
    <row r="1258" ht="15.75" customHeight="1">
      <c r="B1258" s="56"/>
      <c r="U1258" s="46" t="str">
        <f t="array" ref="U1258">IF($D1258="","",IFERROR(_xlfn.XLOOKUP($D1258,'TIR店舗一覧'!$D:$D,'TIR店舗一覧'!$E:$E,""),""))</f>
        <v/>
      </c>
      <c r="V1258" s="54" t="s">
        <v>2</v>
      </c>
      <c r="W1258" s="54" t="s">
        <v>2</v>
      </c>
      <c r="X1258" s="54" t="s">
        <v>2</v>
      </c>
      <c r="Y1258" s="54" t="s">
        <v>2</v>
      </c>
      <c r="Z1258" s="54" t="s">
        <v>2</v>
      </c>
      <c r="AA1258" s="54" t="s">
        <v>2</v>
      </c>
      <c r="AB1258" s="54" t="s">
        <v>2</v>
      </c>
      <c r="AC1258" s="54" t="s">
        <v>2</v>
      </c>
      <c r="AD1258" s="54" t="s">
        <v>2</v>
      </c>
      <c r="AE1258" s="54" t="s">
        <v>2</v>
      </c>
      <c r="AF1258" s="54" t="s">
        <v>2</v>
      </c>
      <c r="AG1258" s="54" t="s">
        <v>2</v>
      </c>
    </row>
    <row r="1259" ht="15.75" customHeight="1">
      <c r="B1259" s="56"/>
      <c r="U1259" s="46" t="str">
        <f t="array" ref="U1259">IF($D1259="","",IFERROR(_xlfn.XLOOKUP($D1259,'TIR店舗一覧'!$D:$D,'TIR店舗一覧'!$E:$E,""),""))</f>
        <v/>
      </c>
      <c r="V1259" s="54" t="s">
        <v>2</v>
      </c>
      <c r="W1259" s="54" t="s">
        <v>2</v>
      </c>
      <c r="X1259" s="54" t="s">
        <v>2</v>
      </c>
      <c r="Y1259" s="54" t="s">
        <v>2</v>
      </c>
      <c r="Z1259" s="54" t="s">
        <v>2</v>
      </c>
      <c r="AA1259" s="54" t="s">
        <v>2</v>
      </c>
      <c r="AB1259" s="54" t="s">
        <v>2</v>
      </c>
      <c r="AC1259" s="54" t="s">
        <v>2</v>
      </c>
      <c r="AD1259" s="54" t="s">
        <v>2</v>
      </c>
      <c r="AE1259" s="54" t="s">
        <v>2</v>
      </c>
      <c r="AF1259" s="54" t="s">
        <v>2</v>
      </c>
      <c r="AG1259" s="54" t="s">
        <v>2</v>
      </c>
    </row>
    <row r="1260" ht="15.75" customHeight="1">
      <c r="B1260" s="56"/>
      <c r="U1260" s="46" t="str">
        <f t="array" ref="U1260">IF($D1260="","",IFERROR(_xlfn.XLOOKUP($D1260,'TIR店舗一覧'!$D:$D,'TIR店舗一覧'!$E:$E,""),""))</f>
        <v/>
      </c>
      <c r="V1260" s="54" t="s">
        <v>2</v>
      </c>
      <c r="W1260" s="54" t="s">
        <v>2</v>
      </c>
      <c r="X1260" s="54" t="s">
        <v>2</v>
      </c>
      <c r="Y1260" s="54" t="s">
        <v>2</v>
      </c>
      <c r="Z1260" s="54" t="s">
        <v>2</v>
      </c>
      <c r="AA1260" s="54" t="s">
        <v>2</v>
      </c>
      <c r="AB1260" s="54" t="s">
        <v>2</v>
      </c>
      <c r="AC1260" s="54" t="s">
        <v>2</v>
      </c>
      <c r="AD1260" s="54" t="s">
        <v>2</v>
      </c>
      <c r="AE1260" s="54" t="s">
        <v>2</v>
      </c>
      <c r="AF1260" s="54" t="s">
        <v>2</v>
      </c>
      <c r="AG1260" s="54" t="s">
        <v>2</v>
      </c>
    </row>
    <row r="1261" ht="15.75" customHeight="1">
      <c r="B1261" s="56"/>
      <c r="U1261" s="46" t="str">
        <f t="array" ref="U1261">IF($D1261="","",IFERROR(_xlfn.XLOOKUP($D1261,'TIR店舗一覧'!$D:$D,'TIR店舗一覧'!$E:$E,""),""))</f>
        <v/>
      </c>
      <c r="V1261" s="54" t="s">
        <v>2</v>
      </c>
      <c r="W1261" s="54" t="s">
        <v>2</v>
      </c>
      <c r="X1261" s="54" t="s">
        <v>2</v>
      </c>
      <c r="Y1261" s="54" t="s">
        <v>2</v>
      </c>
      <c r="Z1261" s="54" t="s">
        <v>2</v>
      </c>
      <c r="AA1261" s="54" t="s">
        <v>2</v>
      </c>
      <c r="AB1261" s="54" t="s">
        <v>2</v>
      </c>
      <c r="AC1261" s="54" t="s">
        <v>2</v>
      </c>
      <c r="AD1261" s="54" t="s">
        <v>2</v>
      </c>
      <c r="AE1261" s="54" t="s">
        <v>2</v>
      </c>
      <c r="AF1261" s="54" t="s">
        <v>2</v>
      </c>
      <c r="AG1261" s="54" t="s">
        <v>2</v>
      </c>
    </row>
    <row r="1262" ht="15.75" customHeight="1">
      <c r="B1262" s="56"/>
      <c r="U1262" s="46" t="str">
        <f t="array" ref="U1262">IF($D1262="","",IFERROR(_xlfn.XLOOKUP($D1262,'TIR店舗一覧'!$D:$D,'TIR店舗一覧'!$E:$E,""),""))</f>
        <v/>
      </c>
      <c r="V1262" s="54" t="s">
        <v>2</v>
      </c>
      <c r="W1262" s="54" t="s">
        <v>2</v>
      </c>
      <c r="X1262" s="54" t="s">
        <v>2</v>
      </c>
      <c r="Y1262" s="54" t="s">
        <v>2</v>
      </c>
      <c r="Z1262" s="54" t="s">
        <v>2</v>
      </c>
      <c r="AA1262" s="54" t="s">
        <v>2</v>
      </c>
      <c r="AB1262" s="54" t="s">
        <v>2</v>
      </c>
      <c r="AC1262" s="54" t="s">
        <v>2</v>
      </c>
      <c r="AD1262" s="54" t="s">
        <v>2</v>
      </c>
      <c r="AE1262" s="54" t="s">
        <v>2</v>
      </c>
      <c r="AF1262" s="54" t="s">
        <v>2</v>
      </c>
      <c r="AG1262" s="54" t="s">
        <v>2</v>
      </c>
    </row>
    <row r="1263" ht="15.75" customHeight="1">
      <c r="B1263" s="56"/>
      <c r="U1263" s="46" t="str">
        <f t="array" ref="U1263">IF($D1263="","",IFERROR(_xlfn.XLOOKUP($D1263,'TIR店舗一覧'!$D:$D,'TIR店舗一覧'!$E:$E,""),""))</f>
        <v/>
      </c>
      <c r="V1263" s="54" t="s">
        <v>2</v>
      </c>
      <c r="W1263" s="54" t="s">
        <v>2</v>
      </c>
      <c r="X1263" s="54" t="s">
        <v>2</v>
      </c>
      <c r="Y1263" s="54" t="s">
        <v>2</v>
      </c>
      <c r="Z1263" s="54" t="s">
        <v>2</v>
      </c>
      <c r="AA1263" s="54" t="s">
        <v>2</v>
      </c>
      <c r="AB1263" s="54" t="s">
        <v>2</v>
      </c>
      <c r="AC1263" s="54" t="s">
        <v>2</v>
      </c>
      <c r="AD1263" s="54" t="s">
        <v>2</v>
      </c>
      <c r="AE1263" s="54" t="s">
        <v>2</v>
      </c>
      <c r="AF1263" s="54" t="s">
        <v>2</v>
      </c>
      <c r="AG1263" s="54" t="s">
        <v>2</v>
      </c>
    </row>
    <row r="1264" ht="15.75" customHeight="1">
      <c r="B1264" s="56"/>
      <c r="U1264" s="46" t="str">
        <f t="array" ref="U1264">IF($D1264="","",IFERROR(_xlfn.XLOOKUP($D1264,'TIR店舗一覧'!$D:$D,'TIR店舗一覧'!$E:$E,""),""))</f>
        <v/>
      </c>
      <c r="V1264" s="54" t="s">
        <v>2</v>
      </c>
      <c r="W1264" s="54" t="s">
        <v>2</v>
      </c>
      <c r="X1264" s="54" t="s">
        <v>2</v>
      </c>
      <c r="Y1264" s="54" t="s">
        <v>2</v>
      </c>
      <c r="Z1264" s="54" t="s">
        <v>2</v>
      </c>
      <c r="AA1264" s="54" t="s">
        <v>2</v>
      </c>
      <c r="AB1264" s="54" t="s">
        <v>2</v>
      </c>
      <c r="AC1264" s="54" t="s">
        <v>2</v>
      </c>
      <c r="AD1264" s="54" t="s">
        <v>2</v>
      </c>
      <c r="AE1264" s="54" t="s">
        <v>2</v>
      </c>
      <c r="AF1264" s="54" t="s">
        <v>2</v>
      </c>
      <c r="AG1264" s="54" t="s">
        <v>2</v>
      </c>
    </row>
    <row r="1265" ht="15.75" customHeight="1">
      <c r="B1265" s="56"/>
      <c r="U1265" s="46" t="str">
        <f t="array" ref="U1265">IF($D1265="","",IFERROR(_xlfn.XLOOKUP($D1265,'TIR店舗一覧'!$D:$D,'TIR店舗一覧'!$E:$E,""),""))</f>
        <v/>
      </c>
      <c r="V1265" s="54" t="s">
        <v>2</v>
      </c>
      <c r="W1265" s="54" t="s">
        <v>2</v>
      </c>
      <c r="X1265" s="54" t="s">
        <v>2</v>
      </c>
      <c r="Y1265" s="54" t="s">
        <v>2</v>
      </c>
      <c r="Z1265" s="54" t="s">
        <v>2</v>
      </c>
      <c r="AA1265" s="54" t="s">
        <v>2</v>
      </c>
      <c r="AB1265" s="54" t="s">
        <v>2</v>
      </c>
      <c r="AC1265" s="54" t="s">
        <v>2</v>
      </c>
      <c r="AD1265" s="54" t="s">
        <v>2</v>
      </c>
      <c r="AE1265" s="54" t="s">
        <v>2</v>
      </c>
      <c r="AF1265" s="54" t="s">
        <v>2</v>
      </c>
      <c r="AG1265" s="54" t="s">
        <v>2</v>
      </c>
    </row>
    <row r="1266" ht="15.75" customHeight="1">
      <c r="B1266" s="56"/>
      <c r="U1266" s="46" t="str">
        <f t="array" ref="U1266">IF($D1266="","",IFERROR(_xlfn.XLOOKUP($D1266,'TIR店舗一覧'!$D:$D,'TIR店舗一覧'!$E:$E,""),""))</f>
        <v/>
      </c>
      <c r="V1266" s="54" t="s">
        <v>2</v>
      </c>
      <c r="W1266" s="54" t="s">
        <v>2</v>
      </c>
      <c r="X1266" s="54" t="s">
        <v>2</v>
      </c>
      <c r="Y1266" s="54" t="s">
        <v>2</v>
      </c>
      <c r="Z1266" s="54" t="s">
        <v>2</v>
      </c>
      <c r="AA1266" s="54" t="s">
        <v>2</v>
      </c>
      <c r="AB1266" s="54" t="s">
        <v>2</v>
      </c>
      <c r="AC1266" s="54" t="s">
        <v>2</v>
      </c>
      <c r="AD1266" s="54" t="s">
        <v>2</v>
      </c>
      <c r="AE1266" s="54" t="s">
        <v>2</v>
      </c>
      <c r="AF1266" s="54" t="s">
        <v>2</v>
      </c>
      <c r="AG1266" s="54" t="s">
        <v>2</v>
      </c>
    </row>
    <row r="1267" ht="15.75" customHeight="1">
      <c r="B1267" s="56"/>
      <c r="U1267" s="46" t="str">
        <f t="array" ref="U1267">IF($D1267="","",IFERROR(_xlfn.XLOOKUP($D1267,'TIR店舗一覧'!$D:$D,'TIR店舗一覧'!$E:$E,""),""))</f>
        <v/>
      </c>
      <c r="V1267" s="54" t="s">
        <v>2</v>
      </c>
      <c r="W1267" s="54" t="s">
        <v>2</v>
      </c>
      <c r="X1267" s="54" t="s">
        <v>2</v>
      </c>
      <c r="Y1267" s="54" t="s">
        <v>2</v>
      </c>
      <c r="Z1267" s="54" t="s">
        <v>2</v>
      </c>
      <c r="AA1267" s="54" t="s">
        <v>2</v>
      </c>
      <c r="AB1267" s="54" t="s">
        <v>2</v>
      </c>
      <c r="AC1267" s="54" t="s">
        <v>2</v>
      </c>
      <c r="AD1267" s="54" t="s">
        <v>2</v>
      </c>
      <c r="AE1267" s="54" t="s">
        <v>2</v>
      </c>
      <c r="AF1267" s="54" t="s">
        <v>2</v>
      </c>
      <c r="AG1267" s="54" t="s">
        <v>2</v>
      </c>
    </row>
    <row r="1268" ht="15.75" customHeight="1">
      <c r="B1268" s="56"/>
      <c r="U1268" s="46" t="str">
        <f t="array" ref="U1268">IF($D1268="","",IFERROR(_xlfn.XLOOKUP($D1268,'TIR店舗一覧'!$D:$D,'TIR店舗一覧'!$E:$E,""),""))</f>
        <v/>
      </c>
      <c r="V1268" s="54" t="s">
        <v>2</v>
      </c>
      <c r="W1268" s="54" t="s">
        <v>2</v>
      </c>
      <c r="X1268" s="54" t="s">
        <v>2</v>
      </c>
      <c r="Y1268" s="54" t="s">
        <v>2</v>
      </c>
      <c r="Z1268" s="54" t="s">
        <v>2</v>
      </c>
      <c r="AA1268" s="54" t="s">
        <v>2</v>
      </c>
      <c r="AB1268" s="54" t="s">
        <v>2</v>
      </c>
      <c r="AC1268" s="54" t="s">
        <v>2</v>
      </c>
      <c r="AD1268" s="54" t="s">
        <v>2</v>
      </c>
      <c r="AE1268" s="54" t="s">
        <v>2</v>
      </c>
      <c r="AF1268" s="54" t="s">
        <v>2</v>
      </c>
      <c r="AG1268" s="54" t="s">
        <v>2</v>
      </c>
    </row>
    <row r="1269" ht="15.75" customHeight="1">
      <c r="B1269" s="56"/>
      <c r="U1269" s="46" t="str">
        <f t="array" ref="U1269">IF($D1269="","",IFERROR(_xlfn.XLOOKUP($D1269,'TIR店舗一覧'!$D:$D,'TIR店舗一覧'!$E:$E,""),""))</f>
        <v/>
      </c>
      <c r="V1269" s="54" t="s">
        <v>2</v>
      </c>
      <c r="W1269" s="54" t="s">
        <v>2</v>
      </c>
      <c r="X1269" s="54" t="s">
        <v>2</v>
      </c>
      <c r="Y1269" s="54" t="s">
        <v>2</v>
      </c>
      <c r="Z1269" s="54" t="s">
        <v>2</v>
      </c>
      <c r="AA1269" s="54" t="s">
        <v>2</v>
      </c>
      <c r="AB1269" s="54" t="s">
        <v>2</v>
      </c>
      <c r="AC1269" s="54" t="s">
        <v>2</v>
      </c>
      <c r="AD1269" s="54" t="s">
        <v>2</v>
      </c>
      <c r="AE1269" s="54" t="s">
        <v>2</v>
      </c>
      <c r="AF1269" s="54" t="s">
        <v>2</v>
      </c>
      <c r="AG1269" s="54" t="s">
        <v>2</v>
      </c>
    </row>
    <row r="1270" ht="15.75" customHeight="1">
      <c r="B1270" s="56"/>
      <c r="U1270" s="46" t="str">
        <f t="array" ref="U1270">IF($D1270="","",IFERROR(_xlfn.XLOOKUP($D1270,'TIR店舗一覧'!$D:$D,'TIR店舗一覧'!$E:$E,""),""))</f>
        <v/>
      </c>
      <c r="V1270" s="54" t="s">
        <v>2</v>
      </c>
      <c r="W1270" s="54" t="s">
        <v>2</v>
      </c>
      <c r="X1270" s="54" t="s">
        <v>2</v>
      </c>
      <c r="Y1270" s="54" t="s">
        <v>2</v>
      </c>
      <c r="Z1270" s="54" t="s">
        <v>2</v>
      </c>
      <c r="AA1270" s="54" t="s">
        <v>2</v>
      </c>
      <c r="AB1270" s="54" t="s">
        <v>2</v>
      </c>
      <c r="AC1270" s="54" t="s">
        <v>2</v>
      </c>
      <c r="AD1270" s="54" t="s">
        <v>2</v>
      </c>
      <c r="AE1270" s="54" t="s">
        <v>2</v>
      </c>
      <c r="AF1270" s="54" t="s">
        <v>2</v>
      </c>
      <c r="AG1270" s="54" t="s">
        <v>2</v>
      </c>
    </row>
    <row r="1271" ht="15.75" customHeight="1">
      <c r="B1271" s="56"/>
      <c r="U1271" s="46" t="str">
        <f t="array" ref="U1271">IF($D1271="","",IFERROR(_xlfn.XLOOKUP($D1271,'TIR店舗一覧'!$D:$D,'TIR店舗一覧'!$E:$E,""),""))</f>
        <v/>
      </c>
      <c r="V1271" s="54" t="s">
        <v>2</v>
      </c>
      <c r="W1271" s="54" t="s">
        <v>2</v>
      </c>
      <c r="X1271" s="54" t="s">
        <v>2</v>
      </c>
      <c r="Y1271" s="54" t="s">
        <v>2</v>
      </c>
      <c r="Z1271" s="54" t="s">
        <v>2</v>
      </c>
      <c r="AA1271" s="54" t="s">
        <v>2</v>
      </c>
      <c r="AB1271" s="54" t="s">
        <v>2</v>
      </c>
      <c r="AC1271" s="54" t="s">
        <v>2</v>
      </c>
      <c r="AD1271" s="54" t="s">
        <v>2</v>
      </c>
      <c r="AE1271" s="54" t="s">
        <v>2</v>
      </c>
      <c r="AF1271" s="54" t="s">
        <v>2</v>
      </c>
      <c r="AG1271" s="54" t="s">
        <v>2</v>
      </c>
    </row>
    <row r="1272" ht="15.75" customHeight="1">
      <c r="B1272" s="56"/>
      <c r="U1272" s="46" t="str">
        <f t="array" ref="U1272">IF($D1272="","",IFERROR(_xlfn.XLOOKUP($D1272,'TIR店舗一覧'!$D:$D,'TIR店舗一覧'!$E:$E,""),""))</f>
        <v/>
      </c>
      <c r="V1272" s="54" t="s">
        <v>2</v>
      </c>
      <c r="W1272" s="54" t="s">
        <v>2</v>
      </c>
      <c r="X1272" s="54" t="s">
        <v>2</v>
      </c>
      <c r="Y1272" s="54" t="s">
        <v>2</v>
      </c>
      <c r="Z1272" s="54" t="s">
        <v>2</v>
      </c>
      <c r="AA1272" s="54" t="s">
        <v>2</v>
      </c>
      <c r="AB1272" s="54" t="s">
        <v>2</v>
      </c>
      <c r="AC1272" s="54" t="s">
        <v>2</v>
      </c>
      <c r="AD1272" s="54" t="s">
        <v>2</v>
      </c>
      <c r="AE1272" s="54" t="s">
        <v>2</v>
      </c>
      <c r="AF1272" s="54" t="s">
        <v>2</v>
      </c>
      <c r="AG1272" s="54" t="s">
        <v>2</v>
      </c>
    </row>
    <row r="1273" ht="15.75" customHeight="1">
      <c r="B1273" s="56"/>
      <c r="U1273" s="46" t="str">
        <f t="array" ref="U1273">IF($D1273="","",IFERROR(_xlfn.XLOOKUP($D1273,'TIR店舗一覧'!$D:$D,'TIR店舗一覧'!$E:$E,""),""))</f>
        <v/>
      </c>
      <c r="V1273" s="54" t="s">
        <v>2</v>
      </c>
      <c r="W1273" s="54" t="s">
        <v>2</v>
      </c>
      <c r="X1273" s="54" t="s">
        <v>2</v>
      </c>
      <c r="Y1273" s="54" t="s">
        <v>2</v>
      </c>
      <c r="Z1273" s="54" t="s">
        <v>2</v>
      </c>
      <c r="AA1273" s="54" t="s">
        <v>2</v>
      </c>
      <c r="AB1273" s="54" t="s">
        <v>2</v>
      </c>
      <c r="AC1273" s="54" t="s">
        <v>2</v>
      </c>
      <c r="AD1273" s="54" t="s">
        <v>2</v>
      </c>
      <c r="AE1273" s="54" t="s">
        <v>2</v>
      </c>
      <c r="AF1273" s="54" t="s">
        <v>2</v>
      </c>
      <c r="AG1273" s="54" t="s">
        <v>2</v>
      </c>
    </row>
    <row r="1274" ht="15.75" customHeight="1">
      <c r="B1274" s="56"/>
      <c r="U1274" s="46" t="str">
        <f t="array" ref="U1274">IF($D1274="","",IFERROR(_xlfn.XLOOKUP($D1274,'TIR店舗一覧'!$D:$D,'TIR店舗一覧'!$E:$E,""),""))</f>
        <v/>
      </c>
      <c r="V1274" s="54" t="s">
        <v>2</v>
      </c>
      <c r="W1274" s="54" t="s">
        <v>2</v>
      </c>
      <c r="X1274" s="54" t="s">
        <v>2</v>
      </c>
      <c r="Y1274" s="54" t="s">
        <v>2</v>
      </c>
      <c r="Z1274" s="54" t="s">
        <v>2</v>
      </c>
      <c r="AA1274" s="54" t="s">
        <v>2</v>
      </c>
      <c r="AB1274" s="54" t="s">
        <v>2</v>
      </c>
      <c r="AC1274" s="54" t="s">
        <v>2</v>
      </c>
      <c r="AD1274" s="54" t="s">
        <v>2</v>
      </c>
      <c r="AE1274" s="54" t="s">
        <v>2</v>
      </c>
      <c r="AF1274" s="54" t="s">
        <v>2</v>
      </c>
      <c r="AG1274" s="54" t="s">
        <v>2</v>
      </c>
    </row>
    <row r="1275" ht="15.75" customHeight="1">
      <c r="B1275" s="56"/>
      <c r="U1275" s="46" t="str">
        <f t="array" ref="U1275">IF($D1275="","",IFERROR(_xlfn.XLOOKUP($D1275,'TIR店舗一覧'!$D:$D,'TIR店舗一覧'!$E:$E,""),""))</f>
        <v/>
      </c>
      <c r="V1275" s="54" t="s">
        <v>2</v>
      </c>
      <c r="W1275" s="54" t="s">
        <v>2</v>
      </c>
      <c r="X1275" s="54" t="s">
        <v>2</v>
      </c>
      <c r="Y1275" s="54" t="s">
        <v>2</v>
      </c>
      <c r="Z1275" s="54" t="s">
        <v>2</v>
      </c>
      <c r="AA1275" s="54" t="s">
        <v>2</v>
      </c>
      <c r="AB1275" s="54" t="s">
        <v>2</v>
      </c>
      <c r="AC1275" s="54" t="s">
        <v>2</v>
      </c>
      <c r="AD1275" s="54" t="s">
        <v>2</v>
      </c>
      <c r="AE1275" s="54" t="s">
        <v>2</v>
      </c>
      <c r="AF1275" s="54" t="s">
        <v>2</v>
      </c>
      <c r="AG1275" s="54" t="s">
        <v>2</v>
      </c>
    </row>
    <row r="1276" ht="15.75" customHeight="1">
      <c r="B1276" s="56"/>
      <c r="U1276" s="46" t="str">
        <f t="array" ref="U1276">IF($D1276="","",IFERROR(_xlfn.XLOOKUP($D1276,'TIR店舗一覧'!$D:$D,'TIR店舗一覧'!$E:$E,""),""))</f>
        <v/>
      </c>
      <c r="V1276" s="54" t="s">
        <v>2</v>
      </c>
      <c r="W1276" s="54" t="s">
        <v>2</v>
      </c>
      <c r="X1276" s="54" t="s">
        <v>2</v>
      </c>
      <c r="Y1276" s="54" t="s">
        <v>2</v>
      </c>
      <c r="Z1276" s="54" t="s">
        <v>2</v>
      </c>
      <c r="AA1276" s="54" t="s">
        <v>2</v>
      </c>
      <c r="AB1276" s="54" t="s">
        <v>2</v>
      </c>
      <c r="AC1276" s="54" t="s">
        <v>2</v>
      </c>
      <c r="AD1276" s="54" t="s">
        <v>2</v>
      </c>
      <c r="AE1276" s="54" t="s">
        <v>2</v>
      </c>
      <c r="AF1276" s="54" t="s">
        <v>2</v>
      </c>
      <c r="AG1276" s="54" t="s">
        <v>2</v>
      </c>
    </row>
    <row r="1277" ht="15.75" customHeight="1">
      <c r="B1277" s="56"/>
      <c r="U1277" s="46" t="str">
        <f t="array" ref="U1277">IF($D1277="","",IFERROR(_xlfn.XLOOKUP($D1277,'TIR店舗一覧'!$D:$D,'TIR店舗一覧'!$E:$E,""),""))</f>
        <v/>
      </c>
      <c r="V1277" s="54" t="s">
        <v>2</v>
      </c>
      <c r="W1277" s="54" t="s">
        <v>2</v>
      </c>
      <c r="X1277" s="54" t="s">
        <v>2</v>
      </c>
      <c r="Y1277" s="54" t="s">
        <v>2</v>
      </c>
      <c r="Z1277" s="54" t="s">
        <v>2</v>
      </c>
      <c r="AA1277" s="54" t="s">
        <v>2</v>
      </c>
      <c r="AB1277" s="54" t="s">
        <v>2</v>
      </c>
      <c r="AC1277" s="54" t="s">
        <v>2</v>
      </c>
      <c r="AD1277" s="54" t="s">
        <v>2</v>
      </c>
      <c r="AE1277" s="54" t="s">
        <v>2</v>
      </c>
      <c r="AF1277" s="54" t="s">
        <v>2</v>
      </c>
      <c r="AG1277" s="54" t="s">
        <v>2</v>
      </c>
    </row>
    <row r="1278" ht="15.75" customHeight="1">
      <c r="B1278" s="56"/>
      <c r="U1278" s="46" t="str">
        <f t="array" ref="U1278">IF($D1278="","",IFERROR(_xlfn.XLOOKUP($D1278,'TIR店舗一覧'!$D:$D,'TIR店舗一覧'!$E:$E,""),""))</f>
        <v/>
      </c>
      <c r="V1278" s="54" t="s">
        <v>2</v>
      </c>
      <c r="W1278" s="54" t="s">
        <v>2</v>
      </c>
      <c r="X1278" s="54" t="s">
        <v>2</v>
      </c>
      <c r="Y1278" s="54" t="s">
        <v>2</v>
      </c>
      <c r="Z1278" s="54" t="s">
        <v>2</v>
      </c>
      <c r="AA1278" s="54" t="s">
        <v>2</v>
      </c>
      <c r="AB1278" s="54" t="s">
        <v>2</v>
      </c>
      <c r="AC1278" s="54" t="s">
        <v>2</v>
      </c>
      <c r="AD1278" s="54" t="s">
        <v>2</v>
      </c>
      <c r="AE1278" s="54" t="s">
        <v>2</v>
      </c>
      <c r="AF1278" s="54" t="s">
        <v>2</v>
      </c>
      <c r="AG1278" s="54" t="s">
        <v>2</v>
      </c>
    </row>
    <row r="1279" ht="15.75" customHeight="1">
      <c r="B1279" s="56"/>
      <c r="U1279" s="46" t="str">
        <f t="array" ref="U1279">IF($D1279="","",IFERROR(_xlfn.XLOOKUP($D1279,'TIR店舗一覧'!$D:$D,'TIR店舗一覧'!$E:$E,""),""))</f>
        <v/>
      </c>
      <c r="V1279" s="54" t="s">
        <v>2</v>
      </c>
      <c r="W1279" s="54" t="s">
        <v>2</v>
      </c>
      <c r="X1279" s="54" t="s">
        <v>2</v>
      </c>
      <c r="Y1279" s="54" t="s">
        <v>2</v>
      </c>
      <c r="Z1279" s="54" t="s">
        <v>2</v>
      </c>
      <c r="AA1279" s="54" t="s">
        <v>2</v>
      </c>
      <c r="AB1279" s="54" t="s">
        <v>2</v>
      </c>
      <c r="AC1279" s="54" t="s">
        <v>2</v>
      </c>
      <c r="AD1279" s="54" t="s">
        <v>2</v>
      </c>
      <c r="AE1279" s="54" t="s">
        <v>2</v>
      </c>
      <c r="AF1279" s="54" t="s">
        <v>2</v>
      </c>
      <c r="AG1279" s="54" t="s">
        <v>2</v>
      </c>
    </row>
    <row r="1280" ht="15.75" customHeight="1">
      <c r="B1280" s="56"/>
      <c r="U1280" s="46" t="str">
        <f t="array" ref="U1280">IF($D1280="","",IFERROR(_xlfn.XLOOKUP($D1280,'TIR店舗一覧'!$D:$D,'TIR店舗一覧'!$E:$E,""),""))</f>
        <v/>
      </c>
      <c r="V1280" s="54" t="s">
        <v>2</v>
      </c>
      <c r="W1280" s="54" t="s">
        <v>2</v>
      </c>
      <c r="X1280" s="54" t="s">
        <v>2</v>
      </c>
      <c r="Y1280" s="54" t="s">
        <v>2</v>
      </c>
      <c r="Z1280" s="54" t="s">
        <v>2</v>
      </c>
      <c r="AA1280" s="54" t="s">
        <v>2</v>
      </c>
      <c r="AB1280" s="54" t="s">
        <v>2</v>
      </c>
      <c r="AC1280" s="54" t="s">
        <v>2</v>
      </c>
      <c r="AD1280" s="54" t="s">
        <v>2</v>
      </c>
      <c r="AE1280" s="54" t="s">
        <v>2</v>
      </c>
      <c r="AF1280" s="54" t="s">
        <v>2</v>
      </c>
      <c r="AG1280" s="54" t="s">
        <v>2</v>
      </c>
    </row>
    <row r="1281" ht="15.75" customHeight="1">
      <c r="B1281" s="56"/>
      <c r="U1281" s="46" t="str">
        <f t="array" ref="U1281">IF($D1281="","",IFERROR(_xlfn.XLOOKUP($D1281,'TIR店舗一覧'!$D:$D,'TIR店舗一覧'!$E:$E,""),""))</f>
        <v/>
      </c>
      <c r="V1281" s="54" t="s">
        <v>2</v>
      </c>
      <c r="W1281" s="54" t="s">
        <v>2</v>
      </c>
      <c r="X1281" s="54" t="s">
        <v>2</v>
      </c>
      <c r="Y1281" s="54" t="s">
        <v>2</v>
      </c>
      <c r="Z1281" s="54" t="s">
        <v>2</v>
      </c>
      <c r="AA1281" s="54" t="s">
        <v>2</v>
      </c>
      <c r="AB1281" s="54" t="s">
        <v>2</v>
      </c>
      <c r="AC1281" s="54" t="s">
        <v>2</v>
      </c>
      <c r="AD1281" s="54" t="s">
        <v>2</v>
      </c>
      <c r="AE1281" s="54" t="s">
        <v>2</v>
      </c>
      <c r="AF1281" s="54" t="s">
        <v>2</v>
      </c>
      <c r="AG1281" s="54" t="s">
        <v>2</v>
      </c>
    </row>
    <row r="1282" ht="15.75" customHeight="1">
      <c r="B1282" s="56"/>
      <c r="U1282" s="46" t="str">
        <f t="array" ref="U1282">IF($D1282="","",IFERROR(_xlfn.XLOOKUP($D1282,'TIR店舗一覧'!$D:$D,'TIR店舗一覧'!$E:$E,""),""))</f>
        <v/>
      </c>
      <c r="V1282" s="54" t="s">
        <v>2</v>
      </c>
      <c r="W1282" s="54" t="s">
        <v>2</v>
      </c>
      <c r="X1282" s="54" t="s">
        <v>2</v>
      </c>
      <c r="Y1282" s="54" t="s">
        <v>2</v>
      </c>
      <c r="Z1282" s="54" t="s">
        <v>2</v>
      </c>
      <c r="AA1282" s="54" t="s">
        <v>2</v>
      </c>
      <c r="AB1282" s="54" t="s">
        <v>2</v>
      </c>
      <c r="AC1282" s="54" t="s">
        <v>2</v>
      </c>
      <c r="AD1282" s="54" t="s">
        <v>2</v>
      </c>
      <c r="AE1282" s="54" t="s">
        <v>2</v>
      </c>
      <c r="AF1282" s="54" t="s">
        <v>2</v>
      </c>
      <c r="AG1282" s="54" t="s">
        <v>2</v>
      </c>
    </row>
    <row r="1283" ht="15.75" customHeight="1">
      <c r="B1283" s="56"/>
      <c r="U1283" s="46" t="str">
        <f t="array" ref="U1283">IF($D1283="","",IFERROR(_xlfn.XLOOKUP($D1283,'TIR店舗一覧'!$D:$D,'TIR店舗一覧'!$E:$E,""),""))</f>
        <v/>
      </c>
      <c r="V1283" s="54" t="s">
        <v>2</v>
      </c>
      <c r="W1283" s="54" t="s">
        <v>2</v>
      </c>
      <c r="X1283" s="54" t="s">
        <v>2</v>
      </c>
      <c r="Y1283" s="54" t="s">
        <v>2</v>
      </c>
      <c r="Z1283" s="54" t="s">
        <v>2</v>
      </c>
      <c r="AA1283" s="54" t="s">
        <v>2</v>
      </c>
      <c r="AB1283" s="54" t="s">
        <v>2</v>
      </c>
      <c r="AC1283" s="54" t="s">
        <v>2</v>
      </c>
      <c r="AD1283" s="54" t="s">
        <v>2</v>
      </c>
      <c r="AE1283" s="54" t="s">
        <v>2</v>
      </c>
      <c r="AF1283" s="54" t="s">
        <v>2</v>
      </c>
      <c r="AG1283" s="54" t="s">
        <v>2</v>
      </c>
    </row>
    <row r="1284" ht="15.75" customHeight="1">
      <c r="B1284" s="56"/>
      <c r="U1284" s="46" t="str">
        <f t="array" ref="U1284">IF($D1284="","",IFERROR(_xlfn.XLOOKUP($D1284,'TIR店舗一覧'!$D:$D,'TIR店舗一覧'!$E:$E,""),""))</f>
        <v/>
      </c>
      <c r="V1284" s="54" t="s">
        <v>2</v>
      </c>
      <c r="W1284" s="54" t="s">
        <v>2</v>
      </c>
      <c r="X1284" s="54" t="s">
        <v>2</v>
      </c>
      <c r="Y1284" s="54" t="s">
        <v>2</v>
      </c>
      <c r="Z1284" s="54" t="s">
        <v>2</v>
      </c>
      <c r="AA1284" s="54" t="s">
        <v>2</v>
      </c>
      <c r="AB1284" s="54" t="s">
        <v>2</v>
      </c>
      <c r="AC1284" s="54" t="s">
        <v>2</v>
      </c>
      <c r="AD1284" s="54" t="s">
        <v>2</v>
      </c>
      <c r="AE1284" s="54" t="s">
        <v>2</v>
      </c>
      <c r="AF1284" s="54" t="s">
        <v>2</v>
      </c>
      <c r="AG1284" s="54" t="s">
        <v>2</v>
      </c>
    </row>
    <row r="1285" ht="15.75" customHeight="1">
      <c r="B1285" s="56"/>
      <c r="U1285" s="46" t="str">
        <f t="array" ref="U1285">IF($D1285="","",IFERROR(_xlfn.XLOOKUP($D1285,'TIR店舗一覧'!$D:$D,'TIR店舗一覧'!$E:$E,""),""))</f>
        <v/>
      </c>
      <c r="V1285" s="54" t="s">
        <v>2</v>
      </c>
      <c r="W1285" s="54" t="s">
        <v>2</v>
      </c>
      <c r="X1285" s="54" t="s">
        <v>2</v>
      </c>
      <c r="Y1285" s="54" t="s">
        <v>2</v>
      </c>
      <c r="Z1285" s="54" t="s">
        <v>2</v>
      </c>
      <c r="AA1285" s="54" t="s">
        <v>2</v>
      </c>
      <c r="AB1285" s="54" t="s">
        <v>2</v>
      </c>
      <c r="AC1285" s="54" t="s">
        <v>2</v>
      </c>
      <c r="AD1285" s="54" t="s">
        <v>2</v>
      </c>
      <c r="AE1285" s="54" t="s">
        <v>2</v>
      </c>
      <c r="AF1285" s="54" t="s">
        <v>2</v>
      </c>
      <c r="AG1285" s="54" t="s">
        <v>2</v>
      </c>
    </row>
    <row r="1286" ht="15.75" customHeight="1">
      <c r="B1286" s="56"/>
      <c r="U1286" s="46" t="str">
        <f t="array" ref="U1286">IF($D1286="","",IFERROR(_xlfn.XLOOKUP($D1286,'TIR店舗一覧'!$D:$D,'TIR店舗一覧'!$E:$E,""),""))</f>
        <v/>
      </c>
      <c r="V1286" s="54" t="s">
        <v>2</v>
      </c>
      <c r="W1286" s="54" t="s">
        <v>2</v>
      </c>
      <c r="X1286" s="54" t="s">
        <v>2</v>
      </c>
      <c r="Y1286" s="54" t="s">
        <v>2</v>
      </c>
      <c r="Z1286" s="54" t="s">
        <v>2</v>
      </c>
      <c r="AA1286" s="54" t="s">
        <v>2</v>
      </c>
      <c r="AB1286" s="54" t="s">
        <v>2</v>
      </c>
      <c r="AC1286" s="54" t="s">
        <v>2</v>
      </c>
      <c r="AD1286" s="54" t="s">
        <v>2</v>
      </c>
      <c r="AE1286" s="54" t="s">
        <v>2</v>
      </c>
      <c r="AF1286" s="54" t="s">
        <v>2</v>
      </c>
      <c r="AG1286" s="54" t="s">
        <v>2</v>
      </c>
    </row>
    <row r="1287" ht="15.75" customHeight="1">
      <c r="B1287" s="56"/>
      <c r="U1287" s="46" t="str">
        <f t="array" ref="U1287">IF($D1287="","",IFERROR(_xlfn.XLOOKUP($D1287,'TIR店舗一覧'!$D:$D,'TIR店舗一覧'!$E:$E,""),""))</f>
        <v/>
      </c>
      <c r="V1287" s="54" t="s">
        <v>2</v>
      </c>
      <c r="W1287" s="54" t="s">
        <v>2</v>
      </c>
      <c r="X1287" s="54" t="s">
        <v>2</v>
      </c>
      <c r="Y1287" s="54" t="s">
        <v>2</v>
      </c>
      <c r="Z1287" s="54" t="s">
        <v>2</v>
      </c>
      <c r="AA1287" s="54" t="s">
        <v>2</v>
      </c>
      <c r="AB1287" s="54" t="s">
        <v>2</v>
      </c>
      <c r="AC1287" s="54" t="s">
        <v>2</v>
      </c>
      <c r="AD1287" s="54" t="s">
        <v>2</v>
      </c>
      <c r="AE1287" s="54" t="s">
        <v>2</v>
      </c>
      <c r="AF1287" s="54" t="s">
        <v>2</v>
      </c>
      <c r="AG1287" s="54" t="s">
        <v>2</v>
      </c>
    </row>
    <row r="1288" ht="15.75" customHeight="1">
      <c r="B1288" s="56"/>
      <c r="U1288" s="46" t="str">
        <f t="array" ref="U1288">IF($D1288="","",IFERROR(_xlfn.XLOOKUP($D1288,'TIR店舗一覧'!$D:$D,'TIR店舗一覧'!$E:$E,""),""))</f>
        <v/>
      </c>
      <c r="V1288" s="54" t="s">
        <v>2</v>
      </c>
      <c r="W1288" s="54" t="s">
        <v>2</v>
      </c>
      <c r="X1288" s="54" t="s">
        <v>2</v>
      </c>
      <c r="Y1288" s="54" t="s">
        <v>2</v>
      </c>
      <c r="Z1288" s="54" t="s">
        <v>2</v>
      </c>
      <c r="AA1288" s="54" t="s">
        <v>2</v>
      </c>
      <c r="AB1288" s="54" t="s">
        <v>2</v>
      </c>
      <c r="AC1288" s="54" t="s">
        <v>2</v>
      </c>
      <c r="AD1288" s="54" t="s">
        <v>2</v>
      </c>
      <c r="AE1288" s="54" t="s">
        <v>2</v>
      </c>
      <c r="AF1288" s="54" t="s">
        <v>2</v>
      </c>
      <c r="AG1288" s="54" t="s">
        <v>2</v>
      </c>
    </row>
    <row r="1289" ht="15.75" customHeight="1">
      <c r="B1289" s="56"/>
      <c r="U1289" s="46" t="str">
        <f t="array" ref="U1289">IF($D1289="","",IFERROR(_xlfn.XLOOKUP($D1289,'TIR店舗一覧'!$D:$D,'TIR店舗一覧'!$E:$E,""),""))</f>
        <v/>
      </c>
      <c r="V1289" s="54" t="s">
        <v>2</v>
      </c>
      <c r="W1289" s="54" t="s">
        <v>2</v>
      </c>
      <c r="X1289" s="54" t="s">
        <v>2</v>
      </c>
      <c r="Y1289" s="54" t="s">
        <v>2</v>
      </c>
      <c r="Z1289" s="54" t="s">
        <v>2</v>
      </c>
      <c r="AA1289" s="54" t="s">
        <v>2</v>
      </c>
      <c r="AB1289" s="54" t="s">
        <v>2</v>
      </c>
      <c r="AC1289" s="54" t="s">
        <v>2</v>
      </c>
      <c r="AD1289" s="54" t="s">
        <v>2</v>
      </c>
      <c r="AE1289" s="54" t="s">
        <v>2</v>
      </c>
      <c r="AF1289" s="54" t="s">
        <v>2</v>
      </c>
      <c r="AG1289" s="54" t="s">
        <v>2</v>
      </c>
    </row>
    <row r="1290" ht="15.75" customHeight="1">
      <c r="B1290" s="56"/>
      <c r="U1290" s="46" t="str">
        <f t="array" ref="U1290">IF($D1290="","",IFERROR(_xlfn.XLOOKUP($D1290,'TIR店舗一覧'!$D:$D,'TIR店舗一覧'!$E:$E,""),""))</f>
        <v/>
      </c>
      <c r="V1290" s="54" t="s">
        <v>2</v>
      </c>
      <c r="W1290" s="54" t="s">
        <v>2</v>
      </c>
      <c r="X1290" s="54" t="s">
        <v>2</v>
      </c>
      <c r="Y1290" s="54" t="s">
        <v>2</v>
      </c>
      <c r="Z1290" s="54" t="s">
        <v>2</v>
      </c>
      <c r="AA1290" s="54" t="s">
        <v>2</v>
      </c>
      <c r="AB1290" s="54" t="s">
        <v>2</v>
      </c>
      <c r="AC1290" s="54" t="s">
        <v>2</v>
      </c>
      <c r="AD1290" s="54" t="s">
        <v>2</v>
      </c>
      <c r="AE1290" s="54" t="s">
        <v>2</v>
      </c>
      <c r="AF1290" s="54" t="s">
        <v>2</v>
      </c>
      <c r="AG1290" s="54" t="s">
        <v>2</v>
      </c>
    </row>
    <row r="1291" ht="15.75" customHeight="1">
      <c r="B1291" s="56"/>
      <c r="U1291" s="46" t="str">
        <f t="array" ref="U1291">IF($D1291="","",IFERROR(_xlfn.XLOOKUP($D1291,'TIR店舗一覧'!$D:$D,'TIR店舗一覧'!$E:$E,""),""))</f>
        <v/>
      </c>
      <c r="V1291" s="54" t="s">
        <v>2</v>
      </c>
      <c r="W1291" s="54" t="s">
        <v>2</v>
      </c>
      <c r="X1291" s="54" t="s">
        <v>2</v>
      </c>
      <c r="Y1291" s="54" t="s">
        <v>2</v>
      </c>
      <c r="Z1291" s="54" t="s">
        <v>2</v>
      </c>
      <c r="AA1291" s="54" t="s">
        <v>2</v>
      </c>
      <c r="AB1291" s="54" t="s">
        <v>2</v>
      </c>
      <c r="AC1291" s="54" t="s">
        <v>2</v>
      </c>
      <c r="AD1291" s="54" t="s">
        <v>2</v>
      </c>
      <c r="AE1291" s="54" t="s">
        <v>2</v>
      </c>
      <c r="AF1291" s="54" t="s">
        <v>2</v>
      </c>
      <c r="AG1291" s="54" t="s">
        <v>2</v>
      </c>
    </row>
    <row r="1292" ht="15.75" customHeight="1">
      <c r="B1292" s="56"/>
      <c r="U1292" s="46" t="str">
        <f t="array" ref="U1292">IF($D1292="","",IFERROR(_xlfn.XLOOKUP($D1292,'TIR店舗一覧'!$D:$D,'TIR店舗一覧'!$E:$E,""),""))</f>
        <v/>
      </c>
      <c r="V1292" s="54" t="s">
        <v>2</v>
      </c>
      <c r="W1292" s="54" t="s">
        <v>2</v>
      </c>
      <c r="X1292" s="54" t="s">
        <v>2</v>
      </c>
      <c r="Y1292" s="54" t="s">
        <v>2</v>
      </c>
      <c r="Z1292" s="54" t="s">
        <v>2</v>
      </c>
      <c r="AA1292" s="54" t="s">
        <v>2</v>
      </c>
      <c r="AB1292" s="54" t="s">
        <v>2</v>
      </c>
      <c r="AC1292" s="54" t="s">
        <v>2</v>
      </c>
      <c r="AD1292" s="54" t="s">
        <v>2</v>
      </c>
      <c r="AE1292" s="54" t="s">
        <v>2</v>
      </c>
      <c r="AF1292" s="54" t="s">
        <v>2</v>
      </c>
      <c r="AG1292" s="54" t="s">
        <v>2</v>
      </c>
    </row>
    <row r="1293" ht="15.75" customHeight="1">
      <c r="B1293" s="56"/>
      <c r="U1293" s="46" t="str">
        <f t="array" ref="U1293">IF($D1293="","",IFERROR(_xlfn.XLOOKUP($D1293,'TIR店舗一覧'!$D:$D,'TIR店舗一覧'!$E:$E,""),""))</f>
        <v/>
      </c>
      <c r="V1293" s="54" t="s">
        <v>2</v>
      </c>
      <c r="W1293" s="54" t="s">
        <v>2</v>
      </c>
      <c r="X1293" s="54" t="s">
        <v>2</v>
      </c>
      <c r="Y1293" s="54" t="s">
        <v>2</v>
      </c>
      <c r="Z1293" s="54" t="s">
        <v>2</v>
      </c>
      <c r="AA1293" s="54" t="s">
        <v>2</v>
      </c>
      <c r="AB1293" s="54" t="s">
        <v>2</v>
      </c>
      <c r="AC1293" s="54" t="s">
        <v>2</v>
      </c>
      <c r="AD1293" s="54" t="s">
        <v>2</v>
      </c>
      <c r="AE1293" s="54" t="s">
        <v>2</v>
      </c>
      <c r="AF1293" s="54" t="s">
        <v>2</v>
      </c>
      <c r="AG1293" s="54" t="s">
        <v>2</v>
      </c>
    </row>
    <row r="1294" ht="15.75" customHeight="1">
      <c r="B1294" s="56"/>
      <c r="U1294" s="46" t="str">
        <f t="array" ref="U1294">IF($D1294="","",IFERROR(_xlfn.XLOOKUP($D1294,'TIR店舗一覧'!$D:$D,'TIR店舗一覧'!$E:$E,""),""))</f>
        <v/>
      </c>
      <c r="V1294" s="54" t="s">
        <v>2</v>
      </c>
      <c r="W1294" s="54" t="s">
        <v>2</v>
      </c>
      <c r="X1294" s="54" t="s">
        <v>2</v>
      </c>
      <c r="Y1294" s="54" t="s">
        <v>2</v>
      </c>
      <c r="Z1294" s="54" t="s">
        <v>2</v>
      </c>
      <c r="AA1294" s="54" t="s">
        <v>2</v>
      </c>
      <c r="AB1294" s="54" t="s">
        <v>2</v>
      </c>
      <c r="AC1294" s="54" t="s">
        <v>2</v>
      </c>
      <c r="AD1294" s="54" t="s">
        <v>2</v>
      </c>
      <c r="AE1294" s="54" t="s">
        <v>2</v>
      </c>
      <c r="AF1294" s="54" t="s">
        <v>2</v>
      </c>
      <c r="AG1294" s="54" t="s">
        <v>2</v>
      </c>
    </row>
    <row r="1295" ht="15.75" customHeight="1">
      <c r="B1295" s="56"/>
      <c r="U1295" s="46" t="str">
        <f t="array" ref="U1295">IF($D1295="","",IFERROR(_xlfn.XLOOKUP($D1295,'TIR店舗一覧'!$D:$D,'TIR店舗一覧'!$E:$E,""),""))</f>
        <v/>
      </c>
      <c r="V1295" s="54" t="s">
        <v>2</v>
      </c>
      <c r="W1295" s="54" t="s">
        <v>2</v>
      </c>
      <c r="X1295" s="54" t="s">
        <v>2</v>
      </c>
      <c r="Y1295" s="54" t="s">
        <v>2</v>
      </c>
      <c r="Z1295" s="54" t="s">
        <v>2</v>
      </c>
      <c r="AA1295" s="54" t="s">
        <v>2</v>
      </c>
      <c r="AB1295" s="54" t="s">
        <v>2</v>
      </c>
      <c r="AC1295" s="54" t="s">
        <v>2</v>
      </c>
      <c r="AD1295" s="54" t="s">
        <v>2</v>
      </c>
      <c r="AE1295" s="54" t="s">
        <v>2</v>
      </c>
      <c r="AF1295" s="54" t="s">
        <v>2</v>
      </c>
      <c r="AG1295" s="54" t="s">
        <v>2</v>
      </c>
    </row>
    <row r="1296" ht="15.75" customHeight="1">
      <c r="B1296" s="56"/>
      <c r="U1296" s="46" t="str">
        <f t="array" ref="U1296">IF($D1296="","",IFERROR(_xlfn.XLOOKUP($D1296,'TIR店舗一覧'!$D:$D,'TIR店舗一覧'!$E:$E,""),""))</f>
        <v/>
      </c>
      <c r="V1296" s="54" t="s">
        <v>2</v>
      </c>
      <c r="W1296" s="54" t="s">
        <v>2</v>
      </c>
      <c r="X1296" s="54" t="s">
        <v>2</v>
      </c>
      <c r="Y1296" s="54" t="s">
        <v>2</v>
      </c>
      <c r="Z1296" s="54" t="s">
        <v>2</v>
      </c>
      <c r="AA1296" s="54" t="s">
        <v>2</v>
      </c>
      <c r="AB1296" s="54" t="s">
        <v>2</v>
      </c>
      <c r="AC1296" s="54" t="s">
        <v>2</v>
      </c>
      <c r="AD1296" s="54" t="s">
        <v>2</v>
      </c>
      <c r="AE1296" s="54" t="s">
        <v>2</v>
      </c>
      <c r="AF1296" s="54" t="s">
        <v>2</v>
      </c>
      <c r="AG1296" s="54" t="s">
        <v>2</v>
      </c>
    </row>
    <row r="1297" ht="15.75" customHeight="1">
      <c r="B1297" s="56"/>
      <c r="U1297" s="46" t="str">
        <f t="array" ref="U1297">IF($D1297="","",IFERROR(_xlfn.XLOOKUP($D1297,'TIR店舗一覧'!$D:$D,'TIR店舗一覧'!$E:$E,""),""))</f>
        <v/>
      </c>
      <c r="V1297" s="54" t="s">
        <v>2</v>
      </c>
      <c r="W1297" s="54" t="s">
        <v>2</v>
      </c>
      <c r="X1297" s="54" t="s">
        <v>2</v>
      </c>
      <c r="Y1297" s="54" t="s">
        <v>2</v>
      </c>
      <c r="Z1297" s="54" t="s">
        <v>2</v>
      </c>
      <c r="AA1297" s="54" t="s">
        <v>2</v>
      </c>
      <c r="AB1297" s="54" t="s">
        <v>2</v>
      </c>
      <c r="AC1297" s="54" t="s">
        <v>2</v>
      </c>
      <c r="AD1297" s="54" t="s">
        <v>2</v>
      </c>
      <c r="AE1297" s="54" t="s">
        <v>2</v>
      </c>
      <c r="AF1297" s="54" t="s">
        <v>2</v>
      </c>
      <c r="AG1297" s="54" t="s">
        <v>2</v>
      </c>
    </row>
    <row r="1298" ht="15.75" customHeight="1">
      <c r="B1298" s="56"/>
      <c r="U1298" s="46" t="str">
        <f t="array" ref="U1298">IF($D1298="","",IFERROR(_xlfn.XLOOKUP($D1298,'TIR店舗一覧'!$D:$D,'TIR店舗一覧'!$E:$E,""),""))</f>
        <v/>
      </c>
      <c r="V1298" s="54" t="s">
        <v>2</v>
      </c>
      <c r="W1298" s="54" t="s">
        <v>2</v>
      </c>
      <c r="X1298" s="54" t="s">
        <v>2</v>
      </c>
      <c r="Y1298" s="54" t="s">
        <v>2</v>
      </c>
      <c r="Z1298" s="54" t="s">
        <v>2</v>
      </c>
      <c r="AA1298" s="54" t="s">
        <v>2</v>
      </c>
      <c r="AB1298" s="54" t="s">
        <v>2</v>
      </c>
      <c r="AC1298" s="54" t="s">
        <v>2</v>
      </c>
      <c r="AD1298" s="54" t="s">
        <v>2</v>
      </c>
      <c r="AE1298" s="54" t="s">
        <v>2</v>
      </c>
      <c r="AF1298" s="54" t="s">
        <v>2</v>
      </c>
      <c r="AG1298" s="54" t="s">
        <v>2</v>
      </c>
    </row>
    <row r="1299" ht="15.75" customHeight="1">
      <c r="B1299" s="56"/>
      <c r="U1299" s="46" t="str">
        <f t="array" ref="U1299">IF($D1299="","",IFERROR(_xlfn.XLOOKUP($D1299,'TIR店舗一覧'!$D:$D,'TIR店舗一覧'!$E:$E,""),""))</f>
        <v/>
      </c>
      <c r="V1299" s="54" t="s">
        <v>2</v>
      </c>
      <c r="W1299" s="54" t="s">
        <v>2</v>
      </c>
      <c r="X1299" s="54" t="s">
        <v>2</v>
      </c>
      <c r="Y1299" s="54" t="s">
        <v>2</v>
      </c>
      <c r="Z1299" s="54" t="s">
        <v>2</v>
      </c>
      <c r="AA1299" s="54" t="s">
        <v>2</v>
      </c>
      <c r="AB1299" s="54" t="s">
        <v>2</v>
      </c>
      <c r="AC1299" s="54" t="s">
        <v>2</v>
      </c>
      <c r="AD1299" s="54" t="s">
        <v>2</v>
      </c>
      <c r="AE1299" s="54" t="s">
        <v>2</v>
      </c>
      <c r="AF1299" s="54" t="s">
        <v>2</v>
      </c>
      <c r="AG1299" s="54" t="s">
        <v>2</v>
      </c>
    </row>
    <row r="1300" ht="15.75" customHeight="1">
      <c r="B1300" s="56"/>
      <c r="U1300" s="46" t="str">
        <f t="array" ref="U1300">IF($D1300="","",IFERROR(_xlfn.XLOOKUP($D1300,'TIR店舗一覧'!$D:$D,'TIR店舗一覧'!$E:$E,""),""))</f>
        <v/>
      </c>
      <c r="V1300" s="54" t="s">
        <v>2</v>
      </c>
      <c r="W1300" s="54" t="s">
        <v>2</v>
      </c>
      <c r="X1300" s="54" t="s">
        <v>2</v>
      </c>
      <c r="Y1300" s="54" t="s">
        <v>2</v>
      </c>
      <c r="Z1300" s="54" t="s">
        <v>2</v>
      </c>
      <c r="AA1300" s="54" t="s">
        <v>2</v>
      </c>
      <c r="AB1300" s="54" t="s">
        <v>2</v>
      </c>
      <c r="AC1300" s="54" t="s">
        <v>2</v>
      </c>
      <c r="AD1300" s="54" t="s">
        <v>2</v>
      </c>
      <c r="AE1300" s="54" t="s">
        <v>2</v>
      </c>
      <c r="AF1300" s="54" t="s">
        <v>2</v>
      </c>
      <c r="AG1300" s="54" t="s">
        <v>2</v>
      </c>
    </row>
    <row r="1301" ht="15.75" customHeight="1">
      <c r="B1301" s="56"/>
      <c r="U1301" s="46" t="str">
        <f t="array" ref="U1301">IF($D1301="","",IFERROR(_xlfn.XLOOKUP($D1301,'TIR店舗一覧'!$D:$D,'TIR店舗一覧'!$E:$E,""),""))</f>
        <v/>
      </c>
      <c r="V1301" s="54" t="s">
        <v>2</v>
      </c>
      <c r="W1301" s="54" t="s">
        <v>2</v>
      </c>
      <c r="X1301" s="54" t="s">
        <v>2</v>
      </c>
      <c r="Y1301" s="54" t="s">
        <v>2</v>
      </c>
      <c r="Z1301" s="54" t="s">
        <v>2</v>
      </c>
      <c r="AA1301" s="54" t="s">
        <v>2</v>
      </c>
      <c r="AB1301" s="54" t="s">
        <v>2</v>
      </c>
      <c r="AC1301" s="54" t="s">
        <v>2</v>
      </c>
      <c r="AD1301" s="54" t="s">
        <v>2</v>
      </c>
      <c r="AE1301" s="54" t="s">
        <v>2</v>
      </c>
      <c r="AF1301" s="54" t="s">
        <v>2</v>
      </c>
      <c r="AG1301" s="54" t="s">
        <v>2</v>
      </c>
    </row>
    <row r="1302" ht="15.75" customHeight="1">
      <c r="B1302" s="56"/>
      <c r="U1302" s="46" t="str">
        <f t="array" ref="U1302">IF($D1302="","",IFERROR(_xlfn.XLOOKUP($D1302,'TIR店舗一覧'!$D:$D,'TIR店舗一覧'!$E:$E,""),""))</f>
        <v/>
      </c>
      <c r="V1302" s="54" t="s">
        <v>2</v>
      </c>
      <c r="W1302" s="54" t="s">
        <v>2</v>
      </c>
      <c r="X1302" s="54" t="s">
        <v>2</v>
      </c>
      <c r="Y1302" s="54" t="s">
        <v>2</v>
      </c>
      <c r="Z1302" s="54" t="s">
        <v>2</v>
      </c>
      <c r="AA1302" s="54" t="s">
        <v>2</v>
      </c>
      <c r="AB1302" s="54" t="s">
        <v>2</v>
      </c>
      <c r="AC1302" s="54" t="s">
        <v>2</v>
      </c>
      <c r="AD1302" s="54" t="s">
        <v>2</v>
      </c>
      <c r="AE1302" s="54" t="s">
        <v>2</v>
      </c>
      <c r="AF1302" s="54" t="s">
        <v>2</v>
      </c>
      <c r="AG1302" s="54" t="s">
        <v>2</v>
      </c>
    </row>
    <row r="1303" ht="15.75" customHeight="1">
      <c r="B1303" s="56"/>
      <c r="U1303" s="46" t="str">
        <f t="array" ref="U1303">IF($D1303="","",IFERROR(_xlfn.XLOOKUP($D1303,'TIR店舗一覧'!$D:$D,'TIR店舗一覧'!$E:$E,""),""))</f>
        <v/>
      </c>
      <c r="V1303" s="54" t="s">
        <v>2</v>
      </c>
      <c r="W1303" s="54" t="s">
        <v>2</v>
      </c>
      <c r="X1303" s="54" t="s">
        <v>2</v>
      </c>
      <c r="Y1303" s="54" t="s">
        <v>2</v>
      </c>
      <c r="Z1303" s="54" t="s">
        <v>2</v>
      </c>
      <c r="AA1303" s="54" t="s">
        <v>2</v>
      </c>
      <c r="AB1303" s="54" t="s">
        <v>2</v>
      </c>
      <c r="AC1303" s="54" t="s">
        <v>2</v>
      </c>
      <c r="AD1303" s="54" t="s">
        <v>2</v>
      </c>
      <c r="AE1303" s="54" t="s">
        <v>2</v>
      </c>
      <c r="AF1303" s="54" t="s">
        <v>2</v>
      </c>
      <c r="AG1303" s="54" t="s">
        <v>2</v>
      </c>
    </row>
    <row r="1304" ht="15.75" customHeight="1">
      <c r="B1304" s="56"/>
      <c r="U1304" s="46" t="str">
        <f t="array" ref="U1304">IF($D1304="","",IFERROR(_xlfn.XLOOKUP($D1304,'TIR店舗一覧'!$D:$D,'TIR店舗一覧'!$E:$E,""),""))</f>
        <v/>
      </c>
      <c r="V1304" s="54" t="s">
        <v>2</v>
      </c>
      <c r="W1304" s="54" t="s">
        <v>2</v>
      </c>
      <c r="X1304" s="54" t="s">
        <v>2</v>
      </c>
      <c r="Y1304" s="54" t="s">
        <v>2</v>
      </c>
      <c r="Z1304" s="54" t="s">
        <v>2</v>
      </c>
      <c r="AA1304" s="54" t="s">
        <v>2</v>
      </c>
      <c r="AB1304" s="54" t="s">
        <v>2</v>
      </c>
      <c r="AC1304" s="54" t="s">
        <v>2</v>
      </c>
      <c r="AD1304" s="54" t="s">
        <v>2</v>
      </c>
      <c r="AE1304" s="54" t="s">
        <v>2</v>
      </c>
      <c r="AF1304" s="54" t="s">
        <v>2</v>
      </c>
      <c r="AG1304" s="54" t="s">
        <v>2</v>
      </c>
    </row>
    <row r="1305" ht="15.75" customHeight="1">
      <c r="B1305" s="56"/>
      <c r="U1305" s="46" t="str">
        <f t="array" ref="U1305">IF($D1305="","",IFERROR(_xlfn.XLOOKUP($D1305,'TIR店舗一覧'!$D:$D,'TIR店舗一覧'!$E:$E,""),""))</f>
        <v/>
      </c>
      <c r="V1305" s="54" t="s">
        <v>2</v>
      </c>
      <c r="W1305" s="54" t="s">
        <v>2</v>
      </c>
      <c r="X1305" s="54" t="s">
        <v>2</v>
      </c>
      <c r="Y1305" s="54" t="s">
        <v>2</v>
      </c>
      <c r="Z1305" s="54" t="s">
        <v>2</v>
      </c>
      <c r="AA1305" s="54" t="s">
        <v>2</v>
      </c>
      <c r="AB1305" s="54" t="s">
        <v>2</v>
      </c>
      <c r="AC1305" s="54" t="s">
        <v>2</v>
      </c>
      <c r="AD1305" s="54" t="s">
        <v>2</v>
      </c>
      <c r="AE1305" s="54" t="s">
        <v>2</v>
      </c>
      <c r="AF1305" s="54" t="s">
        <v>2</v>
      </c>
      <c r="AG1305" s="54" t="s">
        <v>2</v>
      </c>
    </row>
    <row r="1306" ht="15.75" customHeight="1">
      <c r="B1306" s="56"/>
      <c r="U1306" s="46" t="str">
        <f t="array" ref="U1306">IF($D1306="","",IFERROR(_xlfn.XLOOKUP($D1306,'TIR店舗一覧'!$D:$D,'TIR店舗一覧'!$E:$E,""),""))</f>
        <v/>
      </c>
      <c r="V1306" s="54" t="s">
        <v>2</v>
      </c>
      <c r="W1306" s="54" t="s">
        <v>2</v>
      </c>
      <c r="X1306" s="54" t="s">
        <v>2</v>
      </c>
      <c r="Y1306" s="54" t="s">
        <v>2</v>
      </c>
      <c r="Z1306" s="54" t="s">
        <v>2</v>
      </c>
      <c r="AA1306" s="54" t="s">
        <v>2</v>
      </c>
      <c r="AB1306" s="54" t="s">
        <v>2</v>
      </c>
      <c r="AC1306" s="54" t="s">
        <v>2</v>
      </c>
      <c r="AD1306" s="54" t="s">
        <v>2</v>
      </c>
      <c r="AE1306" s="54" t="s">
        <v>2</v>
      </c>
      <c r="AF1306" s="54" t="s">
        <v>2</v>
      </c>
      <c r="AG1306" s="54" t="s">
        <v>2</v>
      </c>
    </row>
    <row r="1307" ht="15.75" customHeight="1">
      <c r="B1307" s="56"/>
      <c r="U1307" s="46" t="str">
        <f t="array" ref="U1307">IF($D1307="","",IFERROR(_xlfn.XLOOKUP($D1307,'TIR店舗一覧'!$D:$D,'TIR店舗一覧'!$E:$E,""),""))</f>
        <v/>
      </c>
      <c r="V1307" s="54" t="s">
        <v>2</v>
      </c>
      <c r="W1307" s="54" t="s">
        <v>2</v>
      </c>
      <c r="X1307" s="54" t="s">
        <v>2</v>
      </c>
      <c r="Y1307" s="54" t="s">
        <v>2</v>
      </c>
      <c r="Z1307" s="54" t="s">
        <v>2</v>
      </c>
      <c r="AA1307" s="54" t="s">
        <v>2</v>
      </c>
      <c r="AB1307" s="54" t="s">
        <v>2</v>
      </c>
      <c r="AC1307" s="54" t="s">
        <v>2</v>
      </c>
      <c r="AD1307" s="54" t="s">
        <v>2</v>
      </c>
      <c r="AE1307" s="54" t="s">
        <v>2</v>
      </c>
      <c r="AF1307" s="54" t="s">
        <v>2</v>
      </c>
      <c r="AG1307" s="54" t="s">
        <v>2</v>
      </c>
    </row>
    <row r="1308" ht="15.75" customHeight="1">
      <c r="B1308" s="56"/>
      <c r="U1308" s="46" t="str">
        <f t="array" ref="U1308">IF($D1308="","",IFERROR(_xlfn.XLOOKUP($D1308,'TIR店舗一覧'!$D:$D,'TIR店舗一覧'!$E:$E,""),""))</f>
        <v/>
      </c>
      <c r="V1308" s="54" t="s">
        <v>2</v>
      </c>
      <c r="W1308" s="54" t="s">
        <v>2</v>
      </c>
      <c r="X1308" s="54" t="s">
        <v>2</v>
      </c>
      <c r="Y1308" s="54" t="s">
        <v>2</v>
      </c>
      <c r="Z1308" s="54" t="s">
        <v>2</v>
      </c>
      <c r="AA1308" s="54" t="s">
        <v>2</v>
      </c>
      <c r="AB1308" s="54" t="s">
        <v>2</v>
      </c>
      <c r="AC1308" s="54" t="s">
        <v>2</v>
      </c>
      <c r="AD1308" s="54" t="s">
        <v>2</v>
      </c>
      <c r="AE1308" s="54" t="s">
        <v>2</v>
      </c>
      <c r="AF1308" s="54" t="s">
        <v>2</v>
      </c>
      <c r="AG1308" s="54" t="s">
        <v>2</v>
      </c>
    </row>
    <row r="1309" ht="15.75" customHeight="1">
      <c r="B1309" s="56"/>
      <c r="U1309" s="46" t="str">
        <f t="array" ref="U1309">IF($D1309="","",IFERROR(_xlfn.XLOOKUP($D1309,'TIR店舗一覧'!$D:$D,'TIR店舗一覧'!$E:$E,""),""))</f>
        <v/>
      </c>
      <c r="V1309" s="54" t="s">
        <v>2</v>
      </c>
      <c r="W1309" s="54" t="s">
        <v>2</v>
      </c>
      <c r="X1309" s="54" t="s">
        <v>2</v>
      </c>
      <c r="Y1309" s="54" t="s">
        <v>2</v>
      </c>
      <c r="Z1309" s="54" t="s">
        <v>2</v>
      </c>
      <c r="AA1309" s="54" t="s">
        <v>2</v>
      </c>
      <c r="AB1309" s="54" t="s">
        <v>2</v>
      </c>
      <c r="AC1309" s="54" t="s">
        <v>2</v>
      </c>
      <c r="AD1309" s="54" t="s">
        <v>2</v>
      </c>
      <c r="AE1309" s="54" t="s">
        <v>2</v>
      </c>
      <c r="AF1309" s="54" t="s">
        <v>2</v>
      </c>
      <c r="AG1309" s="54" t="s">
        <v>2</v>
      </c>
    </row>
    <row r="1310" ht="15.75" customHeight="1">
      <c r="B1310" s="56"/>
      <c r="U1310" s="46" t="str">
        <f t="array" ref="U1310">IF($D1310="","",IFERROR(_xlfn.XLOOKUP($D1310,'TIR店舗一覧'!$D:$D,'TIR店舗一覧'!$E:$E,""),""))</f>
        <v/>
      </c>
      <c r="V1310" s="54" t="s">
        <v>2</v>
      </c>
      <c r="W1310" s="54" t="s">
        <v>2</v>
      </c>
      <c r="X1310" s="54" t="s">
        <v>2</v>
      </c>
      <c r="Y1310" s="54" t="s">
        <v>2</v>
      </c>
      <c r="Z1310" s="54" t="s">
        <v>2</v>
      </c>
      <c r="AA1310" s="54" t="s">
        <v>2</v>
      </c>
      <c r="AB1310" s="54" t="s">
        <v>2</v>
      </c>
      <c r="AC1310" s="54" t="s">
        <v>2</v>
      </c>
      <c r="AD1310" s="54" t="s">
        <v>2</v>
      </c>
      <c r="AE1310" s="54" t="s">
        <v>2</v>
      </c>
      <c r="AF1310" s="54" t="s">
        <v>2</v>
      </c>
      <c r="AG1310" s="54" t="s">
        <v>2</v>
      </c>
    </row>
    <row r="1311" ht="15.75" customHeight="1">
      <c r="B1311" s="56"/>
      <c r="U1311" s="46" t="str">
        <f t="array" ref="U1311">IF($D1311="","",IFERROR(_xlfn.XLOOKUP($D1311,'TIR店舗一覧'!$D:$D,'TIR店舗一覧'!$E:$E,""),""))</f>
        <v/>
      </c>
      <c r="V1311" s="54" t="s">
        <v>2</v>
      </c>
      <c r="W1311" s="54" t="s">
        <v>2</v>
      </c>
      <c r="X1311" s="54" t="s">
        <v>2</v>
      </c>
      <c r="Y1311" s="54" t="s">
        <v>2</v>
      </c>
      <c r="Z1311" s="54" t="s">
        <v>2</v>
      </c>
      <c r="AA1311" s="54" t="s">
        <v>2</v>
      </c>
      <c r="AB1311" s="54" t="s">
        <v>2</v>
      </c>
      <c r="AC1311" s="54" t="s">
        <v>2</v>
      </c>
      <c r="AD1311" s="54" t="s">
        <v>2</v>
      </c>
      <c r="AE1311" s="54" t="s">
        <v>2</v>
      </c>
      <c r="AF1311" s="54" t="s">
        <v>2</v>
      </c>
      <c r="AG1311" s="54" t="s">
        <v>2</v>
      </c>
    </row>
    <row r="1312" ht="15.75" customHeight="1">
      <c r="B1312" s="56"/>
      <c r="U1312" s="46" t="str">
        <f t="array" ref="U1312">IF($D1312="","",IFERROR(_xlfn.XLOOKUP($D1312,'TIR店舗一覧'!$D:$D,'TIR店舗一覧'!$E:$E,""),""))</f>
        <v/>
      </c>
      <c r="V1312" s="54" t="s">
        <v>2</v>
      </c>
      <c r="W1312" s="54" t="s">
        <v>2</v>
      </c>
      <c r="X1312" s="54" t="s">
        <v>2</v>
      </c>
      <c r="Y1312" s="54" t="s">
        <v>2</v>
      </c>
      <c r="Z1312" s="54" t="s">
        <v>2</v>
      </c>
      <c r="AA1312" s="54" t="s">
        <v>2</v>
      </c>
      <c r="AB1312" s="54" t="s">
        <v>2</v>
      </c>
      <c r="AC1312" s="54" t="s">
        <v>2</v>
      </c>
      <c r="AD1312" s="54" t="s">
        <v>2</v>
      </c>
      <c r="AE1312" s="54" t="s">
        <v>2</v>
      </c>
      <c r="AF1312" s="54" t="s">
        <v>2</v>
      </c>
      <c r="AG1312" s="54" t="s">
        <v>2</v>
      </c>
    </row>
    <row r="1313" ht="15.75" customHeight="1">
      <c r="B1313" s="56"/>
      <c r="U1313" s="46" t="str">
        <f t="array" ref="U1313">IF($D1313="","",IFERROR(_xlfn.XLOOKUP($D1313,'TIR店舗一覧'!$D:$D,'TIR店舗一覧'!$E:$E,""),""))</f>
        <v/>
      </c>
      <c r="V1313" s="54" t="s">
        <v>2</v>
      </c>
      <c r="W1313" s="54" t="s">
        <v>2</v>
      </c>
      <c r="X1313" s="54" t="s">
        <v>2</v>
      </c>
      <c r="Y1313" s="54" t="s">
        <v>2</v>
      </c>
      <c r="Z1313" s="54" t="s">
        <v>2</v>
      </c>
      <c r="AA1313" s="54" t="s">
        <v>2</v>
      </c>
      <c r="AB1313" s="54" t="s">
        <v>2</v>
      </c>
      <c r="AC1313" s="54" t="s">
        <v>2</v>
      </c>
      <c r="AD1313" s="54" t="s">
        <v>2</v>
      </c>
      <c r="AE1313" s="54" t="s">
        <v>2</v>
      </c>
      <c r="AF1313" s="54" t="s">
        <v>2</v>
      </c>
      <c r="AG1313" s="54" t="s">
        <v>2</v>
      </c>
    </row>
    <row r="1314" ht="15.75" customHeight="1">
      <c r="B1314" s="56"/>
      <c r="U1314" s="46" t="str">
        <f t="array" ref="U1314">IF($D1314="","",IFERROR(_xlfn.XLOOKUP($D1314,'TIR店舗一覧'!$D:$D,'TIR店舗一覧'!$E:$E,""),""))</f>
        <v/>
      </c>
      <c r="V1314" s="54" t="s">
        <v>2</v>
      </c>
      <c r="W1314" s="54" t="s">
        <v>2</v>
      </c>
      <c r="X1314" s="54" t="s">
        <v>2</v>
      </c>
      <c r="Y1314" s="54" t="s">
        <v>2</v>
      </c>
      <c r="Z1314" s="54" t="s">
        <v>2</v>
      </c>
      <c r="AA1314" s="54" t="s">
        <v>2</v>
      </c>
      <c r="AB1314" s="54" t="s">
        <v>2</v>
      </c>
      <c r="AC1314" s="54" t="s">
        <v>2</v>
      </c>
      <c r="AD1314" s="54" t="s">
        <v>2</v>
      </c>
      <c r="AE1314" s="54" t="s">
        <v>2</v>
      </c>
      <c r="AF1314" s="54" t="s">
        <v>2</v>
      </c>
      <c r="AG1314" s="54" t="s">
        <v>2</v>
      </c>
    </row>
    <row r="1315" ht="15.75" customHeight="1">
      <c r="B1315" s="56"/>
      <c r="U1315" s="46" t="str">
        <f t="array" ref="U1315">IF($D1315="","",IFERROR(_xlfn.XLOOKUP($D1315,'TIR店舗一覧'!$D:$D,'TIR店舗一覧'!$E:$E,""),""))</f>
        <v/>
      </c>
      <c r="V1315" s="54" t="s">
        <v>2</v>
      </c>
      <c r="W1315" s="54" t="s">
        <v>2</v>
      </c>
      <c r="X1315" s="54" t="s">
        <v>2</v>
      </c>
      <c r="Y1315" s="54" t="s">
        <v>2</v>
      </c>
      <c r="Z1315" s="54" t="s">
        <v>2</v>
      </c>
      <c r="AA1315" s="54" t="s">
        <v>2</v>
      </c>
      <c r="AB1315" s="54" t="s">
        <v>2</v>
      </c>
      <c r="AC1315" s="54" t="s">
        <v>2</v>
      </c>
      <c r="AD1315" s="54" t="s">
        <v>2</v>
      </c>
      <c r="AE1315" s="54" t="s">
        <v>2</v>
      </c>
      <c r="AF1315" s="54" t="s">
        <v>2</v>
      </c>
      <c r="AG1315" s="54" t="s">
        <v>2</v>
      </c>
    </row>
    <row r="1316" ht="15.75" customHeight="1">
      <c r="B1316" s="56"/>
      <c r="U1316" s="46" t="str">
        <f t="array" ref="U1316">IF($D1316="","",IFERROR(_xlfn.XLOOKUP($D1316,'TIR店舗一覧'!$D:$D,'TIR店舗一覧'!$E:$E,""),""))</f>
        <v/>
      </c>
      <c r="V1316" s="54" t="s">
        <v>2</v>
      </c>
      <c r="W1316" s="54" t="s">
        <v>2</v>
      </c>
      <c r="X1316" s="54" t="s">
        <v>2</v>
      </c>
      <c r="Y1316" s="54" t="s">
        <v>2</v>
      </c>
      <c r="Z1316" s="54" t="s">
        <v>2</v>
      </c>
      <c r="AA1316" s="54" t="s">
        <v>2</v>
      </c>
      <c r="AB1316" s="54" t="s">
        <v>2</v>
      </c>
      <c r="AC1316" s="54" t="s">
        <v>2</v>
      </c>
      <c r="AD1316" s="54" t="s">
        <v>2</v>
      </c>
      <c r="AE1316" s="54" t="s">
        <v>2</v>
      </c>
      <c r="AF1316" s="54" t="s">
        <v>2</v>
      </c>
      <c r="AG1316" s="54" t="s">
        <v>2</v>
      </c>
    </row>
    <row r="1317" ht="15.75" customHeight="1">
      <c r="B1317" s="56"/>
      <c r="U1317" s="46" t="str">
        <f t="array" ref="U1317">IF($D1317="","",IFERROR(_xlfn.XLOOKUP($D1317,'TIR店舗一覧'!$D:$D,'TIR店舗一覧'!$E:$E,""),""))</f>
        <v/>
      </c>
      <c r="V1317" s="54" t="s">
        <v>2</v>
      </c>
      <c r="W1317" s="54" t="s">
        <v>2</v>
      </c>
      <c r="X1317" s="54" t="s">
        <v>2</v>
      </c>
      <c r="Y1317" s="54" t="s">
        <v>2</v>
      </c>
      <c r="Z1317" s="54" t="s">
        <v>2</v>
      </c>
      <c r="AA1317" s="54" t="s">
        <v>2</v>
      </c>
      <c r="AB1317" s="54" t="s">
        <v>2</v>
      </c>
      <c r="AC1317" s="54" t="s">
        <v>2</v>
      </c>
      <c r="AD1317" s="54" t="s">
        <v>2</v>
      </c>
      <c r="AE1317" s="54" t="s">
        <v>2</v>
      </c>
      <c r="AF1317" s="54" t="s">
        <v>2</v>
      </c>
      <c r="AG1317" s="54" t="s">
        <v>2</v>
      </c>
    </row>
    <row r="1318" ht="15.75" customHeight="1">
      <c r="B1318" s="56"/>
      <c r="U1318" s="46" t="str">
        <f t="array" ref="U1318">IF($D1318="","",IFERROR(_xlfn.XLOOKUP($D1318,'TIR店舗一覧'!$D:$D,'TIR店舗一覧'!$E:$E,""),""))</f>
        <v/>
      </c>
      <c r="V1318" s="54" t="s">
        <v>2</v>
      </c>
      <c r="W1318" s="54" t="s">
        <v>2</v>
      </c>
      <c r="X1318" s="54" t="s">
        <v>2</v>
      </c>
      <c r="Y1318" s="54" t="s">
        <v>2</v>
      </c>
      <c r="Z1318" s="54" t="s">
        <v>2</v>
      </c>
      <c r="AA1318" s="54" t="s">
        <v>2</v>
      </c>
      <c r="AB1318" s="54" t="s">
        <v>2</v>
      </c>
      <c r="AC1318" s="54" t="s">
        <v>2</v>
      </c>
      <c r="AD1318" s="54" t="s">
        <v>2</v>
      </c>
      <c r="AE1318" s="54" t="s">
        <v>2</v>
      </c>
      <c r="AF1318" s="54" t="s">
        <v>2</v>
      </c>
      <c r="AG1318" s="54" t="s">
        <v>2</v>
      </c>
    </row>
    <row r="1319" ht="15.75" customHeight="1">
      <c r="B1319" s="56"/>
      <c r="U1319" s="46" t="str">
        <f t="array" ref="U1319">IF($D1319="","",IFERROR(_xlfn.XLOOKUP($D1319,'TIR店舗一覧'!$D:$D,'TIR店舗一覧'!$E:$E,""),""))</f>
        <v/>
      </c>
      <c r="V1319" s="54" t="s">
        <v>2</v>
      </c>
      <c r="W1319" s="54" t="s">
        <v>2</v>
      </c>
      <c r="X1319" s="54" t="s">
        <v>2</v>
      </c>
      <c r="Y1319" s="54" t="s">
        <v>2</v>
      </c>
      <c r="Z1319" s="54" t="s">
        <v>2</v>
      </c>
      <c r="AA1319" s="54" t="s">
        <v>2</v>
      </c>
      <c r="AB1319" s="54" t="s">
        <v>2</v>
      </c>
      <c r="AC1319" s="54" t="s">
        <v>2</v>
      </c>
      <c r="AD1319" s="54" t="s">
        <v>2</v>
      </c>
      <c r="AE1319" s="54" t="s">
        <v>2</v>
      </c>
      <c r="AF1319" s="54" t="s">
        <v>2</v>
      </c>
      <c r="AG1319" s="54" t="s">
        <v>2</v>
      </c>
    </row>
    <row r="1320" ht="15.75" customHeight="1">
      <c r="B1320" s="56"/>
      <c r="U1320" s="46" t="str">
        <f t="array" ref="U1320">IF($D1320="","",IFERROR(_xlfn.XLOOKUP($D1320,'TIR店舗一覧'!$D:$D,'TIR店舗一覧'!$E:$E,""),""))</f>
        <v/>
      </c>
      <c r="V1320" s="54" t="s">
        <v>2</v>
      </c>
      <c r="W1320" s="54" t="s">
        <v>2</v>
      </c>
      <c r="X1320" s="54" t="s">
        <v>2</v>
      </c>
      <c r="Y1320" s="54" t="s">
        <v>2</v>
      </c>
      <c r="Z1320" s="54" t="s">
        <v>2</v>
      </c>
      <c r="AA1320" s="54" t="s">
        <v>2</v>
      </c>
      <c r="AB1320" s="54" t="s">
        <v>2</v>
      </c>
      <c r="AC1320" s="54" t="s">
        <v>2</v>
      </c>
      <c r="AD1320" s="54" t="s">
        <v>2</v>
      </c>
      <c r="AE1320" s="54" t="s">
        <v>2</v>
      </c>
      <c r="AF1320" s="54" t="s">
        <v>2</v>
      </c>
      <c r="AG1320" s="54" t="s">
        <v>2</v>
      </c>
    </row>
    <row r="1321" ht="15.75" customHeight="1">
      <c r="B1321" s="56"/>
      <c r="U1321" s="46" t="str">
        <f t="array" ref="U1321">IF($D1321="","",IFERROR(_xlfn.XLOOKUP($D1321,'TIR店舗一覧'!$D:$D,'TIR店舗一覧'!$E:$E,""),""))</f>
        <v/>
      </c>
      <c r="V1321" s="54" t="s">
        <v>2</v>
      </c>
      <c r="W1321" s="54" t="s">
        <v>2</v>
      </c>
      <c r="X1321" s="54" t="s">
        <v>2</v>
      </c>
      <c r="Y1321" s="54" t="s">
        <v>2</v>
      </c>
      <c r="Z1321" s="54" t="s">
        <v>2</v>
      </c>
      <c r="AA1321" s="54" t="s">
        <v>2</v>
      </c>
      <c r="AB1321" s="54" t="s">
        <v>2</v>
      </c>
      <c r="AC1321" s="54" t="s">
        <v>2</v>
      </c>
      <c r="AD1321" s="54" t="s">
        <v>2</v>
      </c>
      <c r="AE1321" s="54" t="s">
        <v>2</v>
      </c>
      <c r="AF1321" s="54" t="s">
        <v>2</v>
      </c>
      <c r="AG1321" s="54" t="s">
        <v>2</v>
      </c>
    </row>
    <row r="1322" ht="15.75" customHeight="1">
      <c r="B1322" s="56"/>
      <c r="U1322" s="46" t="str">
        <f t="array" ref="U1322">IF($D1322="","",IFERROR(_xlfn.XLOOKUP($D1322,'TIR店舗一覧'!$D:$D,'TIR店舗一覧'!$E:$E,""),""))</f>
        <v/>
      </c>
      <c r="V1322" s="54" t="s">
        <v>2</v>
      </c>
      <c r="W1322" s="54" t="s">
        <v>2</v>
      </c>
      <c r="X1322" s="54" t="s">
        <v>2</v>
      </c>
      <c r="Y1322" s="54" t="s">
        <v>2</v>
      </c>
      <c r="Z1322" s="54" t="s">
        <v>2</v>
      </c>
      <c r="AA1322" s="54" t="s">
        <v>2</v>
      </c>
      <c r="AB1322" s="54" t="s">
        <v>2</v>
      </c>
      <c r="AC1322" s="54" t="s">
        <v>2</v>
      </c>
      <c r="AD1322" s="54" t="s">
        <v>2</v>
      </c>
      <c r="AE1322" s="54" t="s">
        <v>2</v>
      </c>
      <c r="AF1322" s="54" t="s">
        <v>2</v>
      </c>
      <c r="AG1322" s="54" t="s">
        <v>2</v>
      </c>
    </row>
    <row r="1323" ht="15.75" customHeight="1">
      <c r="B1323" s="56"/>
      <c r="U1323" s="46" t="str">
        <f t="array" ref="U1323">IF($D1323="","",IFERROR(_xlfn.XLOOKUP($D1323,'TIR店舗一覧'!$D:$D,'TIR店舗一覧'!$E:$E,""),""))</f>
        <v/>
      </c>
      <c r="V1323" s="54" t="s">
        <v>2</v>
      </c>
      <c r="W1323" s="54" t="s">
        <v>2</v>
      </c>
      <c r="X1323" s="54" t="s">
        <v>2</v>
      </c>
      <c r="Y1323" s="54" t="s">
        <v>2</v>
      </c>
      <c r="Z1323" s="54" t="s">
        <v>2</v>
      </c>
      <c r="AA1323" s="54" t="s">
        <v>2</v>
      </c>
      <c r="AB1323" s="54" t="s">
        <v>2</v>
      </c>
      <c r="AC1323" s="54" t="s">
        <v>2</v>
      </c>
      <c r="AD1323" s="54" t="s">
        <v>2</v>
      </c>
      <c r="AE1323" s="54" t="s">
        <v>2</v>
      </c>
      <c r="AF1323" s="54" t="s">
        <v>2</v>
      </c>
      <c r="AG1323" s="54" t="s">
        <v>2</v>
      </c>
    </row>
    <row r="1324" ht="15.75" customHeight="1">
      <c r="B1324" s="56"/>
      <c r="U1324" s="46" t="str">
        <f t="array" ref="U1324">IF($D1324="","",IFERROR(_xlfn.XLOOKUP($D1324,'TIR店舗一覧'!$D:$D,'TIR店舗一覧'!$E:$E,""),""))</f>
        <v/>
      </c>
      <c r="V1324" s="54" t="s">
        <v>2</v>
      </c>
      <c r="W1324" s="54" t="s">
        <v>2</v>
      </c>
      <c r="X1324" s="54" t="s">
        <v>2</v>
      </c>
      <c r="Y1324" s="54" t="s">
        <v>2</v>
      </c>
      <c r="Z1324" s="54" t="s">
        <v>2</v>
      </c>
      <c r="AA1324" s="54" t="s">
        <v>2</v>
      </c>
      <c r="AB1324" s="54" t="s">
        <v>2</v>
      </c>
      <c r="AC1324" s="54" t="s">
        <v>2</v>
      </c>
      <c r="AD1324" s="54" t="s">
        <v>2</v>
      </c>
      <c r="AE1324" s="54" t="s">
        <v>2</v>
      </c>
      <c r="AF1324" s="54" t="s">
        <v>2</v>
      </c>
      <c r="AG1324" s="54" t="s">
        <v>2</v>
      </c>
    </row>
    <row r="1325" ht="15.75" customHeight="1">
      <c r="B1325" s="56"/>
      <c r="U1325" s="46" t="str">
        <f t="array" ref="U1325">IF($D1325="","",IFERROR(_xlfn.XLOOKUP($D1325,'TIR店舗一覧'!$D:$D,'TIR店舗一覧'!$E:$E,""),""))</f>
        <v/>
      </c>
      <c r="V1325" s="54" t="s">
        <v>2</v>
      </c>
      <c r="W1325" s="54" t="s">
        <v>2</v>
      </c>
      <c r="X1325" s="54" t="s">
        <v>2</v>
      </c>
      <c r="Y1325" s="54" t="s">
        <v>2</v>
      </c>
      <c r="Z1325" s="54" t="s">
        <v>2</v>
      </c>
      <c r="AA1325" s="54" t="s">
        <v>2</v>
      </c>
      <c r="AB1325" s="54" t="s">
        <v>2</v>
      </c>
      <c r="AC1325" s="54" t="s">
        <v>2</v>
      </c>
      <c r="AD1325" s="54" t="s">
        <v>2</v>
      </c>
      <c r="AE1325" s="54" t="s">
        <v>2</v>
      </c>
      <c r="AF1325" s="54" t="s">
        <v>2</v>
      </c>
      <c r="AG1325" s="54" t="s">
        <v>2</v>
      </c>
    </row>
    <row r="1326" ht="15.75" customHeight="1">
      <c r="B1326" s="56"/>
      <c r="U1326" s="46" t="str">
        <f t="array" ref="U1326">IF($D1326="","",IFERROR(_xlfn.XLOOKUP($D1326,'TIR店舗一覧'!$D:$D,'TIR店舗一覧'!$E:$E,""),""))</f>
        <v/>
      </c>
      <c r="V1326" s="54" t="s">
        <v>2</v>
      </c>
      <c r="W1326" s="54" t="s">
        <v>2</v>
      </c>
      <c r="X1326" s="54" t="s">
        <v>2</v>
      </c>
      <c r="Y1326" s="54" t="s">
        <v>2</v>
      </c>
      <c r="Z1326" s="54" t="s">
        <v>2</v>
      </c>
      <c r="AA1326" s="54" t="s">
        <v>2</v>
      </c>
      <c r="AB1326" s="54" t="s">
        <v>2</v>
      </c>
      <c r="AC1326" s="54" t="s">
        <v>2</v>
      </c>
      <c r="AD1326" s="54" t="s">
        <v>2</v>
      </c>
      <c r="AE1326" s="54" t="s">
        <v>2</v>
      </c>
      <c r="AF1326" s="54" t="s">
        <v>2</v>
      </c>
      <c r="AG1326" s="54" t="s">
        <v>2</v>
      </c>
    </row>
    <row r="1327" ht="15.75" customHeight="1">
      <c r="B1327" s="56"/>
      <c r="U1327" s="46" t="str">
        <f t="array" ref="U1327">IF($D1327="","",IFERROR(_xlfn.XLOOKUP($D1327,'TIR店舗一覧'!$D:$D,'TIR店舗一覧'!$E:$E,""),""))</f>
        <v/>
      </c>
      <c r="V1327" s="54" t="s">
        <v>2</v>
      </c>
      <c r="W1327" s="54" t="s">
        <v>2</v>
      </c>
      <c r="X1327" s="54" t="s">
        <v>2</v>
      </c>
      <c r="Y1327" s="54" t="s">
        <v>2</v>
      </c>
      <c r="Z1327" s="54" t="s">
        <v>2</v>
      </c>
      <c r="AA1327" s="54" t="s">
        <v>2</v>
      </c>
      <c r="AB1327" s="54" t="s">
        <v>2</v>
      </c>
      <c r="AC1327" s="54" t="s">
        <v>2</v>
      </c>
      <c r="AD1327" s="54" t="s">
        <v>2</v>
      </c>
      <c r="AE1327" s="54" t="s">
        <v>2</v>
      </c>
      <c r="AF1327" s="54" t="s">
        <v>2</v>
      </c>
      <c r="AG1327" s="54" t="s">
        <v>2</v>
      </c>
    </row>
    <row r="1328" ht="15.75" customHeight="1">
      <c r="B1328" s="56"/>
      <c r="U1328" s="46" t="str">
        <f t="array" ref="U1328">IF($D1328="","",IFERROR(_xlfn.XLOOKUP($D1328,'TIR店舗一覧'!$D:$D,'TIR店舗一覧'!$E:$E,""),""))</f>
        <v/>
      </c>
      <c r="V1328" s="54" t="s">
        <v>2</v>
      </c>
      <c r="W1328" s="54" t="s">
        <v>2</v>
      </c>
      <c r="X1328" s="54" t="s">
        <v>2</v>
      </c>
      <c r="Y1328" s="54" t="s">
        <v>2</v>
      </c>
      <c r="Z1328" s="54" t="s">
        <v>2</v>
      </c>
      <c r="AA1328" s="54" t="s">
        <v>2</v>
      </c>
      <c r="AB1328" s="54" t="s">
        <v>2</v>
      </c>
      <c r="AC1328" s="54" t="s">
        <v>2</v>
      </c>
      <c r="AD1328" s="54" t="s">
        <v>2</v>
      </c>
      <c r="AE1328" s="54" t="s">
        <v>2</v>
      </c>
      <c r="AF1328" s="54" t="s">
        <v>2</v>
      </c>
      <c r="AG1328" s="54" t="s">
        <v>2</v>
      </c>
    </row>
    <row r="1329" ht="15.75" customHeight="1">
      <c r="B1329" s="56"/>
      <c r="U1329" s="46" t="str">
        <f t="array" ref="U1329">IF($D1329="","",IFERROR(_xlfn.XLOOKUP($D1329,'TIR店舗一覧'!$D:$D,'TIR店舗一覧'!$E:$E,""),""))</f>
        <v/>
      </c>
      <c r="V1329" s="54" t="s">
        <v>2</v>
      </c>
      <c r="W1329" s="54" t="s">
        <v>2</v>
      </c>
      <c r="X1329" s="54" t="s">
        <v>2</v>
      </c>
      <c r="Y1329" s="54" t="s">
        <v>2</v>
      </c>
      <c r="Z1329" s="54" t="s">
        <v>2</v>
      </c>
      <c r="AA1329" s="54" t="s">
        <v>2</v>
      </c>
      <c r="AB1329" s="54" t="s">
        <v>2</v>
      </c>
      <c r="AC1329" s="54" t="s">
        <v>2</v>
      </c>
      <c r="AD1329" s="54" t="s">
        <v>2</v>
      </c>
      <c r="AE1329" s="54" t="s">
        <v>2</v>
      </c>
      <c r="AF1329" s="54" t="s">
        <v>2</v>
      </c>
      <c r="AG1329" s="54" t="s">
        <v>2</v>
      </c>
    </row>
    <row r="1330" ht="15.75" customHeight="1">
      <c r="B1330" s="56"/>
      <c r="U1330" s="46" t="str">
        <f t="array" ref="U1330">IF($D1330="","",IFERROR(_xlfn.XLOOKUP($D1330,'TIR店舗一覧'!$D:$D,'TIR店舗一覧'!$E:$E,""),""))</f>
        <v/>
      </c>
      <c r="V1330" s="54" t="s">
        <v>2</v>
      </c>
      <c r="W1330" s="54" t="s">
        <v>2</v>
      </c>
      <c r="X1330" s="54" t="s">
        <v>2</v>
      </c>
      <c r="Y1330" s="54" t="s">
        <v>2</v>
      </c>
      <c r="Z1330" s="54" t="s">
        <v>2</v>
      </c>
      <c r="AA1330" s="54" t="s">
        <v>2</v>
      </c>
      <c r="AB1330" s="54" t="s">
        <v>2</v>
      </c>
      <c r="AC1330" s="54" t="s">
        <v>2</v>
      </c>
      <c r="AD1330" s="54" t="s">
        <v>2</v>
      </c>
      <c r="AE1330" s="54" t="s">
        <v>2</v>
      </c>
      <c r="AF1330" s="54" t="s">
        <v>2</v>
      </c>
      <c r="AG1330" s="54" t="s">
        <v>2</v>
      </c>
    </row>
    <row r="1331" ht="15.75" customHeight="1">
      <c r="B1331" s="56"/>
      <c r="U1331" s="46" t="str">
        <f t="array" ref="U1331">IF($D1331="","",IFERROR(_xlfn.XLOOKUP($D1331,'TIR店舗一覧'!$D:$D,'TIR店舗一覧'!$E:$E,""),""))</f>
        <v/>
      </c>
      <c r="V1331" s="54" t="s">
        <v>2</v>
      </c>
      <c r="W1331" s="54" t="s">
        <v>2</v>
      </c>
      <c r="X1331" s="54" t="s">
        <v>2</v>
      </c>
      <c r="Y1331" s="54" t="s">
        <v>2</v>
      </c>
      <c r="Z1331" s="54" t="s">
        <v>2</v>
      </c>
      <c r="AA1331" s="54" t="s">
        <v>2</v>
      </c>
      <c r="AB1331" s="54" t="s">
        <v>2</v>
      </c>
      <c r="AC1331" s="54" t="s">
        <v>2</v>
      </c>
      <c r="AD1331" s="54" t="s">
        <v>2</v>
      </c>
      <c r="AE1331" s="54" t="s">
        <v>2</v>
      </c>
      <c r="AF1331" s="54" t="s">
        <v>2</v>
      </c>
      <c r="AG1331" s="54" t="s">
        <v>2</v>
      </c>
    </row>
    <row r="1332" ht="15.75" customHeight="1">
      <c r="B1332" s="56"/>
      <c r="U1332" s="46" t="str">
        <f t="array" ref="U1332">IF($D1332="","",IFERROR(_xlfn.XLOOKUP($D1332,'TIR店舗一覧'!$D:$D,'TIR店舗一覧'!$E:$E,""),""))</f>
        <v/>
      </c>
      <c r="V1332" s="54" t="s">
        <v>2</v>
      </c>
      <c r="W1332" s="54" t="s">
        <v>2</v>
      </c>
      <c r="X1332" s="54" t="s">
        <v>2</v>
      </c>
      <c r="Y1332" s="54" t="s">
        <v>2</v>
      </c>
      <c r="Z1332" s="54" t="s">
        <v>2</v>
      </c>
      <c r="AA1332" s="54" t="s">
        <v>2</v>
      </c>
      <c r="AB1332" s="54" t="s">
        <v>2</v>
      </c>
      <c r="AC1332" s="54" t="s">
        <v>2</v>
      </c>
      <c r="AD1332" s="54" t="s">
        <v>2</v>
      </c>
      <c r="AE1332" s="54" t="s">
        <v>2</v>
      </c>
      <c r="AF1332" s="54" t="s">
        <v>2</v>
      </c>
      <c r="AG1332" s="54" t="s">
        <v>2</v>
      </c>
    </row>
    <row r="1333" ht="15.75" customHeight="1">
      <c r="B1333" s="56"/>
      <c r="U1333" s="46" t="str">
        <f t="array" ref="U1333">IF($D1333="","",IFERROR(_xlfn.XLOOKUP($D1333,'TIR店舗一覧'!$D:$D,'TIR店舗一覧'!$E:$E,""),""))</f>
        <v/>
      </c>
      <c r="V1333" s="54" t="s">
        <v>2</v>
      </c>
      <c r="W1333" s="54" t="s">
        <v>2</v>
      </c>
      <c r="X1333" s="54" t="s">
        <v>2</v>
      </c>
      <c r="Y1333" s="54" t="s">
        <v>2</v>
      </c>
      <c r="Z1333" s="54" t="s">
        <v>2</v>
      </c>
      <c r="AA1333" s="54" t="s">
        <v>2</v>
      </c>
      <c r="AB1333" s="54" t="s">
        <v>2</v>
      </c>
      <c r="AC1333" s="54" t="s">
        <v>2</v>
      </c>
      <c r="AD1333" s="54" t="s">
        <v>2</v>
      </c>
      <c r="AE1333" s="54" t="s">
        <v>2</v>
      </c>
      <c r="AF1333" s="54" t="s">
        <v>2</v>
      </c>
      <c r="AG1333" s="54" t="s">
        <v>2</v>
      </c>
    </row>
    <row r="1334" ht="15.75" customHeight="1">
      <c r="B1334" s="56"/>
      <c r="U1334" s="46" t="str">
        <f t="array" ref="U1334">IF($D1334="","",IFERROR(_xlfn.XLOOKUP($D1334,'TIR店舗一覧'!$D:$D,'TIR店舗一覧'!$E:$E,""),""))</f>
        <v/>
      </c>
      <c r="V1334" s="54" t="s">
        <v>2</v>
      </c>
      <c r="W1334" s="54" t="s">
        <v>2</v>
      </c>
      <c r="X1334" s="54" t="s">
        <v>2</v>
      </c>
      <c r="Y1334" s="54" t="s">
        <v>2</v>
      </c>
      <c r="Z1334" s="54" t="s">
        <v>2</v>
      </c>
      <c r="AA1334" s="54" t="s">
        <v>2</v>
      </c>
      <c r="AB1334" s="54" t="s">
        <v>2</v>
      </c>
      <c r="AC1334" s="54" t="s">
        <v>2</v>
      </c>
      <c r="AD1334" s="54" t="s">
        <v>2</v>
      </c>
      <c r="AE1334" s="54" t="s">
        <v>2</v>
      </c>
      <c r="AF1334" s="54" t="s">
        <v>2</v>
      </c>
      <c r="AG1334" s="54" t="s">
        <v>2</v>
      </c>
    </row>
    <row r="1335" ht="15.75" customHeight="1">
      <c r="B1335" s="56"/>
      <c r="U1335" s="46" t="str">
        <f t="array" ref="U1335">IF($D1335="","",IFERROR(_xlfn.XLOOKUP($D1335,'TIR店舗一覧'!$D:$D,'TIR店舗一覧'!$E:$E,""),""))</f>
        <v/>
      </c>
      <c r="V1335" s="54" t="s">
        <v>2</v>
      </c>
      <c r="W1335" s="54" t="s">
        <v>2</v>
      </c>
      <c r="X1335" s="54" t="s">
        <v>2</v>
      </c>
      <c r="Y1335" s="54" t="s">
        <v>2</v>
      </c>
      <c r="Z1335" s="54" t="s">
        <v>2</v>
      </c>
      <c r="AA1335" s="54" t="s">
        <v>2</v>
      </c>
      <c r="AB1335" s="54" t="s">
        <v>2</v>
      </c>
      <c r="AC1335" s="54" t="s">
        <v>2</v>
      </c>
      <c r="AD1335" s="54" t="s">
        <v>2</v>
      </c>
      <c r="AE1335" s="54" t="s">
        <v>2</v>
      </c>
      <c r="AF1335" s="54" t="s">
        <v>2</v>
      </c>
      <c r="AG1335" s="54" t="s">
        <v>2</v>
      </c>
    </row>
    <row r="1336" ht="15.75" customHeight="1">
      <c r="B1336" s="56"/>
      <c r="U1336" s="46" t="str">
        <f t="array" ref="U1336">IF($D1336="","",IFERROR(_xlfn.XLOOKUP($D1336,'TIR店舗一覧'!$D:$D,'TIR店舗一覧'!$E:$E,""),""))</f>
        <v/>
      </c>
      <c r="V1336" s="54" t="s">
        <v>2</v>
      </c>
      <c r="W1336" s="54" t="s">
        <v>2</v>
      </c>
      <c r="X1336" s="54" t="s">
        <v>2</v>
      </c>
      <c r="Y1336" s="54" t="s">
        <v>2</v>
      </c>
      <c r="Z1336" s="54" t="s">
        <v>2</v>
      </c>
      <c r="AA1336" s="54" t="s">
        <v>2</v>
      </c>
      <c r="AB1336" s="54" t="s">
        <v>2</v>
      </c>
      <c r="AC1336" s="54" t="s">
        <v>2</v>
      </c>
      <c r="AD1336" s="54" t="s">
        <v>2</v>
      </c>
      <c r="AE1336" s="54" t="s">
        <v>2</v>
      </c>
      <c r="AF1336" s="54" t="s">
        <v>2</v>
      </c>
      <c r="AG1336" s="54" t="s">
        <v>2</v>
      </c>
    </row>
    <row r="1337" ht="15.75" customHeight="1">
      <c r="B1337" s="56"/>
      <c r="U1337" s="46" t="str">
        <f t="array" ref="U1337">IF($D1337="","",IFERROR(_xlfn.XLOOKUP($D1337,'TIR店舗一覧'!$D:$D,'TIR店舗一覧'!$E:$E,""),""))</f>
        <v/>
      </c>
      <c r="V1337" s="54" t="s">
        <v>2</v>
      </c>
      <c r="W1337" s="54" t="s">
        <v>2</v>
      </c>
      <c r="X1337" s="54" t="s">
        <v>2</v>
      </c>
      <c r="Y1337" s="54" t="s">
        <v>2</v>
      </c>
      <c r="Z1337" s="54" t="s">
        <v>2</v>
      </c>
      <c r="AA1337" s="54" t="s">
        <v>2</v>
      </c>
      <c r="AB1337" s="54" t="s">
        <v>2</v>
      </c>
      <c r="AC1337" s="54" t="s">
        <v>2</v>
      </c>
      <c r="AD1337" s="54" t="s">
        <v>2</v>
      </c>
      <c r="AE1337" s="54" t="s">
        <v>2</v>
      </c>
      <c r="AF1337" s="54" t="s">
        <v>2</v>
      </c>
      <c r="AG1337" s="54" t="s">
        <v>2</v>
      </c>
    </row>
    <row r="1338" ht="15.75" customHeight="1">
      <c r="B1338" s="56"/>
      <c r="U1338" s="46" t="str">
        <f t="array" ref="U1338">IF($D1338="","",IFERROR(_xlfn.XLOOKUP($D1338,'TIR店舗一覧'!$D:$D,'TIR店舗一覧'!$E:$E,""),""))</f>
        <v/>
      </c>
      <c r="V1338" s="54" t="s">
        <v>2</v>
      </c>
      <c r="W1338" s="54" t="s">
        <v>2</v>
      </c>
      <c r="X1338" s="54" t="s">
        <v>2</v>
      </c>
      <c r="Y1338" s="54" t="s">
        <v>2</v>
      </c>
      <c r="Z1338" s="54" t="s">
        <v>2</v>
      </c>
      <c r="AA1338" s="54" t="s">
        <v>2</v>
      </c>
      <c r="AB1338" s="54" t="s">
        <v>2</v>
      </c>
      <c r="AC1338" s="54" t="s">
        <v>2</v>
      </c>
      <c r="AD1338" s="54" t="s">
        <v>2</v>
      </c>
      <c r="AE1338" s="54" t="s">
        <v>2</v>
      </c>
      <c r="AF1338" s="54" t="s">
        <v>2</v>
      </c>
      <c r="AG1338" s="54" t="s">
        <v>2</v>
      </c>
    </row>
    <row r="1339" ht="15.75" customHeight="1">
      <c r="B1339" s="56"/>
      <c r="U1339" s="46" t="str">
        <f t="array" ref="U1339">IF($D1339="","",IFERROR(_xlfn.XLOOKUP($D1339,'TIR店舗一覧'!$D:$D,'TIR店舗一覧'!$E:$E,""),""))</f>
        <v/>
      </c>
      <c r="V1339" s="54" t="s">
        <v>2</v>
      </c>
      <c r="W1339" s="54" t="s">
        <v>2</v>
      </c>
      <c r="X1339" s="54" t="s">
        <v>2</v>
      </c>
      <c r="Y1339" s="54" t="s">
        <v>2</v>
      </c>
      <c r="Z1339" s="54" t="s">
        <v>2</v>
      </c>
      <c r="AA1339" s="54" t="s">
        <v>2</v>
      </c>
      <c r="AB1339" s="54" t="s">
        <v>2</v>
      </c>
      <c r="AC1339" s="54" t="s">
        <v>2</v>
      </c>
      <c r="AD1339" s="54" t="s">
        <v>2</v>
      </c>
      <c r="AE1339" s="54" t="s">
        <v>2</v>
      </c>
      <c r="AF1339" s="54" t="s">
        <v>2</v>
      </c>
      <c r="AG1339" s="54" t="s">
        <v>2</v>
      </c>
    </row>
    <row r="1340" ht="15.75" customHeight="1">
      <c r="B1340" s="56"/>
      <c r="U1340" s="46" t="str">
        <f t="array" ref="U1340">IF($D1340="","",IFERROR(_xlfn.XLOOKUP($D1340,'TIR店舗一覧'!$D:$D,'TIR店舗一覧'!$E:$E,""),""))</f>
        <v/>
      </c>
      <c r="V1340" s="54" t="s">
        <v>2</v>
      </c>
      <c r="W1340" s="54" t="s">
        <v>2</v>
      </c>
      <c r="X1340" s="54" t="s">
        <v>2</v>
      </c>
      <c r="Y1340" s="54" t="s">
        <v>2</v>
      </c>
      <c r="Z1340" s="54" t="s">
        <v>2</v>
      </c>
      <c r="AA1340" s="54" t="s">
        <v>2</v>
      </c>
      <c r="AB1340" s="54" t="s">
        <v>2</v>
      </c>
      <c r="AC1340" s="54" t="s">
        <v>2</v>
      </c>
      <c r="AD1340" s="54" t="s">
        <v>2</v>
      </c>
      <c r="AE1340" s="54" t="s">
        <v>2</v>
      </c>
      <c r="AF1340" s="54" t="s">
        <v>2</v>
      </c>
      <c r="AG1340" s="54" t="s">
        <v>2</v>
      </c>
    </row>
    <row r="1341" ht="15.75" customHeight="1">
      <c r="B1341" s="56"/>
      <c r="U1341" s="46" t="str">
        <f t="array" ref="U1341">IF($D1341="","",IFERROR(_xlfn.XLOOKUP($D1341,'TIR店舗一覧'!$D:$D,'TIR店舗一覧'!$E:$E,""),""))</f>
        <v/>
      </c>
      <c r="V1341" s="54" t="s">
        <v>2</v>
      </c>
      <c r="W1341" s="54" t="s">
        <v>2</v>
      </c>
      <c r="X1341" s="54" t="s">
        <v>2</v>
      </c>
      <c r="Y1341" s="54" t="s">
        <v>2</v>
      </c>
      <c r="Z1341" s="54" t="s">
        <v>2</v>
      </c>
      <c r="AA1341" s="54" t="s">
        <v>2</v>
      </c>
      <c r="AB1341" s="54" t="s">
        <v>2</v>
      </c>
      <c r="AC1341" s="54" t="s">
        <v>2</v>
      </c>
      <c r="AD1341" s="54" t="s">
        <v>2</v>
      </c>
      <c r="AE1341" s="54" t="s">
        <v>2</v>
      </c>
      <c r="AF1341" s="54" t="s">
        <v>2</v>
      </c>
      <c r="AG1341" s="54" t="s">
        <v>2</v>
      </c>
    </row>
    <row r="1342" ht="15.75" customHeight="1">
      <c r="B1342" s="56"/>
      <c r="U1342" s="46" t="str">
        <f t="array" ref="U1342">IF($D1342="","",IFERROR(_xlfn.XLOOKUP($D1342,'TIR店舗一覧'!$D:$D,'TIR店舗一覧'!$E:$E,""),""))</f>
        <v/>
      </c>
      <c r="V1342" s="54" t="s">
        <v>2</v>
      </c>
      <c r="W1342" s="54" t="s">
        <v>2</v>
      </c>
      <c r="X1342" s="54" t="s">
        <v>2</v>
      </c>
      <c r="Y1342" s="54" t="s">
        <v>2</v>
      </c>
      <c r="Z1342" s="54" t="s">
        <v>2</v>
      </c>
      <c r="AA1342" s="54" t="s">
        <v>2</v>
      </c>
      <c r="AB1342" s="54" t="s">
        <v>2</v>
      </c>
      <c r="AC1342" s="54" t="s">
        <v>2</v>
      </c>
      <c r="AD1342" s="54" t="s">
        <v>2</v>
      </c>
      <c r="AE1342" s="54" t="s">
        <v>2</v>
      </c>
      <c r="AF1342" s="54" t="s">
        <v>2</v>
      </c>
      <c r="AG1342" s="54" t="s">
        <v>2</v>
      </c>
    </row>
    <row r="1343" ht="15.75" customHeight="1">
      <c r="B1343" s="56"/>
      <c r="U1343" s="46" t="str">
        <f t="array" ref="U1343">IF($D1343="","",IFERROR(_xlfn.XLOOKUP($D1343,'TIR店舗一覧'!$D:$D,'TIR店舗一覧'!$E:$E,""),""))</f>
        <v/>
      </c>
      <c r="V1343" s="54" t="s">
        <v>2</v>
      </c>
      <c r="W1343" s="54" t="s">
        <v>2</v>
      </c>
      <c r="X1343" s="54" t="s">
        <v>2</v>
      </c>
      <c r="Y1343" s="54" t="s">
        <v>2</v>
      </c>
      <c r="Z1343" s="54" t="s">
        <v>2</v>
      </c>
      <c r="AA1343" s="54" t="s">
        <v>2</v>
      </c>
      <c r="AB1343" s="54" t="s">
        <v>2</v>
      </c>
      <c r="AC1343" s="54" t="s">
        <v>2</v>
      </c>
      <c r="AD1343" s="54" t="s">
        <v>2</v>
      </c>
      <c r="AE1343" s="54" t="s">
        <v>2</v>
      </c>
      <c r="AF1343" s="54" t="s">
        <v>2</v>
      </c>
      <c r="AG1343" s="54" t="s">
        <v>2</v>
      </c>
    </row>
    <row r="1344" ht="15.75" customHeight="1">
      <c r="B1344" s="56"/>
      <c r="U1344" s="46" t="str">
        <f t="array" ref="U1344">IF($D1344="","",IFERROR(_xlfn.XLOOKUP($D1344,'TIR店舗一覧'!$D:$D,'TIR店舗一覧'!$E:$E,""),""))</f>
        <v/>
      </c>
      <c r="V1344" s="54" t="s">
        <v>2</v>
      </c>
      <c r="W1344" s="54" t="s">
        <v>2</v>
      </c>
      <c r="X1344" s="54" t="s">
        <v>2</v>
      </c>
      <c r="Y1344" s="54" t="s">
        <v>2</v>
      </c>
      <c r="Z1344" s="54" t="s">
        <v>2</v>
      </c>
      <c r="AA1344" s="54" t="s">
        <v>2</v>
      </c>
      <c r="AB1344" s="54" t="s">
        <v>2</v>
      </c>
      <c r="AC1344" s="54" t="s">
        <v>2</v>
      </c>
      <c r="AD1344" s="54" t="s">
        <v>2</v>
      </c>
      <c r="AE1344" s="54" t="s">
        <v>2</v>
      </c>
      <c r="AF1344" s="54" t="s">
        <v>2</v>
      </c>
      <c r="AG1344" s="54" t="s">
        <v>2</v>
      </c>
    </row>
    <row r="1345" ht="15.75" customHeight="1">
      <c r="B1345" s="56"/>
      <c r="U1345" s="46" t="str">
        <f t="array" ref="U1345">IF($D1345="","",IFERROR(_xlfn.XLOOKUP($D1345,'TIR店舗一覧'!$D:$D,'TIR店舗一覧'!$E:$E,""),""))</f>
        <v/>
      </c>
      <c r="V1345" s="54" t="s">
        <v>2</v>
      </c>
      <c r="W1345" s="54" t="s">
        <v>2</v>
      </c>
      <c r="X1345" s="54" t="s">
        <v>2</v>
      </c>
      <c r="Y1345" s="54" t="s">
        <v>2</v>
      </c>
      <c r="Z1345" s="54" t="s">
        <v>2</v>
      </c>
      <c r="AA1345" s="54" t="s">
        <v>2</v>
      </c>
      <c r="AB1345" s="54" t="s">
        <v>2</v>
      </c>
      <c r="AC1345" s="54" t="s">
        <v>2</v>
      </c>
      <c r="AD1345" s="54" t="s">
        <v>2</v>
      </c>
      <c r="AE1345" s="54" t="s">
        <v>2</v>
      </c>
      <c r="AF1345" s="54" t="s">
        <v>2</v>
      </c>
      <c r="AG1345" s="54" t="s">
        <v>2</v>
      </c>
    </row>
    <row r="1346" ht="15.75" customHeight="1">
      <c r="B1346" s="56"/>
      <c r="U1346" s="46" t="str">
        <f t="array" ref="U1346">IF($D1346="","",IFERROR(_xlfn.XLOOKUP($D1346,'TIR店舗一覧'!$D:$D,'TIR店舗一覧'!$E:$E,""),""))</f>
        <v/>
      </c>
      <c r="V1346" s="54" t="s">
        <v>2</v>
      </c>
      <c r="W1346" s="54" t="s">
        <v>2</v>
      </c>
      <c r="X1346" s="54" t="s">
        <v>2</v>
      </c>
      <c r="Y1346" s="54" t="s">
        <v>2</v>
      </c>
      <c r="Z1346" s="54" t="s">
        <v>2</v>
      </c>
      <c r="AA1346" s="54" t="s">
        <v>2</v>
      </c>
      <c r="AB1346" s="54" t="s">
        <v>2</v>
      </c>
      <c r="AC1346" s="54" t="s">
        <v>2</v>
      </c>
      <c r="AD1346" s="54" t="s">
        <v>2</v>
      </c>
      <c r="AE1346" s="54" t="s">
        <v>2</v>
      </c>
      <c r="AF1346" s="54" t="s">
        <v>2</v>
      </c>
      <c r="AG1346" s="54" t="s">
        <v>2</v>
      </c>
    </row>
    <row r="1347" ht="15.75" customHeight="1">
      <c r="B1347" s="56"/>
      <c r="U1347" s="46" t="str">
        <f t="array" ref="U1347">IF($D1347="","",IFERROR(_xlfn.XLOOKUP($D1347,'TIR店舗一覧'!$D:$D,'TIR店舗一覧'!$E:$E,""),""))</f>
        <v/>
      </c>
      <c r="V1347" s="54" t="s">
        <v>2</v>
      </c>
      <c r="W1347" s="54" t="s">
        <v>2</v>
      </c>
      <c r="X1347" s="54" t="s">
        <v>2</v>
      </c>
      <c r="Y1347" s="54" t="s">
        <v>2</v>
      </c>
      <c r="Z1347" s="54" t="s">
        <v>2</v>
      </c>
      <c r="AA1347" s="54" t="s">
        <v>2</v>
      </c>
      <c r="AB1347" s="54" t="s">
        <v>2</v>
      </c>
      <c r="AC1347" s="54" t="s">
        <v>2</v>
      </c>
      <c r="AD1347" s="54" t="s">
        <v>2</v>
      </c>
      <c r="AE1347" s="54" t="s">
        <v>2</v>
      </c>
      <c r="AF1347" s="54" t="s">
        <v>2</v>
      </c>
      <c r="AG1347" s="54" t="s">
        <v>2</v>
      </c>
    </row>
    <row r="1348" ht="15.75" customHeight="1">
      <c r="B1348" s="56"/>
      <c r="U1348" s="46" t="str">
        <f t="array" ref="U1348">IF($D1348="","",IFERROR(_xlfn.XLOOKUP($D1348,'TIR店舗一覧'!$D:$D,'TIR店舗一覧'!$E:$E,""),""))</f>
        <v/>
      </c>
      <c r="V1348" s="54" t="s">
        <v>2</v>
      </c>
      <c r="W1348" s="54" t="s">
        <v>2</v>
      </c>
      <c r="X1348" s="54" t="s">
        <v>2</v>
      </c>
      <c r="Y1348" s="54" t="s">
        <v>2</v>
      </c>
      <c r="Z1348" s="54" t="s">
        <v>2</v>
      </c>
      <c r="AA1348" s="54" t="s">
        <v>2</v>
      </c>
      <c r="AB1348" s="54" t="s">
        <v>2</v>
      </c>
      <c r="AC1348" s="54" t="s">
        <v>2</v>
      </c>
      <c r="AD1348" s="54" t="s">
        <v>2</v>
      </c>
      <c r="AE1348" s="54" t="s">
        <v>2</v>
      </c>
      <c r="AF1348" s="54" t="s">
        <v>2</v>
      </c>
      <c r="AG1348" s="54" t="s">
        <v>2</v>
      </c>
    </row>
    <row r="1349" ht="15.75" customHeight="1">
      <c r="B1349" s="56"/>
      <c r="U1349" s="46" t="str">
        <f t="array" ref="U1349">IF($D1349="","",IFERROR(_xlfn.XLOOKUP($D1349,'TIR店舗一覧'!$D:$D,'TIR店舗一覧'!$E:$E,""),""))</f>
        <v/>
      </c>
      <c r="V1349" s="54" t="s">
        <v>2</v>
      </c>
      <c r="W1349" s="54" t="s">
        <v>2</v>
      </c>
      <c r="X1349" s="54" t="s">
        <v>2</v>
      </c>
      <c r="Y1349" s="54" t="s">
        <v>2</v>
      </c>
      <c r="Z1349" s="54" t="s">
        <v>2</v>
      </c>
      <c r="AA1349" s="54" t="s">
        <v>2</v>
      </c>
      <c r="AB1349" s="54" t="s">
        <v>2</v>
      </c>
      <c r="AC1349" s="54" t="s">
        <v>2</v>
      </c>
      <c r="AD1349" s="54" t="s">
        <v>2</v>
      </c>
      <c r="AE1349" s="54" t="s">
        <v>2</v>
      </c>
      <c r="AF1349" s="54" t="s">
        <v>2</v>
      </c>
      <c r="AG1349" s="54" t="s">
        <v>2</v>
      </c>
    </row>
    <row r="1350" ht="15.75" customHeight="1">
      <c r="B1350" s="56"/>
      <c r="U1350" s="46" t="str">
        <f t="array" ref="U1350">IF($D1350="","",IFERROR(_xlfn.XLOOKUP($D1350,'TIR店舗一覧'!$D:$D,'TIR店舗一覧'!$E:$E,""),""))</f>
        <v/>
      </c>
      <c r="V1350" s="54" t="s">
        <v>2</v>
      </c>
      <c r="W1350" s="54" t="s">
        <v>2</v>
      </c>
      <c r="X1350" s="54" t="s">
        <v>2</v>
      </c>
      <c r="Y1350" s="54" t="s">
        <v>2</v>
      </c>
      <c r="Z1350" s="54" t="s">
        <v>2</v>
      </c>
      <c r="AA1350" s="54" t="s">
        <v>2</v>
      </c>
      <c r="AB1350" s="54" t="s">
        <v>2</v>
      </c>
      <c r="AC1350" s="54" t="s">
        <v>2</v>
      </c>
      <c r="AD1350" s="54" t="s">
        <v>2</v>
      </c>
      <c r="AE1350" s="54" t="s">
        <v>2</v>
      </c>
      <c r="AF1350" s="54" t="s">
        <v>2</v>
      </c>
      <c r="AG1350" s="54" t="s">
        <v>2</v>
      </c>
    </row>
    <row r="1351" ht="15.75" customHeight="1">
      <c r="B1351" s="56"/>
      <c r="U1351" s="46" t="str">
        <f t="array" ref="U1351">IF($D1351="","",IFERROR(_xlfn.XLOOKUP($D1351,'TIR店舗一覧'!$D:$D,'TIR店舗一覧'!$E:$E,""),""))</f>
        <v/>
      </c>
      <c r="V1351" s="54" t="s">
        <v>2</v>
      </c>
      <c r="W1351" s="54" t="s">
        <v>2</v>
      </c>
      <c r="X1351" s="54" t="s">
        <v>2</v>
      </c>
      <c r="Y1351" s="54" t="s">
        <v>2</v>
      </c>
      <c r="Z1351" s="54" t="s">
        <v>2</v>
      </c>
      <c r="AA1351" s="54" t="s">
        <v>2</v>
      </c>
      <c r="AB1351" s="54" t="s">
        <v>2</v>
      </c>
      <c r="AC1351" s="54" t="s">
        <v>2</v>
      </c>
      <c r="AD1351" s="54" t="s">
        <v>2</v>
      </c>
      <c r="AE1351" s="54" t="s">
        <v>2</v>
      </c>
      <c r="AF1351" s="54" t="s">
        <v>2</v>
      </c>
      <c r="AG1351" s="54" t="s">
        <v>2</v>
      </c>
    </row>
    <row r="1352" ht="15.75" customHeight="1">
      <c r="B1352" s="56"/>
      <c r="U1352" s="46" t="str">
        <f t="array" ref="U1352">IF($D1352="","",IFERROR(_xlfn.XLOOKUP($D1352,'TIR店舗一覧'!$D:$D,'TIR店舗一覧'!$E:$E,""),""))</f>
        <v/>
      </c>
      <c r="V1352" s="54" t="s">
        <v>2</v>
      </c>
      <c r="W1352" s="54" t="s">
        <v>2</v>
      </c>
      <c r="X1352" s="54" t="s">
        <v>2</v>
      </c>
      <c r="Y1352" s="54" t="s">
        <v>2</v>
      </c>
      <c r="Z1352" s="54" t="s">
        <v>2</v>
      </c>
      <c r="AA1352" s="54" t="s">
        <v>2</v>
      </c>
      <c r="AB1352" s="54" t="s">
        <v>2</v>
      </c>
      <c r="AC1352" s="54" t="s">
        <v>2</v>
      </c>
      <c r="AD1352" s="54" t="s">
        <v>2</v>
      </c>
      <c r="AE1352" s="54" t="s">
        <v>2</v>
      </c>
      <c r="AF1352" s="54" t="s">
        <v>2</v>
      </c>
      <c r="AG1352" s="54" t="s">
        <v>2</v>
      </c>
    </row>
    <row r="1353" ht="15.75" customHeight="1">
      <c r="B1353" s="56"/>
      <c r="U1353" s="46" t="str">
        <f t="array" ref="U1353">IF($D1353="","",IFERROR(_xlfn.XLOOKUP($D1353,'TIR店舗一覧'!$D:$D,'TIR店舗一覧'!$E:$E,""),""))</f>
        <v/>
      </c>
      <c r="V1353" s="54" t="s">
        <v>2</v>
      </c>
      <c r="W1353" s="54" t="s">
        <v>2</v>
      </c>
      <c r="X1353" s="54" t="s">
        <v>2</v>
      </c>
      <c r="Y1353" s="54" t="s">
        <v>2</v>
      </c>
      <c r="Z1353" s="54" t="s">
        <v>2</v>
      </c>
      <c r="AA1353" s="54" t="s">
        <v>2</v>
      </c>
      <c r="AB1353" s="54" t="s">
        <v>2</v>
      </c>
      <c r="AC1353" s="54" t="s">
        <v>2</v>
      </c>
      <c r="AD1353" s="54" t="s">
        <v>2</v>
      </c>
      <c r="AE1353" s="54" t="s">
        <v>2</v>
      </c>
      <c r="AF1353" s="54" t="s">
        <v>2</v>
      </c>
      <c r="AG1353" s="54" t="s">
        <v>2</v>
      </c>
    </row>
    <row r="1354" ht="15.75" customHeight="1">
      <c r="B1354" s="56"/>
      <c r="U1354" s="46" t="str">
        <f t="array" ref="U1354">IF($D1354="","",IFERROR(_xlfn.XLOOKUP($D1354,'TIR店舗一覧'!$D:$D,'TIR店舗一覧'!$E:$E,""),""))</f>
        <v/>
      </c>
      <c r="V1354" s="54" t="s">
        <v>2</v>
      </c>
      <c r="W1354" s="54" t="s">
        <v>2</v>
      </c>
      <c r="X1354" s="54" t="s">
        <v>2</v>
      </c>
      <c r="Y1354" s="54" t="s">
        <v>2</v>
      </c>
      <c r="Z1354" s="54" t="s">
        <v>2</v>
      </c>
      <c r="AA1354" s="54" t="s">
        <v>2</v>
      </c>
      <c r="AB1354" s="54" t="s">
        <v>2</v>
      </c>
      <c r="AC1354" s="54" t="s">
        <v>2</v>
      </c>
      <c r="AD1354" s="54" t="s">
        <v>2</v>
      </c>
      <c r="AE1354" s="54" t="s">
        <v>2</v>
      </c>
      <c r="AF1354" s="54" t="s">
        <v>2</v>
      </c>
      <c r="AG1354" s="54" t="s">
        <v>2</v>
      </c>
    </row>
    <row r="1355" ht="15.75" customHeight="1">
      <c r="B1355" s="56"/>
      <c r="U1355" s="46" t="str">
        <f t="array" ref="U1355">IF($D1355="","",IFERROR(_xlfn.XLOOKUP($D1355,'TIR店舗一覧'!$D:$D,'TIR店舗一覧'!$E:$E,""),""))</f>
        <v/>
      </c>
      <c r="V1355" s="54" t="s">
        <v>2</v>
      </c>
      <c r="W1355" s="54" t="s">
        <v>2</v>
      </c>
      <c r="X1355" s="54" t="s">
        <v>2</v>
      </c>
      <c r="Y1355" s="54" t="s">
        <v>2</v>
      </c>
      <c r="Z1355" s="54" t="s">
        <v>2</v>
      </c>
      <c r="AA1355" s="54" t="s">
        <v>2</v>
      </c>
      <c r="AB1355" s="54" t="s">
        <v>2</v>
      </c>
      <c r="AC1355" s="54" t="s">
        <v>2</v>
      </c>
      <c r="AD1355" s="54" t="s">
        <v>2</v>
      </c>
      <c r="AE1355" s="54" t="s">
        <v>2</v>
      </c>
      <c r="AF1355" s="54" t="s">
        <v>2</v>
      </c>
      <c r="AG1355" s="54" t="s">
        <v>2</v>
      </c>
    </row>
    <row r="1356" ht="15.75" customHeight="1">
      <c r="B1356" s="56"/>
      <c r="U1356" s="46" t="str">
        <f t="array" ref="U1356">IF($D1356="","",IFERROR(_xlfn.XLOOKUP($D1356,'TIR店舗一覧'!$D:$D,'TIR店舗一覧'!$E:$E,""),""))</f>
        <v/>
      </c>
      <c r="V1356" s="54" t="s">
        <v>2</v>
      </c>
      <c r="W1356" s="54" t="s">
        <v>2</v>
      </c>
      <c r="X1356" s="54" t="s">
        <v>2</v>
      </c>
      <c r="Y1356" s="54" t="s">
        <v>2</v>
      </c>
      <c r="Z1356" s="54" t="s">
        <v>2</v>
      </c>
      <c r="AA1356" s="54" t="s">
        <v>2</v>
      </c>
      <c r="AB1356" s="54" t="s">
        <v>2</v>
      </c>
      <c r="AC1356" s="54" t="s">
        <v>2</v>
      </c>
      <c r="AD1356" s="54" t="s">
        <v>2</v>
      </c>
      <c r="AE1356" s="54" t="s">
        <v>2</v>
      </c>
      <c r="AF1356" s="54" t="s">
        <v>2</v>
      </c>
      <c r="AG1356" s="54" t="s">
        <v>2</v>
      </c>
    </row>
    <row r="1357" ht="15.75" customHeight="1">
      <c r="B1357" s="56"/>
      <c r="U1357" s="46" t="str">
        <f t="array" ref="U1357">IF($D1357="","",IFERROR(_xlfn.XLOOKUP($D1357,'TIR店舗一覧'!$D:$D,'TIR店舗一覧'!$E:$E,""),""))</f>
        <v/>
      </c>
      <c r="V1357" s="54" t="s">
        <v>2</v>
      </c>
      <c r="W1357" s="54" t="s">
        <v>2</v>
      </c>
      <c r="X1357" s="54" t="s">
        <v>2</v>
      </c>
      <c r="Y1357" s="54" t="s">
        <v>2</v>
      </c>
      <c r="Z1357" s="54" t="s">
        <v>2</v>
      </c>
      <c r="AA1357" s="54" t="s">
        <v>2</v>
      </c>
      <c r="AB1357" s="54" t="s">
        <v>2</v>
      </c>
      <c r="AC1357" s="54" t="s">
        <v>2</v>
      </c>
      <c r="AD1357" s="54" t="s">
        <v>2</v>
      </c>
      <c r="AE1357" s="54" t="s">
        <v>2</v>
      </c>
      <c r="AF1357" s="54" t="s">
        <v>2</v>
      </c>
      <c r="AG1357" s="54" t="s">
        <v>2</v>
      </c>
    </row>
    <row r="1358" ht="15.75" customHeight="1">
      <c r="B1358" s="56"/>
      <c r="U1358" s="46" t="str">
        <f t="array" ref="U1358">IF($D1358="","",IFERROR(_xlfn.XLOOKUP($D1358,'TIR店舗一覧'!$D:$D,'TIR店舗一覧'!$E:$E,""),""))</f>
        <v/>
      </c>
      <c r="V1358" s="54" t="s">
        <v>2</v>
      </c>
      <c r="W1358" s="54" t="s">
        <v>2</v>
      </c>
      <c r="X1358" s="54" t="s">
        <v>2</v>
      </c>
      <c r="Y1358" s="54" t="s">
        <v>2</v>
      </c>
      <c r="Z1358" s="54" t="s">
        <v>2</v>
      </c>
      <c r="AA1358" s="54" t="s">
        <v>2</v>
      </c>
      <c r="AB1358" s="54" t="s">
        <v>2</v>
      </c>
      <c r="AC1358" s="54" t="s">
        <v>2</v>
      </c>
      <c r="AD1358" s="54" t="s">
        <v>2</v>
      </c>
      <c r="AE1358" s="54" t="s">
        <v>2</v>
      </c>
      <c r="AF1358" s="54" t="s">
        <v>2</v>
      </c>
      <c r="AG1358" s="54" t="s">
        <v>2</v>
      </c>
    </row>
    <row r="1359" ht="15.75" customHeight="1">
      <c r="B1359" s="56"/>
      <c r="U1359" s="46" t="str">
        <f t="array" ref="U1359">IF($D1359="","",IFERROR(_xlfn.XLOOKUP($D1359,'TIR店舗一覧'!$D:$D,'TIR店舗一覧'!$E:$E,""),""))</f>
        <v/>
      </c>
      <c r="V1359" s="54" t="s">
        <v>2</v>
      </c>
      <c r="W1359" s="54" t="s">
        <v>2</v>
      </c>
      <c r="X1359" s="54" t="s">
        <v>2</v>
      </c>
      <c r="Y1359" s="54" t="s">
        <v>2</v>
      </c>
      <c r="Z1359" s="54" t="s">
        <v>2</v>
      </c>
      <c r="AA1359" s="54" t="s">
        <v>2</v>
      </c>
      <c r="AB1359" s="54" t="s">
        <v>2</v>
      </c>
      <c r="AC1359" s="54" t="s">
        <v>2</v>
      </c>
      <c r="AD1359" s="54" t="s">
        <v>2</v>
      </c>
      <c r="AE1359" s="54" t="s">
        <v>2</v>
      </c>
      <c r="AF1359" s="54" t="s">
        <v>2</v>
      </c>
      <c r="AG1359" s="54" t="s">
        <v>2</v>
      </c>
    </row>
    <row r="1360" ht="15.75" customHeight="1">
      <c r="B1360" s="56"/>
      <c r="U1360" s="46" t="str">
        <f t="array" ref="U1360">IF($D1360="","",IFERROR(_xlfn.XLOOKUP($D1360,'TIR店舗一覧'!$D:$D,'TIR店舗一覧'!$E:$E,""),""))</f>
        <v/>
      </c>
      <c r="V1360" s="54" t="s">
        <v>2</v>
      </c>
      <c r="W1360" s="54" t="s">
        <v>2</v>
      </c>
      <c r="X1360" s="54" t="s">
        <v>2</v>
      </c>
      <c r="Y1360" s="54" t="s">
        <v>2</v>
      </c>
      <c r="Z1360" s="54" t="s">
        <v>2</v>
      </c>
      <c r="AA1360" s="54" t="s">
        <v>2</v>
      </c>
      <c r="AB1360" s="54" t="s">
        <v>2</v>
      </c>
      <c r="AC1360" s="54" t="s">
        <v>2</v>
      </c>
      <c r="AD1360" s="54" t="s">
        <v>2</v>
      </c>
      <c r="AE1360" s="54" t="s">
        <v>2</v>
      </c>
      <c r="AF1360" s="54" t="s">
        <v>2</v>
      </c>
      <c r="AG1360" s="54" t="s">
        <v>2</v>
      </c>
    </row>
    <row r="1361" ht="15.75" customHeight="1">
      <c r="B1361" s="56"/>
      <c r="U1361" s="46" t="str">
        <f t="array" ref="U1361">IF($D1361="","",IFERROR(_xlfn.XLOOKUP($D1361,'TIR店舗一覧'!$D:$D,'TIR店舗一覧'!$E:$E,""),""))</f>
        <v/>
      </c>
      <c r="V1361" s="54" t="s">
        <v>2</v>
      </c>
      <c r="W1361" s="54" t="s">
        <v>2</v>
      </c>
      <c r="X1361" s="54" t="s">
        <v>2</v>
      </c>
      <c r="Y1361" s="54" t="s">
        <v>2</v>
      </c>
      <c r="Z1361" s="54" t="s">
        <v>2</v>
      </c>
      <c r="AA1361" s="54" t="s">
        <v>2</v>
      </c>
      <c r="AB1361" s="54" t="s">
        <v>2</v>
      </c>
      <c r="AC1361" s="54" t="s">
        <v>2</v>
      </c>
      <c r="AD1361" s="54" t="s">
        <v>2</v>
      </c>
      <c r="AE1361" s="54" t="s">
        <v>2</v>
      </c>
      <c r="AF1361" s="54" t="s">
        <v>2</v>
      </c>
      <c r="AG1361" s="54" t="s">
        <v>2</v>
      </c>
    </row>
    <row r="1362" ht="15.75" customHeight="1">
      <c r="B1362" s="56"/>
      <c r="U1362" s="46" t="str">
        <f t="array" ref="U1362">IF($D1362="","",IFERROR(_xlfn.XLOOKUP($D1362,'TIR店舗一覧'!$D:$D,'TIR店舗一覧'!$E:$E,""),""))</f>
        <v/>
      </c>
      <c r="V1362" s="54" t="s">
        <v>2</v>
      </c>
      <c r="W1362" s="54" t="s">
        <v>2</v>
      </c>
      <c r="X1362" s="54" t="s">
        <v>2</v>
      </c>
      <c r="Y1362" s="54" t="s">
        <v>2</v>
      </c>
      <c r="Z1362" s="54" t="s">
        <v>2</v>
      </c>
      <c r="AA1362" s="54" t="s">
        <v>2</v>
      </c>
      <c r="AB1362" s="54" t="s">
        <v>2</v>
      </c>
      <c r="AC1362" s="54" t="s">
        <v>2</v>
      </c>
      <c r="AD1362" s="54" t="s">
        <v>2</v>
      </c>
      <c r="AE1362" s="54" t="s">
        <v>2</v>
      </c>
      <c r="AF1362" s="54" t="s">
        <v>2</v>
      </c>
      <c r="AG1362" s="54" t="s">
        <v>2</v>
      </c>
    </row>
    <row r="1363" ht="15.75" customHeight="1">
      <c r="B1363" s="56"/>
      <c r="U1363" s="46" t="str">
        <f t="array" ref="U1363">IF($D1363="","",IFERROR(_xlfn.XLOOKUP($D1363,'TIR店舗一覧'!$D:$D,'TIR店舗一覧'!$E:$E,""),""))</f>
        <v/>
      </c>
      <c r="V1363" s="54" t="s">
        <v>2</v>
      </c>
      <c r="W1363" s="54" t="s">
        <v>2</v>
      </c>
      <c r="X1363" s="54" t="s">
        <v>2</v>
      </c>
      <c r="Y1363" s="54" t="s">
        <v>2</v>
      </c>
      <c r="Z1363" s="54" t="s">
        <v>2</v>
      </c>
      <c r="AA1363" s="54" t="s">
        <v>2</v>
      </c>
      <c r="AB1363" s="54" t="s">
        <v>2</v>
      </c>
      <c r="AC1363" s="54" t="s">
        <v>2</v>
      </c>
      <c r="AD1363" s="54" t="s">
        <v>2</v>
      </c>
      <c r="AE1363" s="54" t="s">
        <v>2</v>
      </c>
      <c r="AF1363" s="54" t="s">
        <v>2</v>
      </c>
      <c r="AG1363" s="54" t="s">
        <v>2</v>
      </c>
    </row>
    <row r="1364" ht="15.75" customHeight="1">
      <c r="B1364" s="56"/>
      <c r="U1364" s="46" t="str">
        <f t="array" ref="U1364">IF($D1364="","",IFERROR(_xlfn.XLOOKUP($D1364,'TIR店舗一覧'!$D:$D,'TIR店舗一覧'!$E:$E,""),""))</f>
        <v/>
      </c>
      <c r="V1364" s="54" t="s">
        <v>2</v>
      </c>
      <c r="W1364" s="54" t="s">
        <v>2</v>
      </c>
      <c r="X1364" s="54" t="s">
        <v>2</v>
      </c>
      <c r="Y1364" s="54" t="s">
        <v>2</v>
      </c>
      <c r="Z1364" s="54" t="s">
        <v>2</v>
      </c>
      <c r="AA1364" s="54" t="s">
        <v>2</v>
      </c>
      <c r="AB1364" s="54" t="s">
        <v>2</v>
      </c>
      <c r="AC1364" s="54" t="s">
        <v>2</v>
      </c>
      <c r="AD1364" s="54" t="s">
        <v>2</v>
      </c>
      <c r="AE1364" s="54" t="s">
        <v>2</v>
      </c>
      <c r="AF1364" s="54" t="s">
        <v>2</v>
      </c>
      <c r="AG1364" s="54" t="s">
        <v>2</v>
      </c>
    </row>
    <row r="1365" ht="15.75" customHeight="1">
      <c r="B1365" s="56"/>
      <c r="U1365" s="46" t="str">
        <f t="array" ref="U1365">IF($D1365="","",IFERROR(_xlfn.XLOOKUP($D1365,'TIR店舗一覧'!$D:$D,'TIR店舗一覧'!$E:$E,""),""))</f>
        <v/>
      </c>
      <c r="V1365" s="54" t="s">
        <v>2</v>
      </c>
      <c r="W1365" s="54" t="s">
        <v>2</v>
      </c>
      <c r="X1365" s="54" t="s">
        <v>2</v>
      </c>
      <c r="Y1365" s="54" t="s">
        <v>2</v>
      </c>
      <c r="Z1365" s="54" t="s">
        <v>2</v>
      </c>
      <c r="AA1365" s="54" t="s">
        <v>2</v>
      </c>
      <c r="AB1365" s="54" t="s">
        <v>2</v>
      </c>
      <c r="AC1365" s="54" t="s">
        <v>2</v>
      </c>
      <c r="AD1365" s="54" t="s">
        <v>2</v>
      </c>
      <c r="AE1365" s="54" t="s">
        <v>2</v>
      </c>
      <c r="AF1365" s="54" t="s">
        <v>2</v>
      </c>
      <c r="AG1365" s="54" t="s">
        <v>2</v>
      </c>
    </row>
    <row r="1366" ht="15.75" customHeight="1">
      <c r="B1366" s="56"/>
      <c r="U1366" s="46" t="str">
        <f t="array" ref="U1366">IF($D1366="","",IFERROR(_xlfn.XLOOKUP($D1366,'TIR店舗一覧'!$D:$D,'TIR店舗一覧'!$E:$E,""),""))</f>
        <v/>
      </c>
      <c r="V1366" s="54" t="s">
        <v>2</v>
      </c>
      <c r="W1366" s="54" t="s">
        <v>2</v>
      </c>
      <c r="X1366" s="54" t="s">
        <v>2</v>
      </c>
      <c r="Y1366" s="54" t="s">
        <v>2</v>
      </c>
      <c r="Z1366" s="54" t="s">
        <v>2</v>
      </c>
      <c r="AA1366" s="54" t="s">
        <v>2</v>
      </c>
      <c r="AB1366" s="54" t="s">
        <v>2</v>
      </c>
      <c r="AC1366" s="54" t="s">
        <v>2</v>
      </c>
      <c r="AD1366" s="54" t="s">
        <v>2</v>
      </c>
      <c r="AE1366" s="54" t="s">
        <v>2</v>
      </c>
      <c r="AF1366" s="54" t="s">
        <v>2</v>
      </c>
      <c r="AG1366" s="54" t="s">
        <v>2</v>
      </c>
    </row>
    <row r="1367" ht="15.75" customHeight="1">
      <c r="B1367" s="56"/>
      <c r="U1367" s="46" t="str">
        <f t="array" ref="U1367">IF($D1367="","",IFERROR(_xlfn.XLOOKUP($D1367,'TIR店舗一覧'!$D:$D,'TIR店舗一覧'!$E:$E,""),""))</f>
        <v/>
      </c>
      <c r="V1367" s="54" t="s">
        <v>2</v>
      </c>
      <c r="W1367" s="54" t="s">
        <v>2</v>
      </c>
      <c r="X1367" s="54" t="s">
        <v>2</v>
      </c>
      <c r="Y1367" s="54" t="s">
        <v>2</v>
      </c>
      <c r="Z1367" s="54" t="s">
        <v>2</v>
      </c>
      <c r="AA1367" s="54" t="s">
        <v>2</v>
      </c>
      <c r="AB1367" s="54" t="s">
        <v>2</v>
      </c>
      <c r="AC1367" s="54" t="s">
        <v>2</v>
      </c>
      <c r="AD1367" s="54" t="s">
        <v>2</v>
      </c>
      <c r="AE1367" s="54" t="s">
        <v>2</v>
      </c>
      <c r="AF1367" s="54" t="s">
        <v>2</v>
      </c>
      <c r="AG1367" s="54" t="s">
        <v>2</v>
      </c>
    </row>
    <row r="1368" ht="15.75" customHeight="1">
      <c r="B1368" s="56"/>
      <c r="U1368" s="46" t="str">
        <f t="array" ref="U1368">IF($D1368="","",IFERROR(_xlfn.XLOOKUP($D1368,'TIR店舗一覧'!$D:$D,'TIR店舗一覧'!$E:$E,""),""))</f>
        <v/>
      </c>
      <c r="V1368" s="54" t="s">
        <v>2</v>
      </c>
      <c r="W1368" s="54" t="s">
        <v>2</v>
      </c>
      <c r="X1368" s="54" t="s">
        <v>2</v>
      </c>
      <c r="Y1368" s="54" t="s">
        <v>2</v>
      </c>
      <c r="Z1368" s="54" t="s">
        <v>2</v>
      </c>
      <c r="AA1368" s="54" t="s">
        <v>2</v>
      </c>
      <c r="AB1368" s="54" t="s">
        <v>2</v>
      </c>
      <c r="AC1368" s="54" t="s">
        <v>2</v>
      </c>
      <c r="AD1368" s="54" t="s">
        <v>2</v>
      </c>
      <c r="AE1368" s="54" t="s">
        <v>2</v>
      </c>
      <c r="AF1368" s="54" t="s">
        <v>2</v>
      </c>
      <c r="AG1368" s="54" t="s">
        <v>2</v>
      </c>
    </row>
    <row r="1369" ht="15.75" customHeight="1">
      <c r="B1369" s="56"/>
      <c r="U1369" s="46" t="str">
        <f t="array" ref="U1369">IF($D1369="","",IFERROR(_xlfn.XLOOKUP($D1369,'TIR店舗一覧'!$D:$D,'TIR店舗一覧'!$E:$E,""),""))</f>
        <v/>
      </c>
      <c r="V1369" s="54" t="s">
        <v>2</v>
      </c>
      <c r="W1369" s="54" t="s">
        <v>2</v>
      </c>
      <c r="X1369" s="54" t="s">
        <v>2</v>
      </c>
      <c r="Y1369" s="54" t="s">
        <v>2</v>
      </c>
      <c r="Z1369" s="54" t="s">
        <v>2</v>
      </c>
      <c r="AA1369" s="54" t="s">
        <v>2</v>
      </c>
      <c r="AB1369" s="54" t="s">
        <v>2</v>
      </c>
      <c r="AC1369" s="54" t="s">
        <v>2</v>
      </c>
      <c r="AD1369" s="54" t="s">
        <v>2</v>
      </c>
      <c r="AE1369" s="54" t="s">
        <v>2</v>
      </c>
      <c r="AF1369" s="54" t="s">
        <v>2</v>
      </c>
      <c r="AG1369" s="54" t="s">
        <v>2</v>
      </c>
    </row>
    <row r="1370" ht="15.75" customHeight="1">
      <c r="B1370" s="56"/>
      <c r="U1370" s="46" t="str">
        <f t="array" ref="U1370">IF($D1370="","",IFERROR(_xlfn.XLOOKUP($D1370,'TIR店舗一覧'!$D:$D,'TIR店舗一覧'!$E:$E,""),""))</f>
        <v/>
      </c>
      <c r="V1370" s="54" t="s">
        <v>2</v>
      </c>
      <c r="W1370" s="54" t="s">
        <v>2</v>
      </c>
      <c r="X1370" s="54" t="s">
        <v>2</v>
      </c>
      <c r="Y1370" s="54" t="s">
        <v>2</v>
      </c>
      <c r="Z1370" s="54" t="s">
        <v>2</v>
      </c>
      <c r="AA1370" s="54" t="s">
        <v>2</v>
      </c>
      <c r="AB1370" s="54" t="s">
        <v>2</v>
      </c>
      <c r="AC1370" s="54" t="s">
        <v>2</v>
      </c>
      <c r="AD1370" s="54" t="s">
        <v>2</v>
      </c>
      <c r="AE1370" s="54" t="s">
        <v>2</v>
      </c>
      <c r="AF1370" s="54" t="s">
        <v>2</v>
      </c>
      <c r="AG1370" s="54" t="s">
        <v>2</v>
      </c>
    </row>
    <row r="1371" ht="15.75" customHeight="1">
      <c r="B1371" s="56"/>
      <c r="U1371" s="46" t="str">
        <f t="array" ref="U1371">IF($D1371="","",IFERROR(_xlfn.XLOOKUP($D1371,'TIR店舗一覧'!$D:$D,'TIR店舗一覧'!$E:$E,""),""))</f>
        <v/>
      </c>
      <c r="V1371" s="54" t="s">
        <v>2</v>
      </c>
      <c r="W1371" s="54" t="s">
        <v>2</v>
      </c>
      <c r="X1371" s="54" t="s">
        <v>2</v>
      </c>
      <c r="Y1371" s="54" t="s">
        <v>2</v>
      </c>
      <c r="Z1371" s="54" t="s">
        <v>2</v>
      </c>
      <c r="AA1371" s="54" t="s">
        <v>2</v>
      </c>
      <c r="AB1371" s="54" t="s">
        <v>2</v>
      </c>
      <c r="AC1371" s="54" t="s">
        <v>2</v>
      </c>
      <c r="AD1371" s="54" t="s">
        <v>2</v>
      </c>
      <c r="AE1371" s="54" t="s">
        <v>2</v>
      </c>
      <c r="AF1371" s="54" t="s">
        <v>2</v>
      </c>
      <c r="AG1371" s="54" t="s">
        <v>2</v>
      </c>
    </row>
    <row r="1372" ht="15.75" customHeight="1">
      <c r="B1372" s="56"/>
      <c r="U1372" s="46" t="str">
        <f t="array" ref="U1372">IF($D1372="","",IFERROR(_xlfn.XLOOKUP($D1372,'TIR店舗一覧'!$D:$D,'TIR店舗一覧'!$E:$E,""),""))</f>
        <v/>
      </c>
      <c r="V1372" s="54" t="s">
        <v>2</v>
      </c>
      <c r="W1372" s="54" t="s">
        <v>2</v>
      </c>
      <c r="X1372" s="54" t="s">
        <v>2</v>
      </c>
      <c r="Y1372" s="54" t="s">
        <v>2</v>
      </c>
      <c r="Z1372" s="54" t="s">
        <v>2</v>
      </c>
      <c r="AA1372" s="54" t="s">
        <v>2</v>
      </c>
      <c r="AB1372" s="54" t="s">
        <v>2</v>
      </c>
      <c r="AC1372" s="54" t="s">
        <v>2</v>
      </c>
      <c r="AD1372" s="54" t="s">
        <v>2</v>
      </c>
      <c r="AE1372" s="54" t="s">
        <v>2</v>
      </c>
      <c r="AF1372" s="54" t="s">
        <v>2</v>
      </c>
      <c r="AG1372" s="54" t="s">
        <v>2</v>
      </c>
    </row>
    <row r="1373" ht="15.75" customHeight="1">
      <c r="B1373" s="56"/>
      <c r="U1373" s="46" t="str">
        <f t="array" ref="U1373">IF($D1373="","",IFERROR(_xlfn.XLOOKUP($D1373,'TIR店舗一覧'!$D:$D,'TIR店舗一覧'!$E:$E,""),""))</f>
        <v/>
      </c>
      <c r="V1373" s="54" t="s">
        <v>2</v>
      </c>
      <c r="W1373" s="54" t="s">
        <v>2</v>
      </c>
      <c r="X1373" s="54" t="s">
        <v>2</v>
      </c>
      <c r="Y1373" s="54" t="s">
        <v>2</v>
      </c>
      <c r="Z1373" s="54" t="s">
        <v>2</v>
      </c>
      <c r="AA1373" s="54" t="s">
        <v>2</v>
      </c>
      <c r="AB1373" s="54" t="s">
        <v>2</v>
      </c>
      <c r="AC1373" s="54" t="s">
        <v>2</v>
      </c>
      <c r="AD1373" s="54" t="s">
        <v>2</v>
      </c>
      <c r="AE1373" s="54" t="s">
        <v>2</v>
      </c>
      <c r="AF1373" s="54" t="s">
        <v>2</v>
      </c>
      <c r="AG1373" s="54" t="s">
        <v>2</v>
      </c>
    </row>
    <row r="1374" ht="15.75" customHeight="1">
      <c r="B1374" s="56"/>
      <c r="U1374" s="46" t="str">
        <f t="array" ref="U1374">IF($D1374="","",IFERROR(_xlfn.XLOOKUP($D1374,'TIR店舗一覧'!$D:$D,'TIR店舗一覧'!$E:$E,""),""))</f>
        <v/>
      </c>
      <c r="V1374" s="54" t="s">
        <v>2</v>
      </c>
      <c r="W1374" s="54" t="s">
        <v>2</v>
      </c>
      <c r="X1374" s="54" t="s">
        <v>2</v>
      </c>
      <c r="Y1374" s="54" t="s">
        <v>2</v>
      </c>
      <c r="Z1374" s="54" t="s">
        <v>2</v>
      </c>
      <c r="AA1374" s="54" t="s">
        <v>2</v>
      </c>
      <c r="AB1374" s="54" t="s">
        <v>2</v>
      </c>
      <c r="AC1374" s="54" t="s">
        <v>2</v>
      </c>
      <c r="AD1374" s="54" t="s">
        <v>2</v>
      </c>
      <c r="AE1374" s="54" t="s">
        <v>2</v>
      </c>
      <c r="AF1374" s="54" t="s">
        <v>2</v>
      </c>
      <c r="AG1374" s="54" t="s">
        <v>2</v>
      </c>
    </row>
    <row r="1375" ht="15.75" customHeight="1">
      <c r="B1375" s="56"/>
      <c r="U1375" s="46" t="str">
        <f t="array" ref="U1375">IF($D1375="","",IFERROR(_xlfn.XLOOKUP($D1375,'TIR店舗一覧'!$D:$D,'TIR店舗一覧'!$E:$E,""),""))</f>
        <v/>
      </c>
      <c r="V1375" s="54" t="s">
        <v>2</v>
      </c>
      <c r="W1375" s="54" t="s">
        <v>2</v>
      </c>
      <c r="X1375" s="54" t="s">
        <v>2</v>
      </c>
      <c r="Y1375" s="54" t="s">
        <v>2</v>
      </c>
      <c r="Z1375" s="54" t="s">
        <v>2</v>
      </c>
      <c r="AA1375" s="54" t="s">
        <v>2</v>
      </c>
      <c r="AB1375" s="54" t="s">
        <v>2</v>
      </c>
      <c r="AC1375" s="54" t="s">
        <v>2</v>
      </c>
      <c r="AD1375" s="54" t="s">
        <v>2</v>
      </c>
      <c r="AE1375" s="54" t="s">
        <v>2</v>
      </c>
      <c r="AF1375" s="54" t="s">
        <v>2</v>
      </c>
      <c r="AG1375" s="54" t="s">
        <v>2</v>
      </c>
    </row>
    <row r="1376" ht="15.75" customHeight="1">
      <c r="B1376" s="56"/>
      <c r="U1376" s="46" t="str">
        <f t="array" ref="U1376">IF($D1376="","",IFERROR(_xlfn.XLOOKUP($D1376,'TIR店舗一覧'!$D:$D,'TIR店舗一覧'!$E:$E,""),""))</f>
        <v/>
      </c>
      <c r="V1376" s="54" t="s">
        <v>2</v>
      </c>
      <c r="W1376" s="54" t="s">
        <v>2</v>
      </c>
      <c r="X1376" s="54" t="s">
        <v>2</v>
      </c>
      <c r="Y1376" s="54" t="s">
        <v>2</v>
      </c>
      <c r="Z1376" s="54" t="s">
        <v>2</v>
      </c>
      <c r="AA1376" s="54" t="s">
        <v>2</v>
      </c>
      <c r="AB1376" s="54" t="s">
        <v>2</v>
      </c>
      <c r="AC1376" s="54" t="s">
        <v>2</v>
      </c>
      <c r="AD1376" s="54" t="s">
        <v>2</v>
      </c>
      <c r="AE1376" s="54" t="s">
        <v>2</v>
      </c>
      <c r="AF1376" s="54" t="s">
        <v>2</v>
      </c>
      <c r="AG1376" s="54" t="s">
        <v>2</v>
      </c>
    </row>
    <row r="1377" ht="15.75" customHeight="1">
      <c r="B1377" s="56"/>
      <c r="U1377" s="46" t="str">
        <f t="array" ref="U1377">IF($D1377="","",IFERROR(_xlfn.XLOOKUP($D1377,'TIR店舗一覧'!$D:$D,'TIR店舗一覧'!$E:$E,""),""))</f>
        <v/>
      </c>
      <c r="V1377" s="54" t="s">
        <v>2</v>
      </c>
      <c r="W1377" s="54" t="s">
        <v>2</v>
      </c>
      <c r="X1377" s="54" t="s">
        <v>2</v>
      </c>
      <c r="Y1377" s="54" t="s">
        <v>2</v>
      </c>
      <c r="Z1377" s="54" t="s">
        <v>2</v>
      </c>
      <c r="AA1377" s="54" t="s">
        <v>2</v>
      </c>
      <c r="AB1377" s="54" t="s">
        <v>2</v>
      </c>
      <c r="AC1377" s="54" t="s">
        <v>2</v>
      </c>
      <c r="AD1377" s="54" t="s">
        <v>2</v>
      </c>
      <c r="AE1377" s="54" t="s">
        <v>2</v>
      </c>
      <c r="AF1377" s="54" t="s">
        <v>2</v>
      </c>
      <c r="AG1377" s="54" t="s">
        <v>2</v>
      </c>
    </row>
    <row r="1378" ht="15.75" customHeight="1">
      <c r="B1378" s="56"/>
      <c r="U1378" s="46" t="str">
        <f t="array" ref="U1378">IF($D1378="","",IFERROR(_xlfn.XLOOKUP($D1378,'TIR店舗一覧'!$D:$D,'TIR店舗一覧'!$E:$E,""),""))</f>
        <v/>
      </c>
      <c r="V1378" s="54" t="s">
        <v>2</v>
      </c>
      <c r="W1378" s="54" t="s">
        <v>2</v>
      </c>
      <c r="X1378" s="54" t="s">
        <v>2</v>
      </c>
      <c r="Y1378" s="54" t="s">
        <v>2</v>
      </c>
      <c r="Z1378" s="54" t="s">
        <v>2</v>
      </c>
      <c r="AA1378" s="54" t="s">
        <v>2</v>
      </c>
      <c r="AB1378" s="54" t="s">
        <v>2</v>
      </c>
      <c r="AC1378" s="54" t="s">
        <v>2</v>
      </c>
      <c r="AD1378" s="54" t="s">
        <v>2</v>
      </c>
      <c r="AE1378" s="54" t="s">
        <v>2</v>
      </c>
      <c r="AF1378" s="54" t="s">
        <v>2</v>
      </c>
      <c r="AG1378" s="54" t="s">
        <v>2</v>
      </c>
    </row>
    <row r="1379" ht="15.75" customHeight="1">
      <c r="B1379" s="56"/>
      <c r="U1379" s="46" t="str">
        <f t="array" ref="U1379">IF($D1379="","",IFERROR(_xlfn.XLOOKUP($D1379,'TIR店舗一覧'!$D:$D,'TIR店舗一覧'!$E:$E,""),""))</f>
        <v/>
      </c>
      <c r="V1379" s="54" t="s">
        <v>2</v>
      </c>
      <c r="W1379" s="54" t="s">
        <v>2</v>
      </c>
      <c r="X1379" s="54" t="s">
        <v>2</v>
      </c>
      <c r="Y1379" s="54" t="s">
        <v>2</v>
      </c>
      <c r="Z1379" s="54" t="s">
        <v>2</v>
      </c>
      <c r="AA1379" s="54" t="s">
        <v>2</v>
      </c>
      <c r="AB1379" s="54" t="s">
        <v>2</v>
      </c>
      <c r="AC1379" s="54" t="s">
        <v>2</v>
      </c>
      <c r="AD1379" s="54" t="s">
        <v>2</v>
      </c>
      <c r="AE1379" s="54" t="s">
        <v>2</v>
      </c>
      <c r="AF1379" s="54" t="s">
        <v>2</v>
      </c>
      <c r="AG1379" s="54" t="s">
        <v>2</v>
      </c>
    </row>
    <row r="1380" ht="15.75" customHeight="1">
      <c r="B1380" s="56"/>
      <c r="U1380" s="46" t="str">
        <f t="array" ref="U1380">IF($D1380="","",IFERROR(_xlfn.XLOOKUP($D1380,'TIR店舗一覧'!$D:$D,'TIR店舗一覧'!$E:$E,""),""))</f>
        <v/>
      </c>
      <c r="V1380" s="54" t="s">
        <v>2</v>
      </c>
      <c r="W1380" s="54" t="s">
        <v>2</v>
      </c>
      <c r="X1380" s="54" t="s">
        <v>2</v>
      </c>
      <c r="Y1380" s="54" t="s">
        <v>2</v>
      </c>
      <c r="Z1380" s="54" t="s">
        <v>2</v>
      </c>
      <c r="AA1380" s="54" t="s">
        <v>2</v>
      </c>
      <c r="AB1380" s="54" t="s">
        <v>2</v>
      </c>
      <c r="AC1380" s="54" t="s">
        <v>2</v>
      </c>
      <c r="AD1380" s="54" t="s">
        <v>2</v>
      </c>
      <c r="AE1380" s="54" t="s">
        <v>2</v>
      </c>
      <c r="AF1380" s="54" t="s">
        <v>2</v>
      </c>
      <c r="AG1380" s="54" t="s">
        <v>2</v>
      </c>
    </row>
    <row r="1381" ht="15.75" customHeight="1">
      <c r="B1381" s="56"/>
      <c r="U1381" s="46" t="str">
        <f t="array" ref="U1381">IF($D1381="","",IFERROR(_xlfn.XLOOKUP($D1381,'TIR店舗一覧'!$D:$D,'TIR店舗一覧'!$E:$E,""),""))</f>
        <v/>
      </c>
      <c r="V1381" s="54" t="s">
        <v>2</v>
      </c>
      <c r="W1381" s="54" t="s">
        <v>2</v>
      </c>
      <c r="X1381" s="54" t="s">
        <v>2</v>
      </c>
      <c r="Y1381" s="54" t="s">
        <v>2</v>
      </c>
      <c r="Z1381" s="54" t="s">
        <v>2</v>
      </c>
      <c r="AA1381" s="54" t="s">
        <v>2</v>
      </c>
      <c r="AB1381" s="54" t="s">
        <v>2</v>
      </c>
      <c r="AC1381" s="54" t="s">
        <v>2</v>
      </c>
      <c r="AD1381" s="54" t="s">
        <v>2</v>
      </c>
      <c r="AE1381" s="54" t="s">
        <v>2</v>
      </c>
      <c r="AF1381" s="54" t="s">
        <v>2</v>
      </c>
      <c r="AG1381" s="54" t="s">
        <v>2</v>
      </c>
    </row>
    <row r="1382" ht="15.75" customHeight="1">
      <c r="B1382" s="56"/>
      <c r="U1382" s="46" t="str">
        <f t="array" ref="U1382">IF($D1382="","",IFERROR(_xlfn.XLOOKUP($D1382,'TIR店舗一覧'!$D:$D,'TIR店舗一覧'!$E:$E,""),""))</f>
        <v/>
      </c>
      <c r="V1382" s="54" t="s">
        <v>2</v>
      </c>
      <c r="W1382" s="54" t="s">
        <v>2</v>
      </c>
      <c r="X1382" s="54" t="s">
        <v>2</v>
      </c>
      <c r="Y1382" s="54" t="s">
        <v>2</v>
      </c>
      <c r="Z1382" s="54" t="s">
        <v>2</v>
      </c>
      <c r="AA1382" s="54" t="s">
        <v>2</v>
      </c>
      <c r="AB1382" s="54" t="s">
        <v>2</v>
      </c>
      <c r="AC1382" s="54" t="s">
        <v>2</v>
      </c>
      <c r="AD1382" s="54" t="s">
        <v>2</v>
      </c>
      <c r="AE1382" s="54" t="s">
        <v>2</v>
      </c>
      <c r="AF1382" s="54" t="s">
        <v>2</v>
      </c>
      <c r="AG1382" s="54" t="s">
        <v>2</v>
      </c>
    </row>
    <row r="1383" ht="15.75" customHeight="1">
      <c r="B1383" s="56"/>
      <c r="U1383" s="46" t="str">
        <f t="array" ref="U1383">IF($D1383="","",IFERROR(_xlfn.XLOOKUP($D1383,'TIR店舗一覧'!$D:$D,'TIR店舗一覧'!$E:$E,""),""))</f>
        <v/>
      </c>
      <c r="V1383" s="54" t="s">
        <v>2</v>
      </c>
      <c r="W1383" s="54" t="s">
        <v>2</v>
      </c>
      <c r="X1383" s="54" t="s">
        <v>2</v>
      </c>
      <c r="Y1383" s="54" t="s">
        <v>2</v>
      </c>
      <c r="Z1383" s="54" t="s">
        <v>2</v>
      </c>
      <c r="AA1383" s="54" t="s">
        <v>2</v>
      </c>
      <c r="AB1383" s="54" t="s">
        <v>2</v>
      </c>
      <c r="AC1383" s="54" t="s">
        <v>2</v>
      </c>
      <c r="AD1383" s="54" t="s">
        <v>2</v>
      </c>
      <c r="AE1383" s="54" t="s">
        <v>2</v>
      </c>
      <c r="AF1383" s="54" t="s">
        <v>2</v>
      </c>
      <c r="AG1383" s="54" t="s">
        <v>2</v>
      </c>
    </row>
    <row r="1384" ht="15.75" customHeight="1">
      <c r="B1384" s="56"/>
      <c r="U1384" s="46" t="str">
        <f t="array" ref="U1384">IF($D1384="","",IFERROR(_xlfn.XLOOKUP($D1384,'TIR店舗一覧'!$D:$D,'TIR店舗一覧'!$E:$E,""),""))</f>
        <v/>
      </c>
      <c r="V1384" s="54" t="s">
        <v>2</v>
      </c>
      <c r="W1384" s="54" t="s">
        <v>2</v>
      </c>
      <c r="X1384" s="54" t="s">
        <v>2</v>
      </c>
      <c r="Y1384" s="54" t="s">
        <v>2</v>
      </c>
      <c r="Z1384" s="54" t="s">
        <v>2</v>
      </c>
      <c r="AA1384" s="54" t="s">
        <v>2</v>
      </c>
      <c r="AB1384" s="54" t="s">
        <v>2</v>
      </c>
      <c r="AC1384" s="54" t="s">
        <v>2</v>
      </c>
      <c r="AD1384" s="54" t="s">
        <v>2</v>
      </c>
      <c r="AE1384" s="54" t="s">
        <v>2</v>
      </c>
      <c r="AF1384" s="54" t="s">
        <v>2</v>
      </c>
      <c r="AG1384" s="54" t="s">
        <v>2</v>
      </c>
    </row>
    <row r="1385" ht="15.75" customHeight="1">
      <c r="B1385" s="56"/>
      <c r="U1385" s="46" t="str">
        <f t="array" ref="U1385">IF($D1385="","",IFERROR(_xlfn.XLOOKUP($D1385,'TIR店舗一覧'!$D:$D,'TIR店舗一覧'!$E:$E,""),""))</f>
        <v/>
      </c>
      <c r="V1385" s="54" t="s">
        <v>2</v>
      </c>
      <c r="W1385" s="54" t="s">
        <v>2</v>
      </c>
      <c r="X1385" s="54" t="s">
        <v>2</v>
      </c>
      <c r="Y1385" s="54" t="s">
        <v>2</v>
      </c>
      <c r="Z1385" s="54" t="s">
        <v>2</v>
      </c>
      <c r="AA1385" s="54" t="s">
        <v>2</v>
      </c>
      <c r="AB1385" s="54" t="s">
        <v>2</v>
      </c>
      <c r="AC1385" s="54" t="s">
        <v>2</v>
      </c>
      <c r="AD1385" s="54" t="s">
        <v>2</v>
      </c>
      <c r="AE1385" s="54" t="s">
        <v>2</v>
      </c>
      <c r="AF1385" s="54" t="s">
        <v>2</v>
      </c>
      <c r="AG1385" s="54" t="s">
        <v>2</v>
      </c>
    </row>
    <row r="1386" ht="15.75" customHeight="1">
      <c r="B1386" s="56"/>
      <c r="U1386" s="46" t="str">
        <f t="array" ref="U1386">IF($D1386="","",IFERROR(_xlfn.XLOOKUP($D1386,'TIR店舗一覧'!$D:$D,'TIR店舗一覧'!$E:$E,""),""))</f>
        <v/>
      </c>
      <c r="V1386" s="54" t="s">
        <v>2</v>
      </c>
      <c r="W1386" s="54" t="s">
        <v>2</v>
      </c>
      <c r="X1386" s="54" t="s">
        <v>2</v>
      </c>
      <c r="Y1386" s="54" t="s">
        <v>2</v>
      </c>
      <c r="Z1386" s="54" t="s">
        <v>2</v>
      </c>
      <c r="AA1386" s="54" t="s">
        <v>2</v>
      </c>
      <c r="AB1386" s="54" t="s">
        <v>2</v>
      </c>
      <c r="AC1386" s="54" t="s">
        <v>2</v>
      </c>
      <c r="AD1386" s="54" t="s">
        <v>2</v>
      </c>
      <c r="AE1386" s="54" t="s">
        <v>2</v>
      </c>
      <c r="AF1386" s="54" t="s">
        <v>2</v>
      </c>
      <c r="AG1386" s="54" t="s">
        <v>2</v>
      </c>
    </row>
    <row r="1387" ht="15.75" customHeight="1">
      <c r="B1387" s="56"/>
      <c r="U1387" s="46" t="str">
        <f t="array" ref="U1387">IF($D1387="","",IFERROR(_xlfn.XLOOKUP($D1387,'TIR店舗一覧'!$D:$D,'TIR店舗一覧'!$E:$E,""),""))</f>
        <v/>
      </c>
      <c r="V1387" s="54" t="s">
        <v>2</v>
      </c>
      <c r="W1387" s="54" t="s">
        <v>2</v>
      </c>
      <c r="X1387" s="54" t="s">
        <v>2</v>
      </c>
      <c r="Y1387" s="54" t="s">
        <v>2</v>
      </c>
      <c r="Z1387" s="54" t="s">
        <v>2</v>
      </c>
      <c r="AA1387" s="54" t="s">
        <v>2</v>
      </c>
      <c r="AB1387" s="54" t="s">
        <v>2</v>
      </c>
      <c r="AC1387" s="54" t="s">
        <v>2</v>
      </c>
      <c r="AD1387" s="54" t="s">
        <v>2</v>
      </c>
      <c r="AE1387" s="54" t="s">
        <v>2</v>
      </c>
      <c r="AF1387" s="54" t="s">
        <v>2</v>
      </c>
      <c r="AG1387" s="54" t="s">
        <v>2</v>
      </c>
    </row>
    <row r="1388" ht="15.75" customHeight="1">
      <c r="B1388" s="56"/>
      <c r="U1388" s="46" t="str">
        <f t="array" ref="U1388">IF($D1388="","",IFERROR(_xlfn.XLOOKUP($D1388,'TIR店舗一覧'!$D:$D,'TIR店舗一覧'!$E:$E,""),""))</f>
        <v/>
      </c>
      <c r="V1388" s="54" t="s">
        <v>2</v>
      </c>
      <c r="W1388" s="54" t="s">
        <v>2</v>
      </c>
      <c r="X1388" s="54" t="s">
        <v>2</v>
      </c>
      <c r="Y1388" s="54" t="s">
        <v>2</v>
      </c>
      <c r="Z1388" s="54" t="s">
        <v>2</v>
      </c>
      <c r="AA1388" s="54" t="s">
        <v>2</v>
      </c>
      <c r="AB1388" s="54" t="s">
        <v>2</v>
      </c>
      <c r="AC1388" s="54" t="s">
        <v>2</v>
      </c>
      <c r="AD1388" s="54" t="s">
        <v>2</v>
      </c>
      <c r="AE1388" s="54" t="s">
        <v>2</v>
      </c>
      <c r="AF1388" s="54" t="s">
        <v>2</v>
      </c>
      <c r="AG1388" s="54" t="s">
        <v>2</v>
      </c>
    </row>
    <row r="1389" ht="15.75" customHeight="1">
      <c r="B1389" s="56"/>
      <c r="U1389" s="46" t="str">
        <f t="array" ref="U1389">IF($D1389="","",IFERROR(_xlfn.XLOOKUP($D1389,'TIR店舗一覧'!$D:$D,'TIR店舗一覧'!$E:$E,""),""))</f>
        <v/>
      </c>
      <c r="V1389" s="54" t="s">
        <v>2</v>
      </c>
      <c r="W1389" s="54" t="s">
        <v>2</v>
      </c>
      <c r="X1389" s="54" t="s">
        <v>2</v>
      </c>
      <c r="Y1389" s="54" t="s">
        <v>2</v>
      </c>
      <c r="Z1389" s="54" t="s">
        <v>2</v>
      </c>
      <c r="AA1389" s="54" t="s">
        <v>2</v>
      </c>
      <c r="AB1389" s="54" t="s">
        <v>2</v>
      </c>
      <c r="AC1389" s="54" t="s">
        <v>2</v>
      </c>
      <c r="AD1389" s="54" t="s">
        <v>2</v>
      </c>
      <c r="AE1389" s="54" t="s">
        <v>2</v>
      </c>
      <c r="AF1389" s="54" t="s">
        <v>2</v>
      </c>
      <c r="AG1389" s="54" t="s">
        <v>2</v>
      </c>
    </row>
    <row r="1390" ht="15.75" customHeight="1">
      <c r="B1390" s="56"/>
      <c r="U1390" s="46" t="str">
        <f t="array" ref="U1390">IF($D1390="","",IFERROR(_xlfn.XLOOKUP($D1390,'TIR店舗一覧'!$D:$D,'TIR店舗一覧'!$E:$E,""),""))</f>
        <v/>
      </c>
      <c r="V1390" s="54" t="s">
        <v>2</v>
      </c>
      <c r="W1390" s="54" t="s">
        <v>2</v>
      </c>
      <c r="X1390" s="54" t="s">
        <v>2</v>
      </c>
      <c r="Y1390" s="54" t="s">
        <v>2</v>
      </c>
      <c r="Z1390" s="54" t="s">
        <v>2</v>
      </c>
      <c r="AA1390" s="54" t="s">
        <v>2</v>
      </c>
      <c r="AB1390" s="54" t="s">
        <v>2</v>
      </c>
      <c r="AC1390" s="54" t="s">
        <v>2</v>
      </c>
      <c r="AD1390" s="54" t="s">
        <v>2</v>
      </c>
      <c r="AE1390" s="54" t="s">
        <v>2</v>
      </c>
      <c r="AF1390" s="54" t="s">
        <v>2</v>
      </c>
      <c r="AG1390" s="54" t="s">
        <v>2</v>
      </c>
    </row>
    <row r="1391" ht="15.75" customHeight="1">
      <c r="B1391" s="56"/>
      <c r="U1391" s="46" t="str">
        <f t="array" ref="U1391">IF($D1391="","",IFERROR(_xlfn.XLOOKUP($D1391,'TIR店舗一覧'!$D:$D,'TIR店舗一覧'!$E:$E,""),""))</f>
        <v/>
      </c>
      <c r="V1391" s="54" t="s">
        <v>2</v>
      </c>
      <c r="W1391" s="54" t="s">
        <v>2</v>
      </c>
      <c r="X1391" s="54" t="s">
        <v>2</v>
      </c>
      <c r="Y1391" s="54" t="s">
        <v>2</v>
      </c>
      <c r="Z1391" s="54" t="s">
        <v>2</v>
      </c>
      <c r="AA1391" s="54" t="s">
        <v>2</v>
      </c>
      <c r="AB1391" s="54" t="s">
        <v>2</v>
      </c>
      <c r="AC1391" s="54" t="s">
        <v>2</v>
      </c>
      <c r="AD1391" s="54" t="s">
        <v>2</v>
      </c>
      <c r="AE1391" s="54" t="s">
        <v>2</v>
      </c>
      <c r="AF1391" s="54" t="s">
        <v>2</v>
      </c>
      <c r="AG1391" s="54" t="s">
        <v>2</v>
      </c>
    </row>
    <row r="1392" ht="15.75" customHeight="1">
      <c r="B1392" s="56"/>
      <c r="U1392" s="46" t="str">
        <f t="array" ref="U1392">IF($D1392="","",IFERROR(_xlfn.XLOOKUP($D1392,'TIR店舗一覧'!$D:$D,'TIR店舗一覧'!$E:$E,""),""))</f>
        <v/>
      </c>
      <c r="V1392" s="54" t="s">
        <v>2</v>
      </c>
      <c r="W1392" s="54" t="s">
        <v>2</v>
      </c>
      <c r="X1392" s="54" t="s">
        <v>2</v>
      </c>
      <c r="Y1392" s="54" t="s">
        <v>2</v>
      </c>
      <c r="Z1392" s="54" t="s">
        <v>2</v>
      </c>
      <c r="AA1392" s="54" t="s">
        <v>2</v>
      </c>
      <c r="AB1392" s="54" t="s">
        <v>2</v>
      </c>
      <c r="AC1392" s="54" t="s">
        <v>2</v>
      </c>
      <c r="AD1392" s="54" t="s">
        <v>2</v>
      </c>
      <c r="AE1392" s="54" t="s">
        <v>2</v>
      </c>
      <c r="AF1392" s="54" t="s">
        <v>2</v>
      </c>
      <c r="AG1392" s="54" t="s">
        <v>2</v>
      </c>
    </row>
    <row r="1393" ht="15.75" customHeight="1">
      <c r="B1393" s="56"/>
      <c r="U1393" s="46" t="str">
        <f t="array" ref="U1393">IF($D1393="","",IFERROR(_xlfn.XLOOKUP($D1393,'TIR店舗一覧'!$D:$D,'TIR店舗一覧'!$E:$E,""),""))</f>
        <v/>
      </c>
      <c r="V1393" s="54" t="s">
        <v>2</v>
      </c>
      <c r="W1393" s="54" t="s">
        <v>2</v>
      </c>
      <c r="X1393" s="54" t="s">
        <v>2</v>
      </c>
      <c r="Y1393" s="54" t="s">
        <v>2</v>
      </c>
      <c r="Z1393" s="54" t="s">
        <v>2</v>
      </c>
      <c r="AA1393" s="54" t="s">
        <v>2</v>
      </c>
      <c r="AB1393" s="54" t="s">
        <v>2</v>
      </c>
      <c r="AC1393" s="54" t="s">
        <v>2</v>
      </c>
      <c r="AD1393" s="54" t="s">
        <v>2</v>
      </c>
      <c r="AE1393" s="54" t="s">
        <v>2</v>
      </c>
      <c r="AF1393" s="54" t="s">
        <v>2</v>
      </c>
      <c r="AG1393" s="54" t="s">
        <v>2</v>
      </c>
    </row>
    <row r="1394" ht="15.75" customHeight="1">
      <c r="B1394" s="56"/>
      <c r="U1394" s="46" t="str">
        <f t="array" ref="U1394">IF($D1394="","",IFERROR(_xlfn.XLOOKUP($D1394,'TIR店舗一覧'!$D:$D,'TIR店舗一覧'!$E:$E,""),""))</f>
        <v/>
      </c>
      <c r="V1394" s="54" t="s">
        <v>2</v>
      </c>
      <c r="W1394" s="54" t="s">
        <v>2</v>
      </c>
      <c r="X1394" s="54" t="s">
        <v>2</v>
      </c>
      <c r="Y1394" s="54" t="s">
        <v>2</v>
      </c>
      <c r="Z1394" s="54" t="s">
        <v>2</v>
      </c>
      <c r="AA1394" s="54" t="s">
        <v>2</v>
      </c>
      <c r="AB1394" s="54" t="s">
        <v>2</v>
      </c>
      <c r="AC1394" s="54" t="s">
        <v>2</v>
      </c>
      <c r="AD1394" s="54" t="s">
        <v>2</v>
      </c>
      <c r="AE1394" s="54" t="s">
        <v>2</v>
      </c>
      <c r="AF1394" s="54" t="s">
        <v>2</v>
      </c>
      <c r="AG1394" s="54" t="s">
        <v>2</v>
      </c>
    </row>
    <row r="1395" ht="15.75" customHeight="1">
      <c r="B1395" s="56"/>
      <c r="U1395" s="46" t="str">
        <f t="array" ref="U1395">IF($D1395="","",IFERROR(_xlfn.XLOOKUP($D1395,'TIR店舗一覧'!$D:$D,'TIR店舗一覧'!$E:$E,""),""))</f>
        <v/>
      </c>
      <c r="V1395" s="54" t="s">
        <v>2</v>
      </c>
      <c r="W1395" s="54" t="s">
        <v>2</v>
      </c>
      <c r="X1395" s="54" t="s">
        <v>2</v>
      </c>
      <c r="Y1395" s="54" t="s">
        <v>2</v>
      </c>
      <c r="Z1395" s="54" t="s">
        <v>2</v>
      </c>
      <c r="AA1395" s="54" t="s">
        <v>2</v>
      </c>
      <c r="AB1395" s="54" t="s">
        <v>2</v>
      </c>
      <c r="AC1395" s="54" t="s">
        <v>2</v>
      </c>
      <c r="AD1395" s="54" t="s">
        <v>2</v>
      </c>
      <c r="AE1395" s="54" t="s">
        <v>2</v>
      </c>
      <c r="AF1395" s="54" t="s">
        <v>2</v>
      </c>
      <c r="AG1395" s="54" t="s">
        <v>2</v>
      </c>
    </row>
    <row r="1396" ht="15.75" customHeight="1">
      <c r="B1396" s="56"/>
      <c r="U1396" s="46" t="str">
        <f t="array" ref="U1396">IF($D1396="","",IFERROR(_xlfn.XLOOKUP($D1396,'TIR店舗一覧'!$D:$D,'TIR店舗一覧'!$E:$E,""),""))</f>
        <v/>
      </c>
      <c r="V1396" s="54" t="s">
        <v>2</v>
      </c>
      <c r="W1396" s="54" t="s">
        <v>2</v>
      </c>
      <c r="X1396" s="54" t="s">
        <v>2</v>
      </c>
      <c r="Y1396" s="54" t="s">
        <v>2</v>
      </c>
      <c r="Z1396" s="54" t="s">
        <v>2</v>
      </c>
      <c r="AA1396" s="54" t="s">
        <v>2</v>
      </c>
      <c r="AB1396" s="54" t="s">
        <v>2</v>
      </c>
      <c r="AC1396" s="54" t="s">
        <v>2</v>
      </c>
      <c r="AD1396" s="54" t="s">
        <v>2</v>
      </c>
      <c r="AE1396" s="54" t="s">
        <v>2</v>
      </c>
      <c r="AF1396" s="54" t="s">
        <v>2</v>
      </c>
      <c r="AG1396" s="54" t="s">
        <v>2</v>
      </c>
    </row>
    <row r="1397" ht="15.75" customHeight="1">
      <c r="B1397" s="56"/>
      <c r="U1397" s="46" t="str">
        <f t="array" ref="U1397">IF($D1397="","",IFERROR(_xlfn.XLOOKUP($D1397,'TIR店舗一覧'!$D:$D,'TIR店舗一覧'!$E:$E,""),""))</f>
        <v/>
      </c>
      <c r="V1397" s="54" t="s">
        <v>2</v>
      </c>
      <c r="W1397" s="54" t="s">
        <v>2</v>
      </c>
      <c r="X1397" s="54" t="s">
        <v>2</v>
      </c>
      <c r="Y1397" s="54" t="s">
        <v>2</v>
      </c>
      <c r="Z1397" s="54" t="s">
        <v>2</v>
      </c>
      <c r="AA1397" s="54" t="s">
        <v>2</v>
      </c>
      <c r="AB1397" s="54" t="s">
        <v>2</v>
      </c>
      <c r="AC1397" s="54" t="s">
        <v>2</v>
      </c>
      <c r="AD1397" s="54" t="s">
        <v>2</v>
      </c>
      <c r="AE1397" s="54" t="s">
        <v>2</v>
      </c>
      <c r="AF1397" s="54" t="s">
        <v>2</v>
      </c>
      <c r="AG1397" s="54" t="s">
        <v>2</v>
      </c>
    </row>
    <row r="1398" ht="15.75" customHeight="1">
      <c r="B1398" s="56"/>
      <c r="U1398" s="46" t="str">
        <f t="array" ref="U1398">IF($D1398="","",IFERROR(_xlfn.XLOOKUP($D1398,'TIR店舗一覧'!$D:$D,'TIR店舗一覧'!$E:$E,""),""))</f>
        <v/>
      </c>
      <c r="V1398" s="54" t="s">
        <v>2</v>
      </c>
      <c r="W1398" s="54" t="s">
        <v>2</v>
      </c>
      <c r="X1398" s="54" t="s">
        <v>2</v>
      </c>
      <c r="Y1398" s="54" t="s">
        <v>2</v>
      </c>
      <c r="Z1398" s="54" t="s">
        <v>2</v>
      </c>
      <c r="AA1398" s="54" t="s">
        <v>2</v>
      </c>
      <c r="AB1398" s="54" t="s">
        <v>2</v>
      </c>
      <c r="AC1398" s="54" t="s">
        <v>2</v>
      </c>
      <c r="AD1398" s="54" t="s">
        <v>2</v>
      </c>
      <c r="AE1398" s="54" t="s">
        <v>2</v>
      </c>
      <c r="AF1398" s="54" t="s">
        <v>2</v>
      </c>
      <c r="AG1398" s="54" t="s">
        <v>2</v>
      </c>
    </row>
    <row r="1399" ht="15.75" customHeight="1">
      <c r="B1399" s="56"/>
      <c r="U1399" s="46" t="str">
        <f t="array" ref="U1399">IF($D1399="","",IFERROR(_xlfn.XLOOKUP($D1399,'TIR店舗一覧'!$D:$D,'TIR店舗一覧'!$E:$E,""),""))</f>
        <v/>
      </c>
      <c r="V1399" s="54" t="s">
        <v>2</v>
      </c>
      <c r="W1399" s="54" t="s">
        <v>2</v>
      </c>
      <c r="X1399" s="54" t="s">
        <v>2</v>
      </c>
      <c r="Y1399" s="54" t="s">
        <v>2</v>
      </c>
      <c r="Z1399" s="54" t="s">
        <v>2</v>
      </c>
      <c r="AA1399" s="54" t="s">
        <v>2</v>
      </c>
      <c r="AB1399" s="54" t="s">
        <v>2</v>
      </c>
      <c r="AC1399" s="54" t="s">
        <v>2</v>
      </c>
      <c r="AD1399" s="54" t="s">
        <v>2</v>
      </c>
      <c r="AE1399" s="54" t="s">
        <v>2</v>
      </c>
      <c r="AF1399" s="54" t="s">
        <v>2</v>
      </c>
      <c r="AG1399" s="54" t="s">
        <v>2</v>
      </c>
    </row>
    <row r="1400" ht="15.75" customHeight="1">
      <c r="B1400" s="56"/>
      <c r="U1400" s="46" t="str">
        <f t="array" ref="U1400">IF($D1400="","",IFERROR(_xlfn.XLOOKUP($D1400,'TIR店舗一覧'!$D:$D,'TIR店舗一覧'!$E:$E,""),""))</f>
        <v/>
      </c>
      <c r="V1400" s="54" t="s">
        <v>2</v>
      </c>
      <c r="W1400" s="54" t="s">
        <v>2</v>
      </c>
      <c r="X1400" s="54" t="s">
        <v>2</v>
      </c>
      <c r="Y1400" s="54" t="s">
        <v>2</v>
      </c>
      <c r="Z1400" s="54" t="s">
        <v>2</v>
      </c>
      <c r="AA1400" s="54" t="s">
        <v>2</v>
      </c>
      <c r="AB1400" s="54" t="s">
        <v>2</v>
      </c>
      <c r="AC1400" s="54" t="s">
        <v>2</v>
      </c>
      <c r="AD1400" s="54" t="s">
        <v>2</v>
      </c>
      <c r="AE1400" s="54" t="s">
        <v>2</v>
      </c>
      <c r="AF1400" s="54" t="s">
        <v>2</v>
      </c>
      <c r="AG1400" s="54" t="s">
        <v>2</v>
      </c>
    </row>
    <row r="1401" ht="15.75" customHeight="1">
      <c r="B1401" s="56"/>
      <c r="U1401" s="46" t="str">
        <f t="array" ref="U1401">IF($D1401="","",IFERROR(_xlfn.XLOOKUP($D1401,'TIR店舗一覧'!$D:$D,'TIR店舗一覧'!$E:$E,""),""))</f>
        <v/>
      </c>
      <c r="V1401" s="54" t="s">
        <v>2</v>
      </c>
      <c r="W1401" s="54" t="s">
        <v>2</v>
      </c>
      <c r="X1401" s="54" t="s">
        <v>2</v>
      </c>
      <c r="Y1401" s="54" t="s">
        <v>2</v>
      </c>
      <c r="Z1401" s="54" t="s">
        <v>2</v>
      </c>
      <c r="AA1401" s="54" t="s">
        <v>2</v>
      </c>
      <c r="AB1401" s="54" t="s">
        <v>2</v>
      </c>
      <c r="AC1401" s="54" t="s">
        <v>2</v>
      </c>
      <c r="AD1401" s="54" t="s">
        <v>2</v>
      </c>
      <c r="AE1401" s="54" t="s">
        <v>2</v>
      </c>
      <c r="AF1401" s="54" t="s">
        <v>2</v>
      </c>
      <c r="AG1401" s="54" t="s">
        <v>2</v>
      </c>
    </row>
    <row r="1402" ht="15.75" customHeight="1">
      <c r="B1402" s="56"/>
      <c r="U1402" s="46" t="str">
        <f t="array" ref="U1402">IF($D1402="","",IFERROR(_xlfn.XLOOKUP($D1402,'TIR店舗一覧'!$D:$D,'TIR店舗一覧'!$E:$E,""),""))</f>
        <v/>
      </c>
      <c r="V1402" s="54" t="s">
        <v>2</v>
      </c>
      <c r="W1402" s="54" t="s">
        <v>2</v>
      </c>
      <c r="X1402" s="54" t="s">
        <v>2</v>
      </c>
      <c r="Y1402" s="54" t="s">
        <v>2</v>
      </c>
      <c r="Z1402" s="54" t="s">
        <v>2</v>
      </c>
      <c r="AA1402" s="54" t="s">
        <v>2</v>
      </c>
      <c r="AB1402" s="54" t="s">
        <v>2</v>
      </c>
      <c r="AC1402" s="54" t="s">
        <v>2</v>
      </c>
      <c r="AD1402" s="54" t="s">
        <v>2</v>
      </c>
      <c r="AE1402" s="54" t="s">
        <v>2</v>
      </c>
      <c r="AF1402" s="54" t="s">
        <v>2</v>
      </c>
      <c r="AG1402" s="54" t="s">
        <v>2</v>
      </c>
    </row>
    <row r="1403" ht="15.75" customHeight="1">
      <c r="B1403" s="56"/>
      <c r="U1403" s="46" t="str">
        <f t="array" ref="U1403">IF($D1403="","",IFERROR(_xlfn.XLOOKUP($D1403,'TIR店舗一覧'!$D:$D,'TIR店舗一覧'!$E:$E,""),""))</f>
        <v/>
      </c>
      <c r="V1403" s="54" t="s">
        <v>2</v>
      </c>
      <c r="W1403" s="54" t="s">
        <v>2</v>
      </c>
      <c r="X1403" s="54" t="s">
        <v>2</v>
      </c>
      <c r="Y1403" s="54" t="s">
        <v>2</v>
      </c>
      <c r="Z1403" s="54" t="s">
        <v>2</v>
      </c>
      <c r="AA1403" s="54" t="s">
        <v>2</v>
      </c>
      <c r="AB1403" s="54" t="s">
        <v>2</v>
      </c>
      <c r="AC1403" s="54" t="s">
        <v>2</v>
      </c>
      <c r="AD1403" s="54" t="s">
        <v>2</v>
      </c>
      <c r="AE1403" s="54" t="s">
        <v>2</v>
      </c>
      <c r="AF1403" s="54" t="s">
        <v>2</v>
      </c>
      <c r="AG1403" s="54" t="s">
        <v>2</v>
      </c>
    </row>
    <row r="1404" ht="15.75" customHeight="1">
      <c r="B1404" s="56"/>
      <c r="U1404" s="46" t="str">
        <f t="array" ref="U1404">IF($D1404="","",IFERROR(_xlfn.XLOOKUP($D1404,'TIR店舗一覧'!$D:$D,'TIR店舗一覧'!$E:$E,""),""))</f>
        <v/>
      </c>
      <c r="V1404" s="54" t="s">
        <v>2</v>
      </c>
      <c r="W1404" s="54" t="s">
        <v>2</v>
      </c>
      <c r="X1404" s="54" t="s">
        <v>2</v>
      </c>
      <c r="Y1404" s="54" t="s">
        <v>2</v>
      </c>
      <c r="Z1404" s="54" t="s">
        <v>2</v>
      </c>
      <c r="AA1404" s="54" t="s">
        <v>2</v>
      </c>
      <c r="AB1404" s="54" t="s">
        <v>2</v>
      </c>
      <c r="AC1404" s="54" t="s">
        <v>2</v>
      </c>
      <c r="AD1404" s="54" t="s">
        <v>2</v>
      </c>
      <c r="AE1404" s="54" t="s">
        <v>2</v>
      </c>
      <c r="AF1404" s="54" t="s">
        <v>2</v>
      </c>
      <c r="AG1404" s="54" t="s">
        <v>2</v>
      </c>
    </row>
    <row r="1405" ht="15.75" customHeight="1">
      <c r="B1405" s="56"/>
      <c r="U1405" s="46" t="str">
        <f t="array" ref="U1405">IF($D1405="","",IFERROR(_xlfn.XLOOKUP($D1405,'TIR店舗一覧'!$D:$D,'TIR店舗一覧'!$E:$E,""),""))</f>
        <v/>
      </c>
      <c r="V1405" s="54" t="s">
        <v>2</v>
      </c>
      <c r="W1405" s="54" t="s">
        <v>2</v>
      </c>
      <c r="X1405" s="54" t="s">
        <v>2</v>
      </c>
      <c r="Y1405" s="54" t="s">
        <v>2</v>
      </c>
      <c r="Z1405" s="54" t="s">
        <v>2</v>
      </c>
      <c r="AA1405" s="54" t="s">
        <v>2</v>
      </c>
      <c r="AB1405" s="54" t="s">
        <v>2</v>
      </c>
      <c r="AC1405" s="54" t="s">
        <v>2</v>
      </c>
      <c r="AD1405" s="54" t="s">
        <v>2</v>
      </c>
      <c r="AE1405" s="54" t="s">
        <v>2</v>
      </c>
      <c r="AF1405" s="54" t="s">
        <v>2</v>
      </c>
      <c r="AG1405" s="54" t="s">
        <v>2</v>
      </c>
    </row>
    <row r="1406" ht="15.75" customHeight="1">
      <c r="B1406" s="56"/>
      <c r="U1406" s="46" t="str">
        <f t="array" ref="U1406">IF($D1406="","",IFERROR(_xlfn.XLOOKUP($D1406,'TIR店舗一覧'!$D:$D,'TIR店舗一覧'!$E:$E,""),""))</f>
        <v/>
      </c>
      <c r="V1406" s="54" t="s">
        <v>2</v>
      </c>
      <c r="W1406" s="54" t="s">
        <v>2</v>
      </c>
      <c r="X1406" s="54" t="s">
        <v>2</v>
      </c>
      <c r="Y1406" s="54" t="s">
        <v>2</v>
      </c>
      <c r="Z1406" s="54" t="s">
        <v>2</v>
      </c>
      <c r="AA1406" s="54" t="s">
        <v>2</v>
      </c>
      <c r="AB1406" s="54" t="s">
        <v>2</v>
      </c>
      <c r="AC1406" s="54" t="s">
        <v>2</v>
      </c>
      <c r="AD1406" s="54" t="s">
        <v>2</v>
      </c>
      <c r="AE1406" s="54" t="s">
        <v>2</v>
      </c>
      <c r="AF1406" s="54" t="s">
        <v>2</v>
      </c>
      <c r="AG1406" s="54" t="s">
        <v>2</v>
      </c>
    </row>
    <row r="1407" ht="15.75" customHeight="1">
      <c r="B1407" s="56"/>
      <c r="U1407" s="46" t="str">
        <f t="array" ref="U1407">IF($D1407="","",IFERROR(_xlfn.XLOOKUP($D1407,'TIR店舗一覧'!$D:$D,'TIR店舗一覧'!$E:$E,""),""))</f>
        <v/>
      </c>
      <c r="V1407" s="54" t="s">
        <v>2</v>
      </c>
      <c r="W1407" s="54" t="s">
        <v>2</v>
      </c>
      <c r="X1407" s="54" t="s">
        <v>2</v>
      </c>
      <c r="Y1407" s="54" t="s">
        <v>2</v>
      </c>
      <c r="Z1407" s="54" t="s">
        <v>2</v>
      </c>
      <c r="AA1407" s="54" t="s">
        <v>2</v>
      </c>
      <c r="AB1407" s="54" t="s">
        <v>2</v>
      </c>
      <c r="AC1407" s="54" t="s">
        <v>2</v>
      </c>
      <c r="AD1407" s="54" t="s">
        <v>2</v>
      </c>
      <c r="AE1407" s="54" t="s">
        <v>2</v>
      </c>
      <c r="AF1407" s="54" t="s">
        <v>2</v>
      </c>
      <c r="AG1407" s="54" t="s">
        <v>2</v>
      </c>
    </row>
    <row r="1408" ht="15.75" customHeight="1">
      <c r="B1408" s="56"/>
      <c r="U1408" s="46" t="str">
        <f t="array" ref="U1408">IF($D1408="","",IFERROR(_xlfn.XLOOKUP($D1408,'TIR店舗一覧'!$D:$D,'TIR店舗一覧'!$E:$E,""),""))</f>
        <v/>
      </c>
      <c r="V1408" s="54" t="s">
        <v>2</v>
      </c>
      <c r="W1408" s="54" t="s">
        <v>2</v>
      </c>
      <c r="X1408" s="54" t="s">
        <v>2</v>
      </c>
      <c r="Y1408" s="54" t="s">
        <v>2</v>
      </c>
      <c r="Z1408" s="54" t="s">
        <v>2</v>
      </c>
      <c r="AA1408" s="54" t="s">
        <v>2</v>
      </c>
      <c r="AB1408" s="54" t="s">
        <v>2</v>
      </c>
      <c r="AC1408" s="54" t="s">
        <v>2</v>
      </c>
      <c r="AD1408" s="54" t="s">
        <v>2</v>
      </c>
      <c r="AE1408" s="54" t="s">
        <v>2</v>
      </c>
      <c r="AF1408" s="54" t="s">
        <v>2</v>
      </c>
      <c r="AG1408" s="54" t="s">
        <v>2</v>
      </c>
    </row>
    <row r="1409" ht="15.75" customHeight="1">
      <c r="B1409" s="56"/>
      <c r="U1409" s="46" t="str">
        <f t="array" ref="U1409">IF($D1409="","",IFERROR(_xlfn.XLOOKUP($D1409,'TIR店舗一覧'!$D:$D,'TIR店舗一覧'!$E:$E,""),""))</f>
        <v/>
      </c>
      <c r="V1409" s="54" t="s">
        <v>2</v>
      </c>
      <c r="W1409" s="54" t="s">
        <v>2</v>
      </c>
      <c r="X1409" s="54" t="s">
        <v>2</v>
      </c>
      <c r="Y1409" s="54" t="s">
        <v>2</v>
      </c>
      <c r="Z1409" s="54" t="s">
        <v>2</v>
      </c>
      <c r="AA1409" s="54" t="s">
        <v>2</v>
      </c>
      <c r="AB1409" s="54" t="s">
        <v>2</v>
      </c>
      <c r="AC1409" s="54" t="s">
        <v>2</v>
      </c>
      <c r="AD1409" s="54" t="s">
        <v>2</v>
      </c>
      <c r="AE1409" s="54" t="s">
        <v>2</v>
      </c>
      <c r="AF1409" s="54" t="s">
        <v>2</v>
      </c>
      <c r="AG1409" s="54" t="s">
        <v>2</v>
      </c>
    </row>
    <row r="1410" ht="15.75" customHeight="1">
      <c r="B1410" s="56"/>
      <c r="U1410" s="46" t="str">
        <f t="array" ref="U1410">IF($D1410="","",IFERROR(_xlfn.XLOOKUP($D1410,'TIR店舗一覧'!$D:$D,'TIR店舗一覧'!$E:$E,""),""))</f>
        <v/>
      </c>
      <c r="V1410" s="54" t="s">
        <v>2</v>
      </c>
      <c r="W1410" s="54" t="s">
        <v>2</v>
      </c>
      <c r="X1410" s="54" t="s">
        <v>2</v>
      </c>
      <c r="Y1410" s="54" t="s">
        <v>2</v>
      </c>
      <c r="Z1410" s="54" t="s">
        <v>2</v>
      </c>
      <c r="AA1410" s="54" t="s">
        <v>2</v>
      </c>
      <c r="AB1410" s="54" t="s">
        <v>2</v>
      </c>
      <c r="AC1410" s="54" t="s">
        <v>2</v>
      </c>
      <c r="AD1410" s="54" t="s">
        <v>2</v>
      </c>
      <c r="AE1410" s="54" t="s">
        <v>2</v>
      </c>
      <c r="AF1410" s="54" t="s">
        <v>2</v>
      </c>
      <c r="AG1410" s="54" t="s">
        <v>2</v>
      </c>
    </row>
    <row r="1411" ht="15.75" customHeight="1">
      <c r="B1411" s="56"/>
      <c r="U1411" s="46" t="str">
        <f t="array" ref="U1411">IF($D1411="","",IFERROR(_xlfn.XLOOKUP($D1411,'TIR店舗一覧'!$D:$D,'TIR店舗一覧'!$E:$E,""),""))</f>
        <v/>
      </c>
      <c r="V1411" s="54" t="s">
        <v>2</v>
      </c>
      <c r="W1411" s="54" t="s">
        <v>2</v>
      </c>
      <c r="X1411" s="54" t="s">
        <v>2</v>
      </c>
      <c r="Y1411" s="54" t="s">
        <v>2</v>
      </c>
      <c r="Z1411" s="54" t="s">
        <v>2</v>
      </c>
      <c r="AA1411" s="54" t="s">
        <v>2</v>
      </c>
      <c r="AB1411" s="54" t="s">
        <v>2</v>
      </c>
      <c r="AC1411" s="54" t="s">
        <v>2</v>
      </c>
      <c r="AD1411" s="54" t="s">
        <v>2</v>
      </c>
      <c r="AE1411" s="54" t="s">
        <v>2</v>
      </c>
      <c r="AF1411" s="54" t="s">
        <v>2</v>
      </c>
      <c r="AG1411" s="54" t="s">
        <v>2</v>
      </c>
    </row>
    <row r="1412" ht="15.75" customHeight="1">
      <c r="B1412" s="56"/>
      <c r="U1412" s="46" t="str">
        <f t="array" ref="U1412">IF($D1412="","",IFERROR(_xlfn.XLOOKUP($D1412,'TIR店舗一覧'!$D:$D,'TIR店舗一覧'!$E:$E,""),""))</f>
        <v/>
      </c>
      <c r="V1412" s="54" t="s">
        <v>2</v>
      </c>
      <c r="W1412" s="54" t="s">
        <v>2</v>
      </c>
      <c r="X1412" s="54" t="s">
        <v>2</v>
      </c>
      <c r="Y1412" s="54" t="s">
        <v>2</v>
      </c>
      <c r="Z1412" s="54" t="s">
        <v>2</v>
      </c>
      <c r="AA1412" s="54" t="s">
        <v>2</v>
      </c>
      <c r="AB1412" s="54" t="s">
        <v>2</v>
      </c>
      <c r="AC1412" s="54" t="s">
        <v>2</v>
      </c>
      <c r="AD1412" s="54" t="s">
        <v>2</v>
      </c>
      <c r="AE1412" s="54" t="s">
        <v>2</v>
      </c>
      <c r="AF1412" s="54" t="s">
        <v>2</v>
      </c>
      <c r="AG1412" s="54" t="s">
        <v>2</v>
      </c>
    </row>
    <row r="1413" ht="15.75" customHeight="1">
      <c r="B1413" s="56"/>
      <c r="U1413" s="46" t="str">
        <f t="array" ref="U1413">IF($D1413="","",IFERROR(_xlfn.XLOOKUP($D1413,'TIR店舗一覧'!$D:$D,'TIR店舗一覧'!$E:$E,""),""))</f>
        <v/>
      </c>
      <c r="V1413" s="54" t="s">
        <v>2</v>
      </c>
      <c r="W1413" s="54" t="s">
        <v>2</v>
      </c>
      <c r="X1413" s="54" t="s">
        <v>2</v>
      </c>
      <c r="Y1413" s="54" t="s">
        <v>2</v>
      </c>
      <c r="Z1413" s="54" t="s">
        <v>2</v>
      </c>
      <c r="AA1413" s="54" t="s">
        <v>2</v>
      </c>
      <c r="AB1413" s="54" t="s">
        <v>2</v>
      </c>
      <c r="AC1413" s="54" t="s">
        <v>2</v>
      </c>
      <c r="AD1413" s="54" t="s">
        <v>2</v>
      </c>
      <c r="AE1413" s="54" t="s">
        <v>2</v>
      </c>
      <c r="AF1413" s="54" t="s">
        <v>2</v>
      </c>
      <c r="AG1413" s="54" t="s">
        <v>2</v>
      </c>
    </row>
    <row r="1414" ht="15.75" customHeight="1">
      <c r="B1414" s="56"/>
      <c r="U1414" s="46" t="str">
        <f t="array" ref="U1414">IF($D1414="","",IFERROR(_xlfn.XLOOKUP($D1414,'TIR店舗一覧'!$D:$D,'TIR店舗一覧'!$E:$E,""),""))</f>
        <v/>
      </c>
      <c r="V1414" s="54" t="s">
        <v>2</v>
      </c>
      <c r="W1414" s="54" t="s">
        <v>2</v>
      </c>
      <c r="X1414" s="54" t="s">
        <v>2</v>
      </c>
      <c r="Y1414" s="54" t="s">
        <v>2</v>
      </c>
      <c r="Z1414" s="54" t="s">
        <v>2</v>
      </c>
      <c r="AA1414" s="54" t="s">
        <v>2</v>
      </c>
      <c r="AB1414" s="54" t="s">
        <v>2</v>
      </c>
      <c r="AC1414" s="54" t="s">
        <v>2</v>
      </c>
      <c r="AD1414" s="54" t="s">
        <v>2</v>
      </c>
      <c r="AE1414" s="54" t="s">
        <v>2</v>
      </c>
      <c r="AF1414" s="54" t="s">
        <v>2</v>
      </c>
      <c r="AG1414" s="54" t="s">
        <v>2</v>
      </c>
    </row>
    <row r="1415" ht="15.75" customHeight="1">
      <c r="B1415" s="56"/>
      <c r="U1415" s="46" t="str">
        <f t="array" ref="U1415">IF($D1415="","",IFERROR(_xlfn.XLOOKUP($D1415,'TIR店舗一覧'!$D:$D,'TIR店舗一覧'!$E:$E,""),""))</f>
        <v/>
      </c>
      <c r="V1415" s="54" t="s">
        <v>2</v>
      </c>
      <c r="W1415" s="54" t="s">
        <v>2</v>
      </c>
      <c r="X1415" s="54" t="s">
        <v>2</v>
      </c>
      <c r="Y1415" s="54" t="s">
        <v>2</v>
      </c>
      <c r="Z1415" s="54" t="s">
        <v>2</v>
      </c>
      <c r="AA1415" s="54" t="s">
        <v>2</v>
      </c>
      <c r="AB1415" s="54" t="s">
        <v>2</v>
      </c>
      <c r="AC1415" s="54" t="s">
        <v>2</v>
      </c>
      <c r="AD1415" s="54" t="s">
        <v>2</v>
      </c>
      <c r="AE1415" s="54" t="s">
        <v>2</v>
      </c>
      <c r="AF1415" s="54" t="s">
        <v>2</v>
      </c>
      <c r="AG1415" s="54" t="s">
        <v>2</v>
      </c>
    </row>
    <row r="1416" ht="15.75" customHeight="1">
      <c r="B1416" s="56"/>
      <c r="U1416" s="46" t="str">
        <f t="array" ref="U1416">IF($D1416="","",IFERROR(_xlfn.XLOOKUP($D1416,'TIR店舗一覧'!$D:$D,'TIR店舗一覧'!$E:$E,""),""))</f>
        <v/>
      </c>
      <c r="V1416" s="54" t="s">
        <v>2</v>
      </c>
      <c r="W1416" s="54" t="s">
        <v>2</v>
      </c>
      <c r="X1416" s="54" t="s">
        <v>2</v>
      </c>
      <c r="Y1416" s="54" t="s">
        <v>2</v>
      </c>
      <c r="Z1416" s="54" t="s">
        <v>2</v>
      </c>
      <c r="AA1416" s="54" t="s">
        <v>2</v>
      </c>
      <c r="AB1416" s="54" t="s">
        <v>2</v>
      </c>
      <c r="AC1416" s="54" t="s">
        <v>2</v>
      </c>
      <c r="AD1416" s="54" t="s">
        <v>2</v>
      </c>
      <c r="AE1416" s="54" t="s">
        <v>2</v>
      </c>
      <c r="AF1416" s="54" t="s">
        <v>2</v>
      </c>
      <c r="AG1416" s="54" t="s">
        <v>2</v>
      </c>
    </row>
    <row r="1417" ht="15.75" customHeight="1">
      <c r="B1417" s="56"/>
      <c r="U1417" s="46" t="str">
        <f t="array" ref="U1417">IF($D1417="","",IFERROR(_xlfn.XLOOKUP($D1417,'TIR店舗一覧'!$D:$D,'TIR店舗一覧'!$E:$E,""),""))</f>
        <v/>
      </c>
      <c r="V1417" s="54" t="s">
        <v>2</v>
      </c>
      <c r="W1417" s="54" t="s">
        <v>2</v>
      </c>
      <c r="X1417" s="54" t="s">
        <v>2</v>
      </c>
      <c r="Y1417" s="54" t="s">
        <v>2</v>
      </c>
      <c r="Z1417" s="54" t="s">
        <v>2</v>
      </c>
      <c r="AA1417" s="54" t="s">
        <v>2</v>
      </c>
      <c r="AB1417" s="54" t="s">
        <v>2</v>
      </c>
      <c r="AC1417" s="54" t="s">
        <v>2</v>
      </c>
      <c r="AD1417" s="54" t="s">
        <v>2</v>
      </c>
      <c r="AE1417" s="54" t="s">
        <v>2</v>
      </c>
      <c r="AF1417" s="54" t="s">
        <v>2</v>
      </c>
      <c r="AG1417" s="54" t="s">
        <v>2</v>
      </c>
    </row>
    <row r="1418" ht="15.75" customHeight="1">
      <c r="B1418" s="56"/>
      <c r="U1418" s="46" t="str">
        <f t="array" ref="U1418">IF($D1418="","",IFERROR(_xlfn.XLOOKUP($D1418,'TIR店舗一覧'!$D:$D,'TIR店舗一覧'!$E:$E,""),""))</f>
        <v/>
      </c>
      <c r="V1418" s="54" t="s">
        <v>2</v>
      </c>
      <c r="W1418" s="54" t="s">
        <v>2</v>
      </c>
      <c r="X1418" s="54" t="s">
        <v>2</v>
      </c>
      <c r="Y1418" s="54" t="s">
        <v>2</v>
      </c>
      <c r="Z1418" s="54" t="s">
        <v>2</v>
      </c>
      <c r="AA1418" s="54" t="s">
        <v>2</v>
      </c>
      <c r="AB1418" s="54" t="s">
        <v>2</v>
      </c>
      <c r="AC1418" s="54" t="s">
        <v>2</v>
      </c>
      <c r="AD1418" s="54" t="s">
        <v>2</v>
      </c>
      <c r="AE1418" s="54" t="s">
        <v>2</v>
      </c>
      <c r="AF1418" s="54" t="s">
        <v>2</v>
      </c>
      <c r="AG1418" s="54" t="s">
        <v>2</v>
      </c>
    </row>
    <row r="1419" ht="15.75" customHeight="1">
      <c r="B1419" s="56"/>
      <c r="U1419" s="46" t="str">
        <f t="array" ref="U1419">IF($D1419="","",IFERROR(_xlfn.XLOOKUP($D1419,'TIR店舗一覧'!$D:$D,'TIR店舗一覧'!$E:$E,""),""))</f>
        <v/>
      </c>
      <c r="V1419" s="54" t="s">
        <v>2</v>
      </c>
      <c r="W1419" s="54" t="s">
        <v>2</v>
      </c>
      <c r="X1419" s="54" t="s">
        <v>2</v>
      </c>
      <c r="Y1419" s="54" t="s">
        <v>2</v>
      </c>
      <c r="Z1419" s="54" t="s">
        <v>2</v>
      </c>
      <c r="AA1419" s="54" t="s">
        <v>2</v>
      </c>
      <c r="AB1419" s="54" t="s">
        <v>2</v>
      </c>
      <c r="AC1419" s="54" t="s">
        <v>2</v>
      </c>
      <c r="AD1419" s="54" t="s">
        <v>2</v>
      </c>
      <c r="AE1419" s="54" t="s">
        <v>2</v>
      </c>
      <c r="AF1419" s="54" t="s">
        <v>2</v>
      </c>
      <c r="AG1419" s="54" t="s">
        <v>2</v>
      </c>
    </row>
    <row r="1420" ht="15.75" customHeight="1">
      <c r="B1420" s="56"/>
      <c r="U1420" s="46" t="str">
        <f t="array" ref="U1420">IF($D1420="","",IFERROR(_xlfn.XLOOKUP($D1420,'TIR店舗一覧'!$D:$D,'TIR店舗一覧'!$E:$E,""),""))</f>
        <v/>
      </c>
      <c r="V1420" s="54" t="s">
        <v>2</v>
      </c>
      <c r="W1420" s="54" t="s">
        <v>2</v>
      </c>
      <c r="X1420" s="54" t="s">
        <v>2</v>
      </c>
      <c r="Y1420" s="54" t="s">
        <v>2</v>
      </c>
      <c r="Z1420" s="54" t="s">
        <v>2</v>
      </c>
      <c r="AA1420" s="54" t="s">
        <v>2</v>
      </c>
      <c r="AB1420" s="54" t="s">
        <v>2</v>
      </c>
      <c r="AC1420" s="54" t="s">
        <v>2</v>
      </c>
      <c r="AD1420" s="54" t="s">
        <v>2</v>
      </c>
      <c r="AE1420" s="54" t="s">
        <v>2</v>
      </c>
      <c r="AF1420" s="54" t="s">
        <v>2</v>
      </c>
      <c r="AG1420" s="54" t="s">
        <v>2</v>
      </c>
    </row>
    <row r="1421" ht="15.75" customHeight="1">
      <c r="B1421" s="56"/>
      <c r="U1421" s="46" t="str">
        <f t="array" ref="U1421">IF($D1421="","",IFERROR(_xlfn.XLOOKUP($D1421,'TIR店舗一覧'!$D:$D,'TIR店舗一覧'!$E:$E,""),""))</f>
        <v/>
      </c>
      <c r="V1421" s="54" t="s">
        <v>2</v>
      </c>
      <c r="W1421" s="54" t="s">
        <v>2</v>
      </c>
      <c r="X1421" s="54" t="s">
        <v>2</v>
      </c>
      <c r="Y1421" s="54" t="s">
        <v>2</v>
      </c>
      <c r="Z1421" s="54" t="s">
        <v>2</v>
      </c>
      <c r="AA1421" s="54" t="s">
        <v>2</v>
      </c>
      <c r="AB1421" s="54" t="s">
        <v>2</v>
      </c>
      <c r="AC1421" s="54" t="s">
        <v>2</v>
      </c>
      <c r="AD1421" s="54" t="s">
        <v>2</v>
      </c>
      <c r="AE1421" s="54" t="s">
        <v>2</v>
      </c>
      <c r="AF1421" s="54" t="s">
        <v>2</v>
      </c>
      <c r="AG1421" s="54" t="s">
        <v>2</v>
      </c>
    </row>
    <row r="1422" ht="15.75" customHeight="1">
      <c r="B1422" s="56"/>
      <c r="U1422" s="46" t="str">
        <f t="array" ref="U1422">IF($D1422="","",IFERROR(_xlfn.XLOOKUP($D1422,'TIR店舗一覧'!$D:$D,'TIR店舗一覧'!$E:$E,""),""))</f>
        <v/>
      </c>
      <c r="V1422" s="54" t="s">
        <v>2</v>
      </c>
      <c r="W1422" s="54" t="s">
        <v>2</v>
      </c>
      <c r="X1422" s="54" t="s">
        <v>2</v>
      </c>
      <c r="Y1422" s="54" t="s">
        <v>2</v>
      </c>
      <c r="Z1422" s="54" t="s">
        <v>2</v>
      </c>
      <c r="AA1422" s="54" t="s">
        <v>2</v>
      </c>
      <c r="AB1422" s="54" t="s">
        <v>2</v>
      </c>
      <c r="AC1422" s="54" t="s">
        <v>2</v>
      </c>
      <c r="AD1422" s="54" t="s">
        <v>2</v>
      </c>
      <c r="AE1422" s="54" t="s">
        <v>2</v>
      </c>
      <c r="AF1422" s="54" t="s">
        <v>2</v>
      </c>
      <c r="AG1422" s="54" t="s">
        <v>2</v>
      </c>
    </row>
    <row r="1423" ht="15.75" customHeight="1">
      <c r="B1423" s="56"/>
      <c r="U1423" s="46" t="str">
        <f t="array" ref="U1423">IF($D1423="","",IFERROR(_xlfn.XLOOKUP($D1423,'TIR店舗一覧'!$D:$D,'TIR店舗一覧'!$E:$E,""),""))</f>
        <v/>
      </c>
      <c r="V1423" s="54" t="s">
        <v>2</v>
      </c>
      <c r="W1423" s="54" t="s">
        <v>2</v>
      </c>
      <c r="X1423" s="54" t="s">
        <v>2</v>
      </c>
      <c r="Y1423" s="54" t="s">
        <v>2</v>
      </c>
      <c r="Z1423" s="54" t="s">
        <v>2</v>
      </c>
      <c r="AA1423" s="54" t="s">
        <v>2</v>
      </c>
      <c r="AB1423" s="54" t="s">
        <v>2</v>
      </c>
      <c r="AC1423" s="54" t="s">
        <v>2</v>
      </c>
      <c r="AD1423" s="54" t="s">
        <v>2</v>
      </c>
      <c r="AE1423" s="54" t="s">
        <v>2</v>
      </c>
      <c r="AF1423" s="54" t="s">
        <v>2</v>
      </c>
      <c r="AG1423" s="54" t="s">
        <v>2</v>
      </c>
    </row>
    <row r="1424" ht="15.75" customHeight="1">
      <c r="B1424" s="56"/>
      <c r="U1424" s="46" t="str">
        <f t="array" ref="U1424">IF($D1424="","",IFERROR(_xlfn.XLOOKUP($D1424,'TIR店舗一覧'!$D:$D,'TIR店舗一覧'!$E:$E,""),""))</f>
        <v/>
      </c>
      <c r="V1424" s="54" t="s">
        <v>2</v>
      </c>
      <c r="W1424" s="54" t="s">
        <v>2</v>
      </c>
      <c r="X1424" s="54" t="s">
        <v>2</v>
      </c>
      <c r="Y1424" s="54" t="s">
        <v>2</v>
      </c>
      <c r="Z1424" s="54" t="s">
        <v>2</v>
      </c>
      <c r="AA1424" s="54" t="s">
        <v>2</v>
      </c>
      <c r="AB1424" s="54" t="s">
        <v>2</v>
      </c>
      <c r="AC1424" s="54" t="s">
        <v>2</v>
      </c>
      <c r="AD1424" s="54" t="s">
        <v>2</v>
      </c>
      <c r="AE1424" s="54" t="s">
        <v>2</v>
      </c>
      <c r="AF1424" s="54" t="s">
        <v>2</v>
      </c>
      <c r="AG1424" s="54" t="s">
        <v>2</v>
      </c>
    </row>
    <row r="1425" ht="15.75" customHeight="1">
      <c r="B1425" s="56"/>
      <c r="U1425" s="46" t="str">
        <f t="array" ref="U1425">IF($D1425="","",IFERROR(_xlfn.XLOOKUP($D1425,'TIR店舗一覧'!$D:$D,'TIR店舗一覧'!$E:$E,""),""))</f>
        <v/>
      </c>
      <c r="V1425" s="54" t="s">
        <v>2</v>
      </c>
      <c r="W1425" s="54" t="s">
        <v>2</v>
      </c>
      <c r="X1425" s="54" t="s">
        <v>2</v>
      </c>
      <c r="Y1425" s="54" t="s">
        <v>2</v>
      </c>
      <c r="Z1425" s="54" t="s">
        <v>2</v>
      </c>
      <c r="AA1425" s="54" t="s">
        <v>2</v>
      </c>
      <c r="AB1425" s="54" t="s">
        <v>2</v>
      </c>
      <c r="AC1425" s="54" t="s">
        <v>2</v>
      </c>
      <c r="AD1425" s="54" t="s">
        <v>2</v>
      </c>
      <c r="AE1425" s="54" t="s">
        <v>2</v>
      </c>
      <c r="AF1425" s="54" t="s">
        <v>2</v>
      </c>
      <c r="AG1425" s="54" t="s">
        <v>2</v>
      </c>
    </row>
    <row r="1426" ht="15.75" customHeight="1">
      <c r="B1426" s="56"/>
      <c r="U1426" s="46" t="str">
        <f t="array" ref="U1426">IF($D1426="","",IFERROR(_xlfn.XLOOKUP($D1426,'TIR店舗一覧'!$D:$D,'TIR店舗一覧'!$E:$E,""),""))</f>
        <v/>
      </c>
      <c r="V1426" s="54" t="s">
        <v>2</v>
      </c>
      <c r="W1426" s="54" t="s">
        <v>2</v>
      </c>
      <c r="X1426" s="54" t="s">
        <v>2</v>
      </c>
      <c r="Y1426" s="54" t="s">
        <v>2</v>
      </c>
      <c r="Z1426" s="54" t="s">
        <v>2</v>
      </c>
      <c r="AA1426" s="54" t="s">
        <v>2</v>
      </c>
      <c r="AB1426" s="54" t="s">
        <v>2</v>
      </c>
      <c r="AC1426" s="54" t="s">
        <v>2</v>
      </c>
      <c r="AD1426" s="54" t="s">
        <v>2</v>
      </c>
      <c r="AE1426" s="54" t="s">
        <v>2</v>
      </c>
      <c r="AF1426" s="54" t="s">
        <v>2</v>
      </c>
      <c r="AG1426" s="54" t="s">
        <v>2</v>
      </c>
    </row>
    <row r="1427" ht="15.75" customHeight="1">
      <c r="B1427" s="56"/>
      <c r="U1427" s="46" t="str">
        <f t="array" ref="U1427">IF($D1427="","",IFERROR(_xlfn.XLOOKUP($D1427,'TIR店舗一覧'!$D:$D,'TIR店舗一覧'!$E:$E,""),""))</f>
        <v/>
      </c>
      <c r="V1427" s="54" t="s">
        <v>2</v>
      </c>
      <c r="W1427" s="54" t="s">
        <v>2</v>
      </c>
      <c r="X1427" s="54" t="s">
        <v>2</v>
      </c>
      <c r="Y1427" s="54" t="s">
        <v>2</v>
      </c>
      <c r="Z1427" s="54" t="s">
        <v>2</v>
      </c>
      <c r="AA1427" s="54" t="s">
        <v>2</v>
      </c>
      <c r="AB1427" s="54" t="s">
        <v>2</v>
      </c>
      <c r="AC1427" s="54" t="s">
        <v>2</v>
      </c>
      <c r="AD1427" s="54" t="s">
        <v>2</v>
      </c>
      <c r="AE1427" s="54" t="s">
        <v>2</v>
      </c>
      <c r="AF1427" s="54" t="s">
        <v>2</v>
      </c>
      <c r="AG1427" s="54" t="s">
        <v>2</v>
      </c>
    </row>
    <row r="1428" ht="15.75" customHeight="1">
      <c r="B1428" s="56"/>
      <c r="U1428" s="46" t="str">
        <f t="array" ref="U1428">IF($D1428="","",IFERROR(_xlfn.XLOOKUP($D1428,'TIR店舗一覧'!$D:$D,'TIR店舗一覧'!$E:$E,""),""))</f>
        <v/>
      </c>
      <c r="V1428" s="54" t="s">
        <v>2</v>
      </c>
      <c r="W1428" s="54" t="s">
        <v>2</v>
      </c>
      <c r="X1428" s="54" t="s">
        <v>2</v>
      </c>
      <c r="Y1428" s="54" t="s">
        <v>2</v>
      </c>
      <c r="Z1428" s="54" t="s">
        <v>2</v>
      </c>
      <c r="AA1428" s="54" t="s">
        <v>2</v>
      </c>
      <c r="AB1428" s="54" t="s">
        <v>2</v>
      </c>
      <c r="AC1428" s="54" t="s">
        <v>2</v>
      </c>
      <c r="AD1428" s="54" t="s">
        <v>2</v>
      </c>
      <c r="AE1428" s="54" t="s">
        <v>2</v>
      </c>
      <c r="AF1428" s="54" t="s">
        <v>2</v>
      </c>
      <c r="AG1428" s="54" t="s">
        <v>2</v>
      </c>
    </row>
    <row r="1429" ht="15.75" customHeight="1">
      <c r="B1429" s="56"/>
      <c r="U1429" s="46" t="str">
        <f t="array" ref="U1429">IF($D1429="","",IFERROR(_xlfn.XLOOKUP($D1429,'TIR店舗一覧'!$D:$D,'TIR店舗一覧'!$E:$E,""),""))</f>
        <v/>
      </c>
      <c r="V1429" s="54" t="s">
        <v>2</v>
      </c>
      <c r="W1429" s="54" t="s">
        <v>2</v>
      </c>
      <c r="X1429" s="54" t="s">
        <v>2</v>
      </c>
      <c r="Y1429" s="54" t="s">
        <v>2</v>
      </c>
      <c r="Z1429" s="54" t="s">
        <v>2</v>
      </c>
      <c r="AA1429" s="54" t="s">
        <v>2</v>
      </c>
      <c r="AB1429" s="54" t="s">
        <v>2</v>
      </c>
      <c r="AC1429" s="54" t="s">
        <v>2</v>
      </c>
      <c r="AD1429" s="54" t="s">
        <v>2</v>
      </c>
      <c r="AE1429" s="54" t="s">
        <v>2</v>
      </c>
      <c r="AF1429" s="54" t="s">
        <v>2</v>
      </c>
      <c r="AG1429" s="54" t="s">
        <v>2</v>
      </c>
    </row>
    <row r="1430" ht="15.75" customHeight="1">
      <c r="B1430" s="56"/>
      <c r="U1430" s="46" t="str">
        <f t="array" ref="U1430">IF($D1430="","",IFERROR(_xlfn.XLOOKUP($D1430,'TIR店舗一覧'!$D:$D,'TIR店舗一覧'!$E:$E,""),""))</f>
        <v/>
      </c>
      <c r="V1430" s="54" t="s">
        <v>2</v>
      </c>
      <c r="W1430" s="54" t="s">
        <v>2</v>
      </c>
      <c r="X1430" s="54" t="s">
        <v>2</v>
      </c>
      <c r="Y1430" s="54" t="s">
        <v>2</v>
      </c>
      <c r="Z1430" s="54" t="s">
        <v>2</v>
      </c>
      <c r="AA1430" s="54" t="s">
        <v>2</v>
      </c>
      <c r="AB1430" s="54" t="s">
        <v>2</v>
      </c>
      <c r="AC1430" s="54" t="s">
        <v>2</v>
      </c>
      <c r="AD1430" s="54" t="s">
        <v>2</v>
      </c>
      <c r="AE1430" s="54" t="s">
        <v>2</v>
      </c>
      <c r="AF1430" s="54" t="s">
        <v>2</v>
      </c>
      <c r="AG1430" s="54" t="s">
        <v>2</v>
      </c>
    </row>
    <row r="1431" ht="15.75" customHeight="1">
      <c r="B1431" s="56"/>
      <c r="U1431" s="46" t="str">
        <f t="array" ref="U1431">IF($D1431="","",IFERROR(_xlfn.XLOOKUP($D1431,'TIR店舗一覧'!$D:$D,'TIR店舗一覧'!$E:$E,""),""))</f>
        <v/>
      </c>
      <c r="V1431" s="54" t="s">
        <v>2</v>
      </c>
      <c r="W1431" s="54" t="s">
        <v>2</v>
      </c>
      <c r="X1431" s="54" t="s">
        <v>2</v>
      </c>
      <c r="Y1431" s="54" t="s">
        <v>2</v>
      </c>
      <c r="Z1431" s="54" t="s">
        <v>2</v>
      </c>
      <c r="AA1431" s="54" t="s">
        <v>2</v>
      </c>
      <c r="AB1431" s="54" t="s">
        <v>2</v>
      </c>
      <c r="AC1431" s="54" t="s">
        <v>2</v>
      </c>
      <c r="AD1431" s="54" t="s">
        <v>2</v>
      </c>
      <c r="AE1431" s="54" t="s">
        <v>2</v>
      </c>
      <c r="AF1431" s="54" t="s">
        <v>2</v>
      </c>
      <c r="AG1431" s="54" t="s">
        <v>2</v>
      </c>
    </row>
    <row r="1432" ht="15.75" customHeight="1">
      <c r="B1432" s="56"/>
      <c r="U1432" s="46" t="str">
        <f t="array" ref="U1432">IF($D1432="","",IFERROR(_xlfn.XLOOKUP($D1432,'TIR店舗一覧'!$D:$D,'TIR店舗一覧'!$E:$E,""),""))</f>
        <v/>
      </c>
      <c r="V1432" s="54" t="s">
        <v>2</v>
      </c>
      <c r="W1432" s="54" t="s">
        <v>2</v>
      </c>
      <c r="X1432" s="54" t="s">
        <v>2</v>
      </c>
      <c r="Y1432" s="54" t="s">
        <v>2</v>
      </c>
      <c r="Z1432" s="54" t="s">
        <v>2</v>
      </c>
      <c r="AA1432" s="54" t="s">
        <v>2</v>
      </c>
      <c r="AB1432" s="54" t="s">
        <v>2</v>
      </c>
      <c r="AC1432" s="54" t="s">
        <v>2</v>
      </c>
      <c r="AD1432" s="54" t="s">
        <v>2</v>
      </c>
      <c r="AE1432" s="54" t="s">
        <v>2</v>
      </c>
      <c r="AF1432" s="54" t="s">
        <v>2</v>
      </c>
      <c r="AG1432" s="54" t="s">
        <v>2</v>
      </c>
    </row>
    <row r="1433" ht="15.75" customHeight="1">
      <c r="B1433" s="56"/>
      <c r="U1433" s="46" t="str">
        <f t="array" ref="U1433">IF($D1433="","",IFERROR(_xlfn.XLOOKUP($D1433,'TIR店舗一覧'!$D:$D,'TIR店舗一覧'!$E:$E,""),""))</f>
        <v/>
      </c>
      <c r="V1433" s="54" t="s">
        <v>2</v>
      </c>
      <c r="W1433" s="54" t="s">
        <v>2</v>
      </c>
      <c r="X1433" s="54" t="s">
        <v>2</v>
      </c>
      <c r="Y1433" s="54" t="s">
        <v>2</v>
      </c>
      <c r="Z1433" s="54" t="s">
        <v>2</v>
      </c>
      <c r="AA1433" s="54" t="s">
        <v>2</v>
      </c>
      <c r="AB1433" s="54" t="s">
        <v>2</v>
      </c>
      <c r="AC1433" s="54" t="s">
        <v>2</v>
      </c>
      <c r="AD1433" s="54" t="s">
        <v>2</v>
      </c>
      <c r="AE1433" s="54" t="s">
        <v>2</v>
      </c>
      <c r="AF1433" s="54" t="s">
        <v>2</v>
      </c>
      <c r="AG1433" s="54" t="s">
        <v>2</v>
      </c>
    </row>
    <row r="1434" ht="15.75" customHeight="1">
      <c r="B1434" s="56"/>
      <c r="U1434" s="46" t="str">
        <f t="array" ref="U1434">IF($D1434="","",IFERROR(_xlfn.XLOOKUP($D1434,'TIR店舗一覧'!$D:$D,'TIR店舗一覧'!$E:$E,""),""))</f>
        <v/>
      </c>
      <c r="V1434" s="54" t="s">
        <v>2</v>
      </c>
      <c r="W1434" s="54" t="s">
        <v>2</v>
      </c>
      <c r="X1434" s="54" t="s">
        <v>2</v>
      </c>
      <c r="Y1434" s="54" t="s">
        <v>2</v>
      </c>
      <c r="Z1434" s="54" t="s">
        <v>2</v>
      </c>
      <c r="AA1434" s="54" t="s">
        <v>2</v>
      </c>
      <c r="AB1434" s="54" t="s">
        <v>2</v>
      </c>
      <c r="AC1434" s="54" t="s">
        <v>2</v>
      </c>
      <c r="AD1434" s="54" t="s">
        <v>2</v>
      </c>
      <c r="AE1434" s="54" t="s">
        <v>2</v>
      </c>
      <c r="AF1434" s="54" t="s">
        <v>2</v>
      </c>
      <c r="AG1434" s="54" t="s">
        <v>2</v>
      </c>
    </row>
    <row r="1435" ht="15.75" customHeight="1">
      <c r="B1435" s="56"/>
      <c r="U1435" s="46" t="str">
        <f t="array" ref="U1435">IF($D1435="","",IFERROR(_xlfn.XLOOKUP($D1435,'TIR店舗一覧'!$D:$D,'TIR店舗一覧'!$E:$E,""),""))</f>
        <v/>
      </c>
      <c r="V1435" s="54" t="s">
        <v>2</v>
      </c>
      <c r="W1435" s="54" t="s">
        <v>2</v>
      </c>
      <c r="X1435" s="54" t="s">
        <v>2</v>
      </c>
      <c r="Y1435" s="54" t="s">
        <v>2</v>
      </c>
      <c r="Z1435" s="54" t="s">
        <v>2</v>
      </c>
      <c r="AA1435" s="54" t="s">
        <v>2</v>
      </c>
      <c r="AB1435" s="54" t="s">
        <v>2</v>
      </c>
      <c r="AC1435" s="54" t="s">
        <v>2</v>
      </c>
      <c r="AD1435" s="54" t="s">
        <v>2</v>
      </c>
      <c r="AE1435" s="54" t="s">
        <v>2</v>
      </c>
      <c r="AF1435" s="54" t="s">
        <v>2</v>
      </c>
      <c r="AG1435" s="54" t="s">
        <v>2</v>
      </c>
    </row>
    <row r="1436" ht="15.75" customHeight="1">
      <c r="B1436" s="56"/>
      <c r="U1436" s="46" t="str">
        <f t="array" ref="U1436">IF($D1436="","",IFERROR(_xlfn.XLOOKUP($D1436,'TIR店舗一覧'!$D:$D,'TIR店舗一覧'!$E:$E,""),""))</f>
        <v/>
      </c>
      <c r="V1436" s="54" t="s">
        <v>2</v>
      </c>
      <c r="W1436" s="54" t="s">
        <v>2</v>
      </c>
      <c r="X1436" s="54" t="s">
        <v>2</v>
      </c>
      <c r="Y1436" s="54" t="s">
        <v>2</v>
      </c>
      <c r="Z1436" s="54" t="s">
        <v>2</v>
      </c>
      <c r="AA1436" s="54" t="s">
        <v>2</v>
      </c>
      <c r="AB1436" s="54" t="s">
        <v>2</v>
      </c>
      <c r="AC1436" s="54" t="s">
        <v>2</v>
      </c>
      <c r="AD1436" s="54" t="s">
        <v>2</v>
      </c>
      <c r="AE1436" s="54" t="s">
        <v>2</v>
      </c>
      <c r="AF1436" s="54" t="s">
        <v>2</v>
      </c>
      <c r="AG1436" s="54" t="s">
        <v>2</v>
      </c>
    </row>
    <row r="1437" ht="15.75" customHeight="1">
      <c r="B1437" s="56"/>
      <c r="U1437" s="46" t="str">
        <f t="array" ref="U1437">IF($D1437="","",IFERROR(_xlfn.XLOOKUP($D1437,'TIR店舗一覧'!$D:$D,'TIR店舗一覧'!$E:$E,""),""))</f>
        <v/>
      </c>
      <c r="V1437" s="54" t="s">
        <v>2</v>
      </c>
      <c r="W1437" s="54" t="s">
        <v>2</v>
      </c>
      <c r="X1437" s="54" t="s">
        <v>2</v>
      </c>
      <c r="Y1437" s="54" t="s">
        <v>2</v>
      </c>
      <c r="Z1437" s="54" t="s">
        <v>2</v>
      </c>
      <c r="AA1437" s="54" t="s">
        <v>2</v>
      </c>
      <c r="AB1437" s="54" t="s">
        <v>2</v>
      </c>
      <c r="AC1437" s="54" t="s">
        <v>2</v>
      </c>
      <c r="AD1437" s="54" t="s">
        <v>2</v>
      </c>
      <c r="AE1437" s="54" t="s">
        <v>2</v>
      </c>
      <c r="AF1437" s="54" t="s">
        <v>2</v>
      </c>
      <c r="AG1437" s="54" t="s">
        <v>2</v>
      </c>
    </row>
    <row r="1438" ht="15.75" customHeight="1">
      <c r="B1438" s="56"/>
      <c r="U1438" s="46" t="str">
        <f t="array" ref="U1438">IF($D1438="","",IFERROR(_xlfn.XLOOKUP($D1438,'TIR店舗一覧'!$D:$D,'TIR店舗一覧'!$E:$E,""),""))</f>
        <v/>
      </c>
      <c r="V1438" s="54" t="s">
        <v>2</v>
      </c>
      <c r="W1438" s="54" t="s">
        <v>2</v>
      </c>
      <c r="X1438" s="54" t="s">
        <v>2</v>
      </c>
      <c r="Y1438" s="54" t="s">
        <v>2</v>
      </c>
      <c r="Z1438" s="54" t="s">
        <v>2</v>
      </c>
      <c r="AA1438" s="54" t="s">
        <v>2</v>
      </c>
      <c r="AB1438" s="54" t="s">
        <v>2</v>
      </c>
      <c r="AC1438" s="54" t="s">
        <v>2</v>
      </c>
      <c r="AD1438" s="54" t="s">
        <v>2</v>
      </c>
      <c r="AE1438" s="54" t="s">
        <v>2</v>
      </c>
      <c r="AF1438" s="54" t="s">
        <v>2</v>
      </c>
      <c r="AG1438" s="54" t="s">
        <v>2</v>
      </c>
    </row>
    <row r="1439" ht="15.75" customHeight="1">
      <c r="B1439" s="56"/>
      <c r="U1439" s="46" t="str">
        <f t="array" ref="U1439">IF($D1439="","",IFERROR(_xlfn.XLOOKUP($D1439,'TIR店舗一覧'!$D:$D,'TIR店舗一覧'!$E:$E,""),""))</f>
        <v/>
      </c>
      <c r="V1439" s="54" t="s">
        <v>2</v>
      </c>
      <c r="W1439" s="54" t="s">
        <v>2</v>
      </c>
      <c r="X1439" s="54" t="s">
        <v>2</v>
      </c>
      <c r="Y1439" s="54" t="s">
        <v>2</v>
      </c>
      <c r="Z1439" s="54" t="s">
        <v>2</v>
      </c>
      <c r="AA1439" s="54" t="s">
        <v>2</v>
      </c>
      <c r="AB1439" s="54" t="s">
        <v>2</v>
      </c>
      <c r="AC1439" s="54" t="s">
        <v>2</v>
      </c>
      <c r="AD1439" s="54" t="s">
        <v>2</v>
      </c>
      <c r="AE1439" s="54" t="s">
        <v>2</v>
      </c>
      <c r="AF1439" s="54" t="s">
        <v>2</v>
      </c>
      <c r="AG1439" s="54" t="s">
        <v>2</v>
      </c>
    </row>
    <row r="1440" ht="15.75" customHeight="1">
      <c r="B1440" s="56"/>
      <c r="U1440" s="46" t="str">
        <f t="array" ref="U1440">IF($D1440="","",IFERROR(_xlfn.XLOOKUP($D1440,'TIR店舗一覧'!$D:$D,'TIR店舗一覧'!$E:$E,""),""))</f>
        <v/>
      </c>
      <c r="V1440" s="54" t="s">
        <v>2</v>
      </c>
      <c r="W1440" s="54" t="s">
        <v>2</v>
      </c>
      <c r="X1440" s="54" t="s">
        <v>2</v>
      </c>
      <c r="Y1440" s="54" t="s">
        <v>2</v>
      </c>
      <c r="Z1440" s="54" t="s">
        <v>2</v>
      </c>
      <c r="AA1440" s="54" t="s">
        <v>2</v>
      </c>
      <c r="AB1440" s="54" t="s">
        <v>2</v>
      </c>
      <c r="AC1440" s="54" t="s">
        <v>2</v>
      </c>
      <c r="AD1440" s="54" t="s">
        <v>2</v>
      </c>
      <c r="AE1440" s="54" t="s">
        <v>2</v>
      </c>
      <c r="AF1440" s="54" t="s">
        <v>2</v>
      </c>
      <c r="AG1440" s="54" t="s">
        <v>2</v>
      </c>
    </row>
    <row r="1441" ht="15.75" customHeight="1">
      <c r="B1441" s="56"/>
      <c r="U1441" s="46" t="str">
        <f t="array" ref="U1441">IF($D1441="","",IFERROR(_xlfn.XLOOKUP($D1441,'TIR店舗一覧'!$D:$D,'TIR店舗一覧'!$E:$E,""),""))</f>
        <v/>
      </c>
      <c r="V1441" s="54" t="s">
        <v>2</v>
      </c>
      <c r="W1441" s="54" t="s">
        <v>2</v>
      </c>
      <c r="X1441" s="54" t="s">
        <v>2</v>
      </c>
      <c r="Y1441" s="54" t="s">
        <v>2</v>
      </c>
      <c r="Z1441" s="54" t="s">
        <v>2</v>
      </c>
      <c r="AA1441" s="54" t="s">
        <v>2</v>
      </c>
      <c r="AB1441" s="54" t="s">
        <v>2</v>
      </c>
      <c r="AC1441" s="54" t="s">
        <v>2</v>
      </c>
      <c r="AD1441" s="54" t="s">
        <v>2</v>
      </c>
      <c r="AE1441" s="54" t="s">
        <v>2</v>
      </c>
      <c r="AF1441" s="54" t="s">
        <v>2</v>
      </c>
      <c r="AG1441" s="54" t="s">
        <v>2</v>
      </c>
    </row>
    <row r="1442" ht="15.75" customHeight="1">
      <c r="B1442" s="56"/>
      <c r="U1442" s="46" t="str">
        <f t="array" ref="U1442">IF($D1442="","",IFERROR(_xlfn.XLOOKUP($D1442,'TIR店舗一覧'!$D:$D,'TIR店舗一覧'!$E:$E,""),""))</f>
        <v/>
      </c>
      <c r="V1442" s="54" t="s">
        <v>2</v>
      </c>
      <c r="W1442" s="54" t="s">
        <v>2</v>
      </c>
      <c r="X1442" s="54" t="s">
        <v>2</v>
      </c>
      <c r="Y1442" s="54" t="s">
        <v>2</v>
      </c>
      <c r="Z1442" s="54" t="s">
        <v>2</v>
      </c>
      <c r="AA1442" s="54" t="s">
        <v>2</v>
      </c>
      <c r="AB1442" s="54" t="s">
        <v>2</v>
      </c>
      <c r="AC1442" s="54" t="s">
        <v>2</v>
      </c>
      <c r="AD1442" s="54" t="s">
        <v>2</v>
      </c>
      <c r="AE1442" s="54" t="s">
        <v>2</v>
      </c>
      <c r="AF1442" s="54" t="s">
        <v>2</v>
      </c>
      <c r="AG1442" s="54" t="s">
        <v>2</v>
      </c>
    </row>
    <row r="1443" ht="15.75" customHeight="1">
      <c r="B1443" s="56"/>
      <c r="U1443" s="46" t="str">
        <f t="array" ref="U1443">IF($D1443="","",IFERROR(_xlfn.XLOOKUP($D1443,'TIR店舗一覧'!$D:$D,'TIR店舗一覧'!$E:$E,""),""))</f>
        <v/>
      </c>
      <c r="V1443" s="54" t="s">
        <v>2</v>
      </c>
      <c r="W1443" s="54" t="s">
        <v>2</v>
      </c>
      <c r="X1443" s="54" t="s">
        <v>2</v>
      </c>
      <c r="Y1443" s="54" t="s">
        <v>2</v>
      </c>
      <c r="Z1443" s="54" t="s">
        <v>2</v>
      </c>
      <c r="AA1443" s="54" t="s">
        <v>2</v>
      </c>
      <c r="AB1443" s="54" t="s">
        <v>2</v>
      </c>
      <c r="AC1443" s="54" t="s">
        <v>2</v>
      </c>
      <c r="AD1443" s="54" t="s">
        <v>2</v>
      </c>
      <c r="AE1443" s="54" t="s">
        <v>2</v>
      </c>
      <c r="AF1443" s="54" t="s">
        <v>2</v>
      </c>
      <c r="AG1443" s="54" t="s">
        <v>2</v>
      </c>
    </row>
    <row r="1444" ht="15.75" customHeight="1">
      <c r="B1444" s="56"/>
      <c r="U1444" s="46" t="str">
        <f t="array" ref="U1444">IF($D1444="","",IFERROR(_xlfn.XLOOKUP($D1444,'TIR店舗一覧'!$D:$D,'TIR店舗一覧'!$E:$E,""),""))</f>
        <v/>
      </c>
      <c r="V1444" s="54" t="s">
        <v>2</v>
      </c>
      <c r="W1444" s="54" t="s">
        <v>2</v>
      </c>
      <c r="X1444" s="54" t="s">
        <v>2</v>
      </c>
      <c r="Y1444" s="54" t="s">
        <v>2</v>
      </c>
      <c r="Z1444" s="54" t="s">
        <v>2</v>
      </c>
      <c r="AA1444" s="54" t="s">
        <v>2</v>
      </c>
      <c r="AB1444" s="54" t="s">
        <v>2</v>
      </c>
      <c r="AC1444" s="54" t="s">
        <v>2</v>
      </c>
      <c r="AD1444" s="54" t="s">
        <v>2</v>
      </c>
      <c r="AE1444" s="54" t="s">
        <v>2</v>
      </c>
      <c r="AF1444" s="54" t="s">
        <v>2</v>
      </c>
      <c r="AG1444" s="54" t="s">
        <v>2</v>
      </c>
    </row>
    <row r="1445" ht="15.75" customHeight="1">
      <c r="B1445" s="56"/>
      <c r="U1445" s="46" t="str">
        <f t="array" ref="U1445">IF($D1445="","",IFERROR(_xlfn.XLOOKUP($D1445,'TIR店舗一覧'!$D:$D,'TIR店舗一覧'!$E:$E,""),""))</f>
        <v/>
      </c>
      <c r="V1445" s="54" t="s">
        <v>2</v>
      </c>
      <c r="W1445" s="54" t="s">
        <v>2</v>
      </c>
      <c r="X1445" s="54" t="s">
        <v>2</v>
      </c>
      <c r="Y1445" s="54" t="s">
        <v>2</v>
      </c>
      <c r="Z1445" s="54" t="s">
        <v>2</v>
      </c>
      <c r="AA1445" s="54" t="s">
        <v>2</v>
      </c>
      <c r="AB1445" s="54" t="s">
        <v>2</v>
      </c>
      <c r="AC1445" s="54" t="s">
        <v>2</v>
      </c>
      <c r="AD1445" s="54" t="s">
        <v>2</v>
      </c>
      <c r="AE1445" s="54" t="s">
        <v>2</v>
      </c>
      <c r="AF1445" s="54" t="s">
        <v>2</v>
      </c>
      <c r="AG1445" s="54" t="s">
        <v>2</v>
      </c>
    </row>
    <row r="1446" ht="15.75" customHeight="1">
      <c r="B1446" s="56"/>
      <c r="U1446" s="46" t="str">
        <f t="array" ref="U1446">IF($D1446="","",IFERROR(_xlfn.XLOOKUP($D1446,'TIR店舗一覧'!$D:$D,'TIR店舗一覧'!$E:$E,""),""))</f>
        <v/>
      </c>
      <c r="V1446" s="54" t="s">
        <v>2</v>
      </c>
      <c r="W1446" s="54" t="s">
        <v>2</v>
      </c>
      <c r="X1446" s="54" t="s">
        <v>2</v>
      </c>
      <c r="Y1446" s="54" t="s">
        <v>2</v>
      </c>
      <c r="Z1446" s="54" t="s">
        <v>2</v>
      </c>
      <c r="AA1446" s="54" t="s">
        <v>2</v>
      </c>
      <c r="AB1446" s="54" t="s">
        <v>2</v>
      </c>
      <c r="AC1446" s="54" t="s">
        <v>2</v>
      </c>
      <c r="AD1446" s="54" t="s">
        <v>2</v>
      </c>
      <c r="AE1446" s="54" t="s">
        <v>2</v>
      </c>
      <c r="AF1446" s="54" t="s">
        <v>2</v>
      </c>
      <c r="AG1446" s="54" t="s">
        <v>2</v>
      </c>
    </row>
    <row r="1447" ht="15.75" customHeight="1">
      <c r="B1447" s="56"/>
      <c r="U1447" s="46" t="str">
        <f t="array" ref="U1447">IF($D1447="","",IFERROR(_xlfn.XLOOKUP($D1447,'TIR店舗一覧'!$D:$D,'TIR店舗一覧'!$E:$E,""),""))</f>
        <v/>
      </c>
      <c r="V1447" s="54" t="s">
        <v>2</v>
      </c>
      <c r="W1447" s="54" t="s">
        <v>2</v>
      </c>
      <c r="X1447" s="54" t="s">
        <v>2</v>
      </c>
      <c r="Y1447" s="54" t="s">
        <v>2</v>
      </c>
      <c r="Z1447" s="54" t="s">
        <v>2</v>
      </c>
      <c r="AA1447" s="54" t="s">
        <v>2</v>
      </c>
      <c r="AB1447" s="54" t="s">
        <v>2</v>
      </c>
      <c r="AC1447" s="54" t="s">
        <v>2</v>
      </c>
      <c r="AD1447" s="54" t="s">
        <v>2</v>
      </c>
      <c r="AE1447" s="54" t="s">
        <v>2</v>
      </c>
      <c r="AF1447" s="54" t="s">
        <v>2</v>
      </c>
      <c r="AG1447" s="54" t="s">
        <v>2</v>
      </c>
    </row>
    <row r="1448" ht="15.75" customHeight="1">
      <c r="B1448" s="56"/>
      <c r="U1448" s="46" t="str">
        <f t="array" ref="U1448">IF($D1448="","",IFERROR(_xlfn.XLOOKUP($D1448,'TIR店舗一覧'!$D:$D,'TIR店舗一覧'!$E:$E,""),""))</f>
        <v/>
      </c>
      <c r="V1448" s="54" t="s">
        <v>2</v>
      </c>
      <c r="W1448" s="54" t="s">
        <v>2</v>
      </c>
      <c r="X1448" s="54" t="s">
        <v>2</v>
      </c>
      <c r="Y1448" s="54" t="s">
        <v>2</v>
      </c>
      <c r="Z1448" s="54" t="s">
        <v>2</v>
      </c>
      <c r="AA1448" s="54" t="s">
        <v>2</v>
      </c>
      <c r="AB1448" s="54" t="s">
        <v>2</v>
      </c>
      <c r="AC1448" s="54" t="s">
        <v>2</v>
      </c>
      <c r="AD1448" s="54" t="s">
        <v>2</v>
      </c>
      <c r="AE1448" s="54" t="s">
        <v>2</v>
      </c>
      <c r="AF1448" s="54" t="s">
        <v>2</v>
      </c>
      <c r="AG1448" s="54" t="s">
        <v>2</v>
      </c>
    </row>
    <row r="1449" ht="15.75" customHeight="1">
      <c r="B1449" s="56"/>
      <c r="U1449" s="46" t="str">
        <f t="array" ref="U1449">IF($D1449="","",IFERROR(_xlfn.XLOOKUP($D1449,'TIR店舗一覧'!$D:$D,'TIR店舗一覧'!$E:$E,""),""))</f>
        <v/>
      </c>
      <c r="V1449" s="54" t="s">
        <v>2</v>
      </c>
      <c r="W1449" s="54" t="s">
        <v>2</v>
      </c>
      <c r="X1449" s="54" t="s">
        <v>2</v>
      </c>
      <c r="Y1449" s="54" t="s">
        <v>2</v>
      </c>
      <c r="Z1449" s="54" t="s">
        <v>2</v>
      </c>
      <c r="AA1449" s="54" t="s">
        <v>2</v>
      </c>
      <c r="AB1449" s="54" t="s">
        <v>2</v>
      </c>
      <c r="AC1449" s="54" t="s">
        <v>2</v>
      </c>
      <c r="AD1449" s="54" t="s">
        <v>2</v>
      </c>
      <c r="AE1449" s="54" t="s">
        <v>2</v>
      </c>
      <c r="AF1449" s="54" t="s">
        <v>2</v>
      </c>
      <c r="AG1449" s="54" t="s">
        <v>2</v>
      </c>
    </row>
    <row r="1450" ht="15.75" customHeight="1">
      <c r="B1450" s="56"/>
      <c r="U1450" s="46" t="str">
        <f t="array" ref="U1450">IF($D1450="","",IFERROR(_xlfn.XLOOKUP($D1450,'TIR店舗一覧'!$D:$D,'TIR店舗一覧'!$E:$E,""),""))</f>
        <v/>
      </c>
      <c r="V1450" s="54" t="s">
        <v>2</v>
      </c>
      <c r="W1450" s="54" t="s">
        <v>2</v>
      </c>
      <c r="X1450" s="54" t="s">
        <v>2</v>
      </c>
      <c r="Y1450" s="54" t="s">
        <v>2</v>
      </c>
      <c r="Z1450" s="54" t="s">
        <v>2</v>
      </c>
      <c r="AA1450" s="54" t="s">
        <v>2</v>
      </c>
      <c r="AB1450" s="54" t="s">
        <v>2</v>
      </c>
      <c r="AC1450" s="54" t="s">
        <v>2</v>
      </c>
      <c r="AD1450" s="54" t="s">
        <v>2</v>
      </c>
      <c r="AE1450" s="54" t="s">
        <v>2</v>
      </c>
      <c r="AF1450" s="54" t="s">
        <v>2</v>
      </c>
      <c r="AG1450" s="54" t="s">
        <v>2</v>
      </c>
    </row>
    <row r="1451" ht="15.75" customHeight="1">
      <c r="B1451" s="56"/>
      <c r="U1451" s="46" t="str">
        <f t="array" ref="U1451">IF($D1451="","",IFERROR(_xlfn.XLOOKUP($D1451,'TIR店舗一覧'!$D:$D,'TIR店舗一覧'!$E:$E,""),""))</f>
        <v/>
      </c>
      <c r="V1451" s="54" t="s">
        <v>2</v>
      </c>
      <c r="W1451" s="54" t="s">
        <v>2</v>
      </c>
      <c r="X1451" s="54" t="s">
        <v>2</v>
      </c>
      <c r="Y1451" s="54" t="s">
        <v>2</v>
      </c>
      <c r="Z1451" s="54" t="s">
        <v>2</v>
      </c>
      <c r="AA1451" s="54" t="s">
        <v>2</v>
      </c>
      <c r="AB1451" s="54" t="s">
        <v>2</v>
      </c>
      <c r="AC1451" s="54" t="s">
        <v>2</v>
      </c>
      <c r="AD1451" s="54" t="s">
        <v>2</v>
      </c>
      <c r="AE1451" s="54" t="s">
        <v>2</v>
      </c>
      <c r="AF1451" s="54" t="s">
        <v>2</v>
      </c>
      <c r="AG1451" s="54" t="s">
        <v>2</v>
      </c>
    </row>
    <row r="1452" ht="15.75" customHeight="1">
      <c r="B1452" s="56"/>
      <c r="U1452" s="46" t="str">
        <f t="array" ref="U1452">IF($D1452="","",IFERROR(_xlfn.XLOOKUP($D1452,'TIR店舗一覧'!$D:$D,'TIR店舗一覧'!$E:$E,""),""))</f>
        <v/>
      </c>
      <c r="V1452" s="54" t="s">
        <v>2</v>
      </c>
      <c r="W1452" s="54" t="s">
        <v>2</v>
      </c>
      <c r="X1452" s="54" t="s">
        <v>2</v>
      </c>
      <c r="Y1452" s="54" t="s">
        <v>2</v>
      </c>
      <c r="Z1452" s="54" t="s">
        <v>2</v>
      </c>
      <c r="AA1452" s="54" t="s">
        <v>2</v>
      </c>
      <c r="AB1452" s="54" t="s">
        <v>2</v>
      </c>
      <c r="AC1452" s="54" t="s">
        <v>2</v>
      </c>
      <c r="AD1452" s="54" t="s">
        <v>2</v>
      </c>
      <c r="AE1452" s="54" t="s">
        <v>2</v>
      </c>
      <c r="AF1452" s="54" t="s">
        <v>2</v>
      </c>
      <c r="AG1452" s="54" t="s">
        <v>2</v>
      </c>
    </row>
    <row r="1453" ht="15.75" customHeight="1">
      <c r="B1453" s="56"/>
      <c r="U1453" s="46" t="str">
        <f t="array" ref="U1453">IF($D1453="","",IFERROR(_xlfn.XLOOKUP($D1453,'TIR店舗一覧'!$D:$D,'TIR店舗一覧'!$E:$E,""),""))</f>
        <v/>
      </c>
      <c r="V1453" s="54" t="s">
        <v>2</v>
      </c>
      <c r="W1453" s="54" t="s">
        <v>2</v>
      </c>
      <c r="X1453" s="54" t="s">
        <v>2</v>
      </c>
      <c r="Y1453" s="54" t="s">
        <v>2</v>
      </c>
      <c r="Z1453" s="54" t="s">
        <v>2</v>
      </c>
      <c r="AA1453" s="54" t="s">
        <v>2</v>
      </c>
      <c r="AB1453" s="54" t="s">
        <v>2</v>
      </c>
      <c r="AC1453" s="54" t="s">
        <v>2</v>
      </c>
      <c r="AD1453" s="54" t="s">
        <v>2</v>
      </c>
      <c r="AE1453" s="54" t="s">
        <v>2</v>
      </c>
      <c r="AF1453" s="54" t="s">
        <v>2</v>
      </c>
      <c r="AG1453" s="54" t="s">
        <v>2</v>
      </c>
    </row>
    <row r="1454" ht="15.75" customHeight="1">
      <c r="B1454" s="56"/>
      <c r="U1454" s="46" t="str">
        <f t="array" ref="U1454">IF($D1454="","",IFERROR(_xlfn.XLOOKUP($D1454,'TIR店舗一覧'!$D:$D,'TIR店舗一覧'!$E:$E,""),""))</f>
        <v/>
      </c>
      <c r="V1454" s="54" t="s">
        <v>2</v>
      </c>
      <c r="W1454" s="54" t="s">
        <v>2</v>
      </c>
      <c r="X1454" s="54" t="s">
        <v>2</v>
      </c>
      <c r="Y1454" s="54" t="s">
        <v>2</v>
      </c>
      <c r="Z1454" s="54" t="s">
        <v>2</v>
      </c>
      <c r="AA1454" s="54" t="s">
        <v>2</v>
      </c>
      <c r="AB1454" s="54" t="s">
        <v>2</v>
      </c>
      <c r="AC1454" s="54" t="s">
        <v>2</v>
      </c>
      <c r="AD1454" s="54" t="s">
        <v>2</v>
      </c>
      <c r="AE1454" s="54" t="s">
        <v>2</v>
      </c>
      <c r="AF1454" s="54" t="s">
        <v>2</v>
      </c>
      <c r="AG1454" s="54" t="s">
        <v>2</v>
      </c>
    </row>
    <row r="1455" ht="15.75" customHeight="1">
      <c r="B1455" s="56"/>
      <c r="U1455" s="46" t="str">
        <f t="array" ref="U1455">IF($D1455="","",IFERROR(_xlfn.XLOOKUP($D1455,'TIR店舗一覧'!$D:$D,'TIR店舗一覧'!$E:$E,""),""))</f>
        <v/>
      </c>
      <c r="V1455" s="54" t="s">
        <v>2</v>
      </c>
      <c r="W1455" s="54" t="s">
        <v>2</v>
      </c>
      <c r="X1455" s="54" t="s">
        <v>2</v>
      </c>
      <c r="Y1455" s="54" t="s">
        <v>2</v>
      </c>
      <c r="Z1455" s="54" t="s">
        <v>2</v>
      </c>
      <c r="AA1455" s="54" t="s">
        <v>2</v>
      </c>
      <c r="AB1455" s="54" t="s">
        <v>2</v>
      </c>
      <c r="AC1455" s="54" t="s">
        <v>2</v>
      </c>
      <c r="AD1455" s="54" t="s">
        <v>2</v>
      </c>
      <c r="AE1455" s="54" t="s">
        <v>2</v>
      </c>
      <c r="AF1455" s="54" t="s">
        <v>2</v>
      </c>
      <c r="AG1455" s="54" t="s">
        <v>2</v>
      </c>
    </row>
    <row r="1456" ht="15.75" customHeight="1">
      <c r="B1456" s="56"/>
      <c r="U1456" s="46" t="str">
        <f t="array" ref="U1456">IF($D1456="","",IFERROR(_xlfn.XLOOKUP($D1456,'TIR店舗一覧'!$D:$D,'TIR店舗一覧'!$E:$E,""),""))</f>
        <v/>
      </c>
      <c r="V1456" s="54" t="s">
        <v>2</v>
      </c>
      <c r="W1456" s="54" t="s">
        <v>2</v>
      </c>
      <c r="X1456" s="54" t="s">
        <v>2</v>
      </c>
      <c r="Y1456" s="54" t="s">
        <v>2</v>
      </c>
      <c r="Z1456" s="54" t="s">
        <v>2</v>
      </c>
      <c r="AA1456" s="54" t="s">
        <v>2</v>
      </c>
      <c r="AB1456" s="54" t="s">
        <v>2</v>
      </c>
      <c r="AC1456" s="54" t="s">
        <v>2</v>
      </c>
      <c r="AD1456" s="54" t="s">
        <v>2</v>
      </c>
      <c r="AE1456" s="54" t="s">
        <v>2</v>
      </c>
      <c r="AF1456" s="54" t="s">
        <v>2</v>
      </c>
      <c r="AG1456" s="54" t="s">
        <v>2</v>
      </c>
    </row>
    <row r="1457" ht="15.75" customHeight="1">
      <c r="B1457" s="56"/>
      <c r="U1457" s="46" t="str">
        <f t="array" ref="U1457">IF($D1457="","",IFERROR(_xlfn.XLOOKUP($D1457,'TIR店舗一覧'!$D:$D,'TIR店舗一覧'!$E:$E,""),""))</f>
        <v/>
      </c>
      <c r="V1457" s="54" t="s">
        <v>2</v>
      </c>
      <c r="W1457" s="54" t="s">
        <v>2</v>
      </c>
      <c r="X1457" s="54" t="s">
        <v>2</v>
      </c>
      <c r="Y1457" s="54" t="s">
        <v>2</v>
      </c>
      <c r="Z1457" s="54" t="s">
        <v>2</v>
      </c>
      <c r="AA1457" s="54" t="s">
        <v>2</v>
      </c>
      <c r="AB1457" s="54" t="s">
        <v>2</v>
      </c>
      <c r="AC1457" s="54" t="s">
        <v>2</v>
      </c>
      <c r="AD1457" s="54" t="s">
        <v>2</v>
      </c>
      <c r="AE1457" s="54" t="s">
        <v>2</v>
      </c>
      <c r="AF1457" s="54" t="s">
        <v>2</v>
      </c>
      <c r="AG1457" s="54" t="s">
        <v>2</v>
      </c>
    </row>
    <row r="1458" ht="15.75" customHeight="1">
      <c r="B1458" s="56"/>
      <c r="U1458" s="46" t="str">
        <f t="array" ref="U1458">IF($D1458="","",IFERROR(_xlfn.XLOOKUP($D1458,'TIR店舗一覧'!$D:$D,'TIR店舗一覧'!$E:$E,""),""))</f>
        <v/>
      </c>
      <c r="V1458" s="54" t="s">
        <v>2</v>
      </c>
      <c r="W1458" s="54" t="s">
        <v>2</v>
      </c>
      <c r="X1458" s="54" t="s">
        <v>2</v>
      </c>
      <c r="Y1458" s="54" t="s">
        <v>2</v>
      </c>
      <c r="Z1458" s="54" t="s">
        <v>2</v>
      </c>
      <c r="AA1458" s="54" t="s">
        <v>2</v>
      </c>
      <c r="AB1458" s="54" t="s">
        <v>2</v>
      </c>
      <c r="AC1458" s="54" t="s">
        <v>2</v>
      </c>
      <c r="AD1458" s="54" t="s">
        <v>2</v>
      </c>
      <c r="AE1458" s="54" t="s">
        <v>2</v>
      </c>
      <c r="AF1458" s="54" t="s">
        <v>2</v>
      </c>
      <c r="AG1458" s="54" t="s">
        <v>2</v>
      </c>
    </row>
    <row r="1459" ht="15.75" customHeight="1">
      <c r="B1459" s="56"/>
      <c r="U1459" s="46" t="str">
        <f t="array" ref="U1459">IF($D1459="","",IFERROR(_xlfn.XLOOKUP($D1459,'TIR店舗一覧'!$D:$D,'TIR店舗一覧'!$E:$E,""),""))</f>
        <v/>
      </c>
      <c r="V1459" s="54" t="s">
        <v>2</v>
      </c>
      <c r="W1459" s="54" t="s">
        <v>2</v>
      </c>
      <c r="X1459" s="54" t="s">
        <v>2</v>
      </c>
      <c r="Y1459" s="54" t="s">
        <v>2</v>
      </c>
      <c r="Z1459" s="54" t="s">
        <v>2</v>
      </c>
      <c r="AA1459" s="54" t="s">
        <v>2</v>
      </c>
      <c r="AB1459" s="54" t="s">
        <v>2</v>
      </c>
      <c r="AC1459" s="54" t="s">
        <v>2</v>
      </c>
      <c r="AD1459" s="54" t="s">
        <v>2</v>
      </c>
      <c r="AE1459" s="54" t="s">
        <v>2</v>
      </c>
      <c r="AF1459" s="54" t="s">
        <v>2</v>
      </c>
      <c r="AG1459" s="54" t="s">
        <v>2</v>
      </c>
    </row>
    <row r="1460" ht="15.75" customHeight="1">
      <c r="B1460" s="56"/>
      <c r="U1460" s="46" t="str">
        <f t="array" ref="U1460">IF($D1460="","",IFERROR(_xlfn.XLOOKUP($D1460,'TIR店舗一覧'!$D:$D,'TIR店舗一覧'!$E:$E,""),""))</f>
        <v/>
      </c>
      <c r="V1460" s="54" t="s">
        <v>2</v>
      </c>
      <c r="W1460" s="54" t="s">
        <v>2</v>
      </c>
      <c r="X1460" s="54" t="s">
        <v>2</v>
      </c>
      <c r="Y1460" s="54" t="s">
        <v>2</v>
      </c>
      <c r="Z1460" s="54" t="s">
        <v>2</v>
      </c>
      <c r="AA1460" s="54" t="s">
        <v>2</v>
      </c>
      <c r="AB1460" s="54" t="s">
        <v>2</v>
      </c>
      <c r="AC1460" s="54" t="s">
        <v>2</v>
      </c>
      <c r="AD1460" s="54" t="s">
        <v>2</v>
      </c>
      <c r="AE1460" s="54" t="s">
        <v>2</v>
      </c>
      <c r="AF1460" s="54" t="s">
        <v>2</v>
      </c>
      <c r="AG1460" s="54" t="s">
        <v>2</v>
      </c>
    </row>
    <row r="1461" ht="15.75" customHeight="1">
      <c r="B1461" s="56"/>
      <c r="U1461" s="46" t="str">
        <f t="array" ref="U1461">IF($D1461="","",IFERROR(_xlfn.XLOOKUP($D1461,'TIR店舗一覧'!$D:$D,'TIR店舗一覧'!$E:$E,""),""))</f>
        <v/>
      </c>
      <c r="V1461" s="54" t="s">
        <v>2</v>
      </c>
      <c r="W1461" s="54" t="s">
        <v>2</v>
      </c>
      <c r="X1461" s="54" t="s">
        <v>2</v>
      </c>
      <c r="Y1461" s="54" t="s">
        <v>2</v>
      </c>
      <c r="Z1461" s="54" t="s">
        <v>2</v>
      </c>
      <c r="AA1461" s="54" t="s">
        <v>2</v>
      </c>
      <c r="AB1461" s="54" t="s">
        <v>2</v>
      </c>
      <c r="AC1461" s="54" t="s">
        <v>2</v>
      </c>
      <c r="AD1461" s="54" t="s">
        <v>2</v>
      </c>
      <c r="AE1461" s="54" t="s">
        <v>2</v>
      </c>
      <c r="AF1461" s="54" t="s">
        <v>2</v>
      </c>
      <c r="AG1461" s="54" t="s">
        <v>2</v>
      </c>
    </row>
    <row r="1462" ht="15.75" customHeight="1">
      <c r="B1462" s="56"/>
      <c r="U1462" s="46" t="str">
        <f t="array" ref="U1462">IF($D1462="","",IFERROR(_xlfn.XLOOKUP($D1462,'TIR店舗一覧'!$D:$D,'TIR店舗一覧'!$E:$E,""),""))</f>
        <v/>
      </c>
      <c r="V1462" s="54" t="s">
        <v>2</v>
      </c>
      <c r="W1462" s="54" t="s">
        <v>2</v>
      </c>
      <c r="X1462" s="54" t="s">
        <v>2</v>
      </c>
      <c r="Y1462" s="54" t="s">
        <v>2</v>
      </c>
      <c r="Z1462" s="54" t="s">
        <v>2</v>
      </c>
      <c r="AA1462" s="54" t="s">
        <v>2</v>
      </c>
      <c r="AB1462" s="54" t="s">
        <v>2</v>
      </c>
      <c r="AC1462" s="54" t="s">
        <v>2</v>
      </c>
      <c r="AD1462" s="54" t="s">
        <v>2</v>
      </c>
      <c r="AE1462" s="54" t="s">
        <v>2</v>
      </c>
      <c r="AF1462" s="54" t="s">
        <v>2</v>
      </c>
      <c r="AG1462" s="54" t="s">
        <v>2</v>
      </c>
    </row>
    <row r="1463" ht="15.75" customHeight="1">
      <c r="B1463" s="56"/>
      <c r="U1463" s="46" t="str">
        <f t="array" ref="U1463">IF($D1463="","",IFERROR(_xlfn.XLOOKUP($D1463,'TIR店舗一覧'!$D:$D,'TIR店舗一覧'!$E:$E,""),""))</f>
        <v/>
      </c>
      <c r="V1463" s="54" t="s">
        <v>2</v>
      </c>
      <c r="W1463" s="54" t="s">
        <v>2</v>
      </c>
      <c r="X1463" s="54" t="s">
        <v>2</v>
      </c>
      <c r="Y1463" s="54" t="s">
        <v>2</v>
      </c>
      <c r="Z1463" s="54" t="s">
        <v>2</v>
      </c>
      <c r="AA1463" s="54" t="s">
        <v>2</v>
      </c>
      <c r="AB1463" s="54" t="s">
        <v>2</v>
      </c>
      <c r="AC1463" s="54" t="s">
        <v>2</v>
      </c>
      <c r="AD1463" s="54" t="s">
        <v>2</v>
      </c>
      <c r="AE1463" s="54" t="s">
        <v>2</v>
      </c>
      <c r="AF1463" s="54" t="s">
        <v>2</v>
      </c>
      <c r="AG1463" s="54" t="s">
        <v>2</v>
      </c>
    </row>
    <row r="1464" ht="15.75" customHeight="1">
      <c r="B1464" s="56"/>
      <c r="U1464" s="46" t="str">
        <f t="array" ref="U1464">IF($D1464="","",IFERROR(_xlfn.XLOOKUP($D1464,'TIR店舗一覧'!$D:$D,'TIR店舗一覧'!$E:$E,""),""))</f>
        <v/>
      </c>
      <c r="V1464" s="54" t="s">
        <v>2</v>
      </c>
      <c r="W1464" s="54" t="s">
        <v>2</v>
      </c>
      <c r="X1464" s="54" t="s">
        <v>2</v>
      </c>
      <c r="Y1464" s="54" t="s">
        <v>2</v>
      </c>
      <c r="Z1464" s="54" t="s">
        <v>2</v>
      </c>
      <c r="AA1464" s="54" t="s">
        <v>2</v>
      </c>
      <c r="AB1464" s="54" t="s">
        <v>2</v>
      </c>
      <c r="AC1464" s="54" t="s">
        <v>2</v>
      </c>
      <c r="AD1464" s="54" t="s">
        <v>2</v>
      </c>
      <c r="AE1464" s="54" t="s">
        <v>2</v>
      </c>
      <c r="AF1464" s="54" t="s">
        <v>2</v>
      </c>
      <c r="AG1464" s="54" t="s">
        <v>2</v>
      </c>
    </row>
    <row r="1465" ht="15.75" customHeight="1">
      <c r="B1465" s="56"/>
      <c r="U1465" s="46" t="str">
        <f t="array" ref="U1465">IF($D1465="","",IFERROR(_xlfn.XLOOKUP($D1465,'TIR店舗一覧'!$D:$D,'TIR店舗一覧'!$E:$E,""),""))</f>
        <v/>
      </c>
      <c r="V1465" s="54" t="s">
        <v>2</v>
      </c>
      <c r="W1465" s="54" t="s">
        <v>2</v>
      </c>
      <c r="X1465" s="54" t="s">
        <v>2</v>
      </c>
      <c r="Y1465" s="54" t="s">
        <v>2</v>
      </c>
      <c r="Z1465" s="54" t="s">
        <v>2</v>
      </c>
      <c r="AA1465" s="54" t="s">
        <v>2</v>
      </c>
      <c r="AB1465" s="54" t="s">
        <v>2</v>
      </c>
      <c r="AC1465" s="54" t="s">
        <v>2</v>
      </c>
      <c r="AD1465" s="54" t="s">
        <v>2</v>
      </c>
      <c r="AE1465" s="54" t="s">
        <v>2</v>
      </c>
      <c r="AF1465" s="54" t="s">
        <v>2</v>
      </c>
      <c r="AG1465" s="54" t="s">
        <v>2</v>
      </c>
    </row>
    <row r="1466" ht="15.75" customHeight="1">
      <c r="B1466" s="56"/>
      <c r="U1466" s="46" t="str">
        <f t="array" ref="U1466">IF($D1466="","",IFERROR(_xlfn.XLOOKUP($D1466,'TIR店舗一覧'!$D:$D,'TIR店舗一覧'!$E:$E,""),""))</f>
        <v/>
      </c>
      <c r="V1466" s="54" t="s">
        <v>2</v>
      </c>
      <c r="W1466" s="54" t="s">
        <v>2</v>
      </c>
      <c r="X1466" s="54" t="s">
        <v>2</v>
      </c>
      <c r="Y1466" s="54" t="s">
        <v>2</v>
      </c>
      <c r="Z1466" s="54" t="s">
        <v>2</v>
      </c>
      <c r="AA1466" s="54" t="s">
        <v>2</v>
      </c>
      <c r="AB1466" s="54" t="s">
        <v>2</v>
      </c>
      <c r="AC1466" s="54" t="s">
        <v>2</v>
      </c>
      <c r="AD1466" s="54" t="s">
        <v>2</v>
      </c>
      <c r="AE1466" s="54" t="s">
        <v>2</v>
      </c>
      <c r="AF1466" s="54" t="s">
        <v>2</v>
      </c>
      <c r="AG1466" s="54" t="s">
        <v>2</v>
      </c>
    </row>
    <row r="1467" ht="15.75" customHeight="1">
      <c r="B1467" s="56"/>
      <c r="U1467" s="46" t="str">
        <f t="array" ref="U1467">IF($D1467="","",IFERROR(_xlfn.XLOOKUP($D1467,'TIR店舗一覧'!$D:$D,'TIR店舗一覧'!$E:$E,""),""))</f>
        <v/>
      </c>
      <c r="V1467" s="54" t="s">
        <v>2</v>
      </c>
      <c r="W1467" s="54" t="s">
        <v>2</v>
      </c>
      <c r="X1467" s="54" t="s">
        <v>2</v>
      </c>
      <c r="Y1467" s="54" t="s">
        <v>2</v>
      </c>
      <c r="Z1467" s="54" t="s">
        <v>2</v>
      </c>
      <c r="AA1467" s="54" t="s">
        <v>2</v>
      </c>
      <c r="AB1467" s="54" t="s">
        <v>2</v>
      </c>
      <c r="AC1467" s="54" t="s">
        <v>2</v>
      </c>
      <c r="AD1467" s="54" t="s">
        <v>2</v>
      </c>
      <c r="AE1467" s="54" t="s">
        <v>2</v>
      </c>
      <c r="AF1467" s="54" t="s">
        <v>2</v>
      </c>
      <c r="AG1467" s="54" t="s">
        <v>2</v>
      </c>
    </row>
    <row r="1468" ht="15.75" customHeight="1">
      <c r="B1468" s="56"/>
      <c r="U1468" s="46" t="str">
        <f t="array" ref="U1468">IF($D1468="","",IFERROR(_xlfn.XLOOKUP($D1468,'TIR店舗一覧'!$D:$D,'TIR店舗一覧'!$E:$E,""),""))</f>
        <v/>
      </c>
      <c r="V1468" s="54" t="s">
        <v>2</v>
      </c>
      <c r="W1468" s="54" t="s">
        <v>2</v>
      </c>
      <c r="X1468" s="54" t="s">
        <v>2</v>
      </c>
      <c r="Y1468" s="54" t="s">
        <v>2</v>
      </c>
      <c r="Z1468" s="54" t="s">
        <v>2</v>
      </c>
      <c r="AA1468" s="54" t="s">
        <v>2</v>
      </c>
      <c r="AB1468" s="54" t="s">
        <v>2</v>
      </c>
      <c r="AC1468" s="54" t="s">
        <v>2</v>
      </c>
      <c r="AD1468" s="54" t="s">
        <v>2</v>
      </c>
      <c r="AE1468" s="54" t="s">
        <v>2</v>
      </c>
      <c r="AF1468" s="54" t="s">
        <v>2</v>
      </c>
      <c r="AG1468" s="54" t="s">
        <v>2</v>
      </c>
    </row>
    <row r="1469" ht="15.75" customHeight="1">
      <c r="B1469" s="56"/>
      <c r="U1469" s="46" t="str">
        <f t="array" ref="U1469">IF($D1469="","",IFERROR(_xlfn.XLOOKUP($D1469,'TIR店舗一覧'!$D:$D,'TIR店舗一覧'!$E:$E,""),""))</f>
        <v/>
      </c>
      <c r="V1469" s="54" t="s">
        <v>2</v>
      </c>
      <c r="W1469" s="54" t="s">
        <v>2</v>
      </c>
      <c r="X1469" s="54" t="s">
        <v>2</v>
      </c>
      <c r="Y1469" s="54" t="s">
        <v>2</v>
      </c>
      <c r="Z1469" s="54" t="s">
        <v>2</v>
      </c>
      <c r="AA1469" s="54" t="s">
        <v>2</v>
      </c>
      <c r="AB1469" s="54" t="s">
        <v>2</v>
      </c>
      <c r="AC1469" s="54" t="s">
        <v>2</v>
      </c>
      <c r="AD1469" s="54" t="s">
        <v>2</v>
      </c>
      <c r="AE1469" s="54" t="s">
        <v>2</v>
      </c>
      <c r="AF1469" s="54" t="s">
        <v>2</v>
      </c>
      <c r="AG1469" s="54" t="s">
        <v>2</v>
      </c>
    </row>
    <row r="1470" ht="15.75" customHeight="1">
      <c r="B1470" s="56"/>
      <c r="U1470" s="46" t="str">
        <f t="array" ref="U1470">IF($D1470="","",IFERROR(_xlfn.XLOOKUP($D1470,'TIR店舗一覧'!$D:$D,'TIR店舗一覧'!$E:$E,""),""))</f>
        <v/>
      </c>
      <c r="V1470" s="54" t="s">
        <v>2</v>
      </c>
      <c r="W1470" s="54" t="s">
        <v>2</v>
      </c>
      <c r="X1470" s="54" t="s">
        <v>2</v>
      </c>
      <c r="Y1470" s="54" t="s">
        <v>2</v>
      </c>
      <c r="Z1470" s="54" t="s">
        <v>2</v>
      </c>
      <c r="AA1470" s="54" t="s">
        <v>2</v>
      </c>
      <c r="AB1470" s="54" t="s">
        <v>2</v>
      </c>
      <c r="AC1470" s="54" t="s">
        <v>2</v>
      </c>
      <c r="AD1470" s="54" t="s">
        <v>2</v>
      </c>
      <c r="AE1470" s="54" t="s">
        <v>2</v>
      </c>
      <c r="AF1470" s="54" t="s">
        <v>2</v>
      </c>
      <c r="AG1470" s="54" t="s">
        <v>2</v>
      </c>
    </row>
    <row r="1471" ht="15.75" customHeight="1">
      <c r="B1471" s="56"/>
      <c r="U1471" s="46" t="str">
        <f t="array" ref="U1471">IF($D1471="","",IFERROR(_xlfn.XLOOKUP($D1471,'TIR店舗一覧'!$D:$D,'TIR店舗一覧'!$E:$E,""),""))</f>
        <v/>
      </c>
      <c r="V1471" s="54" t="s">
        <v>2</v>
      </c>
      <c r="W1471" s="54" t="s">
        <v>2</v>
      </c>
      <c r="X1471" s="54" t="s">
        <v>2</v>
      </c>
      <c r="Y1471" s="54" t="s">
        <v>2</v>
      </c>
      <c r="Z1471" s="54" t="s">
        <v>2</v>
      </c>
      <c r="AA1471" s="54" t="s">
        <v>2</v>
      </c>
      <c r="AB1471" s="54" t="s">
        <v>2</v>
      </c>
      <c r="AC1471" s="54" t="s">
        <v>2</v>
      </c>
      <c r="AD1471" s="54" t="s">
        <v>2</v>
      </c>
      <c r="AE1471" s="54" t="s">
        <v>2</v>
      </c>
      <c r="AF1471" s="54" t="s">
        <v>2</v>
      </c>
      <c r="AG1471" s="54" t="s">
        <v>2</v>
      </c>
    </row>
    <row r="1472" ht="15.75" customHeight="1">
      <c r="B1472" s="56"/>
      <c r="U1472" s="46" t="str">
        <f t="array" ref="U1472">IF($D1472="","",IFERROR(_xlfn.XLOOKUP($D1472,'TIR店舗一覧'!$D:$D,'TIR店舗一覧'!$E:$E,""),""))</f>
        <v/>
      </c>
      <c r="V1472" s="54" t="s">
        <v>2</v>
      </c>
      <c r="W1472" s="54" t="s">
        <v>2</v>
      </c>
      <c r="X1472" s="54" t="s">
        <v>2</v>
      </c>
      <c r="Y1472" s="54" t="s">
        <v>2</v>
      </c>
      <c r="Z1472" s="54" t="s">
        <v>2</v>
      </c>
      <c r="AA1472" s="54" t="s">
        <v>2</v>
      </c>
      <c r="AB1472" s="54" t="s">
        <v>2</v>
      </c>
      <c r="AC1472" s="54" t="s">
        <v>2</v>
      </c>
      <c r="AD1472" s="54" t="s">
        <v>2</v>
      </c>
      <c r="AE1472" s="54" t="s">
        <v>2</v>
      </c>
      <c r="AF1472" s="54" t="s">
        <v>2</v>
      </c>
      <c r="AG1472" s="54" t="s">
        <v>2</v>
      </c>
    </row>
    <row r="1473" ht="15.75" customHeight="1">
      <c r="B1473" s="56"/>
      <c r="U1473" s="46" t="str">
        <f t="array" ref="U1473">IF($D1473="","",IFERROR(_xlfn.XLOOKUP($D1473,'TIR店舗一覧'!$D:$D,'TIR店舗一覧'!$E:$E,""),""))</f>
        <v/>
      </c>
      <c r="V1473" s="54" t="s">
        <v>2</v>
      </c>
      <c r="W1473" s="54" t="s">
        <v>2</v>
      </c>
      <c r="X1473" s="54" t="s">
        <v>2</v>
      </c>
      <c r="Y1473" s="54" t="s">
        <v>2</v>
      </c>
      <c r="Z1473" s="54" t="s">
        <v>2</v>
      </c>
      <c r="AA1473" s="54" t="s">
        <v>2</v>
      </c>
      <c r="AB1473" s="54" t="s">
        <v>2</v>
      </c>
      <c r="AC1473" s="54" t="s">
        <v>2</v>
      </c>
      <c r="AD1473" s="54" t="s">
        <v>2</v>
      </c>
      <c r="AE1473" s="54" t="s">
        <v>2</v>
      </c>
      <c r="AF1473" s="54" t="s">
        <v>2</v>
      </c>
      <c r="AG1473" s="54" t="s">
        <v>2</v>
      </c>
    </row>
    <row r="1474" ht="15.75" customHeight="1">
      <c r="B1474" s="56"/>
      <c r="U1474" s="46" t="str">
        <f t="array" ref="U1474">IF($D1474="","",IFERROR(_xlfn.XLOOKUP($D1474,'TIR店舗一覧'!$D:$D,'TIR店舗一覧'!$E:$E,""),""))</f>
        <v/>
      </c>
      <c r="V1474" s="54" t="s">
        <v>2</v>
      </c>
      <c r="W1474" s="54" t="s">
        <v>2</v>
      </c>
      <c r="X1474" s="54" t="s">
        <v>2</v>
      </c>
      <c r="Y1474" s="54" t="s">
        <v>2</v>
      </c>
      <c r="Z1474" s="54" t="s">
        <v>2</v>
      </c>
      <c r="AA1474" s="54" t="s">
        <v>2</v>
      </c>
      <c r="AB1474" s="54" t="s">
        <v>2</v>
      </c>
      <c r="AC1474" s="54" t="s">
        <v>2</v>
      </c>
      <c r="AD1474" s="54" t="s">
        <v>2</v>
      </c>
      <c r="AE1474" s="54" t="s">
        <v>2</v>
      </c>
      <c r="AF1474" s="54" t="s">
        <v>2</v>
      </c>
      <c r="AG1474" s="54" t="s">
        <v>2</v>
      </c>
    </row>
    <row r="1475" ht="15.75" customHeight="1">
      <c r="B1475" s="56"/>
      <c r="U1475" s="46" t="str">
        <f t="array" ref="U1475">IF($D1475="","",IFERROR(_xlfn.XLOOKUP($D1475,'TIR店舗一覧'!$D:$D,'TIR店舗一覧'!$E:$E,""),""))</f>
        <v/>
      </c>
      <c r="V1475" s="54" t="s">
        <v>2</v>
      </c>
      <c r="W1475" s="54" t="s">
        <v>2</v>
      </c>
      <c r="X1475" s="54" t="s">
        <v>2</v>
      </c>
      <c r="Y1475" s="54" t="s">
        <v>2</v>
      </c>
      <c r="Z1475" s="54" t="s">
        <v>2</v>
      </c>
      <c r="AA1475" s="54" t="s">
        <v>2</v>
      </c>
      <c r="AB1475" s="54" t="s">
        <v>2</v>
      </c>
      <c r="AC1475" s="54" t="s">
        <v>2</v>
      </c>
      <c r="AD1475" s="54" t="s">
        <v>2</v>
      </c>
      <c r="AE1475" s="54" t="s">
        <v>2</v>
      </c>
      <c r="AF1475" s="54" t="s">
        <v>2</v>
      </c>
      <c r="AG1475" s="54" t="s">
        <v>2</v>
      </c>
    </row>
    <row r="1476" ht="15.75" customHeight="1">
      <c r="B1476" s="56"/>
      <c r="U1476" s="46" t="str">
        <f t="array" ref="U1476">IF($D1476="","",IFERROR(_xlfn.XLOOKUP($D1476,'TIR店舗一覧'!$D:$D,'TIR店舗一覧'!$E:$E,""),""))</f>
        <v/>
      </c>
      <c r="V1476" s="54" t="s">
        <v>2</v>
      </c>
      <c r="W1476" s="54" t="s">
        <v>2</v>
      </c>
      <c r="X1476" s="54" t="s">
        <v>2</v>
      </c>
      <c r="Y1476" s="54" t="s">
        <v>2</v>
      </c>
      <c r="Z1476" s="54" t="s">
        <v>2</v>
      </c>
      <c r="AA1476" s="54" t="s">
        <v>2</v>
      </c>
      <c r="AB1476" s="54" t="s">
        <v>2</v>
      </c>
      <c r="AC1476" s="54" t="s">
        <v>2</v>
      </c>
      <c r="AD1476" s="54" t="s">
        <v>2</v>
      </c>
      <c r="AE1476" s="54" t="s">
        <v>2</v>
      </c>
      <c r="AF1476" s="54" t="s">
        <v>2</v>
      </c>
      <c r="AG1476" s="54" t="s">
        <v>2</v>
      </c>
    </row>
    <row r="1477" ht="15.75" customHeight="1">
      <c r="B1477" s="56"/>
      <c r="U1477" s="46" t="str">
        <f t="array" ref="U1477">IF($D1477="","",IFERROR(_xlfn.XLOOKUP($D1477,'TIR店舗一覧'!$D:$D,'TIR店舗一覧'!$E:$E,""),""))</f>
        <v/>
      </c>
      <c r="V1477" s="54" t="s">
        <v>2</v>
      </c>
      <c r="W1477" s="54" t="s">
        <v>2</v>
      </c>
      <c r="X1477" s="54" t="s">
        <v>2</v>
      </c>
      <c r="Y1477" s="54" t="s">
        <v>2</v>
      </c>
      <c r="Z1477" s="54" t="s">
        <v>2</v>
      </c>
      <c r="AA1477" s="54" t="s">
        <v>2</v>
      </c>
      <c r="AB1477" s="54" t="s">
        <v>2</v>
      </c>
      <c r="AC1477" s="54" t="s">
        <v>2</v>
      </c>
      <c r="AD1477" s="54" t="s">
        <v>2</v>
      </c>
      <c r="AE1477" s="54" t="s">
        <v>2</v>
      </c>
      <c r="AF1477" s="54" t="s">
        <v>2</v>
      </c>
      <c r="AG1477" s="54" t="s">
        <v>2</v>
      </c>
    </row>
    <row r="1478" ht="15.75" customHeight="1">
      <c r="B1478" s="56"/>
      <c r="U1478" s="46" t="str">
        <f t="array" ref="U1478">IF($D1478="","",IFERROR(_xlfn.XLOOKUP($D1478,'TIR店舗一覧'!$D:$D,'TIR店舗一覧'!$E:$E,""),""))</f>
        <v/>
      </c>
      <c r="V1478" s="54" t="s">
        <v>2</v>
      </c>
      <c r="W1478" s="54" t="s">
        <v>2</v>
      </c>
      <c r="X1478" s="54" t="s">
        <v>2</v>
      </c>
      <c r="Y1478" s="54" t="s">
        <v>2</v>
      </c>
      <c r="Z1478" s="54" t="s">
        <v>2</v>
      </c>
      <c r="AA1478" s="54" t="s">
        <v>2</v>
      </c>
      <c r="AB1478" s="54" t="s">
        <v>2</v>
      </c>
      <c r="AC1478" s="54" t="s">
        <v>2</v>
      </c>
      <c r="AD1478" s="54" t="s">
        <v>2</v>
      </c>
      <c r="AE1478" s="54" t="s">
        <v>2</v>
      </c>
      <c r="AF1478" s="54" t="s">
        <v>2</v>
      </c>
      <c r="AG1478" s="54" t="s">
        <v>2</v>
      </c>
    </row>
    <row r="1479" ht="15.75" customHeight="1">
      <c r="B1479" s="56"/>
      <c r="U1479" s="46" t="str">
        <f t="array" ref="U1479">IF($D1479="","",IFERROR(_xlfn.XLOOKUP($D1479,'TIR店舗一覧'!$D:$D,'TIR店舗一覧'!$E:$E,""),""))</f>
        <v/>
      </c>
      <c r="V1479" s="54" t="s">
        <v>2</v>
      </c>
      <c r="W1479" s="54" t="s">
        <v>2</v>
      </c>
      <c r="X1479" s="54" t="s">
        <v>2</v>
      </c>
      <c r="Y1479" s="54" t="s">
        <v>2</v>
      </c>
      <c r="Z1479" s="54" t="s">
        <v>2</v>
      </c>
      <c r="AA1479" s="54" t="s">
        <v>2</v>
      </c>
      <c r="AB1479" s="54" t="s">
        <v>2</v>
      </c>
      <c r="AC1479" s="54" t="s">
        <v>2</v>
      </c>
      <c r="AD1479" s="54" t="s">
        <v>2</v>
      </c>
      <c r="AE1479" s="54" t="s">
        <v>2</v>
      </c>
      <c r="AF1479" s="54" t="s">
        <v>2</v>
      </c>
      <c r="AG1479" s="54" t="s">
        <v>2</v>
      </c>
    </row>
    <row r="1480" ht="15.75" customHeight="1">
      <c r="B1480" s="56"/>
      <c r="U1480" s="46" t="str">
        <f t="array" ref="U1480">IF($D1480="","",IFERROR(_xlfn.XLOOKUP($D1480,'TIR店舗一覧'!$D:$D,'TIR店舗一覧'!$E:$E,""),""))</f>
        <v/>
      </c>
      <c r="V1480" s="54" t="s">
        <v>2</v>
      </c>
      <c r="W1480" s="54" t="s">
        <v>2</v>
      </c>
      <c r="X1480" s="54" t="s">
        <v>2</v>
      </c>
      <c r="Y1480" s="54" t="s">
        <v>2</v>
      </c>
      <c r="Z1480" s="54" t="s">
        <v>2</v>
      </c>
      <c r="AA1480" s="54" t="s">
        <v>2</v>
      </c>
      <c r="AB1480" s="54" t="s">
        <v>2</v>
      </c>
      <c r="AC1480" s="54" t="s">
        <v>2</v>
      </c>
      <c r="AD1480" s="54" t="s">
        <v>2</v>
      </c>
      <c r="AE1480" s="54" t="s">
        <v>2</v>
      </c>
      <c r="AF1480" s="54" t="s">
        <v>2</v>
      </c>
      <c r="AG1480" s="54" t="s">
        <v>2</v>
      </c>
    </row>
    <row r="1481" ht="15.75" customHeight="1">
      <c r="B1481" s="56"/>
      <c r="U1481" s="46" t="str">
        <f t="array" ref="U1481">IF($D1481="","",IFERROR(_xlfn.XLOOKUP($D1481,'TIR店舗一覧'!$D:$D,'TIR店舗一覧'!$E:$E,""),""))</f>
        <v/>
      </c>
      <c r="V1481" s="54" t="s">
        <v>2</v>
      </c>
      <c r="W1481" s="54" t="s">
        <v>2</v>
      </c>
      <c r="X1481" s="54" t="s">
        <v>2</v>
      </c>
      <c r="Y1481" s="54" t="s">
        <v>2</v>
      </c>
      <c r="Z1481" s="54" t="s">
        <v>2</v>
      </c>
      <c r="AA1481" s="54" t="s">
        <v>2</v>
      </c>
      <c r="AB1481" s="54" t="s">
        <v>2</v>
      </c>
      <c r="AC1481" s="54" t="s">
        <v>2</v>
      </c>
      <c r="AD1481" s="54" t="s">
        <v>2</v>
      </c>
      <c r="AE1481" s="54" t="s">
        <v>2</v>
      </c>
      <c r="AF1481" s="54" t="s">
        <v>2</v>
      </c>
      <c r="AG1481" s="54" t="s">
        <v>2</v>
      </c>
    </row>
    <row r="1482" ht="15.75" customHeight="1">
      <c r="B1482" s="56"/>
      <c r="U1482" s="46" t="str">
        <f t="array" ref="U1482">IF($D1482="","",IFERROR(_xlfn.XLOOKUP($D1482,'TIR店舗一覧'!$D:$D,'TIR店舗一覧'!$E:$E,""),""))</f>
        <v/>
      </c>
      <c r="V1482" s="54" t="s">
        <v>2</v>
      </c>
      <c r="W1482" s="54" t="s">
        <v>2</v>
      </c>
      <c r="X1482" s="54" t="s">
        <v>2</v>
      </c>
      <c r="Y1482" s="54" t="s">
        <v>2</v>
      </c>
      <c r="Z1482" s="54" t="s">
        <v>2</v>
      </c>
      <c r="AA1482" s="54" t="s">
        <v>2</v>
      </c>
      <c r="AB1482" s="54" t="s">
        <v>2</v>
      </c>
      <c r="AC1482" s="54" t="s">
        <v>2</v>
      </c>
      <c r="AD1482" s="54" t="s">
        <v>2</v>
      </c>
      <c r="AE1482" s="54" t="s">
        <v>2</v>
      </c>
      <c r="AF1482" s="54" t="s">
        <v>2</v>
      </c>
      <c r="AG1482" s="54" t="s">
        <v>2</v>
      </c>
    </row>
    <row r="1483" ht="15.75" customHeight="1">
      <c r="B1483" s="56"/>
      <c r="U1483" s="46" t="str">
        <f t="array" ref="U1483">IF($D1483="","",IFERROR(_xlfn.XLOOKUP($D1483,'TIR店舗一覧'!$D:$D,'TIR店舗一覧'!$E:$E,""),""))</f>
        <v/>
      </c>
      <c r="V1483" s="54" t="s">
        <v>2</v>
      </c>
      <c r="W1483" s="54" t="s">
        <v>2</v>
      </c>
      <c r="X1483" s="54" t="s">
        <v>2</v>
      </c>
      <c r="Y1483" s="54" t="s">
        <v>2</v>
      </c>
      <c r="Z1483" s="54" t="s">
        <v>2</v>
      </c>
      <c r="AA1483" s="54" t="s">
        <v>2</v>
      </c>
      <c r="AB1483" s="54" t="s">
        <v>2</v>
      </c>
      <c r="AC1483" s="54" t="s">
        <v>2</v>
      </c>
      <c r="AD1483" s="54" t="s">
        <v>2</v>
      </c>
      <c r="AE1483" s="54" t="s">
        <v>2</v>
      </c>
      <c r="AF1483" s="54" t="s">
        <v>2</v>
      </c>
      <c r="AG1483" s="54" t="s">
        <v>2</v>
      </c>
    </row>
    <row r="1484" ht="15.75" customHeight="1">
      <c r="B1484" s="56"/>
      <c r="U1484" s="46" t="str">
        <f t="array" ref="U1484">IF($D1484="","",IFERROR(_xlfn.XLOOKUP($D1484,'TIR店舗一覧'!$D:$D,'TIR店舗一覧'!$E:$E,""),""))</f>
        <v/>
      </c>
      <c r="V1484" s="54" t="s">
        <v>2</v>
      </c>
      <c r="W1484" s="54" t="s">
        <v>2</v>
      </c>
      <c r="X1484" s="54" t="s">
        <v>2</v>
      </c>
      <c r="Y1484" s="54" t="s">
        <v>2</v>
      </c>
      <c r="Z1484" s="54" t="s">
        <v>2</v>
      </c>
      <c r="AA1484" s="54" t="s">
        <v>2</v>
      </c>
      <c r="AB1484" s="54" t="s">
        <v>2</v>
      </c>
      <c r="AC1484" s="54" t="s">
        <v>2</v>
      </c>
      <c r="AD1484" s="54" t="s">
        <v>2</v>
      </c>
      <c r="AE1484" s="54" t="s">
        <v>2</v>
      </c>
      <c r="AF1484" s="54" t="s">
        <v>2</v>
      </c>
      <c r="AG1484" s="54" t="s">
        <v>2</v>
      </c>
    </row>
    <row r="1485" ht="15.75" customHeight="1">
      <c r="B1485" s="56"/>
      <c r="U1485" s="46" t="str">
        <f t="array" ref="U1485">IF($D1485="","",IFERROR(_xlfn.XLOOKUP($D1485,'TIR店舗一覧'!$D:$D,'TIR店舗一覧'!$E:$E,""),""))</f>
        <v/>
      </c>
      <c r="V1485" s="54" t="s">
        <v>2</v>
      </c>
      <c r="W1485" s="54" t="s">
        <v>2</v>
      </c>
      <c r="X1485" s="54" t="s">
        <v>2</v>
      </c>
      <c r="Y1485" s="54" t="s">
        <v>2</v>
      </c>
      <c r="Z1485" s="54" t="s">
        <v>2</v>
      </c>
      <c r="AA1485" s="54" t="s">
        <v>2</v>
      </c>
      <c r="AB1485" s="54" t="s">
        <v>2</v>
      </c>
      <c r="AC1485" s="54" t="s">
        <v>2</v>
      </c>
      <c r="AD1485" s="54" t="s">
        <v>2</v>
      </c>
      <c r="AE1485" s="54" t="s">
        <v>2</v>
      </c>
      <c r="AF1485" s="54" t="s">
        <v>2</v>
      </c>
      <c r="AG1485" s="54" t="s">
        <v>2</v>
      </c>
    </row>
    <row r="1486" ht="15.75" customHeight="1">
      <c r="B1486" s="56"/>
      <c r="U1486" s="46" t="str">
        <f t="array" ref="U1486">IF($D1486="","",IFERROR(_xlfn.XLOOKUP($D1486,'TIR店舗一覧'!$D:$D,'TIR店舗一覧'!$E:$E,""),""))</f>
        <v/>
      </c>
      <c r="V1486" s="54" t="s">
        <v>2</v>
      </c>
      <c r="W1486" s="54" t="s">
        <v>2</v>
      </c>
      <c r="X1486" s="54" t="s">
        <v>2</v>
      </c>
      <c r="Y1486" s="54" t="s">
        <v>2</v>
      </c>
      <c r="Z1486" s="54" t="s">
        <v>2</v>
      </c>
      <c r="AA1486" s="54" t="s">
        <v>2</v>
      </c>
      <c r="AB1486" s="54" t="s">
        <v>2</v>
      </c>
      <c r="AC1486" s="54" t="s">
        <v>2</v>
      </c>
      <c r="AD1486" s="54" t="s">
        <v>2</v>
      </c>
      <c r="AE1486" s="54" t="s">
        <v>2</v>
      </c>
      <c r="AF1486" s="54" t="s">
        <v>2</v>
      </c>
      <c r="AG1486" s="54" t="s">
        <v>2</v>
      </c>
    </row>
    <row r="1487" ht="15.75" customHeight="1">
      <c r="B1487" s="56"/>
      <c r="U1487" s="46" t="str">
        <f t="array" ref="U1487">IF($D1487="","",IFERROR(_xlfn.XLOOKUP($D1487,'TIR店舗一覧'!$D:$D,'TIR店舗一覧'!$E:$E,""),""))</f>
        <v/>
      </c>
      <c r="V1487" s="54" t="s">
        <v>2</v>
      </c>
      <c r="W1487" s="54" t="s">
        <v>2</v>
      </c>
      <c r="X1487" s="54" t="s">
        <v>2</v>
      </c>
      <c r="Y1487" s="54" t="s">
        <v>2</v>
      </c>
      <c r="Z1487" s="54" t="s">
        <v>2</v>
      </c>
      <c r="AA1487" s="54" t="s">
        <v>2</v>
      </c>
      <c r="AB1487" s="54" t="s">
        <v>2</v>
      </c>
      <c r="AC1487" s="54" t="s">
        <v>2</v>
      </c>
      <c r="AD1487" s="54" t="s">
        <v>2</v>
      </c>
      <c r="AE1487" s="54" t="s">
        <v>2</v>
      </c>
      <c r="AF1487" s="54" t="s">
        <v>2</v>
      </c>
      <c r="AG1487" s="54" t="s">
        <v>2</v>
      </c>
    </row>
    <row r="1488" ht="15.75" customHeight="1">
      <c r="B1488" s="56"/>
      <c r="U1488" s="46" t="str">
        <f t="array" ref="U1488">IF($D1488="","",IFERROR(_xlfn.XLOOKUP($D1488,'TIR店舗一覧'!$D:$D,'TIR店舗一覧'!$E:$E,""),""))</f>
        <v/>
      </c>
      <c r="V1488" s="54" t="s">
        <v>2</v>
      </c>
      <c r="W1488" s="54" t="s">
        <v>2</v>
      </c>
      <c r="X1488" s="54" t="s">
        <v>2</v>
      </c>
      <c r="Y1488" s="54" t="s">
        <v>2</v>
      </c>
      <c r="Z1488" s="54" t="s">
        <v>2</v>
      </c>
      <c r="AA1488" s="54" t="s">
        <v>2</v>
      </c>
      <c r="AB1488" s="54" t="s">
        <v>2</v>
      </c>
      <c r="AC1488" s="54" t="s">
        <v>2</v>
      </c>
      <c r="AD1488" s="54" t="s">
        <v>2</v>
      </c>
      <c r="AE1488" s="54" t="s">
        <v>2</v>
      </c>
      <c r="AF1488" s="54" t="s">
        <v>2</v>
      </c>
      <c r="AG1488" s="54" t="s">
        <v>2</v>
      </c>
    </row>
    <row r="1489" ht="15.75" customHeight="1">
      <c r="B1489" s="56"/>
      <c r="U1489" s="46" t="str">
        <f t="array" ref="U1489">IF($D1489="","",IFERROR(_xlfn.XLOOKUP($D1489,'TIR店舗一覧'!$D:$D,'TIR店舗一覧'!$E:$E,""),""))</f>
        <v/>
      </c>
      <c r="V1489" s="54" t="s">
        <v>2</v>
      </c>
      <c r="W1489" s="54" t="s">
        <v>2</v>
      </c>
      <c r="X1489" s="54" t="s">
        <v>2</v>
      </c>
      <c r="Y1489" s="54" t="s">
        <v>2</v>
      </c>
      <c r="Z1489" s="54" t="s">
        <v>2</v>
      </c>
      <c r="AA1489" s="54" t="s">
        <v>2</v>
      </c>
      <c r="AB1489" s="54" t="s">
        <v>2</v>
      </c>
      <c r="AC1489" s="54" t="s">
        <v>2</v>
      </c>
      <c r="AD1489" s="54" t="s">
        <v>2</v>
      </c>
      <c r="AE1489" s="54" t="s">
        <v>2</v>
      </c>
      <c r="AF1489" s="54" t="s">
        <v>2</v>
      </c>
      <c r="AG1489" s="54" t="s">
        <v>2</v>
      </c>
    </row>
    <row r="1490" ht="15.75" customHeight="1">
      <c r="B1490" s="56"/>
      <c r="U1490" s="46" t="str">
        <f t="array" ref="U1490">IF($D1490="","",IFERROR(_xlfn.XLOOKUP($D1490,'TIR店舗一覧'!$D:$D,'TIR店舗一覧'!$E:$E,""),""))</f>
        <v/>
      </c>
      <c r="V1490" s="54" t="s">
        <v>2</v>
      </c>
      <c r="W1490" s="54" t="s">
        <v>2</v>
      </c>
      <c r="X1490" s="54" t="s">
        <v>2</v>
      </c>
      <c r="Y1490" s="54" t="s">
        <v>2</v>
      </c>
      <c r="Z1490" s="54" t="s">
        <v>2</v>
      </c>
      <c r="AA1490" s="54" t="s">
        <v>2</v>
      </c>
      <c r="AB1490" s="54" t="s">
        <v>2</v>
      </c>
      <c r="AC1490" s="54" t="s">
        <v>2</v>
      </c>
      <c r="AD1490" s="54" t="s">
        <v>2</v>
      </c>
      <c r="AE1490" s="54" t="s">
        <v>2</v>
      </c>
      <c r="AF1490" s="54" t="s">
        <v>2</v>
      </c>
      <c r="AG1490" s="54" t="s">
        <v>2</v>
      </c>
    </row>
    <row r="1491" ht="15.75" customHeight="1">
      <c r="B1491" s="56"/>
      <c r="U1491" s="46" t="str">
        <f t="array" ref="U1491">IF($D1491="","",IFERROR(_xlfn.XLOOKUP($D1491,'TIR店舗一覧'!$D:$D,'TIR店舗一覧'!$E:$E,""),""))</f>
        <v/>
      </c>
      <c r="V1491" s="54" t="s">
        <v>2</v>
      </c>
      <c r="W1491" s="54" t="s">
        <v>2</v>
      </c>
      <c r="X1491" s="54" t="s">
        <v>2</v>
      </c>
      <c r="Y1491" s="54" t="s">
        <v>2</v>
      </c>
      <c r="Z1491" s="54" t="s">
        <v>2</v>
      </c>
      <c r="AA1491" s="54" t="s">
        <v>2</v>
      </c>
      <c r="AB1491" s="54" t="s">
        <v>2</v>
      </c>
      <c r="AC1491" s="54" t="s">
        <v>2</v>
      </c>
      <c r="AD1491" s="54" t="s">
        <v>2</v>
      </c>
      <c r="AE1491" s="54" t="s">
        <v>2</v>
      </c>
      <c r="AF1491" s="54" t="s">
        <v>2</v>
      </c>
      <c r="AG1491" s="54" t="s">
        <v>2</v>
      </c>
    </row>
    <row r="1492" ht="15.75" customHeight="1">
      <c r="B1492" s="56"/>
      <c r="U1492" s="46" t="str">
        <f t="array" ref="U1492">IF($D1492="","",IFERROR(_xlfn.XLOOKUP($D1492,'TIR店舗一覧'!$D:$D,'TIR店舗一覧'!$E:$E,""),""))</f>
        <v/>
      </c>
      <c r="V1492" s="54" t="s">
        <v>2</v>
      </c>
      <c r="W1492" s="54" t="s">
        <v>2</v>
      </c>
      <c r="X1492" s="54" t="s">
        <v>2</v>
      </c>
      <c r="Y1492" s="54" t="s">
        <v>2</v>
      </c>
      <c r="Z1492" s="54" t="s">
        <v>2</v>
      </c>
      <c r="AA1492" s="54" t="s">
        <v>2</v>
      </c>
      <c r="AB1492" s="54" t="s">
        <v>2</v>
      </c>
      <c r="AC1492" s="54" t="s">
        <v>2</v>
      </c>
      <c r="AD1492" s="54" t="s">
        <v>2</v>
      </c>
      <c r="AE1492" s="54" t="s">
        <v>2</v>
      </c>
      <c r="AF1492" s="54" t="s">
        <v>2</v>
      </c>
      <c r="AG1492" s="54" t="s">
        <v>2</v>
      </c>
    </row>
    <row r="1493" ht="15.75" customHeight="1">
      <c r="B1493" s="56"/>
      <c r="U1493" s="46" t="str">
        <f t="array" ref="U1493">IF($D1493="","",IFERROR(_xlfn.XLOOKUP($D1493,'TIR店舗一覧'!$D:$D,'TIR店舗一覧'!$E:$E,""),""))</f>
        <v/>
      </c>
      <c r="V1493" s="54" t="s">
        <v>2</v>
      </c>
      <c r="W1493" s="54" t="s">
        <v>2</v>
      </c>
      <c r="X1493" s="54" t="s">
        <v>2</v>
      </c>
      <c r="Y1493" s="54" t="s">
        <v>2</v>
      </c>
      <c r="Z1493" s="54" t="s">
        <v>2</v>
      </c>
      <c r="AA1493" s="54" t="s">
        <v>2</v>
      </c>
      <c r="AB1493" s="54" t="s">
        <v>2</v>
      </c>
      <c r="AC1493" s="54" t="s">
        <v>2</v>
      </c>
      <c r="AD1493" s="54" t="s">
        <v>2</v>
      </c>
      <c r="AE1493" s="54" t="s">
        <v>2</v>
      </c>
      <c r="AF1493" s="54" t="s">
        <v>2</v>
      </c>
      <c r="AG1493" s="54" t="s">
        <v>2</v>
      </c>
    </row>
    <row r="1494" ht="15.75" customHeight="1">
      <c r="B1494" s="56"/>
      <c r="U1494" s="46" t="str">
        <f t="array" ref="U1494">IF($D1494="","",IFERROR(_xlfn.XLOOKUP($D1494,'TIR店舗一覧'!$D:$D,'TIR店舗一覧'!$E:$E,""),""))</f>
        <v/>
      </c>
      <c r="V1494" s="54" t="s">
        <v>2</v>
      </c>
      <c r="W1494" s="54" t="s">
        <v>2</v>
      </c>
      <c r="X1494" s="54" t="s">
        <v>2</v>
      </c>
      <c r="Y1494" s="54" t="s">
        <v>2</v>
      </c>
      <c r="Z1494" s="54" t="s">
        <v>2</v>
      </c>
      <c r="AA1494" s="54" t="s">
        <v>2</v>
      </c>
      <c r="AB1494" s="54" t="s">
        <v>2</v>
      </c>
      <c r="AC1494" s="54" t="s">
        <v>2</v>
      </c>
      <c r="AD1494" s="54" t="s">
        <v>2</v>
      </c>
      <c r="AE1494" s="54" t="s">
        <v>2</v>
      </c>
      <c r="AF1494" s="54" t="s">
        <v>2</v>
      </c>
      <c r="AG1494" s="54" t="s">
        <v>2</v>
      </c>
    </row>
    <row r="1495" ht="15.75" customHeight="1">
      <c r="B1495" s="56"/>
      <c r="U1495" s="46" t="str">
        <f t="array" ref="U1495">IF($D1495="","",IFERROR(_xlfn.XLOOKUP($D1495,'TIR店舗一覧'!$D:$D,'TIR店舗一覧'!$E:$E,""),""))</f>
        <v/>
      </c>
      <c r="V1495" s="54" t="s">
        <v>2</v>
      </c>
      <c r="W1495" s="54" t="s">
        <v>2</v>
      </c>
      <c r="X1495" s="54" t="s">
        <v>2</v>
      </c>
      <c r="Y1495" s="54" t="s">
        <v>2</v>
      </c>
      <c r="Z1495" s="54" t="s">
        <v>2</v>
      </c>
      <c r="AA1495" s="54" t="s">
        <v>2</v>
      </c>
      <c r="AB1495" s="54" t="s">
        <v>2</v>
      </c>
      <c r="AC1495" s="54" t="s">
        <v>2</v>
      </c>
      <c r="AD1495" s="54" t="s">
        <v>2</v>
      </c>
      <c r="AE1495" s="54" t="s">
        <v>2</v>
      </c>
      <c r="AF1495" s="54" t="s">
        <v>2</v>
      </c>
      <c r="AG1495" s="54" t="s">
        <v>2</v>
      </c>
    </row>
    <row r="1496" ht="15.75" customHeight="1">
      <c r="B1496" s="56"/>
      <c r="U1496" s="46" t="str">
        <f t="array" ref="U1496">IF($D1496="","",IFERROR(_xlfn.XLOOKUP($D1496,'TIR店舗一覧'!$D:$D,'TIR店舗一覧'!$E:$E,""),""))</f>
        <v/>
      </c>
      <c r="V1496" s="54" t="s">
        <v>2</v>
      </c>
      <c r="W1496" s="54" t="s">
        <v>2</v>
      </c>
      <c r="X1496" s="54" t="s">
        <v>2</v>
      </c>
      <c r="Y1496" s="54" t="s">
        <v>2</v>
      </c>
      <c r="Z1496" s="54" t="s">
        <v>2</v>
      </c>
      <c r="AA1496" s="54" t="s">
        <v>2</v>
      </c>
      <c r="AB1496" s="54" t="s">
        <v>2</v>
      </c>
      <c r="AC1496" s="54" t="s">
        <v>2</v>
      </c>
      <c r="AD1496" s="54" t="s">
        <v>2</v>
      </c>
      <c r="AE1496" s="54" t="s">
        <v>2</v>
      </c>
      <c r="AF1496" s="54" t="s">
        <v>2</v>
      </c>
      <c r="AG1496" s="54" t="s">
        <v>2</v>
      </c>
    </row>
    <row r="1497" ht="15.75" customHeight="1">
      <c r="B1497" s="56"/>
      <c r="U1497" s="46" t="str">
        <f t="array" ref="U1497">IF($D1497="","",IFERROR(_xlfn.XLOOKUP($D1497,'TIR店舗一覧'!$D:$D,'TIR店舗一覧'!$E:$E,""),""))</f>
        <v/>
      </c>
      <c r="V1497" s="54" t="s">
        <v>2</v>
      </c>
      <c r="W1497" s="54" t="s">
        <v>2</v>
      </c>
      <c r="X1497" s="54" t="s">
        <v>2</v>
      </c>
      <c r="Y1497" s="54" t="s">
        <v>2</v>
      </c>
      <c r="Z1497" s="54" t="s">
        <v>2</v>
      </c>
      <c r="AA1497" s="54" t="s">
        <v>2</v>
      </c>
      <c r="AB1497" s="54" t="s">
        <v>2</v>
      </c>
      <c r="AC1497" s="54" t="s">
        <v>2</v>
      </c>
      <c r="AD1497" s="54" t="s">
        <v>2</v>
      </c>
      <c r="AE1497" s="54" t="s">
        <v>2</v>
      </c>
      <c r="AF1497" s="54" t="s">
        <v>2</v>
      </c>
      <c r="AG1497" s="54" t="s">
        <v>2</v>
      </c>
    </row>
    <row r="1498" ht="15.75" customHeight="1">
      <c r="B1498" s="56"/>
      <c r="U1498" s="46" t="str">
        <f t="array" ref="U1498">IF($D1498="","",IFERROR(_xlfn.XLOOKUP($D1498,'TIR店舗一覧'!$D:$D,'TIR店舗一覧'!$E:$E,""),""))</f>
        <v/>
      </c>
      <c r="V1498" s="54" t="s">
        <v>2</v>
      </c>
      <c r="W1498" s="54" t="s">
        <v>2</v>
      </c>
      <c r="X1498" s="54" t="s">
        <v>2</v>
      </c>
      <c r="Y1498" s="54" t="s">
        <v>2</v>
      </c>
      <c r="Z1498" s="54" t="s">
        <v>2</v>
      </c>
      <c r="AA1498" s="54" t="s">
        <v>2</v>
      </c>
      <c r="AB1498" s="54" t="s">
        <v>2</v>
      </c>
      <c r="AC1498" s="54" t="s">
        <v>2</v>
      </c>
      <c r="AD1498" s="54" t="s">
        <v>2</v>
      </c>
      <c r="AE1498" s="54" t="s">
        <v>2</v>
      </c>
      <c r="AF1498" s="54" t="s">
        <v>2</v>
      </c>
      <c r="AG1498" s="54" t="s">
        <v>2</v>
      </c>
    </row>
    <row r="1499" ht="15.75" customHeight="1">
      <c r="B1499" s="56"/>
      <c r="U1499" s="46" t="str">
        <f t="array" ref="U1499">IF($D1499="","",IFERROR(_xlfn.XLOOKUP($D1499,'TIR店舗一覧'!$D:$D,'TIR店舗一覧'!$E:$E,""),""))</f>
        <v/>
      </c>
      <c r="V1499" s="54" t="s">
        <v>2</v>
      </c>
      <c r="W1499" s="54" t="s">
        <v>2</v>
      </c>
      <c r="X1499" s="54" t="s">
        <v>2</v>
      </c>
      <c r="Y1499" s="54" t="s">
        <v>2</v>
      </c>
      <c r="Z1499" s="54" t="s">
        <v>2</v>
      </c>
      <c r="AA1499" s="54" t="s">
        <v>2</v>
      </c>
      <c r="AB1499" s="54" t="s">
        <v>2</v>
      </c>
      <c r="AC1499" s="54" t="s">
        <v>2</v>
      </c>
      <c r="AD1499" s="54" t="s">
        <v>2</v>
      </c>
      <c r="AE1499" s="54" t="s">
        <v>2</v>
      </c>
      <c r="AF1499" s="54" t="s">
        <v>2</v>
      </c>
      <c r="AG1499" s="54" t="s">
        <v>2</v>
      </c>
    </row>
    <row r="1500" ht="15.75" customHeight="1">
      <c r="B1500" s="56"/>
      <c r="U1500" s="46" t="str">
        <f t="array" ref="U1500">IF($D1500="","",IFERROR(_xlfn.XLOOKUP($D1500,'TIR店舗一覧'!$D:$D,'TIR店舗一覧'!$E:$E,""),""))</f>
        <v/>
      </c>
      <c r="V1500" s="54" t="s">
        <v>2</v>
      </c>
      <c r="W1500" s="54" t="s">
        <v>2</v>
      </c>
      <c r="X1500" s="54" t="s">
        <v>2</v>
      </c>
      <c r="Y1500" s="54" t="s">
        <v>2</v>
      </c>
      <c r="Z1500" s="54" t="s">
        <v>2</v>
      </c>
      <c r="AA1500" s="54" t="s">
        <v>2</v>
      </c>
      <c r="AB1500" s="54" t="s">
        <v>2</v>
      </c>
      <c r="AC1500" s="54" t="s">
        <v>2</v>
      </c>
      <c r="AD1500" s="54" t="s">
        <v>2</v>
      </c>
      <c r="AE1500" s="54" t="s">
        <v>2</v>
      </c>
      <c r="AF1500" s="54" t="s">
        <v>2</v>
      </c>
      <c r="AG1500" s="54" t="s">
        <v>2</v>
      </c>
    </row>
    <row r="1501" ht="15.75" customHeight="1">
      <c r="B1501" s="56"/>
      <c r="U1501" s="46" t="str">
        <f t="array" ref="U1501">IF($D1501="","",IFERROR(_xlfn.XLOOKUP($D1501,'TIR店舗一覧'!$D:$D,'TIR店舗一覧'!$E:$E,""),""))</f>
        <v/>
      </c>
      <c r="V1501" s="54" t="s">
        <v>2</v>
      </c>
      <c r="W1501" s="54" t="s">
        <v>2</v>
      </c>
      <c r="X1501" s="54" t="s">
        <v>2</v>
      </c>
      <c r="Y1501" s="54" t="s">
        <v>2</v>
      </c>
      <c r="Z1501" s="54" t="s">
        <v>2</v>
      </c>
      <c r="AA1501" s="54" t="s">
        <v>2</v>
      </c>
      <c r="AB1501" s="54" t="s">
        <v>2</v>
      </c>
      <c r="AC1501" s="54" t="s">
        <v>2</v>
      </c>
      <c r="AD1501" s="54" t="s">
        <v>2</v>
      </c>
      <c r="AE1501" s="54" t="s">
        <v>2</v>
      </c>
      <c r="AF1501" s="54" t="s">
        <v>2</v>
      </c>
      <c r="AG1501" s="54" t="s">
        <v>2</v>
      </c>
    </row>
    <row r="1502" ht="15.75" customHeight="1">
      <c r="B1502" s="56"/>
      <c r="U1502" s="46" t="str">
        <f t="array" ref="U1502">IF($D1502="","",IFERROR(_xlfn.XLOOKUP($D1502,'TIR店舗一覧'!$D:$D,'TIR店舗一覧'!$E:$E,""),""))</f>
        <v/>
      </c>
      <c r="V1502" s="54" t="s">
        <v>2</v>
      </c>
      <c r="W1502" s="54" t="s">
        <v>2</v>
      </c>
      <c r="X1502" s="54" t="s">
        <v>2</v>
      </c>
      <c r="Y1502" s="54" t="s">
        <v>2</v>
      </c>
      <c r="Z1502" s="54" t="s">
        <v>2</v>
      </c>
      <c r="AA1502" s="54" t="s">
        <v>2</v>
      </c>
      <c r="AB1502" s="54" t="s">
        <v>2</v>
      </c>
      <c r="AC1502" s="54" t="s">
        <v>2</v>
      </c>
      <c r="AD1502" s="54" t="s">
        <v>2</v>
      </c>
      <c r="AE1502" s="54" t="s">
        <v>2</v>
      </c>
      <c r="AF1502" s="54" t="s">
        <v>2</v>
      </c>
      <c r="AG1502" s="54" t="s">
        <v>2</v>
      </c>
    </row>
    <row r="1503" ht="15.75" customHeight="1">
      <c r="B1503" s="56"/>
      <c r="U1503" s="46" t="str">
        <f t="array" ref="U1503">IF($D1503="","",IFERROR(_xlfn.XLOOKUP($D1503,'TIR店舗一覧'!$D:$D,'TIR店舗一覧'!$E:$E,""),""))</f>
        <v/>
      </c>
      <c r="V1503" s="54" t="s">
        <v>2</v>
      </c>
      <c r="W1503" s="54" t="s">
        <v>2</v>
      </c>
      <c r="X1503" s="54" t="s">
        <v>2</v>
      </c>
      <c r="Y1503" s="54" t="s">
        <v>2</v>
      </c>
      <c r="Z1503" s="54" t="s">
        <v>2</v>
      </c>
      <c r="AA1503" s="54" t="s">
        <v>2</v>
      </c>
      <c r="AB1503" s="54" t="s">
        <v>2</v>
      </c>
      <c r="AC1503" s="54" t="s">
        <v>2</v>
      </c>
      <c r="AD1503" s="54" t="s">
        <v>2</v>
      </c>
      <c r="AE1503" s="54" t="s">
        <v>2</v>
      </c>
      <c r="AF1503" s="54" t="s">
        <v>2</v>
      </c>
      <c r="AG1503" s="54" t="s">
        <v>2</v>
      </c>
    </row>
    <row r="1504" ht="15.75" customHeight="1">
      <c r="B1504" s="56"/>
      <c r="U1504" s="46" t="str">
        <f t="array" ref="U1504">IF($D1504="","",IFERROR(_xlfn.XLOOKUP($D1504,'TIR店舗一覧'!$D:$D,'TIR店舗一覧'!$E:$E,""),""))</f>
        <v/>
      </c>
      <c r="V1504" s="54" t="s">
        <v>2</v>
      </c>
      <c r="W1504" s="54" t="s">
        <v>2</v>
      </c>
      <c r="X1504" s="54" t="s">
        <v>2</v>
      </c>
      <c r="Y1504" s="54" t="s">
        <v>2</v>
      </c>
      <c r="Z1504" s="54" t="s">
        <v>2</v>
      </c>
      <c r="AA1504" s="54" t="s">
        <v>2</v>
      </c>
      <c r="AB1504" s="54" t="s">
        <v>2</v>
      </c>
      <c r="AC1504" s="54" t="s">
        <v>2</v>
      </c>
      <c r="AD1504" s="54" t="s">
        <v>2</v>
      </c>
      <c r="AE1504" s="54" t="s">
        <v>2</v>
      </c>
      <c r="AF1504" s="54" t="s">
        <v>2</v>
      </c>
      <c r="AG1504" s="54" t="s">
        <v>2</v>
      </c>
    </row>
    <row r="1505" ht="15.75" customHeight="1">
      <c r="B1505" s="56"/>
      <c r="U1505" s="46" t="str">
        <f t="array" ref="U1505">IF($D1505="","",IFERROR(_xlfn.XLOOKUP($D1505,'TIR店舗一覧'!$D:$D,'TIR店舗一覧'!$E:$E,""),""))</f>
        <v/>
      </c>
      <c r="V1505" s="54" t="s">
        <v>2</v>
      </c>
      <c r="W1505" s="54" t="s">
        <v>2</v>
      </c>
      <c r="X1505" s="54" t="s">
        <v>2</v>
      </c>
      <c r="Y1505" s="54" t="s">
        <v>2</v>
      </c>
      <c r="Z1505" s="54" t="s">
        <v>2</v>
      </c>
      <c r="AA1505" s="54" t="s">
        <v>2</v>
      </c>
      <c r="AB1505" s="54" t="s">
        <v>2</v>
      </c>
      <c r="AC1505" s="54" t="s">
        <v>2</v>
      </c>
      <c r="AD1505" s="54" t="s">
        <v>2</v>
      </c>
      <c r="AE1505" s="54" t="s">
        <v>2</v>
      </c>
      <c r="AF1505" s="54" t="s">
        <v>2</v>
      </c>
      <c r="AG1505" s="54" t="s">
        <v>2</v>
      </c>
    </row>
    <row r="1506" ht="15.75" customHeight="1">
      <c r="B1506" s="56"/>
      <c r="U1506" s="46" t="str">
        <f t="array" ref="U1506">IF($D1506="","",IFERROR(_xlfn.XLOOKUP($D1506,'TIR店舗一覧'!$D:$D,'TIR店舗一覧'!$E:$E,""),""))</f>
        <v/>
      </c>
      <c r="V1506" s="54" t="s">
        <v>2</v>
      </c>
      <c r="W1506" s="54" t="s">
        <v>2</v>
      </c>
      <c r="X1506" s="54" t="s">
        <v>2</v>
      </c>
      <c r="Y1506" s="54" t="s">
        <v>2</v>
      </c>
      <c r="Z1506" s="54" t="s">
        <v>2</v>
      </c>
      <c r="AA1506" s="54" t="s">
        <v>2</v>
      </c>
      <c r="AB1506" s="54" t="s">
        <v>2</v>
      </c>
      <c r="AC1506" s="54" t="s">
        <v>2</v>
      </c>
      <c r="AD1506" s="54" t="s">
        <v>2</v>
      </c>
      <c r="AE1506" s="54" t="s">
        <v>2</v>
      </c>
      <c r="AF1506" s="54" t="s">
        <v>2</v>
      </c>
      <c r="AG1506" s="54" t="s">
        <v>2</v>
      </c>
    </row>
    <row r="1507" ht="15.75" customHeight="1">
      <c r="B1507" s="56"/>
      <c r="U1507" s="46" t="str">
        <f t="array" ref="U1507">IF($D1507="","",IFERROR(_xlfn.XLOOKUP($D1507,'TIR店舗一覧'!$D:$D,'TIR店舗一覧'!$E:$E,""),""))</f>
        <v/>
      </c>
      <c r="V1507" s="54" t="s">
        <v>2</v>
      </c>
      <c r="W1507" s="54" t="s">
        <v>2</v>
      </c>
      <c r="X1507" s="54" t="s">
        <v>2</v>
      </c>
      <c r="Y1507" s="54" t="s">
        <v>2</v>
      </c>
      <c r="Z1507" s="54" t="s">
        <v>2</v>
      </c>
      <c r="AA1507" s="54" t="s">
        <v>2</v>
      </c>
      <c r="AB1507" s="54" t="s">
        <v>2</v>
      </c>
      <c r="AC1507" s="54" t="s">
        <v>2</v>
      </c>
      <c r="AD1507" s="54" t="s">
        <v>2</v>
      </c>
      <c r="AE1507" s="54" t="s">
        <v>2</v>
      </c>
      <c r="AF1507" s="54" t="s">
        <v>2</v>
      </c>
      <c r="AG1507" s="54" t="s">
        <v>2</v>
      </c>
    </row>
    <row r="1508" ht="15.75" customHeight="1">
      <c r="B1508" s="56"/>
      <c r="U1508" s="46" t="str">
        <f t="array" ref="U1508">IF($D1508="","",IFERROR(_xlfn.XLOOKUP($D1508,'TIR店舗一覧'!$D:$D,'TIR店舗一覧'!$E:$E,""),""))</f>
        <v/>
      </c>
      <c r="V1508" s="54" t="s">
        <v>2</v>
      </c>
      <c r="W1508" s="54" t="s">
        <v>2</v>
      </c>
      <c r="X1508" s="54" t="s">
        <v>2</v>
      </c>
      <c r="Y1508" s="54" t="s">
        <v>2</v>
      </c>
      <c r="Z1508" s="54" t="s">
        <v>2</v>
      </c>
      <c r="AA1508" s="54" t="s">
        <v>2</v>
      </c>
      <c r="AB1508" s="54" t="s">
        <v>2</v>
      </c>
      <c r="AC1508" s="54" t="s">
        <v>2</v>
      </c>
      <c r="AD1508" s="54" t="s">
        <v>2</v>
      </c>
      <c r="AE1508" s="54" t="s">
        <v>2</v>
      </c>
      <c r="AF1508" s="54" t="s">
        <v>2</v>
      </c>
      <c r="AG1508" s="54" t="s">
        <v>2</v>
      </c>
    </row>
    <row r="1509" ht="15.75" customHeight="1">
      <c r="B1509" s="56"/>
      <c r="U1509" s="46" t="str">
        <f t="array" ref="U1509">IF($D1509="","",IFERROR(_xlfn.XLOOKUP($D1509,'TIR店舗一覧'!$D:$D,'TIR店舗一覧'!$E:$E,""),""))</f>
        <v/>
      </c>
      <c r="V1509" s="54" t="s">
        <v>2</v>
      </c>
      <c r="W1509" s="54" t="s">
        <v>2</v>
      </c>
      <c r="X1509" s="54" t="s">
        <v>2</v>
      </c>
      <c r="Y1509" s="54" t="s">
        <v>2</v>
      </c>
      <c r="Z1509" s="54" t="s">
        <v>2</v>
      </c>
      <c r="AA1509" s="54" t="s">
        <v>2</v>
      </c>
      <c r="AB1509" s="54" t="s">
        <v>2</v>
      </c>
      <c r="AC1509" s="54" t="s">
        <v>2</v>
      </c>
      <c r="AD1509" s="54" t="s">
        <v>2</v>
      </c>
      <c r="AE1509" s="54" t="s">
        <v>2</v>
      </c>
      <c r="AF1509" s="54" t="s">
        <v>2</v>
      </c>
      <c r="AG1509" s="54" t="s">
        <v>2</v>
      </c>
    </row>
    <row r="1510" ht="15.75" customHeight="1">
      <c r="B1510" s="56"/>
      <c r="U1510" s="46" t="str">
        <f t="array" ref="U1510">IF($D1510="","",IFERROR(_xlfn.XLOOKUP($D1510,'TIR店舗一覧'!$D:$D,'TIR店舗一覧'!$E:$E,""),""))</f>
        <v/>
      </c>
      <c r="V1510" s="54" t="s">
        <v>2</v>
      </c>
      <c r="W1510" s="54" t="s">
        <v>2</v>
      </c>
      <c r="X1510" s="54" t="s">
        <v>2</v>
      </c>
      <c r="Y1510" s="54" t="s">
        <v>2</v>
      </c>
      <c r="Z1510" s="54" t="s">
        <v>2</v>
      </c>
      <c r="AA1510" s="54" t="s">
        <v>2</v>
      </c>
      <c r="AB1510" s="54" t="s">
        <v>2</v>
      </c>
      <c r="AC1510" s="54" t="s">
        <v>2</v>
      </c>
      <c r="AD1510" s="54" t="s">
        <v>2</v>
      </c>
      <c r="AE1510" s="54" t="s">
        <v>2</v>
      </c>
      <c r="AF1510" s="54" t="s">
        <v>2</v>
      </c>
      <c r="AG1510" s="54" t="s">
        <v>2</v>
      </c>
    </row>
    <row r="1511" ht="15.75" customHeight="1">
      <c r="B1511" s="56"/>
      <c r="U1511" s="46" t="str">
        <f t="array" ref="U1511">IF($D1511="","",IFERROR(_xlfn.XLOOKUP($D1511,'TIR店舗一覧'!$D:$D,'TIR店舗一覧'!$E:$E,""),""))</f>
        <v/>
      </c>
      <c r="V1511" s="54" t="s">
        <v>2</v>
      </c>
      <c r="W1511" s="54" t="s">
        <v>2</v>
      </c>
      <c r="X1511" s="54" t="s">
        <v>2</v>
      </c>
      <c r="Y1511" s="54" t="s">
        <v>2</v>
      </c>
      <c r="Z1511" s="54" t="s">
        <v>2</v>
      </c>
      <c r="AA1511" s="54" t="s">
        <v>2</v>
      </c>
      <c r="AB1511" s="54" t="s">
        <v>2</v>
      </c>
      <c r="AC1511" s="54" t="s">
        <v>2</v>
      </c>
      <c r="AD1511" s="54" t="s">
        <v>2</v>
      </c>
      <c r="AE1511" s="54" t="s">
        <v>2</v>
      </c>
      <c r="AF1511" s="54" t="s">
        <v>2</v>
      </c>
      <c r="AG1511" s="54" t="s">
        <v>2</v>
      </c>
    </row>
    <row r="1512" ht="15.75" customHeight="1">
      <c r="B1512" s="56"/>
      <c r="U1512" s="46" t="str">
        <f t="array" ref="U1512">IF($D1512="","",IFERROR(_xlfn.XLOOKUP($D1512,'TIR店舗一覧'!$D:$D,'TIR店舗一覧'!$E:$E,""),""))</f>
        <v/>
      </c>
      <c r="V1512" s="54" t="s">
        <v>2</v>
      </c>
      <c r="W1512" s="54" t="s">
        <v>2</v>
      </c>
      <c r="X1512" s="54" t="s">
        <v>2</v>
      </c>
      <c r="Y1512" s="54" t="s">
        <v>2</v>
      </c>
      <c r="Z1512" s="54" t="s">
        <v>2</v>
      </c>
      <c r="AA1512" s="54" t="s">
        <v>2</v>
      </c>
      <c r="AB1512" s="54" t="s">
        <v>2</v>
      </c>
      <c r="AC1512" s="54" t="s">
        <v>2</v>
      </c>
      <c r="AD1512" s="54" t="s">
        <v>2</v>
      </c>
      <c r="AE1512" s="54" t="s">
        <v>2</v>
      </c>
      <c r="AF1512" s="54" t="s">
        <v>2</v>
      </c>
      <c r="AG1512" s="54" t="s">
        <v>2</v>
      </c>
    </row>
    <row r="1513" ht="15.75" customHeight="1">
      <c r="B1513" s="56"/>
      <c r="U1513" s="46" t="str">
        <f t="array" ref="U1513">IF($D1513="","",IFERROR(_xlfn.XLOOKUP($D1513,'TIR店舗一覧'!$D:$D,'TIR店舗一覧'!$E:$E,""),""))</f>
        <v/>
      </c>
      <c r="V1513" s="54" t="s">
        <v>2</v>
      </c>
      <c r="W1513" s="54" t="s">
        <v>2</v>
      </c>
      <c r="X1513" s="54" t="s">
        <v>2</v>
      </c>
      <c r="Y1513" s="54" t="s">
        <v>2</v>
      </c>
      <c r="Z1513" s="54" t="s">
        <v>2</v>
      </c>
      <c r="AA1513" s="54" t="s">
        <v>2</v>
      </c>
      <c r="AB1513" s="54" t="s">
        <v>2</v>
      </c>
      <c r="AC1513" s="54" t="s">
        <v>2</v>
      </c>
      <c r="AD1513" s="54" t="s">
        <v>2</v>
      </c>
      <c r="AE1513" s="54" t="s">
        <v>2</v>
      </c>
      <c r="AF1513" s="54" t="s">
        <v>2</v>
      </c>
      <c r="AG1513" s="54" t="s">
        <v>2</v>
      </c>
    </row>
    <row r="1514" ht="15.75" customHeight="1">
      <c r="B1514" s="56"/>
      <c r="U1514" s="46" t="str">
        <f t="array" ref="U1514">IF($D1514="","",IFERROR(_xlfn.XLOOKUP($D1514,'TIR店舗一覧'!$D:$D,'TIR店舗一覧'!$E:$E,""),""))</f>
        <v/>
      </c>
      <c r="V1514" s="54" t="s">
        <v>2</v>
      </c>
      <c r="W1514" s="54" t="s">
        <v>2</v>
      </c>
      <c r="X1514" s="54" t="s">
        <v>2</v>
      </c>
      <c r="Y1514" s="54" t="s">
        <v>2</v>
      </c>
      <c r="Z1514" s="54" t="s">
        <v>2</v>
      </c>
      <c r="AA1514" s="54" t="s">
        <v>2</v>
      </c>
      <c r="AB1514" s="54" t="s">
        <v>2</v>
      </c>
      <c r="AC1514" s="54" t="s">
        <v>2</v>
      </c>
      <c r="AD1514" s="54" t="s">
        <v>2</v>
      </c>
      <c r="AE1514" s="54" t="s">
        <v>2</v>
      </c>
      <c r="AF1514" s="54" t="s">
        <v>2</v>
      </c>
      <c r="AG1514" s="54" t="s">
        <v>2</v>
      </c>
    </row>
    <row r="1515" ht="15.75" customHeight="1">
      <c r="B1515" s="56"/>
      <c r="U1515" s="46" t="str">
        <f t="array" ref="U1515">IF($D1515="","",IFERROR(_xlfn.XLOOKUP($D1515,'TIR店舗一覧'!$D:$D,'TIR店舗一覧'!$E:$E,""),""))</f>
        <v/>
      </c>
      <c r="V1515" s="54" t="s">
        <v>2</v>
      </c>
      <c r="W1515" s="54" t="s">
        <v>2</v>
      </c>
      <c r="X1515" s="54" t="s">
        <v>2</v>
      </c>
      <c r="Y1515" s="54" t="s">
        <v>2</v>
      </c>
      <c r="Z1515" s="54" t="s">
        <v>2</v>
      </c>
      <c r="AA1515" s="54" t="s">
        <v>2</v>
      </c>
      <c r="AB1515" s="54" t="s">
        <v>2</v>
      </c>
      <c r="AC1515" s="54" t="s">
        <v>2</v>
      </c>
      <c r="AD1515" s="54" t="s">
        <v>2</v>
      </c>
      <c r="AE1515" s="54" t="s">
        <v>2</v>
      </c>
      <c r="AF1515" s="54" t="s">
        <v>2</v>
      </c>
      <c r="AG1515" s="54" t="s">
        <v>2</v>
      </c>
    </row>
    <row r="1516" ht="15.75" customHeight="1">
      <c r="B1516" s="56"/>
      <c r="U1516" s="46" t="str">
        <f t="array" ref="U1516">IF($D1516="","",IFERROR(_xlfn.XLOOKUP($D1516,'TIR店舗一覧'!$D:$D,'TIR店舗一覧'!$E:$E,""),""))</f>
        <v/>
      </c>
      <c r="V1516" s="54" t="s">
        <v>2</v>
      </c>
      <c r="W1516" s="54" t="s">
        <v>2</v>
      </c>
      <c r="X1516" s="54" t="s">
        <v>2</v>
      </c>
      <c r="Y1516" s="54" t="s">
        <v>2</v>
      </c>
      <c r="Z1516" s="54" t="s">
        <v>2</v>
      </c>
      <c r="AA1516" s="54" t="s">
        <v>2</v>
      </c>
      <c r="AB1516" s="54" t="s">
        <v>2</v>
      </c>
      <c r="AC1516" s="54" t="s">
        <v>2</v>
      </c>
      <c r="AD1516" s="54" t="s">
        <v>2</v>
      </c>
      <c r="AE1516" s="54" t="s">
        <v>2</v>
      </c>
      <c r="AF1516" s="54" t="s">
        <v>2</v>
      </c>
      <c r="AG1516" s="54" t="s">
        <v>2</v>
      </c>
    </row>
    <row r="1517" ht="15.75" customHeight="1">
      <c r="B1517" s="56"/>
      <c r="U1517" s="46" t="str">
        <f t="array" ref="U1517">IF($D1517="","",IFERROR(_xlfn.XLOOKUP($D1517,'TIR店舗一覧'!$D:$D,'TIR店舗一覧'!$E:$E,""),""))</f>
        <v/>
      </c>
      <c r="V1517" s="54" t="s">
        <v>2</v>
      </c>
      <c r="W1517" s="54" t="s">
        <v>2</v>
      </c>
      <c r="X1517" s="54" t="s">
        <v>2</v>
      </c>
      <c r="Y1517" s="54" t="s">
        <v>2</v>
      </c>
      <c r="Z1517" s="54" t="s">
        <v>2</v>
      </c>
      <c r="AA1517" s="54" t="s">
        <v>2</v>
      </c>
      <c r="AB1517" s="54" t="s">
        <v>2</v>
      </c>
      <c r="AC1517" s="54" t="s">
        <v>2</v>
      </c>
      <c r="AD1517" s="54" t="s">
        <v>2</v>
      </c>
      <c r="AE1517" s="54" t="s">
        <v>2</v>
      </c>
      <c r="AF1517" s="54" t="s">
        <v>2</v>
      </c>
      <c r="AG1517" s="54" t="s">
        <v>2</v>
      </c>
    </row>
    <row r="1518" ht="15.75" customHeight="1">
      <c r="B1518" s="56"/>
      <c r="U1518" s="46" t="str">
        <f t="array" ref="U1518">IF($D1518="","",IFERROR(_xlfn.XLOOKUP($D1518,'TIR店舗一覧'!$D:$D,'TIR店舗一覧'!$E:$E,""),""))</f>
        <v/>
      </c>
      <c r="V1518" s="54" t="s">
        <v>2</v>
      </c>
      <c r="W1518" s="54" t="s">
        <v>2</v>
      </c>
      <c r="X1518" s="54" t="s">
        <v>2</v>
      </c>
      <c r="Y1518" s="54" t="s">
        <v>2</v>
      </c>
      <c r="Z1518" s="54" t="s">
        <v>2</v>
      </c>
      <c r="AA1518" s="54" t="s">
        <v>2</v>
      </c>
      <c r="AB1518" s="54" t="s">
        <v>2</v>
      </c>
      <c r="AC1518" s="54" t="s">
        <v>2</v>
      </c>
      <c r="AD1518" s="54" t="s">
        <v>2</v>
      </c>
      <c r="AE1518" s="54" t="s">
        <v>2</v>
      </c>
      <c r="AF1518" s="54" t="s">
        <v>2</v>
      </c>
      <c r="AG1518" s="54" t="s">
        <v>2</v>
      </c>
    </row>
    <row r="1519" ht="15.75" customHeight="1">
      <c r="B1519" s="56"/>
      <c r="U1519" s="46" t="str">
        <f t="array" ref="U1519">IF($D1519="","",IFERROR(_xlfn.XLOOKUP($D1519,'TIR店舗一覧'!$D:$D,'TIR店舗一覧'!$E:$E,""),""))</f>
        <v/>
      </c>
      <c r="V1519" s="54" t="s">
        <v>2</v>
      </c>
      <c r="W1519" s="54" t="s">
        <v>2</v>
      </c>
      <c r="X1519" s="54" t="s">
        <v>2</v>
      </c>
      <c r="Y1519" s="54" t="s">
        <v>2</v>
      </c>
      <c r="Z1519" s="54" t="s">
        <v>2</v>
      </c>
      <c r="AA1519" s="54" t="s">
        <v>2</v>
      </c>
      <c r="AB1519" s="54" t="s">
        <v>2</v>
      </c>
      <c r="AC1519" s="54" t="s">
        <v>2</v>
      </c>
      <c r="AD1519" s="54" t="s">
        <v>2</v>
      </c>
      <c r="AE1519" s="54" t="s">
        <v>2</v>
      </c>
      <c r="AF1519" s="54" t="s">
        <v>2</v>
      </c>
      <c r="AG1519" s="54" t="s">
        <v>2</v>
      </c>
    </row>
    <row r="1520" ht="15.75" customHeight="1">
      <c r="B1520" s="56"/>
      <c r="U1520" s="46" t="str">
        <f t="array" ref="U1520">IF($D1520="","",IFERROR(_xlfn.XLOOKUP($D1520,'TIR店舗一覧'!$D:$D,'TIR店舗一覧'!$E:$E,""),""))</f>
        <v/>
      </c>
      <c r="V1520" s="54" t="s">
        <v>2</v>
      </c>
      <c r="W1520" s="54" t="s">
        <v>2</v>
      </c>
      <c r="X1520" s="54" t="s">
        <v>2</v>
      </c>
      <c r="Y1520" s="54" t="s">
        <v>2</v>
      </c>
      <c r="Z1520" s="54" t="s">
        <v>2</v>
      </c>
      <c r="AA1520" s="54" t="s">
        <v>2</v>
      </c>
      <c r="AB1520" s="54" t="s">
        <v>2</v>
      </c>
      <c r="AC1520" s="54" t="s">
        <v>2</v>
      </c>
      <c r="AD1520" s="54" t="s">
        <v>2</v>
      </c>
      <c r="AE1520" s="54" t="s">
        <v>2</v>
      </c>
      <c r="AF1520" s="54" t="s">
        <v>2</v>
      </c>
      <c r="AG1520" s="54" t="s">
        <v>2</v>
      </c>
    </row>
    <row r="1521" ht="15.75" customHeight="1">
      <c r="B1521" s="56"/>
      <c r="U1521" s="46" t="str">
        <f t="array" ref="U1521">IF($D1521="","",IFERROR(_xlfn.XLOOKUP($D1521,'TIR店舗一覧'!$D:$D,'TIR店舗一覧'!$E:$E,""),""))</f>
        <v/>
      </c>
      <c r="V1521" s="54" t="s">
        <v>2</v>
      </c>
      <c r="W1521" s="54" t="s">
        <v>2</v>
      </c>
      <c r="X1521" s="54" t="s">
        <v>2</v>
      </c>
      <c r="Y1521" s="54" t="s">
        <v>2</v>
      </c>
      <c r="Z1521" s="54" t="s">
        <v>2</v>
      </c>
      <c r="AA1521" s="54" t="s">
        <v>2</v>
      </c>
      <c r="AB1521" s="54" t="s">
        <v>2</v>
      </c>
      <c r="AC1521" s="54" t="s">
        <v>2</v>
      </c>
      <c r="AD1521" s="54" t="s">
        <v>2</v>
      </c>
      <c r="AE1521" s="54" t="s">
        <v>2</v>
      </c>
      <c r="AF1521" s="54" t="s">
        <v>2</v>
      </c>
      <c r="AG1521" s="54" t="s">
        <v>2</v>
      </c>
    </row>
    <row r="1522" ht="15.75" customHeight="1">
      <c r="B1522" s="56"/>
      <c r="U1522" s="46" t="str">
        <f t="array" ref="U1522">IF($D1522="","",IFERROR(_xlfn.XLOOKUP($D1522,'TIR店舗一覧'!$D:$D,'TIR店舗一覧'!$E:$E,""),""))</f>
        <v/>
      </c>
      <c r="V1522" s="54" t="s">
        <v>2</v>
      </c>
      <c r="W1522" s="54" t="s">
        <v>2</v>
      </c>
      <c r="X1522" s="54" t="s">
        <v>2</v>
      </c>
      <c r="Y1522" s="54" t="s">
        <v>2</v>
      </c>
      <c r="Z1522" s="54" t="s">
        <v>2</v>
      </c>
      <c r="AA1522" s="54" t="s">
        <v>2</v>
      </c>
      <c r="AB1522" s="54" t="s">
        <v>2</v>
      </c>
      <c r="AC1522" s="54" t="s">
        <v>2</v>
      </c>
      <c r="AD1522" s="54" t="s">
        <v>2</v>
      </c>
      <c r="AE1522" s="54" t="s">
        <v>2</v>
      </c>
      <c r="AF1522" s="54" t="s">
        <v>2</v>
      </c>
      <c r="AG1522" s="54" t="s">
        <v>2</v>
      </c>
    </row>
    <row r="1523" ht="15.75" customHeight="1">
      <c r="B1523" s="56"/>
      <c r="U1523" s="46" t="str">
        <f t="array" ref="U1523">IF($D1523="","",IFERROR(_xlfn.XLOOKUP($D1523,'TIR店舗一覧'!$D:$D,'TIR店舗一覧'!$E:$E,""),""))</f>
        <v/>
      </c>
      <c r="V1523" s="54" t="s">
        <v>2</v>
      </c>
      <c r="W1523" s="54" t="s">
        <v>2</v>
      </c>
      <c r="X1523" s="54" t="s">
        <v>2</v>
      </c>
      <c r="Y1523" s="54" t="s">
        <v>2</v>
      </c>
      <c r="Z1523" s="54" t="s">
        <v>2</v>
      </c>
      <c r="AA1523" s="54" t="s">
        <v>2</v>
      </c>
      <c r="AB1523" s="54" t="s">
        <v>2</v>
      </c>
      <c r="AC1523" s="54" t="s">
        <v>2</v>
      </c>
      <c r="AD1523" s="54" t="s">
        <v>2</v>
      </c>
      <c r="AE1523" s="54" t="s">
        <v>2</v>
      </c>
      <c r="AF1523" s="54" t="s">
        <v>2</v>
      </c>
      <c r="AG1523" s="54" t="s">
        <v>2</v>
      </c>
    </row>
    <row r="1524" ht="15.75" customHeight="1">
      <c r="B1524" s="56"/>
      <c r="U1524" s="46" t="str">
        <f t="array" ref="U1524">IF($D1524="","",IFERROR(_xlfn.XLOOKUP($D1524,'TIR店舗一覧'!$D:$D,'TIR店舗一覧'!$E:$E,""),""))</f>
        <v/>
      </c>
      <c r="V1524" s="54" t="s">
        <v>2</v>
      </c>
      <c r="W1524" s="54" t="s">
        <v>2</v>
      </c>
      <c r="X1524" s="54" t="s">
        <v>2</v>
      </c>
      <c r="Y1524" s="54" t="s">
        <v>2</v>
      </c>
      <c r="Z1524" s="54" t="s">
        <v>2</v>
      </c>
      <c r="AA1524" s="54" t="s">
        <v>2</v>
      </c>
      <c r="AB1524" s="54" t="s">
        <v>2</v>
      </c>
      <c r="AC1524" s="54" t="s">
        <v>2</v>
      </c>
      <c r="AD1524" s="54" t="s">
        <v>2</v>
      </c>
      <c r="AE1524" s="54" t="s">
        <v>2</v>
      </c>
      <c r="AF1524" s="54" t="s">
        <v>2</v>
      </c>
      <c r="AG1524" s="54" t="s">
        <v>2</v>
      </c>
    </row>
    <row r="1525" ht="15.75" customHeight="1">
      <c r="B1525" s="56"/>
      <c r="U1525" s="46" t="str">
        <f t="array" ref="U1525">IF($D1525="","",IFERROR(_xlfn.XLOOKUP($D1525,'TIR店舗一覧'!$D:$D,'TIR店舗一覧'!$E:$E,""),""))</f>
        <v/>
      </c>
      <c r="V1525" s="54" t="s">
        <v>2</v>
      </c>
      <c r="W1525" s="54" t="s">
        <v>2</v>
      </c>
      <c r="X1525" s="54" t="s">
        <v>2</v>
      </c>
      <c r="Y1525" s="54" t="s">
        <v>2</v>
      </c>
      <c r="Z1525" s="54" t="s">
        <v>2</v>
      </c>
      <c r="AA1525" s="54" t="s">
        <v>2</v>
      </c>
      <c r="AB1525" s="54" t="s">
        <v>2</v>
      </c>
      <c r="AC1525" s="54" t="s">
        <v>2</v>
      </c>
      <c r="AD1525" s="54" t="s">
        <v>2</v>
      </c>
      <c r="AE1525" s="54" t="s">
        <v>2</v>
      </c>
      <c r="AF1525" s="54" t="s">
        <v>2</v>
      </c>
      <c r="AG1525" s="54" t="s">
        <v>2</v>
      </c>
    </row>
    <row r="1526" ht="15.75" customHeight="1">
      <c r="B1526" s="56"/>
      <c r="U1526" s="46" t="str">
        <f t="array" ref="U1526">IF($D1526="","",IFERROR(_xlfn.XLOOKUP($D1526,'TIR店舗一覧'!$D:$D,'TIR店舗一覧'!$E:$E,""),""))</f>
        <v/>
      </c>
      <c r="V1526" s="54" t="s">
        <v>2</v>
      </c>
      <c r="W1526" s="54" t="s">
        <v>2</v>
      </c>
      <c r="X1526" s="54" t="s">
        <v>2</v>
      </c>
      <c r="Y1526" s="54" t="s">
        <v>2</v>
      </c>
      <c r="Z1526" s="54" t="s">
        <v>2</v>
      </c>
      <c r="AA1526" s="54" t="s">
        <v>2</v>
      </c>
      <c r="AB1526" s="54" t="s">
        <v>2</v>
      </c>
      <c r="AC1526" s="54" t="s">
        <v>2</v>
      </c>
      <c r="AD1526" s="54" t="s">
        <v>2</v>
      </c>
      <c r="AE1526" s="54" t="s">
        <v>2</v>
      </c>
      <c r="AF1526" s="54" t="s">
        <v>2</v>
      </c>
      <c r="AG1526" s="54" t="s">
        <v>2</v>
      </c>
    </row>
    <row r="1527" ht="15.75" customHeight="1">
      <c r="B1527" s="56"/>
      <c r="U1527" s="46" t="str">
        <f t="array" ref="U1527">IF($D1527="","",IFERROR(_xlfn.XLOOKUP($D1527,'TIR店舗一覧'!$D:$D,'TIR店舗一覧'!$E:$E,""),""))</f>
        <v/>
      </c>
      <c r="V1527" s="54" t="s">
        <v>2</v>
      </c>
      <c r="W1527" s="54" t="s">
        <v>2</v>
      </c>
      <c r="X1527" s="54" t="s">
        <v>2</v>
      </c>
      <c r="Y1527" s="54" t="s">
        <v>2</v>
      </c>
      <c r="Z1527" s="54" t="s">
        <v>2</v>
      </c>
      <c r="AA1527" s="54" t="s">
        <v>2</v>
      </c>
      <c r="AB1527" s="54" t="s">
        <v>2</v>
      </c>
      <c r="AC1527" s="54" t="s">
        <v>2</v>
      </c>
      <c r="AD1527" s="54" t="s">
        <v>2</v>
      </c>
      <c r="AE1527" s="54" t="s">
        <v>2</v>
      </c>
      <c r="AF1527" s="54" t="s">
        <v>2</v>
      </c>
      <c r="AG1527" s="54" t="s">
        <v>2</v>
      </c>
    </row>
    <row r="1528" ht="15.75" customHeight="1">
      <c r="B1528" s="56"/>
      <c r="U1528" s="46" t="str">
        <f t="array" ref="U1528">IF($D1528="","",IFERROR(_xlfn.XLOOKUP($D1528,'TIR店舗一覧'!$D:$D,'TIR店舗一覧'!$E:$E,""),""))</f>
        <v/>
      </c>
      <c r="V1528" s="54" t="s">
        <v>2</v>
      </c>
      <c r="W1528" s="54" t="s">
        <v>2</v>
      </c>
      <c r="X1528" s="54" t="s">
        <v>2</v>
      </c>
      <c r="Y1528" s="54" t="s">
        <v>2</v>
      </c>
      <c r="Z1528" s="54" t="s">
        <v>2</v>
      </c>
      <c r="AA1528" s="54" t="s">
        <v>2</v>
      </c>
      <c r="AB1528" s="54" t="s">
        <v>2</v>
      </c>
      <c r="AC1528" s="54" t="s">
        <v>2</v>
      </c>
      <c r="AD1528" s="54" t="s">
        <v>2</v>
      </c>
      <c r="AE1528" s="54" t="s">
        <v>2</v>
      </c>
      <c r="AF1528" s="54" t="s">
        <v>2</v>
      </c>
      <c r="AG1528" s="54" t="s">
        <v>2</v>
      </c>
    </row>
    <row r="1529" ht="15.75" customHeight="1">
      <c r="B1529" s="56"/>
      <c r="U1529" s="46" t="str">
        <f t="array" ref="U1529">IF($D1529="","",IFERROR(_xlfn.XLOOKUP($D1529,'TIR店舗一覧'!$D:$D,'TIR店舗一覧'!$E:$E,""),""))</f>
        <v/>
      </c>
      <c r="V1529" s="54" t="s">
        <v>2</v>
      </c>
      <c r="W1529" s="54" t="s">
        <v>2</v>
      </c>
      <c r="X1529" s="54" t="s">
        <v>2</v>
      </c>
      <c r="Y1529" s="54" t="s">
        <v>2</v>
      </c>
      <c r="Z1529" s="54" t="s">
        <v>2</v>
      </c>
      <c r="AA1529" s="54" t="s">
        <v>2</v>
      </c>
      <c r="AB1529" s="54" t="s">
        <v>2</v>
      </c>
      <c r="AC1529" s="54" t="s">
        <v>2</v>
      </c>
      <c r="AD1529" s="54" t="s">
        <v>2</v>
      </c>
      <c r="AE1529" s="54" t="s">
        <v>2</v>
      </c>
      <c r="AF1529" s="54" t="s">
        <v>2</v>
      </c>
      <c r="AG1529" s="54" t="s">
        <v>2</v>
      </c>
    </row>
    <row r="1530" ht="15.75" customHeight="1">
      <c r="B1530" s="56"/>
      <c r="U1530" s="46" t="str">
        <f t="array" ref="U1530">IF($D1530="","",IFERROR(_xlfn.XLOOKUP($D1530,'TIR店舗一覧'!$D:$D,'TIR店舗一覧'!$E:$E,""),""))</f>
        <v/>
      </c>
      <c r="V1530" s="54" t="s">
        <v>2</v>
      </c>
      <c r="W1530" s="54" t="s">
        <v>2</v>
      </c>
      <c r="X1530" s="54" t="s">
        <v>2</v>
      </c>
      <c r="Y1530" s="54" t="s">
        <v>2</v>
      </c>
      <c r="Z1530" s="54" t="s">
        <v>2</v>
      </c>
      <c r="AA1530" s="54" t="s">
        <v>2</v>
      </c>
      <c r="AB1530" s="54" t="s">
        <v>2</v>
      </c>
      <c r="AC1530" s="54" t="s">
        <v>2</v>
      </c>
      <c r="AD1530" s="54" t="s">
        <v>2</v>
      </c>
      <c r="AE1530" s="54" t="s">
        <v>2</v>
      </c>
      <c r="AF1530" s="54" t="s">
        <v>2</v>
      </c>
      <c r="AG1530" s="54" t="s">
        <v>2</v>
      </c>
    </row>
    <row r="1531" ht="15.75" customHeight="1">
      <c r="B1531" s="56"/>
      <c r="U1531" s="46" t="str">
        <f t="array" ref="U1531">IF($D1531="","",IFERROR(_xlfn.XLOOKUP($D1531,'TIR店舗一覧'!$D:$D,'TIR店舗一覧'!$E:$E,""),""))</f>
        <v/>
      </c>
      <c r="V1531" s="54" t="s">
        <v>2</v>
      </c>
      <c r="W1531" s="54" t="s">
        <v>2</v>
      </c>
      <c r="X1531" s="54" t="s">
        <v>2</v>
      </c>
      <c r="Y1531" s="54" t="s">
        <v>2</v>
      </c>
      <c r="Z1531" s="54" t="s">
        <v>2</v>
      </c>
      <c r="AA1531" s="54" t="s">
        <v>2</v>
      </c>
      <c r="AB1531" s="54" t="s">
        <v>2</v>
      </c>
      <c r="AC1531" s="54" t="s">
        <v>2</v>
      </c>
      <c r="AD1531" s="54" t="s">
        <v>2</v>
      </c>
      <c r="AE1531" s="54" t="s">
        <v>2</v>
      </c>
      <c r="AF1531" s="54" t="s">
        <v>2</v>
      </c>
      <c r="AG1531" s="54" t="s">
        <v>2</v>
      </c>
    </row>
    <row r="1532" ht="15.75" customHeight="1">
      <c r="B1532" s="56"/>
      <c r="U1532" s="46" t="str">
        <f t="array" ref="U1532">IF($D1532="","",IFERROR(_xlfn.XLOOKUP($D1532,'TIR店舗一覧'!$D:$D,'TIR店舗一覧'!$E:$E,""),""))</f>
        <v/>
      </c>
      <c r="V1532" s="54" t="s">
        <v>2</v>
      </c>
      <c r="W1532" s="54" t="s">
        <v>2</v>
      </c>
      <c r="X1532" s="54" t="s">
        <v>2</v>
      </c>
      <c r="Y1532" s="54" t="s">
        <v>2</v>
      </c>
      <c r="Z1532" s="54" t="s">
        <v>2</v>
      </c>
      <c r="AA1532" s="54" t="s">
        <v>2</v>
      </c>
      <c r="AB1532" s="54" t="s">
        <v>2</v>
      </c>
      <c r="AC1532" s="54" t="s">
        <v>2</v>
      </c>
      <c r="AD1532" s="54" t="s">
        <v>2</v>
      </c>
      <c r="AE1532" s="54" t="s">
        <v>2</v>
      </c>
      <c r="AF1532" s="54" t="s">
        <v>2</v>
      </c>
      <c r="AG1532" s="54" t="s">
        <v>2</v>
      </c>
    </row>
    <row r="1533" ht="15.75" customHeight="1">
      <c r="B1533" s="56"/>
      <c r="U1533" s="46" t="str">
        <f t="array" ref="U1533">IF($D1533="","",IFERROR(_xlfn.XLOOKUP($D1533,'TIR店舗一覧'!$D:$D,'TIR店舗一覧'!$E:$E,""),""))</f>
        <v/>
      </c>
      <c r="V1533" s="54" t="s">
        <v>2</v>
      </c>
      <c r="W1533" s="54" t="s">
        <v>2</v>
      </c>
      <c r="X1533" s="54" t="s">
        <v>2</v>
      </c>
      <c r="Y1533" s="54" t="s">
        <v>2</v>
      </c>
      <c r="Z1533" s="54" t="s">
        <v>2</v>
      </c>
      <c r="AA1533" s="54" t="s">
        <v>2</v>
      </c>
      <c r="AB1533" s="54" t="s">
        <v>2</v>
      </c>
      <c r="AC1533" s="54" t="s">
        <v>2</v>
      </c>
      <c r="AD1533" s="54" t="s">
        <v>2</v>
      </c>
      <c r="AE1533" s="54" t="s">
        <v>2</v>
      </c>
      <c r="AF1533" s="54" t="s">
        <v>2</v>
      </c>
      <c r="AG1533" s="54" t="s">
        <v>2</v>
      </c>
    </row>
    <row r="1534" ht="15.75" customHeight="1">
      <c r="B1534" s="56"/>
      <c r="U1534" s="46" t="str">
        <f t="array" ref="U1534">IF($D1534="","",IFERROR(_xlfn.XLOOKUP($D1534,'TIR店舗一覧'!$D:$D,'TIR店舗一覧'!$E:$E,""),""))</f>
        <v/>
      </c>
      <c r="V1534" s="54" t="s">
        <v>2</v>
      </c>
      <c r="W1534" s="54" t="s">
        <v>2</v>
      </c>
      <c r="X1534" s="54" t="s">
        <v>2</v>
      </c>
      <c r="Y1534" s="54" t="s">
        <v>2</v>
      </c>
      <c r="Z1534" s="54" t="s">
        <v>2</v>
      </c>
      <c r="AA1534" s="54" t="s">
        <v>2</v>
      </c>
      <c r="AB1534" s="54" t="s">
        <v>2</v>
      </c>
      <c r="AC1534" s="54" t="s">
        <v>2</v>
      </c>
      <c r="AD1534" s="54" t="s">
        <v>2</v>
      </c>
      <c r="AE1534" s="54" t="s">
        <v>2</v>
      </c>
      <c r="AF1534" s="54" t="s">
        <v>2</v>
      </c>
      <c r="AG1534" s="54" t="s">
        <v>2</v>
      </c>
    </row>
    <row r="1535" ht="15.75" customHeight="1">
      <c r="B1535" s="56"/>
      <c r="U1535" s="46" t="str">
        <f t="array" ref="U1535">IF($D1535="","",IFERROR(_xlfn.XLOOKUP($D1535,'TIR店舗一覧'!$D:$D,'TIR店舗一覧'!$E:$E,""),""))</f>
        <v/>
      </c>
      <c r="V1535" s="54" t="s">
        <v>2</v>
      </c>
      <c r="W1535" s="54" t="s">
        <v>2</v>
      </c>
      <c r="X1535" s="54" t="s">
        <v>2</v>
      </c>
      <c r="Y1535" s="54" t="s">
        <v>2</v>
      </c>
      <c r="Z1535" s="54" t="s">
        <v>2</v>
      </c>
      <c r="AA1535" s="54" t="s">
        <v>2</v>
      </c>
      <c r="AB1535" s="54" t="s">
        <v>2</v>
      </c>
      <c r="AC1535" s="54" t="s">
        <v>2</v>
      </c>
      <c r="AD1535" s="54" t="s">
        <v>2</v>
      </c>
      <c r="AE1535" s="54" t="s">
        <v>2</v>
      </c>
      <c r="AF1535" s="54" t="s">
        <v>2</v>
      </c>
      <c r="AG1535" s="54" t="s">
        <v>2</v>
      </c>
    </row>
    <row r="1536" ht="15.75" customHeight="1">
      <c r="B1536" s="56"/>
      <c r="U1536" s="46" t="str">
        <f t="array" ref="U1536">IF($D1536="","",IFERROR(_xlfn.XLOOKUP($D1536,'TIR店舗一覧'!$D:$D,'TIR店舗一覧'!$E:$E,""),""))</f>
        <v/>
      </c>
      <c r="V1536" s="54" t="s">
        <v>2</v>
      </c>
      <c r="W1536" s="54" t="s">
        <v>2</v>
      </c>
      <c r="X1536" s="54" t="s">
        <v>2</v>
      </c>
      <c r="Y1536" s="54" t="s">
        <v>2</v>
      </c>
      <c r="Z1536" s="54" t="s">
        <v>2</v>
      </c>
      <c r="AA1536" s="54" t="s">
        <v>2</v>
      </c>
      <c r="AB1536" s="54" t="s">
        <v>2</v>
      </c>
      <c r="AC1536" s="54" t="s">
        <v>2</v>
      </c>
      <c r="AD1536" s="54" t="s">
        <v>2</v>
      </c>
      <c r="AE1536" s="54" t="s">
        <v>2</v>
      </c>
      <c r="AF1536" s="54" t="s">
        <v>2</v>
      </c>
      <c r="AG1536" s="54" t="s">
        <v>2</v>
      </c>
    </row>
    <row r="1537" ht="15.75" customHeight="1">
      <c r="B1537" s="56"/>
      <c r="U1537" s="46" t="str">
        <f t="array" ref="U1537">IF($D1537="","",IFERROR(_xlfn.XLOOKUP($D1537,'TIR店舗一覧'!$D:$D,'TIR店舗一覧'!$E:$E,""),""))</f>
        <v/>
      </c>
      <c r="V1537" s="54" t="s">
        <v>2</v>
      </c>
      <c r="W1537" s="54" t="s">
        <v>2</v>
      </c>
      <c r="X1537" s="54" t="s">
        <v>2</v>
      </c>
      <c r="Y1537" s="54" t="s">
        <v>2</v>
      </c>
      <c r="Z1537" s="54" t="s">
        <v>2</v>
      </c>
      <c r="AA1537" s="54" t="s">
        <v>2</v>
      </c>
      <c r="AB1537" s="54" t="s">
        <v>2</v>
      </c>
      <c r="AC1537" s="54" t="s">
        <v>2</v>
      </c>
      <c r="AD1537" s="54" t="s">
        <v>2</v>
      </c>
      <c r="AE1537" s="54" t="s">
        <v>2</v>
      </c>
      <c r="AF1537" s="54" t="s">
        <v>2</v>
      </c>
      <c r="AG1537" s="54" t="s">
        <v>2</v>
      </c>
    </row>
    <row r="1538" ht="15.75" customHeight="1">
      <c r="B1538" s="56"/>
      <c r="U1538" s="46" t="str">
        <f t="array" ref="U1538">IF($D1538="","",IFERROR(_xlfn.XLOOKUP($D1538,'TIR店舗一覧'!$D:$D,'TIR店舗一覧'!$E:$E,""),""))</f>
        <v/>
      </c>
      <c r="V1538" s="54" t="s">
        <v>2</v>
      </c>
      <c r="W1538" s="54" t="s">
        <v>2</v>
      </c>
      <c r="X1538" s="54" t="s">
        <v>2</v>
      </c>
      <c r="Y1538" s="54" t="s">
        <v>2</v>
      </c>
      <c r="Z1538" s="54" t="s">
        <v>2</v>
      </c>
      <c r="AA1538" s="54" t="s">
        <v>2</v>
      </c>
      <c r="AB1538" s="54" t="s">
        <v>2</v>
      </c>
      <c r="AC1538" s="54" t="s">
        <v>2</v>
      </c>
      <c r="AD1538" s="54" t="s">
        <v>2</v>
      </c>
      <c r="AE1538" s="54" t="s">
        <v>2</v>
      </c>
      <c r="AF1538" s="54" t="s">
        <v>2</v>
      </c>
      <c r="AG1538" s="54" t="s">
        <v>2</v>
      </c>
    </row>
    <row r="1539" ht="15.75" customHeight="1">
      <c r="B1539" s="56"/>
      <c r="U1539" s="46" t="str">
        <f t="array" ref="U1539">IF($D1539="","",IFERROR(_xlfn.XLOOKUP($D1539,'TIR店舗一覧'!$D:$D,'TIR店舗一覧'!$E:$E,""),""))</f>
        <v/>
      </c>
      <c r="V1539" s="54" t="s">
        <v>2</v>
      </c>
      <c r="W1539" s="54" t="s">
        <v>2</v>
      </c>
      <c r="X1539" s="54" t="s">
        <v>2</v>
      </c>
      <c r="Y1539" s="54" t="s">
        <v>2</v>
      </c>
      <c r="Z1539" s="54" t="s">
        <v>2</v>
      </c>
      <c r="AA1539" s="54" t="s">
        <v>2</v>
      </c>
      <c r="AB1539" s="54" t="s">
        <v>2</v>
      </c>
      <c r="AC1539" s="54" t="s">
        <v>2</v>
      </c>
      <c r="AD1539" s="54" t="s">
        <v>2</v>
      </c>
      <c r="AE1539" s="54" t="s">
        <v>2</v>
      </c>
      <c r="AF1539" s="54" t="s">
        <v>2</v>
      </c>
      <c r="AG1539" s="54" t="s">
        <v>2</v>
      </c>
    </row>
    <row r="1540" ht="15.75" customHeight="1">
      <c r="B1540" s="56"/>
      <c r="U1540" s="46" t="str">
        <f t="array" ref="U1540">IF($D1540="","",IFERROR(_xlfn.XLOOKUP($D1540,'TIR店舗一覧'!$D:$D,'TIR店舗一覧'!$E:$E,""),""))</f>
        <v/>
      </c>
      <c r="V1540" s="54" t="s">
        <v>2</v>
      </c>
      <c r="W1540" s="54" t="s">
        <v>2</v>
      </c>
      <c r="X1540" s="54" t="s">
        <v>2</v>
      </c>
      <c r="Y1540" s="54" t="s">
        <v>2</v>
      </c>
      <c r="Z1540" s="54" t="s">
        <v>2</v>
      </c>
      <c r="AA1540" s="54" t="s">
        <v>2</v>
      </c>
      <c r="AB1540" s="54" t="s">
        <v>2</v>
      </c>
      <c r="AC1540" s="54" t="s">
        <v>2</v>
      </c>
      <c r="AD1540" s="54" t="s">
        <v>2</v>
      </c>
      <c r="AE1540" s="54" t="s">
        <v>2</v>
      </c>
      <c r="AF1540" s="54" t="s">
        <v>2</v>
      </c>
      <c r="AG1540" s="54" t="s">
        <v>2</v>
      </c>
    </row>
    <row r="1541" ht="15.75" customHeight="1">
      <c r="B1541" s="56"/>
      <c r="U1541" s="46" t="str">
        <f t="array" ref="U1541">IF($D1541="","",IFERROR(_xlfn.XLOOKUP($D1541,'TIR店舗一覧'!$D:$D,'TIR店舗一覧'!$E:$E,""),""))</f>
        <v/>
      </c>
      <c r="V1541" s="54" t="s">
        <v>2</v>
      </c>
      <c r="W1541" s="54" t="s">
        <v>2</v>
      </c>
      <c r="X1541" s="54" t="s">
        <v>2</v>
      </c>
      <c r="Y1541" s="54" t="s">
        <v>2</v>
      </c>
      <c r="Z1541" s="54" t="s">
        <v>2</v>
      </c>
      <c r="AA1541" s="54" t="s">
        <v>2</v>
      </c>
      <c r="AB1541" s="54" t="s">
        <v>2</v>
      </c>
      <c r="AC1541" s="54" t="s">
        <v>2</v>
      </c>
      <c r="AD1541" s="54" t="s">
        <v>2</v>
      </c>
      <c r="AE1541" s="54" t="s">
        <v>2</v>
      </c>
      <c r="AF1541" s="54" t="s">
        <v>2</v>
      </c>
      <c r="AG1541" s="54" t="s">
        <v>2</v>
      </c>
    </row>
    <row r="1542" ht="15.75" customHeight="1">
      <c r="B1542" s="56"/>
      <c r="U1542" s="46" t="str">
        <f t="array" ref="U1542">IF($D1542="","",IFERROR(_xlfn.XLOOKUP($D1542,'TIR店舗一覧'!$D:$D,'TIR店舗一覧'!$E:$E,""),""))</f>
        <v/>
      </c>
      <c r="V1542" s="54" t="s">
        <v>2</v>
      </c>
      <c r="W1542" s="54" t="s">
        <v>2</v>
      </c>
      <c r="X1542" s="54" t="s">
        <v>2</v>
      </c>
      <c r="Y1542" s="54" t="s">
        <v>2</v>
      </c>
      <c r="Z1542" s="54" t="s">
        <v>2</v>
      </c>
      <c r="AA1542" s="54" t="s">
        <v>2</v>
      </c>
      <c r="AB1542" s="54" t="s">
        <v>2</v>
      </c>
      <c r="AC1542" s="54" t="s">
        <v>2</v>
      </c>
      <c r="AD1542" s="54" t="s">
        <v>2</v>
      </c>
      <c r="AE1542" s="54" t="s">
        <v>2</v>
      </c>
      <c r="AF1542" s="54" t="s">
        <v>2</v>
      </c>
      <c r="AG1542" s="54" t="s">
        <v>2</v>
      </c>
    </row>
    <row r="1543" ht="15.75" customHeight="1">
      <c r="B1543" s="56"/>
      <c r="U1543" s="46" t="str">
        <f t="array" ref="U1543">IF($D1543="","",IFERROR(_xlfn.XLOOKUP($D1543,'TIR店舗一覧'!$D:$D,'TIR店舗一覧'!$E:$E,""),""))</f>
        <v/>
      </c>
      <c r="V1543" s="54" t="s">
        <v>2</v>
      </c>
      <c r="W1543" s="54" t="s">
        <v>2</v>
      </c>
      <c r="X1543" s="54" t="s">
        <v>2</v>
      </c>
      <c r="Y1543" s="54" t="s">
        <v>2</v>
      </c>
      <c r="Z1543" s="54" t="s">
        <v>2</v>
      </c>
      <c r="AA1543" s="54" t="s">
        <v>2</v>
      </c>
      <c r="AB1543" s="54" t="s">
        <v>2</v>
      </c>
      <c r="AC1543" s="54" t="s">
        <v>2</v>
      </c>
      <c r="AD1543" s="54" t="s">
        <v>2</v>
      </c>
      <c r="AE1543" s="54" t="s">
        <v>2</v>
      </c>
      <c r="AF1543" s="54" t="s">
        <v>2</v>
      </c>
      <c r="AG1543" s="54" t="s">
        <v>2</v>
      </c>
    </row>
    <row r="1544" ht="15.75" customHeight="1">
      <c r="B1544" s="56"/>
      <c r="U1544" s="46" t="str">
        <f t="array" ref="U1544">IF($D1544="","",IFERROR(_xlfn.XLOOKUP($D1544,'TIR店舗一覧'!$D:$D,'TIR店舗一覧'!$E:$E,""),""))</f>
        <v/>
      </c>
      <c r="V1544" s="54" t="s">
        <v>2</v>
      </c>
      <c r="W1544" s="54" t="s">
        <v>2</v>
      </c>
      <c r="X1544" s="54" t="s">
        <v>2</v>
      </c>
      <c r="Y1544" s="54" t="s">
        <v>2</v>
      </c>
      <c r="Z1544" s="54" t="s">
        <v>2</v>
      </c>
      <c r="AA1544" s="54" t="s">
        <v>2</v>
      </c>
      <c r="AB1544" s="54" t="s">
        <v>2</v>
      </c>
      <c r="AC1544" s="54" t="s">
        <v>2</v>
      </c>
      <c r="AD1544" s="54" t="s">
        <v>2</v>
      </c>
      <c r="AE1544" s="54" t="s">
        <v>2</v>
      </c>
      <c r="AF1544" s="54" t="s">
        <v>2</v>
      </c>
      <c r="AG1544" s="54" t="s">
        <v>2</v>
      </c>
    </row>
    <row r="1545" ht="15.75" customHeight="1">
      <c r="B1545" s="56"/>
      <c r="U1545" s="46" t="str">
        <f t="array" ref="U1545">IF($D1545="","",IFERROR(_xlfn.XLOOKUP($D1545,'TIR店舗一覧'!$D:$D,'TIR店舗一覧'!$E:$E,""),""))</f>
        <v/>
      </c>
      <c r="V1545" s="54" t="s">
        <v>2</v>
      </c>
      <c r="W1545" s="54" t="s">
        <v>2</v>
      </c>
      <c r="X1545" s="54" t="s">
        <v>2</v>
      </c>
      <c r="Y1545" s="54" t="s">
        <v>2</v>
      </c>
      <c r="Z1545" s="54" t="s">
        <v>2</v>
      </c>
      <c r="AA1545" s="54" t="s">
        <v>2</v>
      </c>
      <c r="AB1545" s="54" t="s">
        <v>2</v>
      </c>
      <c r="AC1545" s="54" t="s">
        <v>2</v>
      </c>
      <c r="AD1545" s="54" t="s">
        <v>2</v>
      </c>
      <c r="AE1545" s="54" t="s">
        <v>2</v>
      </c>
      <c r="AF1545" s="54" t="s">
        <v>2</v>
      </c>
      <c r="AG1545" s="54" t="s">
        <v>2</v>
      </c>
    </row>
    <row r="1546" ht="15.75" customHeight="1">
      <c r="B1546" s="56"/>
      <c r="U1546" s="46" t="str">
        <f t="array" ref="U1546">IF($D1546="","",IFERROR(_xlfn.XLOOKUP($D1546,'TIR店舗一覧'!$D:$D,'TIR店舗一覧'!$E:$E,""),""))</f>
        <v/>
      </c>
      <c r="V1546" s="54" t="s">
        <v>2</v>
      </c>
      <c r="W1546" s="54" t="s">
        <v>2</v>
      </c>
      <c r="X1546" s="54" t="s">
        <v>2</v>
      </c>
      <c r="Y1546" s="54" t="s">
        <v>2</v>
      </c>
      <c r="Z1546" s="54" t="s">
        <v>2</v>
      </c>
      <c r="AA1546" s="54" t="s">
        <v>2</v>
      </c>
      <c r="AB1546" s="54" t="s">
        <v>2</v>
      </c>
      <c r="AC1546" s="54" t="s">
        <v>2</v>
      </c>
      <c r="AD1546" s="54" t="s">
        <v>2</v>
      </c>
      <c r="AE1546" s="54" t="s">
        <v>2</v>
      </c>
      <c r="AF1546" s="54" t="s">
        <v>2</v>
      </c>
      <c r="AG1546" s="54" t="s">
        <v>2</v>
      </c>
    </row>
    <row r="1547" ht="15.75" customHeight="1">
      <c r="B1547" s="56"/>
      <c r="U1547" s="46" t="str">
        <f t="array" ref="U1547">IF($D1547="","",IFERROR(_xlfn.XLOOKUP($D1547,'TIR店舗一覧'!$D:$D,'TIR店舗一覧'!$E:$E,""),""))</f>
        <v/>
      </c>
      <c r="V1547" s="54" t="s">
        <v>2</v>
      </c>
      <c r="W1547" s="54" t="s">
        <v>2</v>
      </c>
      <c r="X1547" s="54" t="s">
        <v>2</v>
      </c>
      <c r="Y1547" s="54" t="s">
        <v>2</v>
      </c>
      <c r="Z1547" s="54" t="s">
        <v>2</v>
      </c>
      <c r="AA1547" s="54" t="s">
        <v>2</v>
      </c>
      <c r="AB1547" s="54" t="s">
        <v>2</v>
      </c>
      <c r="AC1547" s="54" t="s">
        <v>2</v>
      </c>
      <c r="AD1547" s="54" t="s">
        <v>2</v>
      </c>
      <c r="AE1547" s="54" t="s">
        <v>2</v>
      </c>
      <c r="AF1547" s="54" t="s">
        <v>2</v>
      </c>
      <c r="AG1547" s="54" t="s">
        <v>2</v>
      </c>
    </row>
    <row r="1548" ht="15.75" customHeight="1">
      <c r="B1548" s="56"/>
      <c r="U1548" s="46" t="str">
        <f t="array" ref="U1548">IF($D1548="","",IFERROR(_xlfn.XLOOKUP($D1548,'TIR店舗一覧'!$D:$D,'TIR店舗一覧'!$E:$E,""),""))</f>
        <v/>
      </c>
      <c r="V1548" s="54" t="s">
        <v>2</v>
      </c>
      <c r="W1548" s="54" t="s">
        <v>2</v>
      </c>
      <c r="X1548" s="54" t="s">
        <v>2</v>
      </c>
      <c r="Y1548" s="54" t="s">
        <v>2</v>
      </c>
      <c r="Z1548" s="54" t="s">
        <v>2</v>
      </c>
      <c r="AA1548" s="54" t="s">
        <v>2</v>
      </c>
      <c r="AB1548" s="54" t="s">
        <v>2</v>
      </c>
      <c r="AC1548" s="54" t="s">
        <v>2</v>
      </c>
      <c r="AD1548" s="54" t="s">
        <v>2</v>
      </c>
      <c r="AE1548" s="54" t="s">
        <v>2</v>
      </c>
      <c r="AF1548" s="54" t="s">
        <v>2</v>
      </c>
      <c r="AG1548" s="54" t="s">
        <v>2</v>
      </c>
    </row>
    <row r="1549" ht="15.75" customHeight="1">
      <c r="B1549" s="56"/>
      <c r="U1549" s="46" t="str">
        <f t="array" ref="U1549">IF($D1549="","",IFERROR(_xlfn.XLOOKUP($D1549,'TIR店舗一覧'!$D:$D,'TIR店舗一覧'!$E:$E,""),""))</f>
        <v/>
      </c>
      <c r="V1549" s="54" t="s">
        <v>2</v>
      </c>
      <c r="W1549" s="54" t="s">
        <v>2</v>
      </c>
      <c r="X1549" s="54" t="s">
        <v>2</v>
      </c>
      <c r="Y1549" s="54" t="s">
        <v>2</v>
      </c>
      <c r="Z1549" s="54" t="s">
        <v>2</v>
      </c>
      <c r="AA1549" s="54" t="s">
        <v>2</v>
      </c>
      <c r="AB1549" s="54" t="s">
        <v>2</v>
      </c>
      <c r="AC1549" s="54" t="s">
        <v>2</v>
      </c>
      <c r="AD1549" s="54" t="s">
        <v>2</v>
      </c>
      <c r="AE1549" s="54" t="s">
        <v>2</v>
      </c>
      <c r="AF1549" s="54" t="s">
        <v>2</v>
      </c>
      <c r="AG1549" s="54" t="s">
        <v>2</v>
      </c>
    </row>
    <row r="1550" ht="15.75" customHeight="1">
      <c r="B1550" s="56"/>
      <c r="U1550" s="46" t="str">
        <f t="array" ref="U1550">IF($D1550="","",IFERROR(_xlfn.XLOOKUP($D1550,'TIR店舗一覧'!$D:$D,'TIR店舗一覧'!$E:$E,""),""))</f>
        <v/>
      </c>
      <c r="V1550" s="54" t="s">
        <v>2</v>
      </c>
      <c r="W1550" s="54" t="s">
        <v>2</v>
      </c>
      <c r="X1550" s="54" t="s">
        <v>2</v>
      </c>
      <c r="Y1550" s="54" t="s">
        <v>2</v>
      </c>
      <c r="Z1550" s="54" t="s">
        <v>2</v>
      </c>
      <c r="AA1550" s="54" t="s">
        <v>2</v>
      </c>
      <c r="AB1550" s="54" t="s">
        <v>2</v>
      </c>
      <c r="AC1550" s="54" t="s">
        <v>2</v>
      </c>
      <c r="AD1550" s="54" t="s">
        <v>2</v>
      </c>
      <c r="AE1550" s="54" t="s">
        <v>2</v>
      </c>
      <c r="AF1550" s="54" t="s">
        <v>2</v>
      </c>
      <c r="AG1550" s="54" t="s">
        <v>2</v>
      </c>
    </row>
    <row r="1551" ht="15.75" customHeight="1">
      <c r="B1551" s="56"/>
      <c r="U1551" s="46" t="str">
        <f t="array" ref="U1551">IF($D1551="","",IFERROR(_xlfn.XLOOKUP($D1551,'TIR店舗一覧'!$D:$D,'TIR店舗一覧'!$E:$E,""),""))</f>
        <v/>
      </c>
      <c r="V1551" s="54" t="s">
        <v>2</v>
      </c>
      <c r="W1551" s="54" t="s">
        <v>2</v>
      </c>
      <c r="X1551" s="54" t="s">
        <v>2</v>
      </c>
      <c r="Y1551" s="54" t="s">
        <v>2</v>
      </c>
      <c r="Z1551" s="54" t="s">
        <v>2</v>
      </c>
      <c r="AA1551" s="54" t="s">
        <v>2</v>
      </c>
      <c r="AB1551" s="54" t="s">
        <v>2</v>
      </c>
      <c r="AC1551" s="54" t="s">
        <v>2</v>
      </c>
      <c r="AD1551" s="54" t="s">
        <v>2</v>
      </c>
      <c r="AE1551" s="54" t="s">
        <v>2</v>
      </c>
      <c r="AF1551" s="54" t="s">
        <v>2</v>
      </c>
      <c r="AG1551" s="54" t="s">
        <v>2</v>
      </c>
    </row>
    <row r="1552" ht="15.75" customHeight="1">
      <c r="B1552" s="56"/>
      <c r="U1552" s="46" t="str">
        <f t="array" ref="U1552">IF($D1552="","",IFERROR(_xlfn.XLOOKUP($D1552,'TIR店舗一覧'!$D:$D,'TIR店舗一覧'!$E:$E,""),""))</f>
        <v/>
      </c>
      <c r="V1552" s="54" t="s">
        <v>2</v>
      </c>
      <c r="W1552" s="54" t="s">
        <v>2</v>
      </c>
      <c r="X1552" s="54" t="s">
        <v>2</v>
      </c>
      <c r="Y1552" s="54" t="s">
        <v>2</v>
      </c>
      <c r="Z1552" s="54" t="s">
        <v>2</v>
      </c>
      <c r="AA1552" s="54" t="s">
        <v>2</v>
      </c>
      <c r="AB1552" s="54" t="s">
        <v>2</v>
      </c>
      <c r="AC1552" s="54" t="s">
        <v>2</v>
      </c>
      <c r="AD1552" s="54" t="s">
        <v>2</v>
      </c>
      <c r="AE1552" s="54" t="s">
        <v>2</v>
      </c>
      <c r="AF1552" s="54" t="s">
        <v>2</v>
      </c>
      <c r="AG1552" s="54" t="s">
        <v>2</v>
      </c>
    </row>
    <row r="1553" ht="15.75" customHeight="1">
      <c r="B1553" s="56"/>
      <c r="U1553" s="46" t="str">
        <f t="array" ref="U1553">IF($D1553="","",IFERROR(_xlfn.XLOOKUP($D1553,'TIR店舗一覧'!$D:$D,'TIR店舗一覧'!$E:$E,""),""))</f>
        <v/>
      </c>
      <c r="V1553" s="54" t="s">
        <v>2</v>
      </c>
      <c r="W1553" s="54" t="s">
        <v>2</v>
      </c>
      <c r="X1553" s="54" t="s">
        <v>2</v>
      </c>
      <c r="Y1553" s="54" t="s">
        <v>2</v>
      </c>
      <c r="Z1553" s="54" t="s">
        <v>2</v>
      </c>
      <c r="AA1553" s="54" t="s">
        <v>2</v>
      </c>
      <c r="AB1553" s="54" t="s">
        <v>2</v>
      </c>
      <c r="AC1553" s="54" t="s">
        <v>2</v>
      </c>
      <c r="AD1553" s="54" t="s">
        <v>2</v>
      </c>
      <c r="AE1553" s="54" t="s">
        <v>2</v>
      </c>
      <c r="AF1553" s="54" t="s">
        <v>2</v>
      </c>
      <c r="AG1553" s="54" t="s">
        <v>2</v>
      </c>
    </row>
    <row r="1554" ht="15.75" customHeight="1">
      <c r="B1554" s="56"/>
      <c r="U1554" s="46" t="str">
        <f t="array" ref="U1554">IF($D1554="","",IFERROR(_xlfn.XLOOKUP($D1554,'TIR店舗一覧'!$D:$D,'TIR店舗一覧'!$E:$E,""),""))</f>
        <v/>
      </c>
      <c r="V1554" s="54" t="s">
        <v>2</v>
      </c>
      <c r="W1554" s="54" t="s">
        <v>2</v>
      </c>
      <c r="X1554" s="54" t="s">
        <v>2</v>
      </c>
      <c r="Y1554" s="54" t="s">
        <v>2</v>
      </c>
      <c r="Z1554" s="54" t="s">
        <v>2</v>
      </c>
      <c r="AA1554" s="54" t="s">
        <v>2</v>
      </c>
      <c r="AB1554" s="54" t="s">
        <v>2</v>
      </c>
      <c r="AC1554" s="54" t="s">
        <v>2</v>
      </c>
      <c r="AD1554" s="54" t="s">
        <v>2</v>
      </c>
      <c r="AE1554" s="54" t="s">
        <v>2</v>
      </c>
      <c r="AF1554" s="54" t="s">
        <v>2</v>
      </c>
      <c r="AG1554" s="54" t="s">
        <v>2</v>
      </c>
    </row>
    <row r="1555" ht="15.75" customHeight="1">
      <c r="B1555" s="56"/>
      <c r="U1555" s="46" t="str">
        <f t="array" ref="U1555">IF($D1555="","",IFERROR(_xlfn.XLOOKUP($D1555,'TIR店舗一覧'!$D:$D,'TIR店舗一覧'!$E:$E,""),""))</f>
        <v/>
      </c>
      <c r="V1555" s="54" t="s">
        <v>2</v>
      </c>
      <c r="W1555" s="54" t="s">
        <v>2</v>
      </c>
      <c r="X1555" s="54" t="s">
        <v>2</v>
      </c>
      <c r="Y1555" s="54" t="s">
        <v>2</v>
      </c>
      <c r="Z1555" s="54" t="s">
        <v>2</v>
      </c>
      <c r="AA1555" s="54" t="s">
        <v>2</v>
      </c>
      <c r="AB1555" s="54" t="s">
        <v>2</v>
      </c>
      <c r="AC1555" s="54" t="s">
        <v>2</v>
      </c>
      <c r="AD1555" s="54" t="s">
        <v>2</v>
      </c>
      <c r="AE1555" s="54" t="s">
        <v>2</v>
      </c>
      <c r="AF1555" s="54" t="s">
        <v>2</v>
      </c>
      <c r="AG1555" s="54" t="s">
        <v>2</v>
      </c>
    </row>
    <row r="1556" ht="15.75" customHeight="1">
      <c r="B1556" s="56"/>
      <c r="U1556" s="46" t="str">
        <f t="array" ref="U1556">IF($D1556="","",IFERROR(_xlfn.XLOOKUP($D1556,'TIR店舗一覧'!$D:$D,'TIR店舗一覧'!$E:$E,""),""))</f>
        <v/>
      </c>
      <c r="V1556" s="54" t="s">
        <v>2</v>
      </c>
      <c r="W1556" s="54" t="s">
        <v>2</v>
      </c>
      <c r="X1556" s="54" t="s">
        <v>2</v>
      </c>
      <c r="Y1556" s="54" t="s">
        <v>2</v>
      </c>
      <c r="Z1556" s="54" t="s">
        <v>2</v>
      </c>
      <c r="AA1556" s="54" t="s">
        <v>2</v>
      </c>
      <c r="AB1556" s="54" t="s">
        <v>2</v>
      </c>
      <c r="AC1556" s="54" t="s">
        <v>2</v>
      </c>
      <c r="AD1556" s="54" t="s">
        <v>2</v>
      </c>
      <c r="AE1556" s="54" t="s">
        <v>2</v>
      </c>
      <c r="AF1556" s="54" t="s">
        <v>2</v>
      </c>
      <c r="AG1556" s="54" t="s">
        <v>2</v>
      </c>
    </row>
    <row r="1557" ht="15.75" customHeight="1">
      <c r="B1557" s="56"/>
      <c r="U1557" s="46" t="str">
        <f t="array" ref="U1557">IF($D1557="","",IFERROR(_xlfn.XLOOKUP($D1557,'TIR店舗一覧'!$D:$D,'TIR店舗一覧'!$E:$E,""),""))</f>
        <v/>
      </c>
      <c r="V1557" s="54" t="s">
        <v>2</v>
      </c>
      <c r="W1557" s="54" t="s">
        <v>2</v>
      </c>
      <c r="X1557" s="54" t="s">
        <v>2</v>
      </c>
      <c r="Y1557" s="54" t="s">
        <v>2</v>
      </c>
      <c r="Z1557" s="54" t="s">
        <v>2</v>
      </c>
      <c r="AA1557" s="54" t="s">
        <v>2</v>
      </c>
      <c r="AB1557" s="54" t="s">
        <v>2</v>
      </c>
      <c r="AC1557" s="54" t="s">
        <v>2</v>
      </c>
      <c r="AD1557" s="54" t="s">
        <v>2</v>
      </c>
      <c r="AE1557" s="54" t="s">
        <v>2</v>
      </c>
      <c r="AF1557" s="54" t="s">
        <v>2</v>
      </c>
      <c r="AG1557" s="54" t="s">
        <v>2</v>
      </c>
    </row>
    <row r="1558" ht="15.75" customHeight="1">
      <c r="B1558" s="56"/>
      <c r="U1558" s="46" t="str">
        <f t="array" ref="U1558">IF($D1558="","",IFERROR(_xlfn.XLOOKUP($D1558,'TIR店舗一覧'!$D:$D,'TIR店舗一覧'!$E:$E,""),""))</f>
        <v/>
      </c>
      <c r="V1558" s="54" t="s">
        <v>2</v>
      </c>
      <c r="W1558" s="54" t="s">
        <v>2</v>
      </c>
      <c r="X1558" s="54" t="s">
        <v>2</v>
      </c>
      <c r="Y1558" s="54" t="s">
        <v>2</v>
      </c>
      <c r="Z1558" s="54" t="s">
        <v>2</v>
      </c>
      <c r="AA1558" s="54" t="s">
        <v>2</v>
      </c>
      <c r="AB1558" s="54" t="s">
        <v>2</v>
      </c>
      <c r="AC1558" s="54" t="s">
        <v>2</v>
      </c>
      <c r="AD1558" s="54" t="s">
        <v>2</v>
      </c>
      <c r="AE1558" s="54" t="s">
        <v>2</v>
      </c>
      <c r="AF1558" s="54" t="s">
        <v>2</v>
      </c>
      <c r="AG1558" s="54" t="s">
        <v>2</v>
      </c>
    </row>
    <row r="1559" ht="15.75" customHeight="1">
      <c r="B1559" s="56"/>
      <c r="U1559" s="46" t="str">
        <f t="array" ref="U1559">IF($D1559="","",IFERROR(_xlfn.XLOOKUP($D1559,'TIR店舗一覧'!$D:$D,'TIR店舗一覧'!$E:$E,""),""))</f>
        <v/>
      </c>
      <c r="V1559" s="54" t="s">
        <v>2</v>
      </c>
      <c r="W1559" s="54" t="s">
        <v>2</v>
      </c>
      <c r="X1559" s="54" t="s">
        <v>2</v>
      </c>
      <c r="Y1559" s="54" t="s">
        <v>2</v>
      </c>
      <c r="Z1559" s="54" t="s">
        <v>2</v>
      </c>
      <c r="AA1559" s="54" t="s">
        <v>2</v>
      </c>
      <c r="AB1559" s="54" t="s">
        <v>2</v>
      </c>
      <c r="AC1559" s="54" t="s">
        <v>2</v>
      </c>
      <c r="AD1559" s="54" t="s">
        <v>2</v>
      </c>
      <c r="AE1559" s="54" t="s">
        <v>2</v>
      </c>
      <c r="AF1559" s="54" t="s">
        <v>2</v>
      </c>
      <c r="AG1559" s="54" t="s">
        <v>2</v>
      </c>
    </row>
    <row r="1560" ht="15.75" customHeight="1">
      <c r="B1560" s="56"/>
      <c r="U1560" s="46" t="str">
        <f t="array" ref="U1560">IF($D1560="","",IFERROR(_xlfn.XLOOKUP($D1560,'TIR店舗一覧'!$D:$D,'TIR店舗一覧'!$E:$E,""),""))</f>
        <v/>
      </c>
      <c r="V1560" s="54" t="s">
        <v>2</v>
      </c>
      <c r="W1560" s="54" t="s">
        <v>2</v>
      </c>
      <c r="X1560" s="54" t="s">
        <v>2</v>
      </c>
      <c r="Y1560" s="54" t="s">
        <v>2</v>
      </c>
      <c r="Z1560" s="54" t="s">
        <v>2</v>
      </c>
      <c r="AA1560" s="54" t="s">
        <v>2</v>
      </c>
      <c r="AB1560" s="54" t="s">
        <v>2</v>
      </c>
      <c r="AC1560" s="54" t="s">
        <v>2</v>
      </c>
      <c r="AD1560" s="54" t="s">
        <v>2</v>
      </c>
      <c r="AE1560" s="54" t="s">
        <v>2</v>
      </c>
      <c r="AF1560" s="54" t="s">
        <v>2</v>
      </c>
      <c r="AG1560" s="54" t="s">
        <v>2</v>
      </c>
    </row>
    <row r="1561" ht="15.75" customHeight="1">
      <c r="B1561" s="56"/>
      <c r="U1561" s="46" t="str">
        <f t="array" ref="U1561">IF($D1561="","",IFERROR(_xlfn.XLOOKUP($D1561,'TIR店舗一覧'!$D:$D,'TIR店舗一覧'!$E:$E,""),""))</f>
        <v/>
      </c>
      <c r="V1561" s="54" t="s">
        <v>2</v>
      </c>
      <c r="W1561" s="54" t="s">
        <v>2</v>
      </c>
      <c r="X1561" s="54" t="s">
        <v>2</v>
      </c>
      <c r="Y1561" s="54" t="s">
        <v>2</v>
      </c>
      <c r="Z1561" s="54" t="s">
        <v>2</v>
      </c>
      <c r="AA1561" s="54" t="s">
        <v>2</v>
      </c>
      <c r="AB1561" s="54" t="s">
        <v>2</v>
      </c>
      <c r="AC1561" s="54" t="s">
        <v>2</v>
      </c>
      <c r="AD1561" s="54" t="s">
        <v>2</v>
      </c>
      <c r="AE1561" s="54" t="s">
        <v>2</v>
      </c>
      <c r="AF1561" s="54" t="s">
        <v>2</v>
      </c>
      <c r="AG1561" s="54" t="s">
        <v>2</v>
      </c>
    </row>
    <row r="1562" ht="15.75" customHeight="1">
      <c r="B1562" s="56"/>
      <c r="U1562" s="46" t="str">
        <f t="array" ref="U1562">IF($D1562="","",IFERROR(_xlfn.XLOOKUP($D1562,'TIR店舗一覧'!$D:$D,'TIR店舗一覧'!$E:$E,""),""))</f>
        <v/>
      </c>
      <c r="V1562" s="54" t="s">
        <v>2</v>
      </c>
      <c r="W1562" s="54" t="s">
        <v>2</v>
      </c>
      <c r="X1562" s="54" t="s">
        <v>2</v>
      </c>
      <c r="Y1562" s="54" t="s">
        <v>2</v>
      </c>
      <c r="Z1562" s="54" t="s">
        <v>2</v>
      </c>
      <c r="AA1562" s="54" t="s">
        <v>2</v>
      </c>
      <c r="AB1562" s="54" t="s">
        <v>2</v>
      </c>
      <c r="AC1562" s="54" t="s">
        <v>2</v>
      </c>
      <c r="AD1562" s="54" t="s">
        <v>2</v>
      </c>
      <c r="AE1562" s="54" t="s">
        <v>2</v>
      </c>
      <c r="AF1562" s="54" t="s">
        <v>2</v>
      </c>
      <c r="AG1562" s="54" t="s">
        <v>2</v>
      </c>
    </row>
    <row r="1563" ht="15.75" customHeight="1">
      <c r="B1563" s="56"/>
      <c r="U1563" s="46" t="str">
        <f t="array" ref="U1563">IF($D1563="","",IFERROR(_xlfn.XLOOKUP($D1563,'TIR店舗一覧'!$D:$D,'TIR店舗一覧'!$E:$E,""),""))</f>
        <v/>
      </c>
      <c r="V1563" s="54" t="s">
        <v>2</v>
      </c>
      <c r="W1563" s="54" t="s">
        <v>2</v>
      </c>
      <c r="X1563" s="54" t="s">
        <v>2</v>
      </c>
      <c r="Y1563" s="54" t="s">
        <v>2</v>
      </c>
      <c r="Z1563" s="54" t="s">
        <v>2</v>
      </c>
      <c r="AA1563" s="54" t="s">
        <v>2</v>
      </c>
      <c r="AB1563" s="54" t="s">
        <v>2</v>
      </c>
      <c r="AC1563" s="54" t="s">
        <v>2</v>
      </c>
      <c r="AD1563" s="54" t="s">
        <v>2</v>
      </c>
      <c r="AE1563" s="54" t="s">
        <v>2</v>
      </c>
      <c r="AF1563" s="54" t="s">
        <v>2</v>
      </c>
      <c r="AG1563" s="54" t="s">
        <v>2</v>
      </c>
    </row>
    <row r="1564" ht="15.75" customHeight="1">
      <c r="B1564" s="56"/>
      <c r="U1564" s="46" t="str">
        <f t="array" ref="U1564">IF($D1564="","",IFERROR(_xlfn.XLOOKUP($D1564,'TIR店舗一覧'!$D:$D,'TIR店舗一覧'!$E:$E,""),""))</f>
        <v/>
      </c>
      <c r="V1564" s="54" t="s">
        <v>2</v>
      </c>
      <c r="W1564" s="54" t="s">
        <v>2</v>
      </c>
      <c r="X1564" s="54" t="s">
        <v>2</v>
      </c>
      <c r="Y1564" s="54" t="s">
        <v>2</v>
      </c>
      <c r="Z1564" s="54" t="s">
        <v>2</v>
      </c>
      <c r="AA1564" s="54" t="s">
        <v>2</v>
      </c>
      <c r="AB1564" s="54" t="s">
        <v>2</v>
      </c>
      <c r="AC1564" s="54" t="s">
        <v>2</v>
      </c>
      <c r="AD1564" s="54" t="s">
        <v>2</v>
      </c>
      <c r="AE1564" s="54" t="s">
        <v>2</v>
      </c>
      <c r="AF1564" s="54" t="s">
        <v>2</v>
      </c>
      <c r="AG1564" s="54" t="s">
        <v>2</v>
      </c>
    </row>
    <row r="1565" ht="15.75" customHeight="1">
      <c r="B1565" s="56"/>
      <c r="U1565" s="46" t="str">
        <f t="array" ref="U1565">IF($D1565="","",IFERROR(_xlfn.XLOOKUP($D1565,'TIR店舗一覧'!$D:$D,'TIR店舗一覧'!$E:$E,""),""))</f>
        <v/>
      </c>
      <c r="V1565" s="54" t="s">
        <v>2</v>
      </c>
      <c r="W1565" s="54" t="s">
        <v>2</v>
      </c>
      <c r="X1565" s="54" t="s">
        <v>2</v>
      </c>
      <c r="Y1565" s="54" t="s">
        <v>2</v>
      </c>
      <c r="Z1565" s="54" t="s">
        <v>2</v>
      </c>
      <c r="AA1565" s="54" t="s">
        <v>2</v>
      </c>
      <c r="AB1565" s="54" t="s">
        <v>2</v>
      </c>
      <c r="AC1565" s="54" t="s">
        <v>2</v>
      </c>
      <c r="AD1565" s="54" t="s">
        <v>2</v>
      </c>
      <c r="AE1565" s="54" t="s">
        <v>2</v>
      </c>
      <c r="AF1565" s="54" t="s">
        <v>2</v>
      </c>
      <c r="AG1565" s="54" t="s">
        <v>2</v>
      </c>
    </row>
    <row r="1566" ht="15.75" customHeight="1">
      <c r="B1566" s="56"/>
      <c r="U1566" s="46" t="str">
        <f t="array" ref="U1566">IF($D1566="","",IFERROR(_xlfn.XLOOKUP($D1566,'TIR店舗一覧'!$D:$D,'TIR店舗一覧'!$E:$E,""),""))</f>
        <v/>
      </c>
      <c r="V1566" s="54" t="s">
        <v>2</v>
      </c>
      <c r="W1566" s="54" t="s">
        <v>2</v>
      </c>
      <c r="X1566" s="54" t="s">
        <v>2</v>
      </c>
      <c r="Y1566" s="54" t="s">
        <v>2</v>
      </c>
      <c r="Z1566" s="54" t="s">
        <v>2</v>
      </c>
      <c r="AA1566" s="54" t="s">
        <v>2</v>
      </c>
      <c r="AB1566" s="54" t="s">
        <v>2</v>
      </c>
      <c r="AC1566" s="54" t="s">
        <v>2</v>
      </c>
      <c r="AD1566" s="54" t="s">
        <v>2</v>
      </c>
      <c r="AE1566" s="54" t="s">
        <v>2</v>
      </c>
      <c r="AF1566" s="54" t="s">
        <v>2</v>
      </c>
      <c r="AG1566" s="54" t="s">
        <v>2</v>
      </c>
    </row>
    <row r="1567" ht="15.75" customHeight="1">
      <c r="B1567" s="56"/>
      <c r="U1567" s="46" t="str">
        <f t="array" ref="U1567">IF($D1567="","",IFERROR(_xlfn.XLOOKUP($D1567,'TIR店舗一覧'!$D:$D,'TIR店舗一覧'!$E:$E,""),""))</f>
        <v/>
      </c>
      <c r="V1567" s="54" t="s">
        <v>2</v>
      </c>
      <c r="W1567" s="54" t="s">
        <v>2</v>
      </c>
      <c r="X1567" s="54" t="s">
        <v>2</v>
      </c>
      <c r="Y1567" s="54" t="s">
        <v>2</v>
      </c>
      <c r="Z1567" s="54" t="s">
        <v>2</v>
      </c>
      <c r="AA1567" s="54" t="s">
        <v>2</v>
      </c>
      <c r="AB1567" s="54" t="s">
        <v>2</v>
      </c>
      <c r="AC1567" s="54" t="s">
        <v>2</v>
      </c>
      <c r="AD1567" s="54" t="s">
        <v>2</v>
      </c>
      <c r="AE1567" s="54" t="s">
        <v>2</v>
      </c>
      <c r="AF1567" s="54" t="s">
        <v>2</v>
      </c>
      <c r="AG1567" s="54" t="s">
        <v>2</v>
      </c>
    </row>
    <row r="1568" ht="15.75" customHeight="1">
      <c r="B1568" s="56"/>
      <c r="U1568" s="46" t="str">
        <f t="array" ref="U1568">IF($D1568="","",IFERROR(_xlfn.XLOOKUP($D1568,'TIR店舗一覧'!$D:$D,'TIR店舗一覧'!$E:$E,""),""))</f>
        <v/>
      </c>
      <c r="V1568" s="54" t="s">
        <v>2</v>
      </c>
      <c r="W1568" s="54" t="s">
        <v>2</v>
      </c>
      <c r="X1568" s="54" t="s">
        <v>2</v>
      </c>
      <c r="Y1568" s="54" t="s">
        <v>2</v>
      </c>
      <c r="Z1568" s="54" t="s">
        <v>2</v>
      </c>
      <c r="AA1568" s="54" t="s">
        <v>2</v>
      </c>
      <c r="AB1568" s="54" t="s">
        <v>2</v>
      </c>
      <c r="AC1568" s="54" t="s">
        <v>2</v>
      </c>
      <c r="AD1568" s="54" t="s">
        <v>2</v>
      </c>
      <c r="AE1568" s="54" t="s">
        <v>2</v>
      </c>
      <c r="AF1568" s="54" t="s">
        <v>2</v>
      </c>
      <c r="AG1568" s="54" t="s">
        <v>2</v>
      </c>
    </row>
    <row r="1569" ht="15.75" customHeight="1">
      <c r="B1569" s="56"/>
      <c r="U1569" s="46" t="str">
        <f t="array" ref="U1569">IF($D1569="","",IFERROR(_xlfn.XLOOKUP($D1569,'TIR店舗一覧'!$D:$D,'TIR店舗一覧'!$E:$E,""),""))</f>
        <v/>
      </c>
      <c r="V1569" s="54" t="s">
        <v>2</v>
      </c>
      <c r="W1569" s="54" t="s">
        <v>2</v>
      </c>
      <c r="X1569" s="54" t="s">
        <v>2</v>
      </c>
      <c r="Y1569" s="54" t="s">
        <v>2</v>
      </c>
      <c r="Z1569" s="54" t="s">
        <v>2</v>
      </c>
      <c r="AA1569" s="54" t="s">
        <v>2</v>
      </c>
      <c r="AB1569" s="54" t="s">
        <v>2</v>
      </c>
      <c r="AC1569" s="54" t="s">
        <v>2</v>
      </c>
      <c r="AD1569" s="54" t="s">
        <v>2</v>
      </c>
      <c r="AE1569" s="54" t="s">
        <v>2</v>
      </c>
      <c r="AF1569" s="54" t="s">
        <v>2</v>
      </c>
      <c r="AG1569" s="54" t="s">
        <v>2</v>
      </c>
    </row>
    <row r="1570" ht="15.75" customHeight="1">
      <c r="B1570" s="56"/>
      <c r="U1570" s="46" t="str">
        <f t="array" ref="U1570">IF($D1570="","",IFERROR(_xlfn.XLOOKUP($D1570,'TIR店舗一覧'!$D:$D,'TIR店舗一覧'!$E:$E,""),""))</f>
        <v/>
      </c>
      <c r="V1570" s="54" t="s">
        <v>2</v>
      </c>
      <c r="W1570" s="54" t="s">
        <v>2</v>
      </c>
      <c r="X1570" s="54" t="s">
        <v>2</v>
      </c>
      <c r="Y1570" s="54" t="s">
        <v>2</v>
      </c>
      <c r="Z1570" s="54" t="s">
        <v>2</v>
      </c>
      <c r="AA1570" s="54" t="s">
        <v>2</v>
      </c>
      <c r="AB1570" s="54" t="s">
        <v>2</v>
      </c>
      <c r="AC1570" s="54" t="s">
        <v>2</v>
      </c>
      <c r="AD1570" s="54" t="s">
        <v>2</v>
      </c>
      <c r="AE1570" s="54" t="s">
        <v>2</v>
      </c>
      <c r="AF1570" s="54" t="s">
        <v>2</v>
      </c>
      <c r="AG1570" s="54" t="s">
        <v>2</v>
      </c>
    </row>
    <row r="1571" ht="15.75" customHeight="1">
      <c r="B1571" s="56"/>
      <c r="U1571" s="46" t="str">
        <f t="array" ref="U1571">IF($D1571="","",IFERROR(_xlfn.XLOOKUP($D1571,'TIR店舗一覧'!$D:$D,'TIR店舗一覧'!$E:$E,""),""))</f>
        <v/>
      </c>
      <c r="V1571" s="54" t="s">
        <v>2</v>
      </c>
      <c r="W1571" s="54" t="s">
        <v>2</v>
      </c>
      <c r="X1571" s="54" t="s">
        <v>2</v>
      </c>
      <c r="Y1571" s="54" t="s">
        <v>2</v>
      </c>
      <c r="Z1571" s="54" t="s">
        <v>2</v>
      </c>
      <c r="AA1571" s="54" t="s">
        <v>2</v>
      </c>
      <c r="AB1571" s="54" t="s">
        <v>2</v>
      </c>
      <c r="AC1571" s="54" t="s">
        <v>2</v>
      </c>
      <c r="AD1571" s="54" t="s">
        <v>2</v>
      </c>
      <c r="AE1571" s="54" t="s">
        <v>2</v>
      </c>
      <c r="AF1571" s="54" t="s">
        <v>2</v>
      </c>
      <c r="AG1571" s="54" t="s">
        <v>2</v>
      </c>
    </row>
    <row r="1572" ht="15.75" customHeight="1">
      <c r="B1572" s="56"/>
      <c r="U1572" s="46" t="str">
        <f t="array" ref="U1572">IF($D1572="","",IFERROR(_xlfn.XLOOKUP($D1572,'TIR店舗一覧'!$D:$D,'TIR店舗一覧'!$E:$E,""),""))</f>
        <v/>
      </c>
      <c r="V1572" s="54" t="s">
        <v>2</v>
      </c>
      <c r="W1572" s="54" t="s">
        <v>2</v>
      </c>
      <c r="X1572" s="54" t="s">
        <v>2</v>
      </c>
      <c r="Y1572" s="54" t="s">
        <v>2</v>
      </c>
      <c r="Z1572" s="54" t="s">
        <v>2</v>
      </c>
      <c r="AA1572" s="54" t="s">
        <v>2</v>
      </c>
      <c r="AB1572" s="54" t="s">
        <v>2</v>
      </c>
      <c r="AC1572" s="54" t="s">
        <v>2</v>
      </c>
      <c r="AD1572" s="54" t="s">
        <v>2</v>
      </c>
      <c r="AE1572" s="54" t="s">
        <v>2</v>
      </c>
      <c r="AF1572" s="54" t="s">
        <v>2</v>
      </c>
      <c r="AG1572" s="54" t="s">
        <v>2</v>
      </c>
    </row>
    <row r="1573" ht="15.75" customHeight="1">
      <c r="B1573" s="56"/>
      <c r="U1573" s="46" t="str">
        <f t="array" ref="U1573">IF($D1573="","",IFERROR(_xlfn.XLOOKUP($D1573,'TIR店舗一覧'!$D:$D,'TIR店舗一覧'!$E:$E,""),""))</f>
        <v/>
      </c>
      <c r="V1573" s="54" t="s">
        <v>2</v>
      </c>
      <c r="W1573" s="54" t="s">
        <v>2</v>
      </c>
      <c r="X1573" s="54" t="s">
        <v>2</v>
      </c>
      <c r="Y1573" s="54" t="s">
        <v>2</v>
      </c>
      <c r="Z1573" s="54" t="s">
        <v>2</v>
      </c>
      <c r="AA1573" s="54" t="s">
        <v>2</v>
      </c>
      <c r="AB1573" s="54" t="s">
        <v>2</v>
      </c>
      <c r="AC1573" s="54" t="s">
        <v>2</v>
      </c>
      <c r="AD1573" s="54" t="s">
        <v>2</v>
      </c>
      <c r="AE1573" s="54" t="s">
        <v>2</v>
      </c>
      <c r="AF1573" s="54" t="s">
        <v>2</v>
      </c>
      <c r="AG1573" s="54" t="s">
        <v>2</v>
      </c>
    </row>
    <row r="1574" ht="15.75" customHeight="1">
      <c r="B1574" s="56"/>
      <c r="U1574" s="46" t="str">
        <f t="array" ref="U1574">IF($D1574="","",IFERROR(_xlfn.XLOOKUP($D1574,'TIR店舗一覧'!$D:$D,'TIR店舗一覧'!$E:$E,""),""))</f>
        <v/>
      </c>
      <c r="V1574" s="54" t="s">
        <v>2</v>
      </c>
      <c r="W1574" s="54" t="s">
        <v>2</v>
      </c>
      <c r="X1574" s="54" t="s">
        <v>2</v>
      </c>
      <c r="Y1574" s="54" t="s">
        <v>2</v>
      </c>
      <c r="Z1574" s="54" t="s">
        <v>2</v>
      </c>
      <c r="AA1574" s="54" t="s">
        <v>2</v>
      </c>
      <c r="AB1574" s="54" t="s">
        <v>2</v>
      </c>
      <c r="AC1574" s="54" t="s">
        <v>2</v>
      </c>
      <c r="AD1574" s="54" t="s">
        <v>2</v>
      </c>
      <c r="AE1574" s="54" t="s">
        <v>2</v>
      </c>
      <c r="AF1574" s="54" t="s">
        <v>2</v>
      </c>
      <c r="AG1574" s="54" t="s">
        <v>2</v>
      </c>
    </row>
    <row r="1575" ht="15.75" customHeight="1">
      <c r="B1575" s="56"/>
      <c r="U1575" s="46" t="str">
        <f t="array" ref="U1575">IF($D1575="","",IFERROR(_xlfn.XLOOKUP($D1575,'TIR店舗一覧'!$D:$D,'TIR店舗一覧'!$E:$E,""),""))</f>
        <v/>
      </c>
      <c r="V1575" s="54" t="s">
        <v>2</v>
      </c>
      <c r="W1575" s="54" t="s">
        <v>2</v>
      </c>
      <c r="X1575" s="54" t="s">
        <v>2</v>
      </c>
      <c r="Y1575" s="54" t="s">
        <v>2</v>
      </c>
      <c r="Z1575" s="54" t="s">
        <v>2</v>
      </c>
      <c r="AA1575" s="54" t="s">
        <v>2</v>
      </c>
      <c r="AB1575" s="54" t="s">
        <v>2</v>
      </c>
      <c r="AC1575" s="54" t="s">
        <v>2</v>
      </c>
      <c r="AD1575" s="54" t="s">
        <v>2</v>
      </c>
      <c r="AE1575" s="54" t="s">
        <v>2</v>
      </c>
      <c r="AF1575" s="54" t="s">
        <v>2</v>
      </c>
      <c r="AG1575" s="54" t="s">
        <v>2</v>
      </c>
    </row>
    <row r="1576" ht="15.75" customHeight="1">
      <c r="B1576" s="56"/>
      <c r="U1576" s="46" t="str">
        <f t="array" ref="U1576">IF($D1576="","",IFERROR(_xlfn.XLOOKUP($D1576,'TIR店舗一覧'!$D:$D,'TIR店舗一覧'!$E:$E,""),""))</f>
        <v/>
      </c>
      <c r="V1576" s="54" t="s">
        <v>2</v>
      </c>
      <c r="W1576" s="54" t="s">
        <v>2</v>
      </c>
      <c r="X1576" s="54" t="s">
        <v>2</v>
      </c>
      <c r="Y1576" s="54" t="s">
        <v>2</v>
      </c>
      <c r="Z1576" s="54" t="s">
        <v>2</v>
      </c>
      <c r="AA1576" s="54" t="s">
        <v>2</v>
      </c>
      <c r="AB1576" s="54" t="s">
        <v>2</v>
      </c>
      <c r="AC1576" s="54" t="s">
        <v>2</v>
      </c>
      <c r="AD1576" s="54" t="s">
        <v>2</v>
      </c>
      <c r="AE1576" s="54" t="s">
        <v>2</v>
      </c>
      <c r="AF1576" s="54" t="s">
        <v>2</v>
      </c>
      <c r="AG1576" s="54" t="s">
        <v>2</v>
      </c>
    </row>
    <row r="1577" ht="15.75" customHeight="1">
      <c r="B1577" s="56"/>
      <c r="U1577" s="46" t="str">
        <f t="array" ref="U1577">IF($D1577="","",IFERROR(_xlfn.XLOOKUP($D1577,'TIR店舗一覧'!$D:$D,'TIR店舗一覧'!$E:$E,""),""))</f>
        <v/>
      </c>
      <c r="V1577" s="54" t="s">
        <v>2</v>
      </c>
      <c r="W1577" s="54" t="s">
        <v>2</v>
      </c>
      <c r="X1577" s="54" t="s">
        <v>2</v>
      </c>
      <c r="Y1577" s="54" t="s">
        <v>2</v>
      </c>
      <c r="Z1577" s="54" t="s">
        <v>2</v>
      </c>
      <c r="AA1577" s="54" t="s">
        <v>2</v>
      </c>
      <c r="AB1577" s="54" t="s">
        <v>2</v>
      </c>
      <c r="AC1577" s="54" t="s">
        <v>2</v>
      </c>
      <c r="AD1577" s="54" t="s">
        <v>2</v>
      </c>
      <c r="AE1577" s="54" t="s">
        <v>2</v>
      </c>
      <c r="AF1577" s="54" t="s">
        <v>2</v>
      </c>
      <c r="AG1577" s="54" t="s">
        <v>2</v>
      </c>
    </row>
    <row r="1578" ht="15.75" customHeight="1">
      <c r="B1578" s="56"/>
      <c r="U1578" s="46" t="str">
        <f t="array" ref="U1578">IF($D1578="","",IFERROR(_xlfn.XLOOKUP($D1578,'TIR店舗一覧'!$D:$D,'TIR店舗一覧'!$E:$E,""),""))</f>
        <v/>
      </c>
      <c r="V1578" s="54" t="s">
        <v>2</v>
      </c>
      <c r="W1578" s="54" t="s">
        <v>2</v>
      </c>
      <c r="X1578" s="54" t="s">
        <v>2</v>
      </c>
      <c r="Y1578" s="54" t="s">
        <v>2</v>
      </c>
      <c r="Z1578" s="54" t="s">
        <v>2</v>
      </c>
      <c r="AA1578" s="54" t="s">
        <v>2</v>
      </c>
      <c r="AB1578" s="54" t="s">
        <v>2</v>
      </c>
      <c r="AC1578" s="54" t="s">
        <v>2</v>
      </c>
      <c r="AD1578" s="54" t="s">
        <v>2</v>
      </c>
      <c r="AE1578" s="54" t="s">
        <v>2</v>
      </c>
      <c r="AF1578" s="54" t="s">
        <v>2</v>
      </c>
      <c r="AG1578" s="54" t="s">
        <v>2</v>
      </c>
    </row>
    <row r="1579" ht="15.75" customHeight="1">
      <c r="B1579" s="56"/>
      <c r="U1579" s="46" t="str">
        <f t="array" ref="U1579">IF($D1579="","",IFERROR(_xlfn.XLOOKUP($D1579,'TIR店舗一覧'!$D:$D,'TIR店舗一覧'!$E:$E,""),""))</f>
        <v/>
      </c>
      <c r="V1579" s="54" t="s">
        <v>2</v>
      </c>
      <c r="W1579" s="54" t="s">
        <v>2</v>
      </c>
      <c r="X1579" s="54" t="s">
        <v>2</v>
      </c>
      <c r="Y1579" s="54" t="s">
        <v>2</v>
      </c>
      <c r="Z1579" s="54" t="s">
        <v>2</v>
      </c>
      <c r="AA1579" s="54" t="s">
        <v>2</v>
      </c>
      <c r="AB1579" s="54" t="s">
        <v>2</v>
      </c>
      <c r="AC1579" s="54" t="s">
        <v>2</v>
      </c>
      <c r="AD1579" s="54" t="s">
        <v>2</v>
      </c>
      <c r="AE1579" s="54" t="s">
        <v>2</v>
      </c>
      <c r="AF1579" s="54" t="s">
        <v>2</v>
      </c>
      <c r="AG1579" s="54" t="s">
        <v>2</v>
      </c>
    </row>
    <row r="1580" ht="15.75" customHeight="1">
      <c r="B1580" s="56"/>
      <c r="U1580" s="46" t="str">
        <f t="array" ref="U1580">IF($D1580="","",IFERROR(_xlfn.XLOOKUP($D1580,'TIR店舗一覧'!$D:$D,'TIR店舗一覧'!$E:$E,""),""))</f>
        <v/>
      </c>
      <c r="V1580" s="54" t="s">
        <v>2</v>
      </c>
      <c r="W1580" s="54" t="s">
        <v>2</v>
      </c>
      <c r="X1580" s="54" t="s">
        <v>2</v>
      </c>
      <c r="Y1580" s="54" t="s">
        <v>2</v>
      </c>
      <c r="Z1580" s="54" t="s">
        <v>2</v>
      </c>
      <c r="AA1580" s="54" t="s">
        <v>2</v>
      </c>
      <c r="AB1580" s="54" t="s">
        <v>2</v>
      </c>
      <c r="AC1580" s="54" t="s">
        <v>2</v>
      </c>
      <c r="AD1580" s="54" t="s">
        <v>2</v>
      </c>
      <c r="AE1580" s="54" t="s">
        <v>2</v>
      </c>
      <c r="AF1580" s="54" t="s">
        <v>2</v>
      </c>
      <c r="AG1580" s="54" t="s">
        <v>2</v>
      </c>
    </row>
    <row r="1581" ht="15.75" customHeight="1">
      <c r="B1581" s="56"/>
      <c r="U1581" s="46" t="str">
        <f t="array" ref="U1581">IF($D1581="","",IFERROR(_xlfn.XLOOKUP($D1581,'TIR店舗一覧'!$D:$D,'TIR店舗一覧'!$E:$E,""),""))</f>
        <v/>
      </c>
      <c r="V1581" s="54" t="s">
        <v>2</v>
      </c>
      <c r="W1581" s="54" t="s">
        <v>2</v>
      </c>
      <c r="X1581" s="54" t="s">
        <v>2</v>
      </c>
      <c r="Y1581" s="54" t="s">
        <v>2</v>
      </c>
      <c r="Z1581" s="54" t="s">
        <v>2</v>
      </c>
      <c r="AA1581" s="54" t="s">
        <v>2</v>
      </c>
      <c r="AB1581" s="54" t="s">
        <v>2</v>
      </c>
      <c r="AC1581" s="54" t="s">
        <v>2</v>
      </c>
      <c r="AD1581" s="54" t="s">
        <v>2</v>
      </c>
      <c r="AE1581" s="54" t="s">
        <v>2</v>
      </c>
      <c r="AF1581" s="54" t="s">
        <v>2</v>
      </c>
      <c r="AG1581" s="54" t="s">
        <v>2</v>
      </c>
    </row>
    <row r="1582" ht="15.75" customHeight="1">
      <c r="B1582" s="56"/>
      <c r="U1582" s="46" t="str">
        <f t="array" ref="U1582">IF($D1582="","",IFERROR(_xlfn.XLOOKUP($D1582,'TIR店舗一覧'!$D:$D,'TIR店舗一覧'!$E:$E,""),""))</f>
        <v/>
      </c>
      <c r="V1582" s="54" t="s">
        <v>2</v>
      </c>
      <c r="W1582" s="54" t="s">
        <v>2</v>
      </c>
      <c r="X1582" s="54" t="s">
        <v>2</v>
      </c>
      <c r="Y1582" s="54" t="s">
        <v>2</v>
      </c>
      <c r="Z1582" s="54" t="s">
        <v>2</v>
      </c>
      <c r="AA1582" s="54" t="s">
        <v>2</v>
      </c>
      <c r="AB1582" s="54" t="s">
        <v>2</v>
      </c>
      <c r="AC1582" s="54" t="s">
        <v>2</v>
      </c>
      <c r="AD1582" s="54" t="s">
        <v>2</v>
      </c>
      <c r="AE1582" s="54" t="s">
        <v>2</v>
      </c>
      <c r="AF1582" s="54" t="s">
        <v>2</v>
      </c>
      <c r="AG1582" s="54" t="s">
        <v>2</v>
      </c>
    </row>
    <row r="1583" ht="15.75" customHeight="1">
      <c r="B1583" s="56"/>
      <c r="U1583" s="46" t="str">
        <f t="array" ref="U1583">IF($D1583="","",IFERROR(_xlfn.XLOOKUP($D1583,'TIR店舗一覧'!$D:$D,'TIR店舗一覧'!$E:$E,""),""))</f>
        <v/>
      </c>
      <c r="V1583" s="54" t="s">
        <v>2</v>
      </c>
      <c r="W1583" s="54" t="s">
        <v>2</v>
      </c>
      <c r="X1583" s="54" t="s">
        <v>2</v>
      </c>
      <c r="Y1583" s="54" t="s">
        <v>2</v>
      </c>
      <c r="Z1583" s="54" t="s">
        <v>2</v>
      </c>
      <c r="AA1583" s="54" t="s">
        <v>2</v>
      </c>
      <c r="AB1583" s="54" t="s">
        <v>2</v>
      </c>
      <c r="AC1583" s="54" t="s">
        <v>2</v>
      </c>
      <c r="AD1583" s="54" t="s">
        <v>2</v>
      </c>
      <c r="AE1583" s="54" t="s">
        <v>2</v>
      </c>
      <c r="AF1583" s="54" t="s">
        <v>2</v>
      </c>
      <c r="AG1583" s="54" t="s">
        <v>2</v>
      </c>
    </row>
    <row r="1584" ht="15.75" customHeight="1">
      <c r="B1584" s="56"/>
      <c r="U1584" s="46" t="str">
        <f t="array" ref="U1584">IF($D1584="","",IFERROR(_xlfn.XLOOKUP($D1584,'TIR店舗一覧'!$D:$D,'TIR店舗一覧'!$E:$E,""),""))</f>
        <v/>
      </c>
      <c r="V1584" s="54" t="s">
        <v>2</v>
      </c>
      <c r="W1584" s="54" t="s">
        <v>2</v>
      </c>
      <c r="X1584" s="54" t="s">
        <v>2</v>
      </c>
      <c r="Y1584" s="54" t="s">
        <v>2</v>
      </c>
      <c r="Z1584" s="54" t="s">
        <v>2</v>
      </c>
      <c r="AA1584" s="54" t="s">
        <v>2</v>
      </c>
      <c r="AB1584" s="54" t="s">
        <v>2</v>
      </c>
      <c r="AC1584" s="54" t="s">
        <v>2</v>
      </c>
      <c r="AD1584" s="54" t="s">
        <v>2</v>
      </c>
      <c r="AE1584" s="54" t="s">
        <v>2</v>
      </c>
      <c r="AF1584" s="54" t="s">
        <v>2</v>
      </c>
      <c r="AG1584" s="54" t="s">
        <v>2</v>
      </c>
    </row>
    <row r="1585" ht="15.75" customHeight="1">
      <c r="B1585" s="56"/>
      <c r="U1585" s="46" t="str">
        <f t="array" ref="U1585">IF($D1585="","",IFERROR(_xlfn.XLOOKUP($D1585,'TIR店舗一覧'!$D:$D,'TIR店舗一覧'!$E:$E,""),""))</f>
        <v/>
      </c>
      <c r="V1585" s="54" t="s">
        <v>2</v>
      </c>
      <c r="W1585" s="54" t="s">
        <v>2</v>
      </c>
      <c r="X1585" s="54" t="s">
        <v>2</v>
      </c>
      <c r="Y1585" s="54" t="s">
        <v>2</v>
      </c>
      <c r="Z1585" s="54" t="s">
        <v>2</v>
      </c>
      <c r="AA1585" s="54" t="s">
        <v>2</v>
      </c>
      <c r="AB1585" s="54" t="s">
        <v>2</v>
      </c>
      <c r="AC1585" s="54" t="s">
        <v>2</v>
      </c>
      <c r="AD1585" s="54" t="s">
        <v>2</v>
      </c>
      <c r="AE1585" s="54" t="s">
        <v>2</v>
      </c>
      <c r="AF1585" s="54" t="s">
        <v>2</v>
      </c>
      <c r="AG1585" s="54" t="s">
        <v>2</v>
      </c>
    </row>
    <row r="1586" ht="15.75" customHeight="1">
      <c r="B1586" s="56"/>
      <c r="U1586" s="46" t="str">
        <f t="array" ref="U1586">IF($D1586="","",IFERROR(_xlfn.XLOOKUP($D1586,'TIR店舗一覧'!$D:$D,'TIR店舗一覧'!$E:$E,""),""))</f>
        <v/>
      </c>
      <c r="V1586" s="54" t="s">
        <v>2</v>
      </c>
      <c r="W1586" s="54" t="s">
        <v>2</v>
      </c>
      <c r="X1586" s="54" t="s">
        <v>2</v>
      </c>
      <c r="Y1586" s="54" t="s">
        <v>2</v>
      </c>
      <c r="Z1586" s="54" t="s">
        <v>2</v>
      </c>
      <c r="AA1586" s="54" t="s">
        <v>2</v>
      </c>
      <c r="AB1586" s="54" t="s">
        <v>2</v>
      </c>
      <c r="AC1586" s="54" t="s">
        <v>2</v>
      </c>
      <c r="AD1586" s="54" t="s">
        <v>2</v>
      </c>
      <c r="AE1586" s="54" t="s">
        <v>2</v>
      </c>
      <c r="AF1586" s="54" t="s">
        <v>2</v>
      </c>
      <c r="AG1586" s="54" t="s">
        <v>2</v>
      </c>
    </row>
    <row r="1587" ht="15.75" customHeight="1">
      <c r="B1587" s="56"/>
      <c r="U1587" s="46" t="str">
        <f t="array" ref="U1587">IF($D1587="","",IFERROR(_xlfn.XLOOKUP($D1587,'TIR店舗一覧'!$D:$D,'TIR店舗一覧'!$E:$E,""),""))</f>
        <v/>
      </c>
      <c r="V1587" s="54" t="s">
        <v>2</v>
      </c>
      <c r="W1587" s="54" t="s">
        <v>2</v>
      </c>
      <c r="X1587" s="54" t="s">
        <v>2</v>
      </c>
      <c r="Y1587" s="54" t="s">
        <v>2</v>
      </c>
      <c r="Z1587" s="54" t="s">
        <v>2</v>
      </c>
      <c r="AA1587" s="54" t="s">
        <v>2</v>
      </c>
      <c r="AB1587" s="54" t="s">
        <v>2</v>
      </c>
      <c r="AC1587" s="54" t="s">
        <v>2</v>
      </c>
      <c r="AD1587" s="54" t="s">
        <v>2</v>
      </c>
      <c r="AE1587" s="54" t="s">
        <v>2</v>
      </c>
      <c r="AF1587" s="54" t="s">
        <v>2</v>
      </c>
      <c r="AG1587" s="54" t="s">
        <v>2</v>
      </c>
    </row>
    <row r="1588" ht="15.75" customHeight="1">
      <c r="B1588" s="56"/>
      <c r="U1588" s="46" t="str">
        <f t="array" ref="U1588">IF($D1588="","",IFERROR(_xlfn.XLOOKUP($D1588,'TIR店舗一覧'!$D:$D,'TIR店舗一覧'!$E:$E,""),""))</f>
        <v/>
      </c>
      <c r="V1588" s="54" t="s">
        <v>2</v>
      </c>
      <c r="W1588" s="54" t="s">
        <v>2</v>
      </c>
      <c r="X1588" s="54" t="s">
        <v>2</v>
      </c>
      <c r="Y1588" s="54" t="s">
        <v>2</v>
      </c>
      <c r="Z1588" s="54" t="s">
        <v>2</v>
      </c>
      <c r="AA1588" s="54" t="s">
        <v>2</v>
      </c>
      <c r="AB1588" s="54" t="s">
        <v>2</v>
      </c>
      <c r="AC1588" s="54" t="s">
        <v>2</v>
      </c>
      <c r="AD1588" s="54" t="s">
        <v>2</v>
      </c>
      <c r="AE1588" s="54" t="s">
        <v>2</v>
      </c>
      <c r="AF1588" s="54" t="s">
        <v>2</v>
      </c>
      <c r="AG1588" s="54" t="s">
        <v>2</v>
      </c>
    </row>
    <row r="1589" ht="15.75" customHeight="1">
      <c r="B1589" s="56"/>
      <c r="U1589" s="46" t="str">
        <f t="array" ref="U1589">IF($D1589="","",IFERROR(_xlfn.XLOOKUP($D1589,'TIR店舗一覧'!$D:$D,'TIR店舗一覧'!$E:$E,""),""))</f>
        <v/>
      </c>
      <c r="V1589" s="54" t="s">
        <v>2</v>
      </c>
      <c r="W1589" s="54" t="s">
        <v>2</v>
      </c>
      <c r="X1589" s="54" t="s">
        <v>2</v>
      </c>
      <c r="Y1589" s="54" t="s">
        <v>2</v>
      </c>
      <c r="Z1589" s="54" t="s">
        <v>2</v>
      </c>
      <c r="AA1589" s="54" t="s">
        <v>2</v>
      </c>
      <c r="AB1589" s="54" t="s">
        <v>2</v>
      </c>
      <c r="AC1589" s="54" t="s">
        <v>2</v>
      </c>
      <c r="AD1589" s="54" t="s">
        <v>2</v>
      </c>
      <c r="AE1589" s="54" t="s">
        <v>2</v>
      </c>
      <c r="AF1589" s="54" t="s">
        <v>2</v>
      </c>
      <c r="AG1589" s="54" t="s">
        <v>2</v>
      </c>
    </row>
    <row r="1590" ht="15.75" customHeight="1">
      <c r="B1590" s="56"/>
      <c r="U1590" s="46" t="str">
        <f t="array" ref="U1590">IF($D1590="","",IFERROR(_xlfn.XLOOKUP($D1590,'TIR店舗一覧'!$D:$D,'TIR店舗一覧'!$E:$E,""),""))</f>
        <v/>
      </c>
      <c r="V1590" s="54" t="s">
        <v>2</v>
      </c>
      <c r="W1590" s="54" t="s">
        <v>2</v>
      </c>
      <c r="X1590" s="54" t="s">
        <v>2</v>
      </c>
      <c r="Y1590" s="54" t="s">
        <v>2</v>
      </c>
      <c r="Z1590" s="54" t="s">
        <v>2</v>
      </c>
      <c r="AA1590" s="54" t="s">
        <v>2</v>
      </c>
      <c r="AB1590" s="54" t="s">
        <v>2</v>
      </c>
      <c r="AC1590" s="54" t="s">
        <v>2</v>
      </c>
      <c r="AD1590" s="54" t="s">
        <v>2</v>
      </c>
      <c r="AE1590" s="54" t="s">
        <v>2</v>
      </c>
      <c r="AF1590" s="54" t="s">
        <v>2</v>
      </c>
      <c r="AG1590" s="54" t="s">
        <v>2</v>
      </c>
    </row>
    <row r="1591" ht="15.75" customHeight="1">
      <c r="B1591" s="56"/>
      <c r="U1591" s="46" t="str">
        <f t="array" ref="U1591">IF($D1591="","",IFERROR(_xlfn.XLOOKUP($D1591,'TIR店舗一覧'!$D:$D,'TIR店舗一覧'!$E:$E,""),""))</f>
        <v/>
      </c>
      <c r="V1591" s="54" t="s">
        <v>2</v>
      </c>
      <c r="W1591" s="54" t="s">
        <v>2</v>
      </c>
      <c r="X1591" s="54" t="s">
        <v>2</v>
      </c>
      <c r="Y1591" s="54" t="s">
        <v>2</v>
      </c>
      <c r="Z1591" s="54" t="s">
        <v>2</v>
      </c>
      <c r="AA1591" s="54" t="s">
        <v>2</v>
      </c>
      <c r="AB1591" s="54" t="s">
        <v>2</v>
      </c>
      <c r="AC1591" s="54" t="s">
        <v>2</v>
      </c>
      <c r="AD1591" s="54" t="s">
        <v>2</v>
      </c>
      <c r="AE1591" s="54" t="s">
        <v>2</v>
      </c>
      <c r="AF1591" s="54" t="s">
        <v>2</v>
      </c>
      <c r="AG1591" s="54" t="s">
        <v>2</v>
      </c>
    </row>
    <row r="1592" ht="15.75" customHeight="1">
      <c r="B1592" s="56"/>
      <c r="U1592" s="46" t="str">
        <f t="array" ref="U1592">IF($D1592="","",IFERROR(_xlfn.XLOOKUP($D1592,'TIR店舗一覧'!$D:$D,'TIR店舗一覧'!$E:$E,""),""))</f>
        <v/>
      </c>
      <c r="V1592" s="54" t="s">
        <v>2</v>
      </c>
      <c r="W1592" s="54" t="s">
        <v>2</v>
      </c>
      <c r="X1592" s="54" t="s">
        <v>2</v>
      </c>
      <c r="Y1592" s="54" t="s">
        <v>2</v>
      </c>
      <c r="Z1592" s="54" t="s">
        <v>2</v>
      </c>
      <c r="AA1592" s="54" t="s">
        <v>2</v>
      </c>
      <c r="AB1592" s="54" t="s">
        <v>2</v>
      </c>
      <c r="AC1592" s="54" t="s">
        <v>2</v>
      </c>
      <c r="AD1592" s="54" t="s">
        <v>2</v>
      </c>
      <c r="AE1592" s="54" t="s">
        <v>2</v>
      </c>
      <c r="AF1592" s="54" t="s">
        <v>2</v>
      </c>
      <c r="AG1592" s="54" t="s">
        <v>2</v>
      </c>
    </row>
    <row r="1593" ht="15.75" customHeight="1">
      <c r="B1593" s="56"/>
      <c r="U1593" s="46" t="str">
        <f t="array" ref="U1593">IF($D1593="","",IFERROR(_xlfn.XLOOKUP($D1593,'TIR店舗一覧'!$D:$D,'TIR店舗一覧'!$E:$E,""),""))</f>
        <v/>
      </c>
      <c r="V1593" s="54" t="s">
        <v>2</v>
      </c>
      <c r="W1593" s="54" t="s">
        <v>2</v>
      </c>
      <c r="X1593" s="54" t="s">
        <v>2</v>
      </c>
      <c r="Y1593" s="54" t="s">
        <v>2</v>
      </c>
      <c r="Z1593" s="54" t="s">
        <v>2</v>
      </c>
      <c r="AA1593" s="54" t="s">
        <v>2</v>
      </c>
      <c r="AB1593" s="54" t="s">
        <v>2</v>
      </c>
      <c r="AC1593" s="54" t="s">
        <v>2</v>
      </c>
      <c r="AD1593" s="54" t="s">
        <v>2</v>
      </c>
      <c r="AE1593" s="54" t="s">
        <v>2</v>
      </c>
      <c r="AF1593" s="54" t="s">
        <v>2</v>
      </c>
      <c r="AG1593" s="54" t="s">
        <v>2</v>
      </c>
    </row>
    <row r="1594" ht="15.75" customHeight="1">
      <c r="B1594" s="56"/>
      <c r="U1594" s="46" t="str">
        <f t="array" ref="U1594">IF($D1594="","",IFERROR(_xlfn.XLOOKUP($D1594,'TIR店舗一覧'!$D:$D,'TIR店舗一覧'!$E:$E,""),""))</f>
        <v/>
      </c>
      <c r="V1594" s="54" t="s">
        <v>2</v>
      </c>
      <c r="W1594" s="54" t="s">
        <v>2</v>
      </c>
      <c r="X1594" s="54" t="s">
        <v>2</v>
      </c>
      <c r="Y1594" s="54" t="s">
        <v>2</v>
      </c>
      <c r="Z1594" s="54" t="s">
        <v>2</v>
      </c>
      <c r="AA1594" s="54" t="s">
        <v>2</v>
      </c>
      <c r="AB1594" s="54" t="s">
        <v>2</v>
      </c>
      <c r="AC1594" s="54" t="s">
        <v>2</v>
      </c>
      <c r="AD1594" s="54" t="s">
        <v>2</v>
      </c>
      <c r="AE1594" s="54" t="s">
        <v>2</v>
      </c>
      <c r="AF1594" s="54" t="s">
        <v>2</v>
      </c>
      <c r="AG1594" s="54" t="s">
        <v>2</v>
      </c>
    </row>
    <row r="1595" ht="15.75" customHeight="1">
      <c r="B1595" s="56"/>
      <c r="U1595" s="46" t="str">
        <f t="array" ref="U1595">IF($D1595="","",IFERROR(_xlfn.XLOOKUP($D1595,'TIR店舗一覧'!$D:$D,'TIR店舗一覧'!$E:$E,""),""))</f>
        <v/>
      </c>
      <c r="V1595" s="54" t="s">
        <v>2</v>
      </c>
      <c r="W1595" s="54" t="s">
        <v>2</v>
      </c>
      <c r="X1595" s="54" t="s">
        <v>2</v>
      </c>
      <c r="Y1595" s="54" t="s">
        <v>2</v>
      </c>
      <c r="Z1595" s="54" t="s">
        <v>2</v>
      </c>
      <c r="AA1595" s="54" t="s">
        <v>2</v>
      </c>
      <c r="AB1595" s="54" t="s">
        <v>2</v>
      </c>
      <c r="AC1595" s="54" t="s">
        <v>2</v>
      </c>
      <c r="AD1595" s="54" t="s">
        <v>2</v>
      </c>
      <c r="AE1595" s="54" t="s">
        <v>2</v>
      </c>
      <c r="AF1595" s="54" t="s">
        <v>2</v>
      </c>
      <c r="AG1595" s="54" t="s">
        <v>2</v>
      </c>
    </row>
    <row r="1596" ht="15.75" customHeight="1">
      <c r="B1596" s="56"/>
      <c r="U1596" s="46" t="str">
        <f t="array" ref="U1596">IF($D1596="","",IFERROR(_xlfn.XLOOKUP($D1596,'TIR店舗一覧'!$D:$D,'TIR店舗一覧'!$E:$E,""),""))</f>
        <v/>
      </c>
      <c r="V1596" s="54" t="s">
        <v>2</v>
      </c>
      <c r="W1596" s="54" t="s">
        <v>2</v>
      </c>
      <c r="X1596" s="54" t="s">
        <v>2</v>
      </c>
      <c r="Y1596" s="54" t="s">
        <v>2</v>
      </c>
      <c r="Z1596" s="54" t="s">
        <v>2</v>
      </c>
      <c r="AA1596" s="54" t="s">
        <v>2</v>
      </c>
      <c r="AB1596" s="54" t="s">
        <v>2</v>
      </c>
      <c r="AC1596" s="54" t="s">
        <v>2</v>
      </c>
      <c r="AD1596" s="54" t="s">
        <v>2</v>
      </c>
      <c r="AE1596" s="54" t="s">
        <v>2</v>
      </c>
      <c r="AF1596" s="54" t="s">
        <v>2</v>
      </c>
      <c r="AG1596" s="54" t="s">
        <v>2</v>
      </c>
    </row>
    <row r="1597" ht="15.75" customHeight="1">
      <c r="B1597" s="56"/>
      <c r="U1597" s="46" t="str">
        <f t="array" ref="U1597">IF($D1597="","",IFERROR(_xlfn.XLOOKUP($D1597,'TIR店舗一覧'!$D:$D,'TIR店舗一覧'!$E:$E,""),""))</f>
        <v/>
      </c>
      <c r="V1597" s="54" t="s">
        <v>2</v>
      </c>
      <c r="W1597" s="54" t="s">
        <v>2</v>
      </c>
      <c r="X1597" s="54" t="s">
        <v>2</v>
      </c>
      <c r="Y1597" s="54" t="s">
        <v>2</v>
      </c>
      <c r="Z1597" s="54" t="s">
        <v>2</v>
      </c>
      <c r="AA1597" s="54" t="s">
        <v>2</v>
      </c>
      <c r="AB1597" s="54" t="s">
        <v>2</v>
      </c>
      <c r="AC1597" s="54" t="s">
        <v>2</v>
      </c>
      <c r="AD1597" s="54" t="s">
        <v>2</v>
      </c>
      <c r="AE1597" s="54" t="s">
        <v>2</v>
      </c>
      <c r="AF1597" s="54" t="s">
        <v>2</v>
      </c>
      <c r="AG1597" s="54" t="s">
        <v>2</v>
      </c>
    </row>
    <row r="1598" ht="15.75" customHeight="1">
      <c r="B1598" s="56"/>
      <c r="U1598" s="46" t="str">
        <f t="array" ref="U1598">IF($D1598="","",IFERROR(_xlfn.XLOOKUP($D1598,'TIR店舗一覧'!$D:$D,'TIR店舗一覧'!$E:$E,""),""))</f>
        <v/>
      </c>
      <c r="V1598" s="54" t="s">
        <v>2</v>
      </c>
      <c r="W1598" s="54" t="s">
        <v>2</v>
      </c>
      <c r="X1598" s="54" t="s">
        <v>2</v>
      </c>
      <c r="Y1598" s="54" t="s">
        <v>2</v>
      </c>
      <c r="Z1598" s="54" t="s">
        <v>2</v>
      </c>
      <c r="AA1598" s="54" t="s">
        <v>2</v>
      </c>
      <c r="AB1598" s="54" t="s">
        <v>2</v>
      </c>
      <c r="AC1598" s="54" t="s">
        <v>2</v>
      </c>
      <c r="AD1598" s="54" t="s">
        <v>2</v>
      </c>
      <c r="AE1598" s="54" t="s">
        <v>2</v>
      </c>
      <c r="AF1598" s="54" t="s">
        <v>2</v>
      </c>
      <c r="AG1598" s="54" t="s">
        <v>2</v>
      </c>
    </row>
    <row r="1599" ht="15.75" customHeight="1">
      <c r="B1599" s="56"/>
      <c r="U1599" s="46" t="str">
        <f t="array" ref="U1599">IF($D1599="","",IFERROR(_xlfn.XLOOKUP($D1599,'TIR店舗一覧'!$D:$D,'TIR店舗一覧'!$E:$E,""),""))</f>
        <v/>
      </c>
      <c r="V1599" s="54" t="s">
        <v>2</v>
      </c>
      <c r="W1599" s="54" t="s">
        <v>2</v>
      </c>
      <c r="X1599" s="54" t="s">
        <v>2</v>
      </c>
      <c r="Y1599" s="54" t="s">
        <v>2</v>
      </c>
      <c r="Z1599" s="54" t="s">
        <v>2</v>
      </c>
      <c r="AA1599" s="54" t="s">
        <v>2</v>
      </c>
      <c r="AB1599" s="54" t="s">
        <v>2</v>
      </c>
      <c r="AC1599" s="54" t="s">
        <v>2</v>
      </c>
      <c r="AD1599" s="54" t="s">
        <v>2</v>
      </c>
      <c r="AE1599" s="54" t="s">
        <v>2</v>
      </c>
      <c r="AF1599" s="54" t="s">
        <v>2</v>
      </c>
      <c r="AG1599" s="54" t="s">
        <v>2</v>
      </c>
    </row>
    <row r="1600" ht="15.75" customHeight="1">
      <c r="B1600" s="56"/>
      <c r="U1600" s="46" t="str">
        <f t="array" ref="U1600">IF($D1600="","",IFERROR(_xlfn.XLOOKUP($D1600,'TIR店舗一覧'!$D:$D,'TIR店舗一覧'!$E:$E,""),""))</f>
        <v/>
      </c>
      <c r="V1600" s="54" t="s">
        <v>2</v>
      </c>
      <c r="W1600" s="54" t="s">
        <v>2</v>
      </c>
      <c r="X1600" s="54" t="s">
        <v>2</v>
      </c>
      <c r="Y1600" s="54" t="s">
        <v>2</v>
      </c>
      <c r="Z1600" s="54" t="s">
        <v>2</v>
      </c>
      <c r="AA1600" s="54" t="s">
        <v>2</v>
      </c>
      <c r="AB1600" s="54" t="s">
        <v>2</v>
      </c>
      <c r="AC1600" s="54" t="s">
        <v>2</v>
      </c>
      <c r="AD1600" s="54" t="s">
        <v>2</v>
      </c>
      <c r="AE1600" s="54" t="s">
        <v>2</v>
      </c>
      <c r="AF1600" s="54" t="s">
        <v>2</v>
      </c>
      <c r="AG1600" s="54" t="s">
        <v>2</v>
      </c>
    </row>
    <row r="1601" ht="15.75" customHeight="1">
      <c r="B1601" s="56"/>
      <c r="U1601" s="46" t="str">
        <f t="array" ref="U1601">IF($D1601="","",IFERROR(_xlfn.XLOOKUP($D1601,'TIR店舗一覧'!$D:$D,'TIR店舗一覧'!$E:$E,""),""))</f>
        <v/>
      </c>
      <c r="V1601" s="54" t="s">
        <v>2</v>
      </c>
      <c r="W1601" s="54" t="s">
        <v>2</v>
      </c>
      <c r="X1601" s="54" t="s">
        <v>2</v>
      </c>
      <c r="Y1601" s="54" t="s">
        <v>2</v>
      </c>
      <c r="Z1601" s="54" t="s">
        <v>2</v>
      </c>
      <c r="AA1601" s="54" t="s">
        <v>2</v>
      </c>
      <c r="AB1601" s="54" t="s">
        <v>2</v>
      </c>
      <c r="AC1601" s="54" t="s">
        <v>2</v>
      </c>
      <c r="AD1601" s="54" t="s">
        <v>2</v>
      </c>
      <c r="AE1601" s="54" t="s">
        <v>2</v>
      </c>
      <c r="AF1601" s="54" t="s">
        <v>2</v>
      </c>
      <c r="AG1601" s="54" t="s">
        <v>2</v>
      </c>
    </row>
    <row r="1602" ht="15.75" customHeight="1">
      <c r="B1602" s="56"/>
      <c r="U1602" s="46" t="str">
        <f t="array" ref="U1602">IF($D1602="","",IFERROR(_xlfn.XLOOKUP($D1602,'TIR店舗一覧'!$D:$D,'TIR店舗一覧'!$E:$E,""),""))</f>
        <v/>
      </c>
      <c r="V1602" s="54" t="s">
        <v>2</v>
      </c>
      <c r="W1602" s="54" t="s">
        <v>2</v>
      </c>
      <c r="X1602" s="54" t="s">
        <v>2</v>
      </c>
      <c r="Y1602" s="54" t="s">
        <v>2</v>
      </c>
      <c r="Z1602" s="54" t="s">
        <v>2</v>
      </c>
      <c r="AA1602" s="54" t="s">
        <v>2</v>
      </c>
      <c r="AB1602" s="54" t="s">
        <v>2</v>
      </c>
      <c r="AC1602" s="54" t="s">
        <v>2</v>
      </c>
      <c r="AD1602" s="54" t="s">
        <v>2</v>
      </c>
      <c r="AE1602" s="54" t="s">
        <v>2</v>
      </c>
      <c r="AF1602" s="54" t="s">
        <v>2</v>
      </c>
      <c r="AG1602" s="54" t="s">
        <v>2</v>
      </c>
    </row>
    <row r="1603" ht="15.75" customHeight="1">
      <c r="B1603" s="56"/>
      <c r="U1603" s="46" t="str">
        <f t="array" ref="U1603">IF($D1603="","",IFERROR(_xlfn.XLOOKUP($D1603,'TIR店舗一覧'!$D:$D,'TIR店舗一覧'!$E:$E,""),""))</f>
        <v/>
      </c>
      <c r="V1603" s="54" t="s">
        <v>2</v>
      </c>
      <c r="W1603" s="54" t="s">
        <v>2</v>
      </c>
      <c r="X1603" s="54" t="s">
        <v>2</v>
      </c>
      <c r="Y1603" s="54" t="s">
        <v>2</v>
      </c>
      <c r="Z1603" s="54" t="s">
        <v>2</v>
      </c>
      <c r="AA1603" s="54" t="s">
        <v>2</v>
      </c>
      <c r="AB1603" s="54" t="s">
        <v>2</v>
      </c>
      <c r="AC1603" s="54" t="s">
        <v>2</v>
      </c>
      <c r="AD1603" s="54" t="s">
        <v>2</v>
      </c>
      <c r="AE1603" s="54" t="s">
        <v>2</v>
      </c>
      <c r="AF1603" s="54" t="s">
        <v>2</v>
      </c>
      <c r="AG1603" s="54" t="s">
        <v>2</v>
      </c>
    </row>
    <row r="1604" ht="15.75" customHeight="1">
      <c r="B1604" s="56"/>
      <c r="U1604" s="46" t="str">
        <f t="array" ref="U1604">IF($D1604="","",IFERROR(_xlfn.XLOOKUP($D1604,'TIR店舗一覧'!$D:$D,'TIR店舗一覧'!$E:$E,""),""))</f>
        <v/>
      </c>
      <c r="V1604" s="54" t="s">
        <v>2</v>
      </c>
      <c r="W1604" s="54" t="s">
        <v>2</v>
      </c>
      <c r="X1604" s="54" t="s">
        <v>2</v>
      </c>
      <c r="Y1604" s="54" t="s">
        <v>2</v>
      </c>
      <c r="Z1604" s="54" t="s">
        <v>2</v>
      </c>
      <c r="AA1604" s="54" t="s">
        <v>2</v>
      </c>
      <c r="AB1604" s="54" t="s">
        <v>2</v>
      </c>
      <c r="AC1604" s="54" t="s">
        <v>2</v>
      </c>
      <c r="AD1604" s="54" t="s">
        <v>2</v>
      </c>
      <c r="AE1604" s="54" t="s">
        <v>2</v>
      </c>
      <c r="AF1604" s="54" t="s">
        <v>2</v>
      </c>
      <c r="AG1604" s="54" t="s">
        <v>2</v>
      </c>
    </row>
    <row r="1605" ht="15.75" customHeight="1">
      <c r="B1605" s="56"/>
      <c r="U1605" s="46" t="str">
        <f t="array" ref="U1605">IF($D1605="","",IFERROR(_xlfn.XLOOKUP($D1605,'TIR店舗一覧'!$D:$D,'TIR店舗一覧'!$E:$E,""),""))</f>
        <v/>
      </c>
      <c r="V1605" s="54" t="s">
        <v>2</v>
      </c>
      <c r="W1605" s="54" t="s">
        <v>2</v>
      </c>
      <c r="X1605" s="54" t="s">
        <v>2</v>
      </c>
      <c r="Y1605" s="54" t="s">
        <v>2</v>
      </c>
      <c r="Z1605" s="54" t="s">
        <v>2</v>
      </c>
      <c r="AA1605" s="54" t="s">
        <v>2</v>
      </c>
      <c r="AB1605" s="54" t="s">
        <v>2</v>
      </c>
      <c r="AC1605" s="54" t="s">
        <v>2</v>
      </c>
      <c r="AD1605" s="54" t="s">
        <v>2</v>
      </c>
      <c r="AE1605" s="54" t="s">
        <v>2</v>
      </c>
      <c r="AF1605" s="54" t="s">
        <v>2</v>
      </c>
      <c r="AG1605" s="54" t="s">
        <v>2</v>
      </c>
    </row>
    <row r="1606" ht="15.75" customHeight="1">
      <c r="B1606" s="56"/>
      <c r="U1606" s="46" t="str">
        <f t="array" ref="U1606">IF($D1606="","",IFERROR(_xlfn.XLOOKUP($D1606,'TIR店舗一覧'!$D:$D,'TIR店舗一覧'!$E:$E,""),""))</f>
        <v/>
      </c>
      <c r="V1606" s="54" t="s">
        <v>2</v>
      </c>
      <c r="W1606" s="54" t="s">
        <v>2</v>
      </c>
      <c r="X1606" s="54" t="s">
        <v>2</v>
      </c>
      <c r="Y1606" s="54" t="s">
        <v>2</v>
      </c>
      <c r="Z1606" s="54" t="s">
        <v>2</v>
      </c>
      <c r="AA1606" s="54" t="s">
        <v>2</v>
      </c>
      <c r="AB1606" s="54" t="s">
        <v>2</v>
      </c>
      <c r="AC1606" s="54" t="s">
        <v>2</v>
      </c>
      <c r="AD1606" s="54" t="s">
        <v>2</v>
      </c>
      <c r="AE1606" s="54" t="s">
        <v>2</v>
      </c>
      <c r="AF1606" s="54" t="s">
        <v>2</v>
      </c>
      <c r="AG1606" s="54" t="s">
        <v>2</v>
      </c>
    </row>
    <row r="1607" ht="15.75" customHeight="1">
      <c r="B1607" s="56"/>
      <c r="U1607" s="46" t="str">
        <f t="array" ref="U1607">IF($D1607="","",IFERROR(_xlfn.XLOOKUP($D1607,'TIR店舗一覧'!$D:$D,'TIR店舗一覧'!$E:$E,""),""))</f>
        <v/>
      </c>
      <c r="V1607" s="54" t="s">
        <v>2</v>
      </c>
      <c r="W1607" s="54" t="s">
        <v>2</v>
      </c>
      <c r="X1607" s="54" t="s">
        <v>2</v>
      </c>
      <c r="Y1607" s="54" t="s">
        <v>2</v>
      </c>
      <c r="Z1607" s="54" t="s">
        <v>2</v>
      </c>
      <c r="AA1607" s="54" t="s">
        <v>2</v>
      </c>
      <c r="AB1607" s="54" t="s">
        <v>2</v>
      </c>
      <c r="AC1607" s="54" t="s">
        <v>2</v>
      </c>
      <c r="AD1607" s="54" t="s">
        <v>2</v>
      </c>
      <c r="AE1607" s="54" t="s">
        <v>2</v>
      </c>
      <c r="AF1607" s="54" t="s">
        <v>2</v>
      </c>
      <c r="AG1607" s="54" t="s">
        <v>2</v>
      </c>
    </row>
    <row r="1608" ht="15.75" customHeight="1">
      <c r="B1608" s="56"/>
      <c r="U1608" s="46" t="str">
        <f t="array" ref="U1608">IF($D1608="","",IFERROR(_xlfn.XLOOKUP($D1608,'TIR店舗一覧'!$D:$D,'TIR店舗一覧'!$E:$E,""),""))</f>
        <v/>
      </c>
      <c r="V1608" s="54" t="s">
        <v>2</v>
      </c>
      <c r="W1608" s="54" t="s">
        <v>2</v>
      </c>
      <c r="X1608" s="54" t="s">
        <v>2</v>
      </c>
      <c r="Y1608" s="54" t="s">
        <v>2</v>
      </c>
      <c r="Z1608" s="54" t="s">
        <v>2</v>
      </c>
      <c r="AA1608" s="54" t="s">
        <v>2</v>
      </c>
      <c r="AB1608" s="54" t="s">
        <v>2</v>
      </c>
      <c r="AC1608" s="54" t="s">
        <v>2</v>
      </c>
      <c r="AD1608" s="54" t="s">
        <v>2</v>
      </c>
      <c r="AE1608" s="54" t="s">
        <v>2</v>
      </c>
      <c r="AF1608" s="54" t="s">
        <v>2</v>
      </c>
      <c r="AG1608" s="54" t="s">
        <v>2</v>
      </c>
    </row>
    <row r="1609" ht="15.75" customHeight="1">
      <c r="B1609" s="56"/>
      <c r="U1609" s="46" t="str">
        <f t="array" ref="U1609">IF($D1609="","",IFERROR(_xlfn.XLOOKUP($D1609,'TIR店舗一覧'!$D:$D,'TIR店舗一覧'!$E:$E,""),""))</f>
        <v/>
      </c>
      <c r="V1609" s="54" t="s">
        <v>2</v>
      </c>
      <c r="W1609" s="54" t="s">
        <v>2</v>
      </c>
      <c r="X1609" s="54" t="s">
        <v>2</v>
      </c>
      <c r="Y1609" s="54" t="s">
        <v>2</v>
      </c>
      <c r="Z1609" s="54" t="s">
        <v>2</v>
      </c>
      <c r="AA1609" s="54" t="s">
        <v>2</v>
      </c>
      <c r="AB1609" s="54" t="s">
        <v>2</v>
      </c>
      <c r="AC1609" s="54" t="s">
        <v>2</v>
      </c>
      <c r="AD1609" s="54" t="s">
        <v>2</v>
      </c>
      <c r="AE1609" s="54" t="s">
        <v>2</v>
      </c>
      <c r="AF1609" s="54" t="s">
        <v>2</v>
      </c>
      <c r="AG1609" s="54" t="s">
        <v>2</v>
      </c>
    </row>
    <row r="1610" ht="15.75" customHeight="1">
      <c r="B1610" s="56"/>
      <c r="U1610" s="46" t="str">
        <f t="array" ref="U1610">IF($D1610="","",IFERROR(_xlfn.XLOOKUP($D1610,'TIR店舗一覧'!$D:$D,'TIR店舗一覧'!$E:$E,""),""))</f>
        <v/>
      </c>
      <c r="V1610" s="54" t="s">
        <v>2</v>
      </c>
      <c r="W1610" s="54" t="s">
        <v>2</v>
      </c>
      <c r="X1610" s="54" t="s">
        <v>2</v>
      </c>
      <c r="Y1610" s="54" t="s">
        <v>2</v>
      </c>
      <c r="Z1610" s="54" t="s">
        <v>2</v>
      </c>
      <c r="AA1610" s="54" t="s">
        <v>2</v>
      </c>
      <c r="AB1610" s="54" t="s">
        <v>2</v>
      </c>
      <c r="AC1610" s="54" t="s">
        <v>2</v>
      </c>
      <c r="AD1610" s="54" t="s">
        <v>2</v>
      </c>
      <c r="AE1610" s="54" t="s">
        <v>2</v>
      </c>
      <c r="AF1610" s="54" t="s">
        <v>2</v>
      </c>
      <c r="AG1610" s="54" t="s">
        <v>2</v>
      </c>
    </row>
    <row r="1611" ht="15.75" customHeight="1">
      <c r="B1611" s="56"/>
      <c r="U1611" s="46" t="str">
        <f t="array" ref="U1611">IF($D1611="","",IFERROR(_xlfn.XLOOKUP($D1611,'TIR店舗一覧'!$D:$D,'TIR店舗一覧'!$E:$E,""),""))</f>
        <v/>
      </c>
      <c r="V1611" s="54" t="s">
        <v>2</v>
      </c>
      <c r="W1611" s="54" t="s">
        <v>2</v>
      </c>
      <c r="X1611" s="54" t="s">
        <v>2</v>
      </c>
      <c r="Y1611" s="54" t="s">
        <v>2</v>
      </c>
      <c r="Z1611" s="54" t="s">
        <v>2</v>
      </c>
      <c r="AA1611" s="54" t="s">
        <v>2</v>
      </c>
      <c r="AB1611" s="54" t="s">
        <v>2</v>
      </c>
      <c r="AC1611" s="54" t="s">
        <v>2</v>
      </c>
      <c r="AD1611" s="54" t="s">
        <v>2</v>
      </c>
      <c r="AE1611" s="54" t="s">
        <v>2</v>
      </c>
      <c r="AF1611" s="54" t="s">
        <v>2</v>
      </c>
      <c r="AG1611" s="54" t="s">
        <v>2</v>
      </c>
    </row>
    <row r="1612" ht="15.75" customHeight="1">
      <c r="B1612" s="56"/>
      <c r="U1612" s="46" t="str">
        <f t="array" ref="U1612">IF($D1612="","",IFERROR(_xlfn.XLOOKUP($D1612,'TIR店舗一覧'!$D:$D,'TIR店舗一覧'!$E:$E,""),""))</f>
        <v/>
      </c>
      <c r="V1612" s="54" t="s">
        <v>2</v>
      </c>
      <c r="W1612" s="54" t="s">
        <v>2</v>
      </c>
      <c r="X1612" s="54" t="s">
        <v>2</v>
      </c>
      <c r="Y1612" s="54" t="s">
        <v>2</v>
      </c>
      <c r="Z1612" s="54" t="s">
        <v>2</v>
      </c>
      <c r="AA1612" s="54" t="s">
        <v>2</v>
      </c>
      <c r="AB1612" s="54" t="s">
        <v>2</v>
      </c>
      <c r="AC1612" s="54" t="s">
        <v>2</v>
      </c>
      <c r="AD1612" s="54" t="s">
        <v>2</v>
      </c>
      <c r="AE1612" s="54" t="s">
        <v>2</v>
      </c>
      <c r="AF1612" s="54" t="s">
        <v>2</v>
      </c>
      <c r="AG1612" s="54" t="s">
        <v>2</v>
      </c>
    </row>
    <row r="1613" ht="15.75" customHeight="1">
      <c r="B1613" s="56"/>
      <c r="U1613" s="46" t="str">
        <f t="array" ref="U1613">IF($D1613="","",IFERROR(_xlfn.XLOOKUP($D1613,'TIR店舗一覧'!$D:$D,'TIR店舗一覧'!$E:$E,""),""))</f>
        <v/>
      </c>
      <c r="V1613" s="54" t="s">
        <v>2</v>
      </c>
      <c r="W1613" s="54" t="s">
        <v>2</v>
      </c>
      <c r="X1613" s="54" t="s">
        <v>2</v>
      </c>
      <c r="Y1613" s="54" t="s">
        <v>2</v>
      </c>
      <c r="Z1613" s="54" t="s">
        <v>2</v>
      </c>
      <c r="AA1613" s="54" t="s">
        <v>2</v>
      </c>
      <c r="AB1613" s="54" t="s">
        <v>2</v>
      </c>
      <c r="AC1613" s="54" t="s">
        <v>2</v>
      </c>
      <c r="AD1613" s="54" t="s">
        <v>2</v>
      </c>
      <c r="AE1613" s="54" t="s">
        <v>2</v>
      </c>
      <c r="AF1613" s="54" t="s">
        <v>2</v>
      </c>
      <c r="AG1613" s="54" t="s">
        <v>2</v>
      </c>
    </row>
    <row r="1614" ht="15.75" customHeight="1">
      <c r="B1614" s="56"/>
      <c r="U1614" s="46" t="str">
        <f t="array" ref="U1614">IF($D1614="","",IFERROR(_xlfn.XLOOKUP($D1614,'TIR店舗一覧'!$D:$D,'TIR店舗一覧'!$E:$E,""),""))</f>
        <v/>
      </c>
      <c r="V1614" s="54" t="s">
        <v>2</v>
      </c>
      <c r="W1614" s="54" t="s">
        <v>2</v>
      </c>
      <c r="X1614" s="54" t="s">
        <v>2</v>
      </c>
      <c r="Y1614" s="54" t="s">
        <v>2</v>
      </c>
      <c r="Z1614" s="54" t="s">
        <v>2</v>
      </c>
      <c r="AA1614" s="54" t="s">
        <v>2</v>
      </c>
      <c r="AB1614" s="54" t="s">
        <v>2</v>
      </c>
      <c r="AC1614" s="54" t="s">
        <v>2</v>
      </c>
      <c r="AD1614" s="54" t="s">
        <v>2</v>
      </c>
      <c r="AE1614" s="54" t="s">
        <v>2</v>
      </c>
      <c r="AF1614" s="54" t="s">
        <v>2</v>
      </c>
      <c r="AG1614" s="54" t="s">
        <v>2</v>
      </c>
    </row>
    <row r="1615" ht="15.75" customHeight="1">
      <c r="B1615" s="56"/>
      <c r="U1615" s="46" t="str">
        <f t="array" ref="U1615">IF($D1615="","",IFERROR(_xlfn.XLOOKUP($D1615,'TIR店舗一覧'!$D:$D,'TIR店舗一覧'!$E:$E,""),""))</f>
        <v/>
      </c>
      <c r="V1615" s="54" t="s">
        <v>2</v>
      </c>
      <c r="W1615" s="54" t="s">
        <v>2</v>
      </c>
      <c r="X1615" s="54" t="s">
        <v>2</v>
      </c>
      <c r="Y1615" s="54" t="s">
        <v>2</v>
      </c>
      <c r="Z1615" s="54" t="s">
        <v>2</v>
      </c>
      <c r="AA1615" s="54" t="s">
        <v>2</v>
      </c>
      <c r="AB1615" s="54" t="s">
        <v>2</v>
      </c>
      <c r="AC1615" s="54" t="s">
        <v>2</v>
      </c>
      <c r="AD1615" s="54" t="s">
        <v>2</v>
      </c>
      <c r="AE1615" s="54" t="s">
        <v>2</v>
      </c>
      <c r="AF1615" s="54" t="s">
        <v>2</v>
      </c>
      <c r="AG1615" s="54" t="s">
        <v>2</v>
      </c>
    </row>
    <row r="1616" ht="15.75" customHeight="1">
      <c r="B1616" s="56"/>
      <c r="U1616" s="46" t="str">
        <f t="array" ref="U1616">IF($D1616="","",IFERROR(_xlfn.XLOOKUP($D1616,'TIR店舗一覧'!$D:$D,'TIR店舗一覧'!$E:$E,""),""))</f>
        <v/>
      </c>
      <c r="V1616" s="54" t="s">
        <v>2</v>
      </c>
      <c r="W1616" s="54" t="s">
        <v>2</v>
      </c>
      <c r="X1616" s="54" t="s">
        <v>2</v>
      </c>
      <c r="Y1616" s="54" t="s">
        <v>2</v>
      </c>
      <c r="Z1616" s="54" t="s">
        <v>2</v>
      </c>
      <c r="AA1616" s="54" t="s">
        <v>2</v>
      </c>
      <c r="AB1616" s="54" t="s">
        <v>2</v>
      </c>
      <c r="AC1616" s="54" t="s">
        <v>2</v>
      </c>
      <c r="AD1616" s="54" t="s">
        <v>2</v>
      </c>
      <c r="AE1616" s="54" t="s">
        <v>2</v>
      </c>
      <c r="AF1616" s="54" t="s">
        <v>2</v>
      </c>
      <c r="AG1616" s="54" t="s">
        <v>2</v>
      </c>
    </row>
    <row r="1617" ht="15.75" customHeight="1">
      <c r="B1617" s="56"/>
      <c r="U1617" s="46" t="str">
        <f t="array" ref="U1617">IF($D1617="","",IFERROR(_xlfn.XLOOKUP($D1617,'TIR店舗一覧'!$D:$D,'TIR店舗一覧'!$E:$E,""),""))</f>
        <v/>
      </c>
      <c r="V1617" s="54" t="s">
        <v>2</v>
      </c>
      <c r="W1617" s="54" t="s">
        <v>2</v>
      </c>
      <c r="X1617" s="54" t="s">
        <v>2</v>
      </c>
      <c r="Y1617" s="54" t="s">
        <v>2</v>
      </c>
      <c r="Z1617" s="54" t="s">
        <v>2</v>
      </c>
      <c r="AA1617" s="54" t="s">
        <v>2</v>
      </c>
      <c r="AB1617" s="54" t="s">
        <v>2</v>
      </c>
      <c r="AC1617" s="54" t="s">
        <v>2</v>
      </c>
      <c r="AD1617" s="54" t="s">
        <v>2</v>
      </c>
      <c r="AE1617" s="54" t="s">
        <v>2</v>
      </c>
      <c r="AF1617" s="54" t="s">
        <v>2</v>
      </c>
      <c r="AG1617" s="54" t="s">
        <v>2</v>
      </c>
    </row>
    <row r="1618" ht="15.75" customHeight="1">
      <c r="B1618" s="56"/>
      <c r="U1618" s="46" t="str">
        <f t="array" ref="U1618">IF($D1618="","",IFERROR(_xlfn.XLOOKUP($D1618,'TIR店舗一覧'!$D:$D,'TIR店舗一覧'!$E:$E,""),""))</f>
        <v/>
      </c>
      <c r="V1618" s="54" t="s">
        <v>2</v>
      </c>
      <c r="W1618" s="54" t="s">
        <v>2</v>
      </c>
      <c r="X1618" s="54" t="s">
        <v>2</v>
      </c>
      <c r="Y1618" s="54" t="s">
        <v>2</v>
      </c>
      <c r="Z1618" s="54" t="s">
        <v>2</v>
      </c>
      <c r="AA1618" s="54" t="s">
        <v>2</v>
      </c>
      <c r="AB1618" s="54" t="s">
        <v>2</v>
      </c>
      <c r="AC1618" s="54" t="s">
        <v>2</v>
      </c>
      <c r="AD1618" s="54" t="s">
        <v>2</v>
      </c>
      <c r="AE1618" s="54" t="s">
        <v>2</v>
      </c>
      <c r="AF1618" s="54" t="s">
        <v>2</v>
      </c>
      <c r="AG1618" s="54" t="s">
        <v>2</v>
      </c>
    </row>
    <row r="1619" ht="15.75" customHeight="1">
      <c r="B1619" s="56"/>
      <c r="U1619" s="46" t="str">
        <f t="array" ref="U1619">IF($D1619="","",IFERROR(_xlfn.XLOOKUP($D1619,'TIR店舗一覧'!$D:$D,'TIR店舗一覧'!$E:$E,""),""))</f>
        <v/>
      </c>
      <c r="V1619" s="54" t="s">
        <v>2</v>
      </c>
      <c r="W1619" s="54" t="s">
        <v>2</v>
      </c>
      <c r="X1619" s="54" t="s">
        <v>2</v>
      </c>
      <c r="Y1619" s="54" t="s">
        <v>2</v>
      </c>
      <c r="Z1619" s="54" t="s">
        <v>2</v>
      </c>
      <c r="AA1619" s="54" t="s">
        <v>2</v>
      </c>
      <c r="AB1619" s="54" t="s">
        <v>2</v>
      </c>
      <c r="AC1619" s="54" t="s">
        <v>2</v>
      </c>
      <c r="AD1619" s="54" t="s">
        <v>2</v>
      </c>
      <c r="AE1619" s="54" t="s">
        <v>2</v>
      </c>
      <c r="AF1619" s="54" t="s">
        <v>2</v>
      </c>
      <c r="AG1619" s="54" t="s">
        <v>2</v>
      </c>
    </row>
    <row r="1620" ht="15.75" customHeight="1">
      <c r="B1620" s="56"/>
      <c r="U1620" s="46" t="str">
        <f t="array" ref="U1620">IF($D1620="","",IFERROR(_xlfn.XLOOKUP($D1620,'TIR店舗一覧'!$D:$D,'TIR店舗一覧'!$E:$E,""),""))</f>
        <v/>
      </c>
      <c r="V1620" s="54" t="s">
        <v>2</v>
      </c>
      <c r="W1620" s="54" t="s">
        <v>2</v>
      </c>
      <c r="X1620" s="54" t="s">
        <v>2</v>
      </c>
      <c r="Y1620" s="54" t="s">
        <v>2</v>
      </c>
      <c r="Z1620" s="54" t="s">
        <v>2</v>
      </c>
      <c r="AA1620" s="54" t="s">
        <v>2</v>
      </c>
      <c r="AB1620" s="54" t="s">
        <v>2</v>
      </c>
      <c r="AC1620" s="54" t="s">
        <v>2</v>
      </c>
      <c r="AD1620" s="54" t="s">
        <v>2</v>
      </c>
      <c r="AE1620" s="54" t="s">
        <v>2</v>
      </c>
      <c r="AF1620" s="54" t="s">
        <v>2</v>
      </c>
      <c r="AG1620" s="54" t="s">
        <v>2</v>
      </c>
    </row>
    <row r="1621" ht="15.75" customHeight="1">
      <c r="B1621" s="56"/>
      <c r="U1621" s="46" t="str">
        <f t="array" ref="U1621">IF($D1621="","",IFERROR(_xlfn.XLOOKUP($D1621,'TIR店舗一覧'!$D:$D,'TIR店舗一覧'!$E:$E,""),""))</f>
        <v/>
      </c>
      <c r="V1621" s="54" t="s">
        <v>2</v>
      </c>
      <c r="W1621" s="54" t="s">
        <v>2</v>
      </c>
      <c r="X1621" s="54" t="s">
        <v>2</v>
      </c>
      <c r="Y1621" s="54" t="s">
        <v>2</v>
      </c>
      <c r="Z1621" s="54" t="s">
        <v>2</v>
      </c>
      <c r="AA1621" s="54" t="s">
        <v>2</v>
      </c>
      <c r="AB1621" s="54" t="s">
        <v>2</v>
      </c>
      <c r="AC1621" s="54" t="s">
        <v>2</v>
      </c>
      <c r="AD1621" s="54" t="s">
        <v>2</v>
      </c>
      <c r="AE1621" s="54" t="s">
        <v>2</v>
      </c>
      <c r="AF1621" s="54" t="s">
        <v>2</v>
      </c>
      <c r="AG1621" s="54" t="s">
        <v>2</v>
      </c>
    </row>
    <row r="1622" ht="15.75" customHeight="1">
      <c r="B1622" s="56"/>
      <c r="U1622" s="46" t="str">
        <f t="array" ref="U1622">IF($D1622="","",IFERROR(_xlfn.XLOOKUP($D1622,'TIR店舗一覧'!$D:$D,'TIR店舗一覧'!$E:$E,""),""))</f>
        <v/>
      </c>
      <c r="V1622" s="54" t="s">
        <v>2</v>
      </c>
      <c r="W1622" s="54" t="s">
        <v>2</v>
      </c>
      <c r="X1622" s="54" t="s">
        <v>2</v>
      </c>
      <c r="Y1622" s="54" t="s">
        <v>2</v>
      </c>
      <c r="Z1622" s="54" t="s">
        <v>2</v>
      </c>
      <c r="AA1622" s="54" t="s">
        <v>2</v>
      </c>
      <c r="AB1622" s="54" t="s">
        <v>2</v>
      </c>
      <c r="AC1622" s="54" t="s">
        <v>2</v>
      </c>
      <c r="AD1622" s="54" t="s">
        <v>2</v>
      </c>
      <c r="AE1622" s="54" t="s">
        <v>2</v>
      </c>
      <c r="AF1622" s="54" t="s">
        <v>2</v>
      </c>
      <c r="AG1622" s="54" t="s">
        <v>2</v>
      </c>
    </row>
    <row r="1623" ht="15.75" customHeight="1">
      <c r="B1623" s="56"/>
      <c r="U1623" s="46" t="str">
        <f t="array" ref="U1623">IF($D1623="","",IFERROR(_xlfn.XLOOKUP($D1623,'TIR店舗一覧'!$D:$D,'TIR店舗一覧'!$E:$E,""),""))</f>
        <v/>
      </c>
      <c r="V1623" s="54" t="s">
        <v>2</v>
      </c>
      <c r="W1623" s="54" t="s">
        <v>2</v>
      </c>
      <c r="X1623" s="54" t="s">
        <v>2</v>
      </c>
      <c r="Y1623" s="54" t="s">
        <v>2</v>
      </c>
      <c r="Z1623" s="54" t="s">
        <v>2</v>
      </c>
      <c r="AA1623" s="54" t="s">
        <v>2</v>
      </c>
      <c r="AB1623" s="54" t="s">
        <v>2</v>
      </c>
      <c r="AC1623" s="54" t="s">
        <v>2</v>
      </c>
      <c r="AD1623" s="54" t="s">
        <v>2</v>
      </c>
      <c r="AE1623" s="54" t="s">
        <v>2</v>
      </c>
      <c r="AF1623" s="54" t="s">
        <v>2</v>
      </c>
      <c r="AG1623" s="54" t="s">
        <v>2</v>
      </c>
    </row>
    <row r="1624" ht="15.75" customHeight="1">
      <c r="B1624" s="56"/>
      <c r="U1624" s="46" t="str">
        <f t="array" ref="U1624">IF($D1624="","",IFERROR(_xlfn.XLOOKUP($D1624,'TIR店舗一覧'!$D:$D,'TIR店舗一覧'!$E:$E,""),""))</f>
        <v/>
      </c>
      <c r="V1624" s="54" t="s">
        <v>2</v>
      </c>
      <c r="W1624" s="54" t="s">
        <v>2</v>
      </c>
      <c r="X1624" s="54" t="s">
        <v>2</v>
      </c>
      <c r="Y1624" s="54" t="s">
        <v>2</v>
      </c>
      <c r="Z1624" s="54" t="s">
        <v>2</v>
      </c>
      <c r="AA1624" s="54" t="s">
        <v>2</v>
      </c>
      <c r="AB1624" s="54" t="s">
        <v>2</v>
      </c>
      <c r="AC1624" s="54" t="s">
        <v>2</v>
      </c>
      <c r="AD1624" s="54" t="s">
        <v>2</v>
      </c>
      <c r="AE1624" s="54" t="s">
        <v>2</v>
      </c>
      <c r="AF1624" s="54" t="s">
        <v>2</v>
      </c>
      <c r="AG1624" s="54" t="s">
        <v>2</v>
      </c>
    </row>
    <row r="1625" ht="15.75" customHeight="1">
      <c r="B1625" s="56"/>
      <c r="U1625" s="46" t="str">
        <f t="array" ref="U1625">IF($D1625="","",IFERROR(_xlfn.XLOOKUP($D1625,'TIR店舗一覧'!$D:$D,'TIR店舗一覧'!$E:$E,""),""))</f>
        <v/>
      </c>
      <c r="V1625" s="54" t="s">
        <v>2</v>
      </c>
      <c r="W1625" s="54" t="s">
        <v>2</v>
      </c>
      <c r="X1625" s="54" t="s">
        <v>2</v>
      </c>
      <c r="Y1625" s="54" t="s">
        <v>2</v>
      </c>
      <c r="Z1625" s="54" t="s">
        <v>2</v>
      </c>
      <c r="AA1625" s="54" t="s">
        <v>2</v>
      </c>
      <c r="AB1625" s="54" t="s">
        <v>2</v>
      </c>
      <c r="AC1625" s="54" t="s">
        <v>2</v>
      </c>
      <c r="AD1625" s="54" t="s">
        <v>2</v>
      </c>
      <c r="AE1625" s="54" t="s">
        <v>2</v>
      </c>
      <c r="AF1625" s="54" t="s">
        <v>2</v>
      </c>
      <c r="AG1625" s="54" t="s">
        <v>2</v>
      </c>
    </row>
    <row r="1626" ht="15.75" customHeight="1">
      <c r="B1626" s="56"/>
      <c r="U1626" s="46" t="str">
        <f t="array" ref="U1626">IF($D1626="","",IFERROR(_xlfn.XLOOKUP($D1626,'TIR店舗一覧'!$D:$D,'TIR店舗一覧'!$E:$E,""),""))</f>
        <v/>
      </c>
      <c r="V1626" s="54" t="s">
        <v>2</v>
      </c>
      <c r="W1626" s="54" t="s">
        <v>2</v>
      </c>
      <c r="X1626" s="54" t="s">
        <v>2</v>
      </c>
      <c r="Y1626" s="54" t="s">
        <v>2</v>
      </c>
      <c r="Z1626" s="54" t="s">
        <v>2</v>
      </c>
      <c r="AA1626" s="54" t="s">
        <v>2</v>
      </c>
      <c r="AB1626" s="54" t="s">
        <v>2</v>
      </c>
      <c r="AC1626" s="54" t="s">
        <v>2</v>
      </c>
      <c r="AD1626" s="54" t="s">
        <v>2</v>
      </c>
      <c r="AE1626" s="54" t="s">
        <v>2</v>
      </c>
      <c r="AF1626" s="54" t="s">
        <v>2</v>
      </c>
      <c r="AG1626" s="54" t="s">
        <v>2</v>
      </c>
    </row>
    <row r="1627" ht="15.75" customHeight="1">
      <c r="B1627" s="56"/>
      <c r="U1627" s="46" t="str">
        <f t="array" ref="U1627">IF($D1627="","",IFERROR(_xlfn.XLOOKUP($D1627,'TIR店舗一覧'!$D:$D,'TIR店舗一覧'!$E:$E,""),""))</f>
        <v/>
      </c>
      <c r="V1627" s="54" t="s">
        <v>2</v>
      </c>
      <c r="W1627" s="54" t="s">
        <v>2</v>
      </c>
      <c r="X1627" s="54" t="s">
        <v>2</v>
      </c>
      <c r="Y1627" s="54" t="s">
        <v>2</v>
      </c>
      <c r="Z1627" s="54" t="s">
        <v>2</v>
      </c>
      <c r="AA1627" s="54" t="s">
        <v>2</v>
      </c>
      <c r="AB1627" s="54" t="s">
        <v>2</v>
      </c>
      <c r="AC1627" s="54" t="s">
        <v>2</v>
      </c>
      <c r="AD1627" s="54" t="s">
        <v>2</v>
      </c>
      <c r="AE1627" s="54" t="s">
        <v>2</v>
      </c>
      <c r="AF1627" s="54" t="s">
        <v>2</v>
      </c>
      <c r="AG1627" s="54" t="s">
        <v>2</v>
      </c>
    </row>
    <row r="1628" ht="15.75" customHeight="1">
      <c r="B1628" s="56"/>
      <c r="U1628" s="46" t="str">
        <f t="array" ref="U1628">IF($D1628="","",IFERROR(_xlfn.XLOOKUP($D1628,'TIR店舗一覧'!$D:$D,'TIR店舗一覧'!$E:$E,""),""))</f>
        <v/>
      </c>
      <c r="V1628" s="54" t="s">
        <v>2</v>
      </c>
      <c r="W1628" s="54" t="s">
        <v>2</v>
      </c>
      <c r="X1628" s="54" t="s">
        <v>2</v>
      </c>
      <c r="Y1628" s="54" t="s">
        <v>2</v>
      </c>
      <c r="Z1628" s="54" t="s">
        <v>2</v>
      </c>
      <c r="AA1628" s="54" t="s">
        <v>2</v>
      </c>
      <c r="AB1628" s="54" t="s">
        <v>2</v>
      </c>
      <c r="AC1628" s="54" t="s">
        <v>2</v>
      </c>
      <c r="AD1628" s="54" t="s">
        <v>2</v>
      </c>
      <c r="AE1628" s="54" t="s">
        <v>2</v>
      </c>
      <c r="AF1628" s="54" t="s">
        <v>2</v>
      </c>
      <c r="AG1628" s="54" t="s">
        <v>2</v>
      </c>
    </row>
    <row r="1629" ht="15.75" customHeight="1">
      <c r="B1629" s="56"/>
      <c r="U1629" s="46" t="str">
        <f t="array" ref="U1629">IF($D1629="","",IFERROR(_xlfn.XLOOKUP($D1629,'TIR店舗一覧'!$D:$D,'TIR店舗一覧'!$E:$E,""),""))</f>
        <v/>
      </c>
      <c r="V1629" s="54" t="s">
        <v>2</v>
      </c>
      <c r="W1629" s="54" t="s">
        <v>2</v>
      </c>
      <c r="X1629" s="54" t="s">
        <v>2</v>
      </c>
      <c r="Y1629" s="54" t="s">
        <v>2</v>
      </c>
      <c r="Z1629" s="54" t="s">
        <v>2</v>
      </c>
      <c r="AA1629" s="54" t="s">
        <v>2</v>
      </c>
      <c r="AB1629" s="54" t="s">
        <v>2</v>
      </c>
      <c r="AC1629" s="54" t="s">
        <v>2</v>
      </c>
      <c r="AD1629" s="54" t="s">
        <v>2</v>
      </c>
      <c r="AE1629" s="54" t="s">
        <v>2</v>
      </c>
      <c r="AF1629" s="54" t="s">
        <v>2</v>
      </c>
      <c r="AG1629" s="54" t="s">
        <v>2</v>
      </c>
    </row>
    <row r="1630" ht="15.75" customHeight="1">
      <c r="B1630" s="56"/>
      <c r="U1630" s="46" t="str">
        <f t="array" ref="U1630">IF($D1630="","",IFERROR(_xlfn.XLOOKUP($D1630,'TIR店舗一覧'!$D:$D,'TIR店舗一覧'!$E:$E,""),""))</f>
        <v/>
      </c>
      <c r="V1630" s="54" t="s">
        <v>2</v>
      </c>
      <c r="W1630" s="54" t="s">
        <v>2</v>
      </c>
      <c r="X1630" s="54" t="s">
        <v>2</v>
      </c>
      <c r="Y1630" s="54" t="s">
        <v>2</v>
      </c>
      <c r="Z1630" s="54" t="s">
        <v>2</v>
      </c>
      <c r="AA1630" s="54" t="s">
        <v>2</v>
      </c>
      <c r="AB1630" s="54" t="s">
        <v>2</v>
      </c>
      <c r="AC1630" s="54" t="s">
        <v>2</v>
      </c>
      <c r="AD1630" s="54" t="s">
        <v>2</v>
      </c>
      <c r="AE1630" s="54" t="s">
        <v>2</v>
      </c>
      <c r="AF1630" s="54" t="s">
        <v>2</v>
      </c>
      <c r="AG1630" s="54" t="s">
        <v>2</v>
      </c>
    </row>
    <row r="1631" ht="15.75" customHeight="1">
      <c r="B1631" s="56"/>
      <c r="U1631" s="46" t="str">
        <f t="array" ref="U1631">IF($D1631="","",IFERROR(_xlfn.XLOOKUP($D1631,'TIR店舗一覧'!$D:$D,'TIR店舗一覧'!$E:$E,""),""))</f>
        <v/>
      </c>
      <c r="V1631" s="54" t="s">
        <v>2</v>
      </c>
      <c r="W1631" s="54" t="s">
        <v>2</v>
      </c>
      <c r="X1631" s="54" t="s">
        <v>2</v>
      </c>
      <c r="Y1631" s="54" t="s">
        <v>2</v>
      </c>
      <c r="Z1631" s="54" t="s">
        <v>2</v>
      </c>
      <c r="AA1631" s="54" t="s">
        <v>2</v>
      </c>
      <c r="AB1631" s="54" t="s">
        <v>2</v>
      </c>
      <c r="AC1631" s="54" t="s">
        <v>2</v>
      </c>
      <c r="AD1631" s="54" t="s">
        <v>2</v>
      </c>
      <c r="AE1631" s="54" t="s">
        <v>2</v>
      </c>
      <c r="AF1631" s="54" t="s">
        <v>2</v>
      </c>
      <c r="AG1631" s="54" t="s">
        <v>2</v>
      </c>
    </row>
    <row r="1632" ht="15.75" customHeight="1">
      <c r="B1632" s="56"/>
      <c r="U1632" s="46" t="str">
        <f t="array" ref="U1632">IF($D1632="","",IFERROR(_xlfn.XLOOKUP($D1632,'TIR店舗一覧'!$D:$D,'TIR店舗一覧'!$E:$E,""),""))</f>
        <v/>
      </c>
      <c r="V1632" s="54" t="s">
        <v>2</v>
      </c>
      <c r="W1632" s="54" t="s">
        <v>2</v>
      </c>
      <c r="X1632" s="54" t="s">
        <v>2</v>
      </c>
      <c r="Y1632" s="54" t="s">
        <v>2</v>
      </c>
      <c r="Z1632" s="54" t="s">
        <v>2</v>
      </c>
      <c r="AA1632" s="54" t="s">
        <v>2</v>
      </c>
      <c r="AB1632" s="54" t="s">
        <v>2</v>
      </c>
      <c r="AC1632" s="54" t="s">
        <v>2</v>
      </c>
      <c r="AD1632" s="54" t="s">
        <v>2</v>
      </c>
      <c r="AE1632" s="54" t="s">
        <v>2</v>
      </c>
      <c r="AF1632" s="54" t="s">
        <v>2</v>
      </c>
      <c r="AG1632" s="54" t="s">
        <v>2</v>
      </c>
    </row>
    <row r="1633" ht="15.75" customHeight="1">
      <c r="B1633" s="56"/>
      <c r="U1633" s="46" t="str">
        <f t="array" ref="U1633">IF($D1633="","",IFERROR(_xlfn.XLOOKUP($D1633,'TIR店舗一覧'!$D:$D,'TIR店舗一覧'!$E:$E,""),""))</f>
        <v/>
      </c>
      <c r="V1633" s="54" t="s">
        <v>2</v>
      </c>
      <c r="W1633" s="54" t="s">
        <v>2</v>
      </c>
      <c r="X1633" s="54" t="s">
        <v>2</v>
      </c>
      <c r="Y1633" s="54" t="s">
        <v>2</v>
      </c>
      <c r="Z1633" s="54" t="s">
        <v>2</v>
      </c>
      <c r="AA1633" s="54" t="s">
        <v>2</v>
      </c>
      <c r="AB1633" s="54" t="s">
        <v>2</v>
      </c>
      <c r="AC1633" s="54" t="s">
        <v>2</v>
      </c>
      <c r="AD1633" s="54" t="s">
        <v>2</v>
      </c>
      <c r="AE1633" s="54" t="s">
        <v>2</v>
      </c>
      <c r="AF1633" s="54" t="s">
        <v>2</v>
      </c>
      <c r="AG1633" s="54" t="s">
        <v>2</v>
      </c>
    </row>
    <row r="1634" ht="15.75" customHeight="1">
      <c r="B1634" s="56"/>
      <c r="U1634" s="46" t="str">
        <f t="array" ref="U1634">IF($D1634="","",IFERROR(_xlfn.XLOOKUP($D1634,'TIR店舗一覧'!$D:$D,'TIR店舗一覧'!$E:$E,""),""))</f>
        <v/>
      </c>
      <c r="V1634" s="54" t="s">
        <v>2</v>
      </c>
      <c r="W1634" s="54" t="s">
        <v>2</v>
      </c>
      <c r="X1634" s="54" t="s">
        <v>2</v>
      </c>
      <c r="Y1634" s="54" t="s">
        <v>2</v>
      </c>
      <c r="Z1634" s="54" t="s">
        <v>2</v>
      </c>
      <c r="AA1634" s="54" t="s">
        <v>2</v>
      </c>
      <c r="AB1634" s="54" t="s">
        <v>2</v>
      </c>
      <c r="AC1634" s="54" t="s">
        <v>2</v>
      </c>
      <c r="AD1634" s="54" t="s">
        <v>2</v>
      </c>
      <c r="AE1634" s="54" t="s">
        <v>2</v>
      </c>
      <c r="AF1634" s="54" t="s">
        <v>2</v>
      </c>
      <c r="AG1634" s="54" t="s">
        <v>2</v>
      </c>
    </row>
    <row r="1635" ht="15.75" customHeight="1">
      <c r="B1635" s="56"/>
      <c r="U1635" s="46" t="str">
        <f t="array" ref="U1635">IF($D1635="","",IFERROR(_xlfn.XLOOKUP($D1635,'TIR店舗一覧'!$D:$D,'TIR店舗一覧'!$E:$E,""),""))</f>
        <v/>
      </c>
      <c r="V1635" s="54" t="s">
        <v>2</v>
      </c>
      <c r="W1635" s="54" t="s">
        <v>2</v>
      </c>
      <c r="X1635" s="54" t="s">
        <v>2</v>
      </c>
      <c r="Y1635" s="54" t="s">
        <v>2</v>
      </c>
      <c r="Z1635" s="54" t="s">
        <v>2</v>
      </c>
      <c r="AA1635" s="54" t="s">
        <v>2</v>
      </c>
      <c r="AB1635" s="54" t="s">
        <v>2</v>
      </c>
      <c r="AC1635" s="54" t="s">
        <v>2</v>
      </c>
      <c r="AD1635" s="54" t="s">
        <v>2</v>
      </c>
      <c r="AE1635" s="54" t="s">
        <v>2</v>
      </c>
      <c r="AF1635" s="54" t="s">
        <v>2</v>
      </c>
      <c r="AG1635" s="54" t="s">
        <v>2</v>
      </c>
    </row>
    <row r="1636" ht="15.75" customHeight="1">
      <c r="B1636" s="56"/>
      <c r="U1636" s="46" t="str">
        <f t="array" ref="U1636">IF($D1636="","",IFERROR(_xlfn.XLOOKUP($D1636,'TIR店舗一覧'!$D:$D,'TIR店舗一覧'!$E:$E,""),""))</f>
        <v/>
      </c>
      <c r="V1636" s="54" t="s">
        <v>2</v>
      </c>
      <c r="W1636" s="54" t="s">
        <v>2</v>
      </c>
      <c r="X1636" s="54" t="s">
        <v>2</v>
      </c>
      <c r="Y1636" s="54" t="s">
        <v>2</v>
      </c>
      <c r="Z1636" s="54" t="s">
        <v>2</v>
      </c>
      <c r="AA1636" s="54" t="s">
        <v>2</v>
      </c>
      <c r="AB1636" s="54" t="s">
        <v>2</v>
      </c>
      <c r="AC1636" s="54" t="s">
        <v>2</v>
      </c>
      <c r="AD1636" s="54" t="s">
        <v>2</v>
      </c>
      <c r="AE1636" s="54" t="s">
        <v>2</v>
      </c>
      <c r="AF1636" s="54" t="s">
        <v>2</v>
      </c>
      <c r="AG1636" s="54" t="s">
        <v>2</v>
      </c>
    </row>
    <row r="1637" ht="15.75" customHeight="1">
      <c r="B1637" s="56"/>
      <c r="U1637" s="46" t="str">
        <f t="array" ref="U1637">IF($D1637="","",IFERROR(_xlfn.XLOOKUP($D1637,'TIR店舗一覧'!$D:$D,'TIR店舗一覧'!$E:$E,""),""))</f>
        <v/>
      </c>
      <c r="V1637" s="54" t="s">
        <v>2</v>
      </c>
      <c r="W1637" s="54" t="s">
        <v>2</v>
      </c>
      <c r="X1637" s="54" t="s">
        <v>2</v>
      </c>
      <c r="Y1637" s="54" t="s">
        <v>2</v>
      </c>
      <c r="Z1637" s="54" t="s">
        <v>2</v>
      </c>
      <c r="AA1637" s="54" t="s">
        <v>2</v>
      </c>
      <c r="AB1637" s="54" t="s">
        <v>2</v>
      </c>
      <c r="AC1637" s="54" t="s">
        <v>2</v>
      </c>
      <c r="AD1637" s="54" t="s">
        <v>2</v>
      </c>
      <c r="AE1637" s="54" t="s">
        <v>2</v>
      </c>
      <c r="AF1637" s="54" t="s">
        <v>2</v>
      </c>
      <c r="AG1637" s="54" t="s">
        <v>2</v>
      </c>
    </row>
    <row r="1638" ht="15.75" customHeight="1">
      <c r="B1638" s="56"/>
      <c r="U1638" s="46" t="str">
        <f t="array" ref="U1638">IF($D1638="","",IFERROR(_xlfn.XLOOKUP($D1638,'TIR店舗一覧'!$D:$D,'TIR店舗一覧'!$E:$E,""),""))</f>
        <v/>
      </c>
      <c r="V1638" s="54" t="s">
        <v>2</v>
      </c>
      <c r="W1638" s="54" t="s">
        <v>2</v>
      </c>
      <c r="X1638" s="54" t="s">
        <v>2</v>
      </c>
      <c r="Y1638" s="54" t="s">
        <v>2</v>
      </c>
      <c r="Z1638" s="54" t="s">
        <v>2</v>
      </c>
      <c r="AA1638" s="54" t="s">
        <v>2</v>
      </c>
      <c r="AB1638" s="54" t="s">
        <v>2</v>
      </c>
      <c r="AC1638" s="54" t="s">
        <v>2</v>
      </c>
      <c r="AD1638" s="54" t="s">
        <v>2</v>
      </c>
      <c r="AE1638" s="54" t="s">
        <v>2</v>
      </c>
      <c r="AF1638" s="54" t="s">
        <v>2</v>
      </c>
      <c r="AG1638" s="54" t="s">
        <v>2</v>
      </c>
    </row>
    <row r="1639" ht="15.75" customHeight="1">
      <c r="B1639" s="56"/>
      <c r="U1639" s="46" t="str">
        <f t="array" ref="U1639">IF($D1639="","",IFERROR(_xlfn.XLOOKUP($D1639,'TIR店舗一覧'!$D:$D,'TIR店舗一覧'!$E:$E,""),""))</f>
        <v/>
      </c>
      <c r="V1639" s="54" t="s">
        <v>2</v>
      </c>
      <c r="W1639" s="54" t="s">
        <v>2</v>
      </c>
      <c r="X1639" s="54" t="s">
        <v>2</v>
      </c>
      <c r="Y1639" s="54" t="s">
        <v>2</v>
      </c>
      <c r="Z1639" s="54" t="s">
        <v>2</v>
      </c>
      <c r="AA1639" s="54" t="s">
        <v>2</v>
      </c>
      <c r="AB1639" s="54" t="s">
        <v>2</v>
      </c>
      <c r="AC1639" s="54" t="s">
        <v>2</v>
      </c>
      <c r="AD1639" s="54" t="s">
        <v>2</v>
      </c>
      <c r="AE1639" s="54" t="s">
        <v>2</v>
      </c>
      <c r="AF1639" s="54" t="s">
        <v>2</v>
      </c>
      <c r="AG1639" s="54" t="s">
        <v>2</v>
      </c>
    </row>
    <row r="1640" ht="15.75" customHeight="1">
      <c r="B1640" s="56"/>
      <c r="U1640" s="46" t="str">
        <f t="array" ref="U1640">IF($D1640="","",IFERROR(_xlfn.XLOOKUP($D1640,'TIR店舗一覧'!$D:$D,'TIR店舗一覧'!$E:$E,""),""))</f>
        <v/>
      </c>
      <c r="V1640" s="54" t="s">
        <v>2</v>
      </c>
      <c r="W1640" s="54" t="s">
        <v>2</v>
      </c>
      <c r="X1640" s="54" t="s">
        <v>2</v>
      </c>
      <c r="Y1640" s="54" t="s">
        <v>2</v>
      </c>
      <c r="Z1640" s="54" t="s">
        <v>2</v>
      </c>
      <c r="AA1640" s="54" t="s">
        <v>2</v>
      </c>
      <c r="AB1640" s="54" t="s">
        <v>2</v>
      </c>
      <c r="AC1640" s="54" t="s">
        <v>2</v>
      </c>
      <c r="AD1640" s="54" t="s">
        <v>2</v>
      </c>
      <c r="AE1640" s="54" t="s">
        <v>2</v>
      </c>
      <c r="AF1640" s="54" t="s">
        <v>2</v>
      </c>
      <c r="AG1640" s="54" t="s">
        <v>2</v>
      </c>
    </row>
    <row r="1641" ht="15.75" customHeight="1">
      <c r="B1641" s="56"/>
      <c r="U1641" s="46" t="str">
        <f t="array" ref="U1641">IF($D1641="","",IFERROR(_xlfn.XLOOKUP($D1641,'TIR店舗一覧'!$D:$D,'TIR店舗一覧'!$E:$E,""),""))</f>
        <v/>
      </c>
      <c r="V1641" s="54" t="s">
        <v>2</v>
      </c>
      <c r="W1641" s="54" t="s">
        <v>2</v>
      </c>
      <c r="X1641" s="54" t="s">
        <v>2</v>
      </c>
      <c r="Y1641" s="54" t="s">
        <v>2</v>
      </c>
      <c r="Z1641" s="54" t="s">
        <v>2</v>
      </c>
      <c r="AA1641" s="54" t="s">
        <v>2</v>
      </c>
      <c r="AB1641" s="54" t="s">
        <v>2</v>
      </c>
      <c r="AC1641" s="54" t="s">
        <v>2</v>
      </c>
      <c r="AD1641" s="54" t="s">
        <v>2</v>
      </c>
      <c r="AE1641" s="54" t="s">
        <v>2</v>
      </c>
      <c r="AF1641" s="54" t="s">
        <v>2</v>
      </c>
      <c r="AG1641" s="54" t="s">
        <v>2</v>
      </c>
    </row>
    <row r="1642" ht="15.75" customHeight="1">
      <c r="B1642" s="56"/>
      <c r="U1642" s="46" t="str">
        <f t="array" ref="U1642">IF($D1642="","",IFERROR(_xlfn.XLOOKUP($D1642,'TIR店舗一覧'!$D:$D,'TIR店舗一覧'!$E:$E,""),""))</f>
        <v/>
      </c>
      <c r="V1642" s="54" t="s">
        <v>2</v>
      </c>
      <c r="W1642" s="54" t="s">
        <v>2</v>
      </c>
      <c r="X1642" s="54" t="s">
        <v>2</v>
      </c>
      <c r="Y1642" s="54" t="s">
        <v>2</v>
      </c>
      <c r="Z1642" s="54" t="s">
        <v>2</v>
      </c>
      <c r="AA1642" s="54" t="s">
        <v>2</v>
      </c>
      <c r="AB1642" s="54" t="s">
        <v>2</v>
      </c>
      <c r="AC1642" s="54" t="s">
        <v>2</v>
      </c>
      <c r="AD1642" s="54" t="s">
        <v>2</v>
      </c>
      <c r="AE1642" s="54" t="s">
        <v>2</v>
      </c>
      <c r="AF1642" s="54" t="s">
        <v>2</v>
      </c>
      <c r="AG1642" s="54" t="s">
        <v>2</v>
      </c>
    </row>
    <row r="1643" ht="15.75" customHeight="1">
      <c r="B1643" s="56"/>
      <c r="U1643" s="46" t="str">
        <f t="array" ref="U1643">IF($D1643="","",IFERROR(_xlfn.XLOOKUP($D1643,'TIR店舗一覧'!$D:$D,'TIR店舗一覧'!$E:$E,""),""))</f>
        <v/>
      </c>
      <c r="V1643" s="54" t="s">
        <v>2</v>
      </c>
      <c r="W1643" s="54" t="s">
        <v>2</v>
      </c>
      <c r="X1643" s="54" t="s">
        <v>2</v>
      </c>
      <c r="Y1643" s="54" t="s">
        <v>2</v>
      </c>
      <c r="Z1643" s="54" t="s">
        <v>2</v>
      </c>
      <c r="AA1643" s="54" t="s">
        <v>2</v>
      </c>
      <c r="AB1643" s="54" t="s">
        <v>2</v>
      </c>
      <c r="AC1643" s="54" t="s">
        <v>2</v>
      </c>
      <c r="AD1643" s="54" t="s">
        <v>2</v>
      </c>
      <c r="AE1643" s="54" t="s">
        <v>2</v>
      </c>
      <c r="AF1643" s="54" t="s">
        <v>2</v>
      </c>
      <c r="AG1643" s="54" t="s">
        <v>2</v>
      </c>
    </row>
    <row r="1644" ht="15.75" customHeight="1">
      <c r="B1644" s="56"/>
      <c r="U1644" s="46" t="str">
        <f t="array" ref="U1644">IF($D1644="","",IFERROR(_xlfn.XLOOKUP($D1644,'TIR店舗一覧'!$D:$D,'TIR店舗一覧'!$E:$E,""),""))</f>
        <v/>
      </c>
      <c r="V1644" s="54" t="s">
        <v>2</v>
      </c>
      <c r="W1644" s="54" t="s">
        <v>2</v>
      </c>
      <c r="X1644" s="54" t="s">
        <v>2</v>
      </c>
      <c r="Y1644" s="54" t="s">
        <v>2</v>
      </c>
      <c r="Z1644" s="54" t="s">
        <v>2</v>
      </c>
      <c r="AA1644" s="54" t="s">
        <v>2</v>
      </c>
      <c r="AB1644" s="54" t="s">
        <v>2</v>
      </c>
      <c r="AC1644" s="54" t="s">
        <v>2</v>
      </c>
      <c r="AD1644" s="54" t="s">
        <v>2</v>
      </c>
      <c r="AE1644" s="54" t="s">
        <v>2</v>
      </c>
      <c r="AF1644" s="54" t="s">
        <v>2</v>
      </c>
      <c r="AG1644" s="54" t="s">
        <v>2</v>
      </c>
    </row>
    <row r="1645" ht="15.75" customHeight="1">
      <c r="B1645" s="56"/>
      <c r="U1645" s="46" t="str">
        <f t="array" ref="U1645">IF($D1645="","",IFERROR(_xlfn.XLOOKUP($D1645,'TIR店舗一覧'!$D:$D,'TIR店舗一覧'!$E:$E,""),""))</f>
        <v/>
      </c>
      <c r="V1645" s="54" t="s">
        <v>2</v>
      </c>
      <c r="W1645" s="54" t="s">
        <v>2</v>
      </c>
      <c r="X1645" s="54" t="s">
        <v>2</v>
      </c>
      <c r="Y1645" s="54" t="s">
        <v>2</v>
      </c>
      <c r="Z1645" s="54" t="s">
        <v>2</v>
      </c>
      <c r="AA1645" s="54" t="s">
        <v>2</v>
      </c>
      <c r="AB1645" s="54" t="s">
        <v>2</v>
      </c>
      <c r="AC1645" s="54" t="s">
        <v>2</v>
      </c>
      <c r="AD1645" s="54" t="s">
        <v>2</v>
      </c>
      <c r="AE1645" s="54" t="s">
        <v>2</v>
      </c>
      <c r="AF1645" s="54" t="s">
        <v>2</v>
      </c>
      <c r="AG1645" s="54" t="s">
        <v>2</v>
      </c>
    </row>
    <row r="1646" ht="15.75" customHeight="1">
      <c r="B1646" s="56"/>
      <c r="U1646" s="46" t="str">
        <f t="array" ref="U1646">IF($D1646="","",IFERROR(_xlfn.XLOOKUP($D1646,'TIR店舗一覧'!$D:$D,'TIR店舗一覧'!$E:$E,""),""))</f>
        <v/>
      </c>
      <c r="V1646" s="54" t="s">
        <v>2</v>
      </c>
      <c r="W1646" s="54" t="s">
        <v>2</v>
      </c>
      <c r="X1646" s="54" t="s">
        <v>2</v>
      </c>
      <c r="Y1646" s="54" t="s">
        <v>2</v>
      </c>
      <c r="Z1646" s="54" t="s">
        <v>2</v>
      </c>
      <c r="AA1646" s="54" t="s">
        <v>2</v>
      </c>
      <c r="AB1646" s="54" t="s">
        <v>2</v>
      </c>
      <c r="AC1646" s="54" t="s">
        <v>2</v>
      </c>
      <c r="AD1646" s="54" t="s">
        <v>2</v>
      </c>
      <c r="AE1646" s="54" t="s">
        <v>2</v>
      </c>
      <c r="AF1646" s="54" t="s">
        <v>2</v>
      </c>
      <c r="AG1646" s="54" t="s">
        <v>2</v>
      </c>
    </row>
    <row r="1647" ht="15.75" customHeight="1">
      <c r="B1647" s="56"/>
      <c r="U1647" s="46" t="str">
        <f t="array" ref="U1647">IF($D1647="","",IFERROR(_xlfn.XLOOKUP($D1647,'TIR店舗一覧'!$D:$D,'TIR店舗一覧'!$E:$E,""),""))</f>
        <v/>
      </c>
      <c r="V1647" s="54" t="s">
        <v>2</v>
      </c>
      <c r="W1647" s="54" t="s">
        <v>2</v>
      </c>
      <c r="X1647" s="54" t="s">
        <v>2</v>
      </c>
      <c r="Y1647" s="54" t="s">
        <v>2</v>
      </c>
      <c r="Z1647" s="54" t="s">
        <v>2</v>
      </c>
      <c r="AA1647" s="54" t="s">
        <v>2</v>
      </c>
      <c r="AB1647" s="54" t="s">
        <v>2</v>
      </c>
      <c r="AC1647" s="54" t="s">
        <v>2</v>
      </c>
      <c r="AD1647" s="54" t="s">
        <v>2</v>
      </c>
      <c r="AE1647" s="54" t="s">
        <v>2</v>
      </c>
      <c r="AF1647" s="54" t="s">
        <v>2</v>
      </c>
      <c r="AG1647" s="54" t="s">
        <v>2</v>
      </c>
    </row>
    <row r="1648" ht="15.75" customHeight="1">
      <c r="B1648" s="56"/>
      <c r="U1648" s="46" t="str">
        <f t="array" ref="U1648">IF($D1648="","",IFERROR(_xlfn.XLOOKUP($D1648,'TIR店舗一覧'!$D:$D,'TIR店舗一覧'!$E:$E,""),""))</f>
        <v/>
      </c>
      <c r="V1648" s="54" t="s">
        <v>2</v>
      </c>
      <c r="W1648" s="54" t="s">
        <v>2</v>
      </c>
      <c r="X1648" s="54" t="s">
        <v>2</v>
      </c>
      <c r="Y1648" s="54" t="s">
        <v>2</v>
      </c>
      <c r="Z1648" s="54" t="s">
        <v>2</v>
      </c>
      <c r="AA1648" s="54" t="s">
        <v>2</v>
      </c>
      <c r="AB1648" s="54" t="s">
        <v>2</v>
      </c>
      <c r="AC1648" s="54" t="s">
        <v>2</v>
      </c>
      <c r="AD1648" s="54" t="s">
        <v>2</v>
      </c>
      <c r="AE1648" s="54" t="s">
        <v>2</v>
      </c>
      <c r="AF1648" s="54" t="s">
        <v>2</v>
      </c>
      <c r="AG1648" s="54" t="s">
        <v>2</v>
      </c>
    </row>
    <row r="1649" ht="15.75" customHeight="1">
      <c r="B1649" s="56"/>
      <c r="U1649" s="46" t="str">
        <f t="array" ref="U1649">IF($D1649="","",IFERROR(_xlfn.XLOOKUP($D1649,'TIR店舗一覧'!$D:$D,'TIR店舗一覧'!$E:$E,""),""))</f>
        <v/>
      </c>
      <c r="V1649" s="54" t="s">
        <v>2</v>
      </c>
      <c r="W1649" s="54" t="s">
        <v>2</v>
      </c>
      <c r="X1649" s="54" t="s">
        <v>2</v>
      </c>
      <c r="Y1649" s="54" t="s">
        <v>2</v>
      </c>
      <c r="Z1649" s="54" t="s">
        <v>2</v>
      </c>
      <c r="AA1649" s="54" t="s">
        <v>2</v>
      </c>
      <c r="AB1649" s="54" t="s">
        <v>2</v>
      </c>
      <c r="AC1649" s="54" t="s">
        <v>2</v>
      </c>
      <c r="AD1649" s="54" t="s">
        <v>2</v>
      </c>
      <c r="AE1649" s="54" t="s">
        <v>2</v>
      </c>
      <c r="AF1649" s="54" t="s">
        <v>2</v>
      </c>
      <c r="AG1649" s="54" t="s">
        <v>2</v>
      </c>
    </row>
    <row r="1650" ht="15.75" customHeight="1">
      <c r="B1650" s="56"/>
      <c r="U1650" s="46" t="str">
        <f t="array" ref="U1650">IF($D1650="","",IFERROR(_xlfn.XLOOKUP($D1650,'TIR店舗一覧'!$D:$D,'TIR店舗一覧'!$E:$E,""),""))</f>
        <v/>
      </c>
      <c r="V1650" s="54" t="s">
        <v>2</v>
      </c>
      <c r="W1650" s="54" t="s">
        <v>2</v>
      </c>
      <c r="X1650" s="54" t="s">
        <v>2</v>
      </c>
      <c r="Y1650" s="54" t="s">
        <v>2</v>
      </c>
      <c r="Z1650" s="54" t="s">
        <v>2</v>
      </c>
      <c r="AA1650" s="54" t="s">
        <v>2</v>
      </c>
      <c r="AB1650" s="54" t="s">
        <v>2</v>
      </c>
      <c r="AC1650" s="54" t="s">
        <v>2</v>
      </c>
      <c r="AD1650" s="54" t="s">
        <v>2</v>
      </c>
      <c r="AE1650" s="54" t="s">
        <v>2</v>
      </c>
      <c r="AF1650" s="54" t="s">
        <v>2</v>
      </c>
      <c r="AG1650" s="54" t="s">
        <v>2</v>
      </c>
    </row>
    <row r="1651" ht="15.75" customHeight="1">
      <c r="B1651" s="56"/>
      <c r="U1651" s="46" t="str">
        <f t="array" ref="U1651">IF($D1651="","",IFERROR(_xlfn.XLOOKUP($D1651,'TIR店舗一覧'!$D:$D,'TIR店舗一覧'!$E:$E,""),""))</f>
        <v/>
      </c>
      <c r="V1651" s="54" t="s">
        <v>2</v>
      </c>
      <c r="W1651" s="54" t="s">
        <v>2</v>
      </c>
      <c r="X1651" s="54" t="s">
        <v>2</v>
      </c>
      <c r="Y1651" s="54" t="s">
        <v>2</v>
      </c>
      <c r="Z1651" s="54" t="s">
        <v>2</v>
      </c>
      <c r="AA1651" s="54" t="s">
        <v>2</v>
      </c>
      <c r="AB1651" s="54" t="s">
        <v>2</v>
      </c>
      <c r="AC1651" s="54" t="s">
        <v>2</v>
      </c>
      <c r="AD1651" s="54" t="s">
        <v>2</v>
      </c>
      <c r="AE1651" s="54" t="s">
        <v>2</v>
      </c>
      <c r="AF1651" s="54" t="s">
        <v>2</v>
      </c>
      <c r="AG1651" s="54" t="s">
        <v>2</v>
      </c>
    </row>
    <row r="1652" ht="15.75" customHeight="1">
      <c r="B1652" s="56"/>
      <c r="U1652" s="46" t="str">
        <f t="array" ref="U1652">IF($D1652="","",IFERROR(_xlfn.XLOOKUP($D1652,'TIR店舗一覧'!$D:$D,'TIR店舗一覧'!$E:$E,""),""))</f>
        <v/>
      </c>
      <c r="V1652" s="54" t="s">
        <v>2</v>
      </c>
      <c r="W1652" s="54" t="s">
        <v>2</v>
      </c>
      <c r="X1652" s="54" t="s">
        <v>2</v>
      </c>
      <c r="Y1652" s="54" t="s">
        <v>2</v>
      </c>
      <c r="Z1652" s="54" t="s">
        <v>2</v>
      </c>
      <c r="AA1652" s="54" t="s">
        <v>2</v>
      </c>
      <c r="AB1652" s="54" t="s">
        <v>2</v>
      </c>
      <c r="AC1652" s="54" t="s">
        <v>2</v>
      </c>
      <c r="AD1652" s="54" t="s">
        <v>2</v>
      </c>
      <c r="AE1652" s="54" t="s">
        <v>2</v>
      </c>
      <c r="AF1652" s="54" t="s">
        <v>2</v>
      </c>
      <c r="AG1652" s="54" t="s">
        <v>2</v>
      </c>
    </row>
    <row r="1653" ht="15.75" customHeight="1">
      <c r="B1653" s="56"/>
      <c r="U1653" s="46" t="str">
        <f t="array" ref="U1653">IF($D1653="","",IFERROR(_xlfn.XLOOKUP($D1653,'TIR店舗一覧'!$D:$D,'TIR店舗一覧'!$E:$E,""),""))</f>
        <v/>
      </c>
      <c r="V1653" s="54" t="s">
        <v>2</v>
      </c>
      <c r="W1653" s="54" t="s">
        <v>2</v>
      </c>
      <c r="X1653" s="54" t="s">
        <v>2</v>
      </c>
      <c r="Y1653" s="54" t="s">
        <v>2</v>
      </c>
      <c r="Z1653" s="54" t="s">
        <v>2</v>
      </c>
      <c r="AA1653" s="54" t="s">
        <v>2</v>
      </c>
      <c r="AB1653" s="54" t="s">
        <v>2</v>
      </c>
      <c r="AC1653" s="54" t="s">
        <v>2</v>
      </c>
      <c r="AD1653" s="54" t="s">
        <v>2</v>
      </c>
      <c r="AE1653" s="54" t="s">
        <v>2</v>
      </c>
      <c r="AF1653" s="54" t="s">
        <v>2</v>
      </c>
      <c r="AG1653" s="54" t="s">
        <v>2</v>
      </c>
    </row>
    <row r="1654" ht="15.75" customHeight="1">
      <c r="B1654" s="56"/>
      <c r="U1654" s="46" t="str">
        <f t="array" ref="U1654">IF($D1654="","",IFERROR(_xlfn.XLOOKUP($D1654,'TIR店舗一覧'!$D:$D,'TIR店舗一覧'!$E:$E,""),""))</f>
        <v/>
      </c>
      <c r="V1654" s="54" t="s">
        <v>2</v>
      </c>
      <c r="W1654" s="54" t="s">
        <v>2</v>
      </c>
      <c r="X1654" s="54" t="s">
        <v>2</v>
      </c>
      <c r="Y1654" s="54" t="s">
        <v>2</v>
      </c>
      <c r="Z1654" s="54" t="s">
        <v>2</v>
      </c>
      <c r="AA1654" s="54" t="s">
        <v>2</v>
      </c>
      <c r="AB1654" s="54" t="s">
        <v>2</v>
      </c>
      <c r="AC1654" s="54" t="s">
        <v>2</v>
      </c>
      <c r="AD1654" s="54" t="s">
        <v>2</v>
      </c>
      <c r="AE1654" s="54" t="s">
        <v>2</v>
      </c>
      <c r="AF1654" s="54" t="s">
        <v>2</v>
      </c>
      <c r="AG1654" s="54" t="s">
        <v>2</v>
      </c>
    </row>
    <row r="1655" ht="15.75" customHeight="1">
      <c r="B1655" s="56"/>
      <c r="U1655" s="46" t="str">
        <f t="array" ref="U1655">IF($D1655="","",IFERROR(_xlfn.XLOOKUP($D1655,'TIR店舗一覧'!$D:$D,'TIR店舗一覧'!$E:$E,""),""))</f>
        <v/>
      </c>
      <c r="V1655" s="54" t="s">
        <v>2</v>
      </c>
      <c r="W1655" s="54" t="s">
        <v>2</v>
      </c>
      <c r="X1655" s="54" t="s">
        <v>2</v>
      </c>
      <c r="Y1655" s="54" t="s">
        <v>2</v>
      </c>
      <c r="Z1655" s="54" t="s">
        <v>2</v>
      </c>
      <c r="AA1655" s="54" t="s">
        <v>2</v>
      </c>
      <c r="AB1655" s="54" t="s">
        <v>2</v>
      </c>
      <c r="AC1655" s="54" t="s">
        <v>2</v>
      </c>
      <c r="AD1655" s="54" t="s">
        <v>2</v>
      </c>
      <c r="AE1655" s="54" t="s">
        <v>2</v>
      </c>
      <c r="AF1655" s="54" t="s">
        <v>2</v>
      </c>
      <c r="AG1655" s="54" t="s">
        <v>2</v>
      </c>
    </row>
    <row r="1656" ht="15.75" customHeight="1">
      <c r="B1656" s="56"/>
      <c r="U1656" s="46" t="str">
        <f t="array" ref="U1656">IF($D1656="","",IFERROR(_xlfn.XLOOKUP($D1656,'TIR店舗一覧'!$D:$D,'TIR店舗一覧'!$E:$E,""),""))</f>
        <v/>
      </c>
      <c r="V1656" s="54" t="s">
        <v>2</v>
      </c>
      <c r="W1656" s="54" t="s">
        <v>2</v>
      </c>
      <c r="X1656" s="54" t="s">
        <v>2</v>
      </c>
      <c r="Y1656" s="54" t="s">
        <v>2</v>
      </c>
      <c r="Z1656" s="54" t="s">
        <v>2</v>
      </c>
      <c r="AA1656" s="54" t="s">
        <v>2</v>
      </c>
      <c r="AB1656" s="54" t="s">
        <v>2</v>
      </c>
      <c r="AC1656" s="54" t="s">
        <v>2</v>
      </c>
      <c r="AD1656" s="54" t="s">
        <v>2</v>
      </c>
      <c r="AE1656" s="54" t="s">
        <v>2</v>
      </c>
      <c r="AF1656" s="54" t="s">
        <v>2</v>
      </c>
      <c r="AG1656" s="54" t="s">
        <v>2</v>
      </c>
    </row>
    <row r="1657" ht="15.75" customHeight="1">
      <c r="B1657" s="56"/>
      <c r="U1657" s="46" t="str">
        <f t="array" ref="U1657">IF($D1657="","",IFERROR(_xlfn.XLOOKUP($D1657,'TIR店舗一覧'!$D:$D,'TIR店舗一覧'!$E:$E,""),""))</f>
        <v/>
      </c>
      <c r="V1657" s="54" t="s">
        <v>2</v>
      </c>
      <c r="W1657" s="54" t="s">
        <v>2</v>
      </c>
      <c r="X1657" s="54" t="s">
        <v>2</v>
      </c>
      <c r="Y1657" s="54" t="s">
        <v>2</v>
      </c>
      <c r="Z1657" s="54" t="s">
        <v>2</v>
      </c>
      <c r="AA1657" s="54" t="s">
        <v>2</v>
      </c>
      <c r="AB1657" s="54" t="s">
        <v>2</v>
      </c>
      <c r="AC1657" s="54" t="s">
        <v>2</v>
      </c>
      <c r="AD1657" s="54" t="s">
        <v>2</v>
      </c>
      <c r="AE1657" s="54" t="s">
        <v>2</v>
      </c>
      <c r="AF1657" s="54" t="s">
        <v>2</v>
      </c>
      <c r="AG1657" s="54" t="s">
        <v>2</v>
      </c>
    </row>
    <row r="1658" ht="15.75" customHeight="1">
      <c r="B1658" s="56"/>
      <c r="U1658" s="46" t="str">
        <f t="array" ref="U1658">IF($D1658="","",IFERROR(_xlfn.XLOOKUP($D1658,'TIR店舗一覧'!$D:$D,'TIR店舗一覧'!$E:$E,""),""))</f>
        <v/>
      </c>
      <c r="V1658" s="54" t="s">
        <v>2</v>
      </c>
      <c r="W1658" s="54" t="s">
        <v>2</v>
      </c>
      <c r="X1658" s="54" t="s">
        <v>2</v>
      </c>
      <c r="Y1658" s="54" t="s">
        <v>2</v>
      </c>
      <c r="Z1658" s="54" t="s">
        <v>2</v>
      </c>
      <c r="AA1658" s="54" t="s">
        <v>2</v>
      </c>
      <c r="AB1658" s="54" t="s">
        <v>2</v>
      </c>
      <c r="AC1658" s="54" t="s">
        <v>2</v>
      </c>
      <c r="AD1658" s="54" t="s">
        <v>2</v>
      </c>
      <c r="AE1658" s="54" t="s">
        <v>2</v>
      </c>
      <c r="AF1658" s="54" t="s">
        <v>2</v>
      </c>
      <c r="AG1658" s="54" t="s">
        <v>2</v>
      </c>
    </row>
    <row r="1659" ht="15.75" customHeight="1">
      <c r="B1659" s="56"/>
      <c r="U1659" s="46" t="str">
        <f t="array" ref="U1659">IF($D1659="","",IFERROR(_xlfn.XLOOKUP($D1659,'TIR店舗一覧'!$D:$D,'TIR店舗一覧'!$E:$E,""),""))</f>
        <v/>
      </c>
      <c r="V1659" s="54" t="s">
        <v>2</v>
      </c>
      <c r="W1659" s="54" t="s">
        <v>2</v>
      </c>
      <c r="X1659" s="54" t="s">
        <v>2</v>
      </c>
      <c r="Y1659" s="54" t="s">
        <v>2</v>
      </c>
      <c r="Z1659" s="54" t="s">
        <v>2</v>
      </c>
      <c r="AA1659" s="54" t="s">
        <v>2</v>
      </c>
      <c r="AB1659" s="54" t="s">
        <v>2</v>
      </c>
      <c r="AC1659" s="54" t="s">
        <v>2</v>
      </c>
      <c r="AD1659" s="54" t="s">
        <v>2</v>
      </c>
      <c r="AE1659" s="54" t="s">
        <v>2</v>
      </c>
      <c r="AF1659" s="54" t="s">
        <v>2</v>
      </c>
      <c r="AG1659" s="54" t="s">
        <v>2</v>
      </c>
    </row>
    <row r="1660" ht="15.75" customHeight="1">
      <c r="B1660" s="56"/>
      <c r="U1660" s="46" t="str">
        <f t="array" ref="U1660">IF($D1660="","",IFERROR(_xlfn.XLOOKUP($D1660,'TIR店舗一覧'!$D:$D,'TIR店舗一覧'!$E:$E,""),""))</f>
        <v/>
      </c>
      <c r="V1660" s="54" t="s">
        <v>2</v>
      </c>
      <c r="W1660" s="54" t="s">
        <v>2</v>
      </c>
      <c r="X1660" s="54" t="s">
        <v>2</v>
      </c>
      <c r="Y1660" s="54" t="s">
        <v>2</v>
      </c>
      <c r="Z1660" s="54" t="s">
        <v>2</v>
      </c>
      <c r="AA1660" s="54" t="s">
        <v>2</v>
      </c>
      <c r="AB1660" s="54" t="s">
        <v>2</v>
      </c>
      <c r="AC1660" s="54" t="s">
        <v>2</v>
      </c>
      <c r="AD1660" s="54" t="s">
        <v>2</v>
      </c>
      <c r="AE1660" s="54" t="s">
        <v>2</v>
      </c>
      <c r="AF1660" s="54" t="s">
        <v>2</v>
      </c>
      <c r="AG1660" s="54" t="s">
        <v>2</v>
      </c>
    </row>
    <row r="1661" ht="15.75" customHeight="1">
      <c r="B1661" s="56"/>
      <c r="U1661" s="46" t="str">
        <f t="array" ref="U1661">IF($D1661="","",IFERROR(_xlfn.XLOOKUP($D1661,'TIR店舗一覧'!$D:$D,'TIR店舗一覧'!$E:$E,""),""))</f>
        <v/>
      </c>
      <c r="V1661" s="54" t="s">
        <v>2</v>
      </c>
      <c r="W1661" s="54" t="s">
        <v>2</v>
      </c>
      <c r="X1661" s="54" t="s">
        <v>2</v>
      </c>
      <c r="Y1661" s="54" t="s">
        <v>2</v>
      </c>
      <c r="Z1661" s="54" t="s">
        <v>2</v>
      </c>
      <c r="AA1661" s="54" t="s">
        <v>2</v>
      </c>
      <c r="AB1661" s="54" t="s">
        <v>2</v>
      </c>
      <c r="AC1661" s="54" t="s">
        <v>2</v>
      </c>
      <c r="AD1661" s="54" t="s">
        <v>2</v>
      </c>
      <c r="AE1661" s="54" t="s">
        <v>2</v>
      </c>
      <c r="AF1661" s="54" t="s">
        <v>2</v>
      </c>
      <c r="AG1661" s="54" t="s">
        <v>2</v>
      </c>
    </row>
    <row r="1662" ht="15.75" customHeight="1">
      <c r="B1662" s="56"/>
      <c r="U1662" s="46" t="str">
        <f t="array" ref="U1662">IF($D1662="","",IFERROR(_xlfn.XLOOKUP($D1662,'TIR店舗一覧'!$D:$D,'TIR店舗一覧'!$E:$E,""),""))</f>
        <v/>
      </c>
      <c r="V1662" s="54" t="s">
        <v>2</v>
      </c>
      <c r="W1662" s="54" t="s">
        <v>2</v>
      </c>
      <c r="X1662" s="54" t="s">
        <v>2</v>
      </c>
      <c r="Y1662" s="54" t="s">
        <v>2</v>
      </c>
      <c r="Z1662" s="54" t="s">
        <v>2</v>
      </c>
      <c r="AA1662" s="54" t="s">
        <v>2</v>
      </c>
      <c r="AB1662" s="54" t="s">
        <v>2</v>
      </c>
      <c r="AC1662" s="54" t="s">
        <v>2</v>
      </c>
      <c r="AD1662" s="54" t="s">
        <v>2</v>
      </c>
      <c r="AE1662" s="54" t="s">
        <v>2</v>
      </c>
      <c r="AF1662" s="54" t="s">
        <v>2</v>
      </c>
      <c r="AG1662" s="54" t="s">
        <v>2</v>
      </c>
    </row>
    <row r="1663" ht="15.75" customHeight="1">
      <c r="B1663" s="56"/>
      <c r="U1663" s="46" t="str">
        <f t="array" ref="U1663">IF($D1663="","",IFERROR(_xlfn.XLOOKUP($D1663,'TIR店舗一覧'!$D:$D,'TIR店舗一覧'!$E:$E,""),""))</f>
        <v/>
      </c>
      <c r="V1663" s="54" t="s">
        <v>2</v>
      </c>
      <c r="W1663" s="54" t="s">
        <v>2</v>
      </c>
      <c r="X1663" s="54" t="s">
        <v>2</v>
      </c>
      <c r="Y1663" s="54" t="s">
        <v>2</v>
      </c>
      <c r="Z1663" s="54" t="s">
        <v>2</v>
      </c>
      <c r="AA1663" s="54" t="s">
        <v>2</v>
      </c>
      <c r="AB1663" s="54" t="s">
        <v>2</v>
      </c>
      <c r="AC1663" s="54" t="s">
        <v>2</v>
      </c>
      <c r="AD1663" s="54" t="s">
        <v>2</v>
      </c>
      <c r="AE1663" s="54" t="s">
        <v>2</v>
      </c>
      <c r="AF1663" s="54" t="s">
        <v>2</v>
      </c>
      <c r="AG1663" s="54" t="s">
        <v>2</v>
      </c>
    </row>
    <row r="1664" ht="15.75" customHeight="1">
      <c r="B1664" s="56"/>
      <c r="U1664" s="46" t="str">
        <f t="array" ref="U1664">IF($D1664="","",IFERROR(_xlfn.XLOOKUP($D1664,'TIR店舗一覧'!$D:$D,'TIR店舗一覧'!$E:$E,""),""))</f>
        <v/>
      </c>
      <c r="V1664" s="54" t="s">
        <v>2</v>
      </c>
      <c r="W1664" s="54" t="s">
        <v>2</v>
      </c>
      <c r="X1664" s="54" t="s">
        <v>2</v>
      </c>
      <c r="Y1664" s="54" t="s">
        <v>2</v>
      </c>
      <c r="Z1664" s="54" t="s">
        <v>2</v>
      </c>
      <c r="AA1664" s="54" t="s">
        <v>2</v>
      </c>
      <c r="AB1664" s="54" t="s">
        <v>2</v>
      </c>
      <c r="AC1664" s="54" t="s">
        <v>2</v>
      </c>
      <c r="AD1664" s="54" t="s">
        <v>2</v>
      </c>
      <c r="AE1664" s="54" t="s">
        <v>2</v>
      </c>
      <c r="AF1664" s="54" t="s">
        <v>2</v>
      </c>
      <c r="AG1664" s="54" t="s">
        <v>2</v>
      </c>
    </row>
    <row r="1665" ht="15.75" customHeight="1">
      <c r="B1665" s="56"/>
      <c r="U1665" s="46" t="str">
        <f t="array" ref="U1665">IF($D1665="","",IFERROR(_xlfn.XLOOKUP($D1665,'TIR店舗一覧'!$D:$D,'TIR店舗一覧'!$E:$E,""),""))</f>
        <v/>
      </c>
      <c r="V1665" s="54" t="s">
        <v>2</v>
      </c>
      <c r="W1665" s="54" t="s">
        <v>2</v>
      </c>
      <c r="X1665" s="54" t="s">
        <v>2</v>
      </c>
      <c r="Y1665" s="54" t="s">
        <v>2</v>
      </c>
      <c r="Z1665" s="54" t="s">
        <v>2</v>
      </c>
      <c r="AA1665" s="54" t="s">
        <v>2</v>
      </c>
      <c r="AB1665" s="54" t="s">
        <v>2</v>
      </c>
      <c r="AC1665" s="54" t="s">
        <v>2</v>
      </c>
      <c r="AD1665" s="54" t="s">
        <v>2</v>
      </c>
      <c r="AE1665" s="54" t="s">
        <v>2</v>
      </c>
      <c r="AF1665" s="54" t="s">
        <v>2</v>
      </c>
      <c r="AG1665" s="54" t="s">
        <v>2</v>
      </c>
    </row>
    <row r="1666" ht="15.75" customHeight="1">
      <c r="B1666" s="56"/>
      <c r="U1666" s="46" t="str">
        <f t="array" ref="U1666">IF($D1666="","",IFERROR(_xlfn.XLOOKUP($D1666,'TIR店舗一覧'!$D:$D,'TIR店舗一覧'!$E:$E,""),""))</f>
        <v/>
      </c>
      <c r="V1666" s="54" t="s">
        <v>2</v>
      </c>
      <c r="W1666" s="54" t="s">
        <v>2</v>
      </c>
      <c r="X1666" s="54" t="s">
        <v>2</v>
      </c>
      <c r="Y1666" s="54" t="s">
        <v>2</v>
      </c>
      <c r="Z1666" s="54" t="s">
        <v>2</v>
      </c>
      <c r="AA1666" s="54" t="s">
        <v>2</v>
      </c>
      <c r="AB1666" s="54" t="s">
        <v>2</v>
      </c>
      <c r="AC1666" s="54" t="s">
        <v>2</v>
      </c>
      <c r="AD1666" s="54" t="s">
        <v>2</v>
      </c>
      <c r="AE1666" s="54" t="s">
        <v>2</v>
      </c>
      <c r="AF1666" s="54" t="s">
        <v>2</v>
      </c>
      <c r="AG1666" s="54" t="s">
        <v>2</v>
      </c>
    </row>
    <row r="1667" ht="15.75" customHeight="1">
      <c r="B1667" s="56"/>
      <c r="U1667" s="46" t="str">
        <f t="array" ref="U1667">IF($D1667="","",IFERROR(_xlfn.XLOOKUP($D1667,'TIR店舗一覧'!$D:$D,'TIR店舗一覧'!$E:$E,""),""))</f>
        <v/>
      </c>
      <c r="V1667" s="54" t="s">
        <v>2</v>
      </c>
      <c r="W1667" s="54" t="s">
        <v>2</v>
      </c>
      <c r="X1667" s="54" t="s">
        <v>2</v>
      </c>
      <c r="Y1667" s="54" t="s">
        <v>2</v>
      </c>
      <c r="Z1667" s="54" t="s">
        <v>2</v>
      </c>
      <c r="AA1667" s="54" t="s">
        <v>2</v>
      </c>
      <c r="AB1667" s="54" t="s">
        <v>2</v>
      </c>
      <c r="AC1667" s="54" t="s">
        <v>2</v>
      </c>
      <c r="AD1667" s="54" t="s">
        <v>2</v>
      </c>
      <c r="AE1667" s="54" t="s">
        <v>2</v>
      </c>
      <c r="AF1667" s="54" t="s">
        <v>2</v>
      </c>
      <c r="AG1667" s="54" t="s">
        <v>2</v>
      </c>
    </row>
    <row r="1668" ht="15.75" customHeight="1">
      <c r="B1668" s="56"/>
      <c r="U1668" s="46" t="str">
        <f t="array" ref="U1668">IF($D1668="","",IFERROR(_xlfn.XLOOKUP($D1668,'TIR店舗一覧'!$D:$D,'TIR店舗一覧'!$E:$E,""),""))</f>
        <v/>
      </c>
      <c r="V1668" s="54" t="s">
        <v>2</v>
      </c>
      <c r="W1668" s="54" t="s">
        <v>2</v>
      </c>
      <c r="X1668" s="54" t="s">
        <v>2</v>
      </c>
      <c r="Y1668" s="54" t="s">
        <v>2</v>
      </c>
      <c r="Z1668" s="54" t="s">
        <v>2</v>
      </c>
      <c r="AA1668" s="54" t="s">
        <v>2</v>
      </c>
      <c r="AB1668" s="54" t="s">
        <v>2</v>
      </c>
      <c r="AC1668" s="54" t="s">
        <v>2</v>
      </c>
      <c r="AD1668" s="54" t="s">
        <v>2</v>
      </c>
      <c r="AE1668" s="54" t="s">
        <v>2</v>
      </c>
      <c r="AF1668" s="54" t="s">
        <v>2</v>
      </c>
      <c r="AG1668" s="54" t="s">
        <v>2</v>
      </c>
    </row>
    <row r="1669" ht="15.75" customHeight="1">
      <c r="B1669" s="56"/>
      <c r="U1669" s="46" t="str">
        <f t="array" ref="U1669">IF($D1669="","",IFERROR(_xlfn.XLOOKUP($D1669,'TIR店舗一覧'!$D:$D,'TIR店舗一覧'!$E:$E,""),""))</f>
        <v/>
      </c>
      <c r="V1669" s="54" t="s">
        <v>2</v>
      </c>
      <c r="W1669" s="54" t="s">
        <v>2</v>
      </c>
      <c r="X1669" s="54" t="s">
        <v>2</v>
      </c>
      <c r="Y1669" s="54" t="s">
        <v>2</v>
      </c>
      <c r="Z1669" s="54" t="s">
        <v>2</v>
      </c>
      <c r="AA1669" s="54" t="s">
        <v>2</v>
      </c>
      <c r="AB1669" s="54" t="s">
        <v>2</v>
      </c>
      <c r="AC1669" s="54" t="s">
        <v>2</v>
      </c>
      <c r="AD1669" s="54" t="s">
        <v>2</v>
      </c>
      <c r="AE1669" s="54" t="s">
        <v>2</v>
      </c>
      <c r="AF1669" s="54" t="s">
        <v>2</v>
      </c>
      <c r="AG1669" s="54" t="s">
        <v>2</v>
      </c>
    </row>
    <row r="1670" ht="15.75" customHeight="1">
      <c r="B1670" s="56"/>
      <c r="U1670" s="46" t="str">
        <f t="array" ref="U1670">IF($D1670="","",IFERROR(_xlfn.XLOOKUP($D1670,'TIR店舗一覧'!$D:$D,'TIR店舗一覧'!$E:$E,""),""))</f>
        <v/>
      </c>
      <c r="V1670" s="54" t="s">
        <v>2</v>
      </c>
      <c r="W1670" s="54" t="s">
        <v>2</v>
      </c>
      <c r="X1670" s="54" t="s">
        <v>2</v>
      </c>
      <c r="Y1670" s="54" t="s">
        <v>2</v>
      </c>
      <c r="Z1670" s="54" t="s">
        <v>2</v>
      </c>
      <c r="AA1670" s="54" t="s">
        <v>2</v>
      </c>
      <c r="AB1670" s="54" t="s">
        <v>2</v>
      </c>
      <c r="AC1670" s="54" t="s">
        <v>2</v>
      </c>
      <c r="AD1670" s="54" t="s">
        <v>2</v>
      </c>
      <c r="AE1670" s="54" t="s">
        <v>2</v>
      </c>
      <c r="AF1670" s="54" t="s">
        <v>2</v>
      </c>
      <c r="AG1670" s="54" t="s">
        <v>2</v>
      </c>
    </row>
    <row r="1671" ht="15.75" customHeight="1">
      <c r="B1671" s="56"/>
      <c r="U1671" s="46" t="str">
        <f t="array" ref="U1671">IF($D1671="","",IFERROR(_xlfn.XLOOKUP($D1671,'TIR店舗一覧'!$D:$D,'TIR店舗一覧'!$E:$E,""),""))</f>
        <v/>
      </c>
      <c r="V1671" s="54" t="s">
        <v>2</v>
      </c>
      <c r="W1671" s="54" t="s">
        <v>2</v>
      </c>
      <c r="X1671" s="54" t="s">
        <v>2</v>
      </c>
      <c r="Y1671" s="54" t="s">
        <v>2</v>
      </c>
      <c r="Z1671" s="54" t="s">
        <v>2</v>
      </c>
      <c r="AA1671" s="54" t="s">
        <v>2</v>
      </c>
      <c r="AB1671" s="54" t="s">
        <v>2</v>
      </c>
      <c r="AC1671" s="54" t="s">
        <v>2</v>
      </c>
      <c r="AD1671" s="54" t="s">
        <v>2</v>
      </c>
      <c r="AE1671" s="54" t="s">
        <v>2</v>
      </c>
      <c r="AF1671" s="54" t="s">
        <v>2</v>
      </c>
      <c r="AG1671" s="54" t="s">
        <v>2</v>
      </c>
    </row>
    <row r="1672" ht="15.75" customHeight="1">
      <c r="B1672" s="56"/>
      <c r="U1672" s="46" t="str">
        <f t="array" ref="U1672">IF($D1672="","",IFERROR(_xlfn.XLOOKUP($D1672,'TIR店舗一覧'!$D:$D,'TIR店舗一覧'!$E:$E,""),""))</f>
        <v/>
      </c>
      <c r="V1672" s="54" t="s">
        <v>2</v>
      </c>
      <c r="W1672" s="54" t="s">
        <v>2</v>
      </c>
      <c r="X1672" s="54" t="s">
        <v>2</v>
      </c>
      <c r="Y1672" s="54" t="s">
        <v>2</v>
      </c>
      <c r="Z1672" s="54" t="s">
        <v>2</v>
      </c>
      <c r="AA1672" s="54" t="s">
        <v>2</v>
      </c>
      <c r="AB1672" s="54" t="s">
        <v>2</v>
      </c>
      <c r="AC1672" s="54" t="s">
        <v>2</v>
      </c>
      <c r="AD1672" s="54" t="s">
        <v>2</v>
      </c>
      <c r="AE1672" s="54" t="s">
        <v>2</v>
      </c>
      <c r="AF1672" s="54" t="s">
        <v>2</v>
      </c>
      <c r="AG1672" s="54" t="s">
        <v>2</v>
      </c>
    </row>
    <row r="1673" ht="15.75" customHeight="1">
      <c r="B1673" s="56"/>
      <c r="U1673" s="46" t="str">
        <f t="array" ref="U1673">IF($D1673="","",IFERROR(_xlfn.XLOOKUP($D1673,'TIR店舗一覧'!$D:$D,'TIR店舗一覧'!$E:$E,""),""))</f>
        <v/>
      </c>
      <c r="V1673" s="54" t="s">
        <v>2</v>
      </c>
      <c r="W1673" s="54" t="s">
        <v>2</v>
      </c>
      <c r="X1673" s="54" t="s">
        <v>2</v>
      </c>
      <c r="Y1673" s="54" t="s">
        <v>2</v>
      </c>
      <c r="Z1673" s="54" t="s">
        <v>2</v>
      </c>
      <c r="AA1673" s="54" t="s">
        <v>2</v>
      </c>
      <c r="AB1673" s="54" t="s">
        <v>2</v>
      </c>
      <c r="AC1673" s="54" t="s">
        <v>2</v>
      </c>
      <c r="AD1673" s="54" t="s">
        <v>2</v>
      </c>
      <c r="AE1673" s="54" t="s">
        <v>2</v>
      </c>
      <c r="AF1673" s="54" t="s">
        <v>2</v>
      </c>
      <c r="AG1673" s="54" t="s">
        <v>2</v>
      </c>
    </row>
    <row r="1674" ht="15.75" customHeight="1">
      <c r="B1674" s="56"/>
      <c r="U1674" s="46" t="str">
        <f t="array" ref="U1674">IF($D1674="","",IFERROR(_xlfn.XLOOKUP($D1674,'TIR店舗一覧'!$D:$D,'TIR店舗一覧'!$E:$E,""),""))</f>
        <v/>
      </c>
      <c r="V1674" s="54" t="s">
        <v>2</v>
      </c>
      <c r="W1674" s="54" t="s">
        <v>2</v>
      </c>
      <c r="X1674" s="54" t="s">
        <v>2</v>
      </c>
      <c r="Y1674" s="54" t="s">
        <v>2</v>
      </c>
      <c r="Z1674" s="54" t="s">
        <v>2</v>
      </c>
      <c r="AA1674" s="54" t="s">
        <v>2</v>
      </c>
      <c r="AB1674" s="54" t="s">
        <v>2</v>
      </c>
      <c r="AC1674" s="54" t="s">
        <v>2</v>
      </c>
      <c r="AD1674" s="54" t="s">
        <v>2</v>
      </c>
      <c r="AE1674" s="54" t="s">
        <v>2</v>
      </c>
      <c r="AF1674" s="54" t="s">
        <v>2</v>
      </c>
      <c r="AG1674" s="54" t="s">
        <v>2</v>
      </c>
    </row>
    <row r="1675" ht="15.75" customHeight="1">
      <c r="B1675" s="56"/>
      <c r="U1675" s="46" t="str">
        <f t="array" ref="U1675">IF($D1675="","",IFERROR(_xlfn.XLOOKUP($D1675,'TIR店舗一覧'!$D:$D,'TIR店舗一覧'!$E:$E,""),""))</f>
        <v/>
      </c>
      <c r="V1675" s="54" t="s">
        <v>2</v>
      </c>
      <c r="W1675" s="54" t="s">
        <v>2</v>
      </c>
      <c r="X1675" s="54" t="s">
        <v>2</v>
      </c>
      <c r="Y1675" s="54" t="s">
        <v>2</v>
      </c>
      <c r="Z1675" s="54" t="s">
        <v>2</v>
      </c>
      <c r="AA1675" s="54" t="s">
        <v>2</v>
      </c>
      <c r="AB1675" s="54" t="s">
        <v>2</v>
      </c>
      <c r="AC1675" s="54" t="s">
        <v>2</v>
      </c>
      <c r="AD1675" s="54" t="s">
        <v>2</v>
      </c>
      <c r="AE1675" s="54" t="s">
        <v>2</v>
      </c>
      <c r="AF1675" s="54" t="s">
        <v>2</v>
      </c>
      <c r="AG1675" s="54" t="s">
        <v>2</v>
      </c>
    </row>
    <row r="1676" ht="15.75" customHeight="1">
      <c r="B1676" s="56"/>
      <c r="U1676" s="46" t="str">
        <f t="array" ref="U1676">IF($D1676="","",IFERROR(_xlfn.XLOOKUP($D1676,'TIR店舗一覧'!$D:$D,'TIR店舗一覧'!$E:$E,""),""))</f>
        <v/>
      </c>
      <c r="V1676" s="54" t="s">
        <v>2</v>
      </c>
      <c r="W1676" s="54" t="s">
        <v>2</v>
      </c>
      <c r="X1676" s="54" t="s">
        <v>2</v>
      </c>
      <c r="Y1676" s="54" t="s">
        <v>2</v>
      </c>
      <c r="Z1676" s="54" t="s">
        <v>2</v>
      </c>
      <c r="AA1676" s="54" t="s">
        <v>2</v>
      </c>
      <c r="AB1676" s="54" t="s">
        <v>2</v>
      </c>
      <c r="AC1676" s="54" t="s">
        <v>2</v>
      </c>
      <c r="AD1676" s="54" t="s">
        <v>2</v>
      </c>
      <c r="AE1676" s="54" t="s">
        <v>2</v>
      </c>
      <c r="AF1676" s="54" t="s">
        <v>2</v>
      </c>
      <c r="AG1676" s="54" t="s">
        <v>2</v>
      </c>
    </row>
    <row r="1677" ht="15.75" customHeight="1">
      <c r="B1677" s="56"/>
      <c r="U1677" s="46" t="str">
        <f t="array" ref="U1677">IF($D1677="","",IFERROR(_xlfn.XLOOKUP($D1677,'TIR店舗一覧'!$D:$D,'TIR店舗一覧'!$E:$E,""),""))</f>
        <v/>
      </c>
      <c r="V1677" s="54" t="s">
        <v>2</v>
      </c>
      <c r="W1677" s="54" t="s">
        <v>2</v>
      </c>
      <c r="X1677" s="54" t="s">
        <v>2</v>
      </c>
      <c r="Y1677" s="54" t="s">
        <v>2</v>
      </c>
      <c r="Z1677" s="54" t="s">
        <v>2</v>
      </c>
      <c r="AA1677" s="54" t="s">
        <v>2</v>
      </c>
      <c r="AB1677" s="54" t="s">
        <v>2</v>
      </c>
      <c r="AC1677" s="54" t="s">
        <v>2</v>
      </c>
      <c r="AD1677" s="54" t="s">
        <v>2</v>
      </c>
      <c r="AE1677" s="54" t="s">
        <v>2</v>
      </c>
      <c r="AF1677" s="54" t="s">
        <v>2</v>
      </c>
      <c r="AG1677" s="54" t="s">
        <v>2</v>
      </c>
    </row>
    <row r="1678" ht="15.75" customHeight="1">
      <c r="B1678" s="56"/>
      <c r="U1678" s="46" t="str">
        <f t="array" ref="U1678">IF($D1678="","",IFERROR(_xlfn.XLOOKUP($D1678,'TIR店舗一覧'!$D:$D,'TIR店舗一覧'!$E:$E,""),""))</f>
        <v/>
      </c>
      <c r="V1678" s="54" t="s">
        <v>2</v>
      </c>
      <c r="W1678" s="54" t="s">
        <v>2</v>
      </c>
      <c r="X1678" s="54" t="s">
        <v>2</v>
      </c>
      <c r="Y1678" s="54" t="s">
        <v>2</v>
      </c>
      <c r="Z1678" s="54" t="s">
        <v>2</v>
      </c>
      <c r="AA1678" s="54" t="s">
        <v>2</v>
      </c>
      <c r="AB1678" s="54" t="s">
        <v>2</v>
      </c>
      <c r="AC1678" s="54" t="s">
        <v>2</v>
      </c>
      <c r="AD1678" s="54" t="s">
        <v>2</v>
      </c>
      <c r="AE1678" s="54" t="s">
        <v>2</v>
      </c>
      <c r="AF1678" s="54" t="s">
        <v>2</v>
      </c>
      <c r="AG1678" s="54" t="s">
        <v>2</v>
      </c>
    </row>
    <row r="1679" ht="15.75" customHeight="1">
      <c r="B1679" s="56"/>
      <c r="U1679" s="46" t="str">
        <f t="array" ref="U1679">IF($D1679="","",IFERROR(_xlfn.XLOOKUP($D1679,'TIR店舗一覧'!$D:$D,'TIR店舗一覧'!$E:$E,""),""))</f>
        <v/>
      </c>
      <c r="V1679" s="54" t="s">
        <v>2</v>
      </c>
      <c r="W1679" s="54" t="s">
        <v>2</v>
      </c>
      <c r="X1679" s="54" t="s">
        <v>2</v>
      </c>
      <c r="Y1679" s="54" t="s">
        <v>2</v>
      </c>
      <c r="Z1679" s="54" t="s">
        <v>2</v>
      </c>
      <c r="AA1679" s="54" t="s">
        <v>2</v>
      </c>
      <c r="AB1679" s="54" t="s">
        <v>2</v>
      </c>
      <c r="AC1679" s="54" t="s">
        <v>2</v>
      </c>
      <c r="AD1679" s="54" t="s">
        <v>2</v>
      </c>
      <c r="AE1679" s="54" t="s">
        <v>2</v>
      </c>
      <c r="AF1679" s="54" t="s">
        <v>2</v>
      </c>
      <c r="AG1679" s="54" t="s">
        <v>2</v>
      </c>
    </row>
    <row r="1680" ht="15.75" customHeight="1">
      <c r="B1680" s="56"/>
      <c r="U1680" s="46" t="str">
        <f t="array" ref="U1680">IF($D1680="","",IFERROR(_xlfn.XLOOKUP($D1680,'TIR店舗一覧'!$D:$D,'TIR店舗一覧'!$E:$E,""),""))</f>
        <v/>
      </c>
      <c r="V1680" s="54" t="s">
        <v>2</v>
      </c>
      <c r="W1680" s="54" t="s">
        <v>2</v>
      </c>
      <c r="X1680" s="54" t="s">
        <v>2</v>
      </c>
      <c r="Y1680" s="54" t="s">
        <v>2</v>
      </c>
      <c r="Z1680" s="54" t="s">
        <v>2</v>
      </c>
      <c r="AA1680" s="54" t="s">
        <v>2</v>
      </c>
      <c r="AB1680" s="54" t="s">
        <v>2</v>
      </c>
      <c r="AC1680" s="54" t="s">
        <v>2</v>
      </c>
      <c r="AD1680" s="54" t="s">
        <v>2</v>
      </c>
      <c r="AE1680" s="54" t="s">
        <v>2</v>
      </c>
      <c r="AF1680" s="54" t="s">
        <v>2</v>
      </c>
      <c r="AG1680" s="54" t="s">
        <v>2</v>
      </c>
    </row>
    <row r="1681" ht="15.75" customHeight="1">
      <c r="B1681" s="56"/>
      <c r="U1681" s="46" t="str">
        <f t="array" ref="U1681">IF($D1681="","",IFERROR(_xlfn.XLOOKUP($D1681,'TIR店舗一覧'!$D:$D,'TIR店舗一覧'!$E:$E,""),""))</f>
        <v/>
      </c>
      <c r="V1681" s="54" t="s">
        <v>2</v>
      </c>
      <c r="W1681" s="54" t="s">
        <v>2</v>
      </c>
      <c r="X1681" s="54" t="s">
        <v>2</v>
      </c>
      <c r="Y1681" s="54" t="s">
        <v>2</v>
      </c>
      <c r="Z1681" s="54" t="s">
        <v>2</v>
      </c>
      <c r="AA1681" s="54" t="s">
        <v>2</v>
      </c>
      <c r="AB1681" s="54" t="s">
        <v>2</v>
      </c>
      <c r="AC1681" s="54" t="s">
        <v>2</v>
      </c>
      <c r="AD1681" s="54" t="s">
        <v>2</v>
      </c>
      <c r="AE1681" s="54" t="s">
        <v>2</v>
      </c>
      <c r="AF1681" s="54" t="s">
        <v>2</v>
      </c>
      <c r="AG1681" s="54" t="s">
        <v>2</v>
      </c>
    </row>
    <row r="1682" ht="15.75" customHeight="1">
      <c r="B1682" s="56"/>
      <c r="U1682" s="46" t="str">
        <f t="array" ref="U1682">IF($D1682="","",IFERROR(_xlfn.XLOOKUP($D1682,'TIR店舗一覧'!$D:$D,'TIR店舗一覧'!$E:$E,""),""))</f>
        <v/>
      </c>
      <c r="V1682" s="54" t="s">
        <v>2</v>
      </c>
      <c r="W1682" s="54" t="s">
        <v>2</v>
      </c>
      <c r="X1682" s="54" t="s">
        <v>2</v>
      </c>
      <c r="Y1682" s="54" t="s">
        <v>2</v>
      </c>
      <c r="Z1682" s="54" t="s">
        <v>2</v>
      </c>
      <c r="AA1682" s="54" t="s">
        <v>2</v>
      </c>
      <c r="AB1682" s="54" t="s">
        <v>2</v>
      </c>
      <c r="AC1682" s="54" t="s">
        <v>2</v>
      </c>
      <c r="AD1682" s="54" t="s">
        <v>2</v>
      </c>
      <c r="AE1682" s="54" t="s">
        <v>2</v>
      </c>
      <c r="AF1682" s="54" t="s">
        <v>2</v>
      </c>
      <c r="AG1682" s="54" t="s">
        <v>2</v>
      </c>
    </row>
    <row r="1683" ht="15.75" customHeight="1">
      <c r="B1683" s="56"/>
      <c r="U1683" s="46" t="str">
        <f t="array" ref="U1683">IF($D1683="","",IFERROR(_xlfn.XLOOKUP($D1683,'TIR店舗一覧'!$D:$D,'TIR店舗一覧'!$E:$E,""),""))</f>
        <v/>
      </c>
      <c r="V1683" s="54" t="s">
        <v>2</v>
      </c>
      <c r="W1683" s="54" t="s">
        <v>2</v>
      </c>
      <c r="X1683" s="54" t="s">
        <v>2</v>
      </c>
      <c r="Y1683" s="54" t="s">
        <v>2</v>
      </c>
      <c r="Z1683" s="54" t="s">
        <v>2</v>
      </c>
      <c r="AA1683" s="54" t="s">
        <v>2</v>
      </c>
      <c r="AB1683" s="54" t="s">
        <v>2</v>
      </c>
      <c r="AC1683" s="54" t="s">
        <v>2</v>
      </c>
      <c r="AD1683" s="54" t="s">
        <v>2</v>
      </c>
      <c r="AE1683" s="54" t="s">
        <v>2</v>
      </c>
      <c r="AF1683" s="54" t="s">
        <v>2</v>
      </c>
      <c r="AG1683" s="54" t="s">
        <v>2</v>
      </c>
    </row>
    <row r="1684" ht="15.75" customHeight="1">
      <c r="B1684" s="56"/>
      <c r="U1684" s="46" t="str">
        <f t="array" ref="U1684">IF($D1684="","",IFERROR(_xlfn.XLOOKUP($D1684,'TIR店舗一覧'!$D:$D,'TIR店舗一覧'!$E:$E,""),""))</f>
        <v/>
      </c>
      <c r="V1684" s="54" t="s">
        <v>2</v>
      </c>
      <c r="W1684" s="54" t="s">
        <v>2</v>
      </c>
      <c r="X1684" s="54" t="s">
        <v>2</v>
      </c>
      <c r="Y1684" s="54" t="s">
        <v>2</v>
      </c>
      <c r="Z1684" s="54" t="s">
        <v>2</v>
      </c>
      <c r="AA1684" s="54" t="s">
        <v>2</v>
      </c>
      <c r="AB1684" s="54" t="s">
        <v>2</v>
      </c>
      <c r="AC1684" s="54" t="s">
        <v>2</v>
      </c>
      <c r="AD1684" s="54" t="s">
        <v>2</v>
      </c>
      <c r="AE1684" s="54" t="s">
        <v>2</v>
      </c>
      <c r="AF1684" s="54" t="s">
        <v>2</v>
      </c>
      <c r="AG1684" s="54" t="s">
        <v>2</v>
      </c>
    </row>
    <row r="1685" ht="15.75" customHeight="1">
      <c r="B1685" s="56"/>
      <c r="U1685" s="46" t="str">
        <f t="array" ref="U1685">IF($D1685="","",IFERROR(_xlfn.XLOOKUP($D1685,'TIR店舗一覧'!$D:$D,'TIR店舗一覧'!$E:$E,""),""))</f>
        <v/>
      </c>
      <c r="V1685" s="54" t="s">
        <v>2</v>
      </c>
      <c r="W1685" s="54" t="s">
        <v>2</v>
      </c>
      <c r="X1685" s="54" t="s">
        <v>2</v>
      </c>
      <c r="Y1685" s="54" t="s">
        <v>2</v>
      </c>
      <c r="Z1685" s="54" t="s">
        <v>2</v>
      </c>
      <c r="AA1685" s="54" t="s">
        <v>2</v>
      </c>
      <c r="AB1685" s="54" t="s">
        <v>2</v>
      </c>
      <c r="AC1685" s="54" t="s">
        <v>2</v>
      </c>
      <c r="AD1685" s="54" t="s">
        <v>2</v>
      </c>
      <c r="AE1685" s="54" t="s">
        <v>2</v>
      </c>
      <c r="AF1685" s="54" t="s">
        <v>2</v>
      </c>
      <c r="AG1685" s="54" t="s">
        <v>2</v>
      </c>
    </row>
    <row r="1686" ht="15.75" customHeight="1">
      <c r="B1686" s="56"/>
      <c r="U1686" s="46" t="str">
        <f t="array" ref="U1686">IF($D1686="","",IFERROR(_xlfn.XLOOKUP($D1686,'TIR店舗一覧'!$D:$D,'TIR店舗一覧'!$E:$E,""),""))</f>
        <v/>
      </c>
      <c r="V1686" s="54" t="s">
        <v>2</v>
      </c>
      <c r="W1686" s="54" t="s">
        <v>2</v>
      </c>
      <c r="X1686" s="54" t="s">
        <v>2</v>
      </c>
      <c r="Y1686" s="54" t="s">
        <v>2</v>
      </c>
      <c r="Z1686" s="54" t="s">
        <v>2</v>
      </c>
      <c r="AA1686" s="54" t="s">
        <v>2</v>
      </c>
      <c r="AB1686" s="54" t="s">
        <v>2</v>
      </c>
      <c r="AC1686" s="54" t="s">
        <v>2</v>
      </c>
      <c r="AD1686" s="54" t="s">
        <v>2</v>
      </c>
      <c r="AE1686" s="54" t="s">
        <v>2</v>
      </c>
      <c r="AF1686" s="54" t="s">
        <v>2</v>
      </c>
      <c r="AG1686" s="54" t="s">
        <v>2</v>
      </c>
    </row>
    <row r="1687" ht="15.75" customHeight="1">
      <c r="B1687" s="56"/>
      <c r="U1687" s="46" t="str">
        <f t="array" ref="U1687">IF($D1687="","",IFERROR(_xlfn.XLOOKUP($D1687,'TIR店舗一覧'!$D:$D,'TIR店舗一覧'!$E:$E,""),""))</f>
        <v/>
      </c>
      <c r="V1687" s="54" t="s">
        <v>2</v>
      </c>
      <c r="W1687" s="54" t="s">
        <v>2</v>
      </c>
      <c r="X1687" s="54" t="s">
        <v>2</v>
      </c>
      <c r="Y1687" s="54" t="s">
        <v>2</v>
      </c>
      <c r="Z1687" s="54" t="s">
        <v>2</v>
      </c>
      <c r="AA1687" s="54" t="s">
        <v>2</v>
      </c>
      <c r="AB1687" s="54" t="s">
        <v>2</v>
      </c>
      <c r="AC1687" s="54" t="s">
        <v>2</v>
      </c>
      <c r="AD1687" s="54" t="s">
        <v>2</v>
      </c>
      <c r="AE1687" s="54" t="s">
        <v>2</v>
      </c>
      <c r="AF1687" s="54" t="s">
        <v>2</v>
      </c>
      <c r="AG1687" s="54" t="s">
        <v>2</v>
      </c>
    </row>
    <row r="1688" ht="15.75" customHeight="1">
      <c r="B1688" s="56"/>
      <c r="U1688" s="46" t="str">
        <f t="array" ref="U1688">IF($D1688="","",IFERROR(_xlfn.XLOOKUP($D1688,'TIR店舗一覧'!$D:$D,'TIR店舗一覧'!$E:$E,""),""))</f>
        <v/>
      </c>
      <c r="V1688" s="54" t="s">
        <v>2</v>
      </c>
      <c r="W1688" s="54" t="s">
        <v>2</v>
      </c>
      <c r="X1688" s="54" t="s">
        <v>2</v>
      </c>
      <c r="Y1688" s="54" t="s">
        <v>2</v>
      </c>
      <c r="Z1688" s="54" t="s">
        <v>2</v>
      </c>
      <c r="AA1688" s="54" t="s">
        <v>2</v>
      </c>
      <c r="AB1688" s="54" t="s">
        <v>2</v>
      </c>
      <c r="AC1688" s="54" t="s">
        <v>2</v>
      </c>
      <c r="AD1688" s="54" t="s">
        <v>2</v>
      </c>
      <c r="AE1688" s="54" t="s">
        <v>2</v>
      </c>
      <c r="AF1688" s="54" t="s">
        <v>2</v>
      </c>
      <c r="AG1688" s="54" t="s">
        <v>2</v>
      </c>
    </row>
    <row r="1689" ht="15.75" customHeight="1">
      <c r="B1689" s="56"/>
      <c r="U1689" s="46" t="str">
        <f t="array" ref="U1689">IF($D1689="","",IFERROR(_xlfn.XLOOKUP($D1689,'TIR店舗一覧'!$D:$D,'TIR店舗一覧'!$E:$E,""),""))</f>
        <v/>
      </c>
      <c r="V1689" s="54" t="s">
        <v>2</v>
      </c>
      <c r="W1689" s="54" t="s">
        <v>2</v>
      </c>
      <c r="X1689" s="54" t="s">
        <v>2</v>
      </c>
      <c r="Y1689" s="54" t="s">
        <v>2</v>
      </c>
      <c r="Z1689" s="54" t="s">
        <v>2</v>
      </c>
      <c r="AA1689" s="54" t="s">
        <v>2</v>
      </c>
      <c r="AB1689" s="54" t="s">
        <v>2</v>
      </c>
      <c r="AC1689" s="54" t="s">
        <v>2</v>
      </c>
      <c r="AD1689" s="54" t="s">
        <v>2</v>
      </c>
      <c r="AE1689" s="54" t="s">
        <v>2</v>
      </c>
      <c r="AF1689" s="54" t="s">
        <v>2</v>
      </c>
      <c r="AG1689" s="54" t="s">
        <v>2</v>
      </c>
    </row>
    <row r="1690" ht="15.75" customHeight="1">
      <c r="B1690" s="56"/>
      <c r="U1690" s="46" t="str">
        <f t="array" ref="U1690">IF($D1690="","",IFERROR(_xlfn.XLOOKUP($D1690,'TIR店舗一覧'!$D:$D,'TIR店舗一覧'!$E:$E,""),""))</f>
        <v/>
      </c>
      <c r="V1690" s="54" t="s">
        <v>2</v>
      </c>
      <c r="W1690" s="54" t="s">
        <v>2</v>
      </c>
      <c r="X1690" s="54" t="s">
        <v>2</v>
      </c>
      <c r="Y1690" s="54" t="s">
        <v>2</v>
      </c>
      <c r="Z1690" s="54" t="s">
        <v>2</v>
      </c>
      <c r="AA1690" s="54" t="s">
        <v>2</v>
      </c>
      <c r="AB1690" s="54" t="s">
        <v>2</v>
      </c>
      <c r="AC1690" s="54" t="s">
        <v>2</v>
      </c>
      <c r="AD1690" s="54" t="s">
        <v>2</v>
      </c>
      <c r="AE1690" s="54" t="s">
        <v>2</v>
      </c>
      <c r="AF1690" s="54" t="s">
        <v>2</v>
      </c>
      <c r="AG1690" s="54" t="s">
        <v>2</v>
      </c>
    </row>
    <row r="1691" ht="15.75" customHeight="1">
      <c r="B1691" s="56"/>
      <c r="U1691" s="46" t="str">
        <f t="array" ref="U1691">IF($D1691="","",IFERROR(_xlfn.XLOOKUP($D1691,'TIR店舗一覧'!$D:$D,'TIR店舗一覧'!$E:$E,""),""))</f>
        <v/>
      </c>
      <c r="V1691" s="54" t="s">
        <v>2</v>
      </c>
      <c r="W1691" s="54" t="s">
        <v>2</v>
      </c>
      <c r="X1691" s="54" t="s">
        <v>2</v>
      </c>
      <c r="Y1691" s="54" t="s">
        <v>2</v>
      </c>
      <c r="Z1691" s="54" t="s">
        <v>2</v>
      </c>
      <c r="AA1691" s="54" t="s">
        <v>2</v>
      </c>
      <c r="AB1691" s="54" t="s">
        <v>2</v>
      </c>
      <c r="AC1691" s="54" t="s">
        <v>2</v>
      </c>
      <c r="AD1691" s="54" t="s">
        <v>2</v>
      </c>
      <c r="AE1691" s="54" t="s">
        <v>2</v>
      </c>
      <c r="AF1691" s="54" t="s">
        <v>2</v>
      </c>
      <c r="AG1691" s="54" t="s">
        <v>2</v>
      </c>
    </row>
    <row r="1692" ht="15.75" customHeight="1">
      <c r="B1692" s="56"/>
      <c r="U1692" s="46" t="str">
        <f t="array" ref="U1692">IF($D1692="","",IFERROR(_xlfn.XLOOKUP($D1692,'TIR店舗一覧'!$D:$D,'TIR店舗一覧'!$E:$E,""),""))</f>
        <v/>
      </c>
      <c r="V1692" s="54" t="s">
        <v>2</v>
      </c>
      <c r="W1692" s="54" t="s">
        <v>2</v>
      </c>
      <c r="X1692" s="54" t="s">
        <v>2</v>
      </c>
      <c r="Y1692" s="54" t="s">
        <v>2</v>
      </c>
      <c r="Z1692" s="54" t="s">
        <v>2</v>
      </c>
      <c r="AA1692" s="54" t="s">
        <v>2</v>
      </c>
      <c r="AB1692" s="54" t="s">
        <v>2</v>
      </c>
      <c r="AC1692" s="54" t="s">
        <v>2</v>
      </c>
      <c r="AD1692" s="54" t="s">
        <v>2</v>
      </c>
      <c r="AE1692" s="54" t="s">
        <v>2</v>
      </c>
      <c r="AF1692" s="54" t="s">
        <v>2</v>
      </c>
      <c r="AG1692" s="54" t="s">
        <v>2</v>
      </c>
    </row>
    <row r="1693" ht="15.75" customHeight="1">
      <c r="B1693" s="56"/>
      <c r="U1693" s="46" t="str">
        <f t="array" ref="U1693">IF($D1693="","",IFERROR(_xlfn.XLOOKUP($D1693,'TIR店舗一覧'!$D:$D,'TIR店舗一覧'!$E:$E,""),""))</f>
        <v/>
      </c>
      <c r="V1693" s="54" t="s">
        <v>2</v>
      </c>
      <c r="W1693" s="54" t="s">
        <v>2</v>
      </c>
      <c r="X1693" s="54" t="s">
        <v>2</v>
      </c>
      <c r="Y1693" s="54" t="s">
        <v>2</v>
      </c>
      <c r="Z1693" s="54" t="s">
        <v>2</v>
      </c>
      <c r="AA1693" s="54" t="s">
        <v>2</v>
      </c>
      <c r="AB1693" s="54" t="s">
        <v>2</v>
      </c>
      <c r="AC1693" s="54" t="s">
        <v>2</v>
      </c>
      <c r="AD1693" s="54" t="s">
        <v>2</v>
      </c>
      <c r="AE1693" s="54" t="s">
        <v>2</v>
      </c>
      <c r="AF1693" s="54" t="s">
        <v>2</v>
      </c>
      <c r="AG1693" s="54" t="s">
        <v>2</v>
      </c>
    </row>
    <row r="1694" ht="15.75" customHeight="1">
      <c r="B1694" s="56"/>
      <c r="U1694" s="46" t="str">
        <f t="array" ref="U1694">IF($D1694="","",IFERROR(_xlfn.XLOOKUP($D1694,'TIR店舗一覧'!$D:$D,'TIR店舗一覧'!$E:$E,""),""))</f>
        <v/>
      </c>
      <c r="V1694" s="54" t="s">
        <v>2</v>
      </c>
      <c r="W1694" s="54" t="s">
        <v>2</v>
      </c>
      <c r="X1694" s="54" t="s">
        <v>2</v>
      </c>
      <c r="Y1694" s="54" t="s">
        <v>2</v>
      </c>
      <c r="Z1694" s="54" t="s">
        <v>2</v>
      </c>
      <c r="AA1694" s="54" t="s">
        <v>2</v>
      </c>
      <c r="AB1694" s="54" t="s">
        <v>2</v>
      </c>
      <c r="AC1694" s="54" t="s">
        <v>2</v>
      </c>
      <c r="AD1694" s="54" t="s">
        <v>2</v>
      </c>
      <c r="AE1694" s="54" t="s">
        <v>2</v>
      </c>
      <c r="AF1694" s="54" t="s">
        <v>2</v>
      </c>
      <c r="AG1694" s="54" t="s">
        <v>2</v>
      </c>
    </row>
    <row r="1695" ht="15.75" customHeight="1">
      <c r="B1695" s="56"/>
      <c r="U1695" s="46" t="str">
        <f t="array" ref="U1695">IF($D1695="","",IFERROR(_xlfn.XLOOKUP($D1695,'TIR店舗一覧'!$D:$D,'TIR店舗一覧'!$E:$E,""),""))</f>
        <v/>
      </c>
      <c r="V1695" s="54" t="s">
        <v>2</v>
      </c>
      <c r="W1695" s="54" t="s">
        <v>2</v>
      </c>
      <c r="X1695" s="54" t="s">
        <v>2</v>
      </c>
      <c r="Y1695" s="54" t="s">
        <v>2</v>
      </c>
      <c r="Z1695" s="54" t="s">
        <v>2</v>
      </c>
      <c r="AA1695" s="54" t="s">
        <v>2</v>
      </c>
      <c r="AB1695" s="54" t="s">
        <v>2</v>
      </c>
      <c r="AC1695" s="54" t="s">
        <v>2</v>
      </c>
      <c r="AD1695" s="54" t="s">
        <v>2</v>
      </c>
      <c r="AE1695" s="54" t="s">
        <v>2</v>
      </c>
      <c r="AF1695" s="54" t="s">
        <v>2</v>
      </c>
      <c r="AG1695" s="54" t="s">
        <v>2</v>
      </c>
    </row>
    <row r="1696" ht="15.75" customHeight="1">
      <c r="B1696" s="56"/>
      <c r="U1696" s="46" t="str">
        <f t="array" ref="U1696">IF($D1696="","",IFERROR(_xlfn.XLOOKUP($D1696,'TIR店舗一覧'!$D:$D,'TIR店舗一覧'!$E:$E,""),""))</f>
        <v/>
      </c>
      <c r="V1696" s="54" t="s">
        <v>2</v>
      </c>
      <c r="W1696" s="54" t="s">
        <v>2</v>
      </c>
      <c r="X1696" s="54" t="s">
        <v>2</v>
      </c>
      <c r="Y1696" s="54" t="s">
        <v>2</v>
      </c>
      <c r="Z1696" s="54" t="s">
        <v>2</v>
      </c>
      <c r="AA1696" s="54" t="s">
        <v>2</v>
      </c>
      <c r="AB1696" s="54" t="s">
        <v>2</v>
      </c>
      <c r="AC1696" s="54" t="s">
        <v>2</v>
      </c>
      <c r="AD1696" s="54" t="s">
        <v>2</v>
      </c>
      <c r="AE1696" s="54" t="s">
        <v>2</v>
      </c>
      <c r="AF1696" s="54" t="s">
        <v>2</v>
      </c>
      <c r="AG1696" s="54" t="s">
        <v>2</v>
      </c>
    </row>
    <row r="1697" ht="15.75" customHeight="1">
      <c r="B1697" s="56"/>
      <c r="U1697" s="46" t="str">
        <f t="array" ref="U1697">IF($D1697="","",IFERROR(_xlfn.XLOOKUP($D1697,'TIR店舗一覧'!$D:$D,'TIR店舗一覧'!$E:$E,""),""))</f>
        <v/>
      </c>
      <c r="V1697" s="54" t="s">
        <v>2</v>
      </c>
      <c r="W1697" s="54" t="s">
        <v>2</v>
      </c>
      <c r="X1697" s="54" t="s">
        <v>2</v>
      </c>
      <c r="Y1697" s="54" t="s">
        <v>2</v>
      </c>
      <c r="Z1697" s="54" t="s">
        <v>2</v>
      </c>
      <c r="AA1697" s="54" t="s">
        <v>2</v>
      </c>
      <c r="AB1697" s="54" t="s">
        <v>2</v>
      </c>
      <c r="AC1697" s="54" t="s">
        <v>2</v>
      </c>
      <c r="AD1697" s="54" t="s">
        <v>2</v>
      </c>
      <c r="AE1697" s="54" t="s">
        <v>2</v>
      </c>
      <c r="AF1697" s="54" t="s">
        <v>2</v>
      </c>
      <c r="AG1697" s="54" t="s">
        <v>2</v>
      </c>
    </row>
    <row r="1698" ht="15.75" customHeight="1">
      <c r="B1698" s="56"/>
      <c r="U1698" s="46" t="str">
        <f t="array" ref="U1698">IF($D1698="","",IFERROR(_xlfn.XLOOKUP($D1698,'TIR店舗一覧'!$D:$D,'TIR店舗一覧'!$E:$E,""),""))</f>
        <v/>
      </c>
      <c r="V1698" s="54" t="s">
        <v>2</v>
      </c>
      <c r="W1698" s="54" t="s">
        <v>2</v>
      </c>
      <c r="X1698" s="54" t="s">
        <v>2</v>
      </c>
      <c r="Y1698" s="54" t="s">
        <v>2</v>
      </c>
      <c r="Z1698" s="54" t="s">
        <v>2</v>
      </c>
      <c r="AA1698" s="54" t="s">
        <v>2</v>
      </c>
      <c r="AB1698" s="54" t="s">
        <v>2</v>
      </c>
      <c r="AC1698" s="54" t="s">
        <v>2</v>
      </c>
      <c r="AD1698" s="54" t="s">
        <v>2</v>
      </c>
      <c r="AE1698" s="54" t="s">
        <v>2</v>
      </c>
      <c r="AF1698" s="54" t="s">
        <v>2</v>
      </c>
      <c r="AG1698" s="54" t="s">
        <v>2</v>
      </c>
    </row>
    <row r="1699" ht="15.75" customHeight="1">
      <c r="B1699" s="56"/>
      <c r="U1699" s="46" t="str">
        <f t="array" ref="U1699">IF($D1699="","",IFERROR(_xlfn.XLOOKUP($D1699,'TIR店舗一覧'!$D:$D,'TIR店舗一覧'!$E:$E,""),""))</f>
        <v/>
      </c>
      <c r="V1699" s="54" t="s">
        <v>2</v>
      </c>
      <c r="W1699" s="54" t="s">
        <v>2</v>
      </c>
      <c r="X1699" s="54" t="s">
        <v>2</v>
      </c>
      <c r="Y1699" s="54" t="s">
        <v>2</v>
      </c>
      <c r="Z1699" s="54" t="s">
        <v>2</v>
      </c>
      <c r="AA1699" s="54" t="s">
        <v>2</v>
      </c>
      <c r="AB1699" s="54" t="s">
        <v>2</v>
      </c>
      <c r="AC1699" s="54" t="s">
        <v>2</v>
      </c>
      <c r="AD1699" s="54" t="s">
        <v>2</v>
      </c>
      <c r="AE1699" s="54" t="s">
        <v>2</v>
      </c>
      <c r="AF1699" s="54" t="s">
        <v>2</v>
      </c>
      <c r="AG1699" s="54" t="s">
        <v>2</v>
      </c>
    </row>
    <row r="1700" ht="15.75" customHeight="1">
      <c r="B1700" s="56"/>
      <c r="U1700" s="46" t="str">
        <f t="array" ref="U1700">IF($D1700="","",IFERROR(_xlfn.XLOOKUP($D1700,'TIR店舗一覧'!$D:$D,'TIR店舗一覧'!$E:$E,""),""))</f>
        <v/>
      </c>
      <c r="V1700" s="54" t="s">
        <v>2</v>
      </c>
      <c r="W1700" s="54" t="s">
        <v>2</v>
      </c>
      <c r="X1700" s="54" t="s">
        <v>2</v>
      </c>
      <c r="Y1700" s="54" t="s">
        <v>2</v>
      </c>
      <c r="Z1700" s="54" t="s">
        <v>2</v>
      </c>
      <c r="AA1700" s="54" t="s">
        <v>2</v>
      </c>
      <c r="AB1700" s="54" t="s">
        <v>2</v>
      </c>
      <c r="AC1700" s="54" t="s">
        <v>2</v>
      </c>
      <c r="AD1700" s="54" t="s">
        <v>2</v>
      </c>
      <c r="AE1700" s="54" t="s">
        <v>2</v>
      </c>
      <c r="AF1700" s="54" t="s">
        <v>2</v>
      </c>
      <c r="AG1700" s="54" t="s">
        <v>2</v>
      </c>
    </row>
    <row r="1701" ht="15.75" customHeight="1">
      <c r="B1701" s="56"/>
      <c r="U1701" s="46" t="str">
        <f t="array" ref="U1701">IF($D1701="","",IFERROR(_xlfn.XLOOKUP($D1701,'TIR店舗一覧'!$D:$D,'TIR店舗一覧'!$E:$E,""),""))</f>
        <v/>
      </c>
      <c r="V1701" s="54" t="s">
        <v>2</v>
      </c>
      <c r="W1701" s="54" t="s">
        <v>2</v>
      </c>
      <c r="X1701" s="54" t="s">
        <v>2</v>
      </c>
      <c r="Y1701" s="54" t="s">
        <v>2</v>
      </c>
      <c r="Z1701" s="54" t="s">
        <v>2</v>
      </c>
      <c r="AA1701" s="54" t="s">
        <v>2</v>
      </c>
      <c r="AB1701" s="54" t="s">
        <v>2</v>
      </c>
      <c r="AC1701" s="54" t="s">
        <v>2</v>
      </c>
      <c r="AD1701" s="54" t="s">
        <v>2</v>
      </c>
      <c r="AE1701" s="54" t="s">
        <v>2</v>
      </c>
      <c r="AF1701" s="54" t="s">
        <v>2</v>
      </c>
      <c r="AG1701" s="54" t="s">
        <v>2</v>
      </c>
    </row>
    <row r="1702" ht="15.75" customHeight="1">
      <c r="B1702" s="56"/>
      <c r="U1702" s="46" t="str">
        <f t="array" ref="U1702">IF($D1702="","",IFERROR(_xlfn.XLOOKUP($D1702,'TIR店舗一覧'!$D:$D,'TIR店舗一覧'!$E:$E,""),""))</f>
        <v/>
      </c>
      <c r="V1702" s="54" t="s">
        <v>2</v>
      </c>
      <c r="W1702" s="54" t="s">
        <v>2</v>
      </c>
      <c r="X1702" s="54" t="s">
        <v>2</v>
      </c>
      <c r="Y1702" s="54" t="s">
        <v>2</v>
      </c>
      <c r="Z1702" s="54" t="s">
        <v>2</v>
      </c>
      <c r="AA1702" s="54" t="s">
        <v>2</v>
      </c>
      <c r="AB1702" s="54" t="s">
        <v>2</v>
      </c>
      <c r="AC1702" s="54" t="s">
        <v>2</v>
      </c>
      <c r="AD1702" s="54" t="s">
        <v>2</v>
      </c>
      <c r="AE1702" s="54" t="s">
        <v>2</v>
      </c>
      <c r="AF1702" s="54" t="s">
        <v>2</v>
      </c>
      <c r="AG1702" s="54" t="s">
        <v>2</v>
      </c>
    </row>
    <row r="1703" ht="15.75" customHeight="1">
      <c r="B1703" s="56"/>
      <c r="U1703" s="46" t="str">
        <f t="array" ref="U1703">IF($D1703="","",IFERROR(_xlfn.XLOOKUP($D1703,'TIR店舗一覧'!$D:$D,'TIR店舗一覧'!$E:$E,""),""))</f>
        <v/>
      </c>
      <c r="V1703" s="54" t="s">
        <v>2</v>
      </c>
      <c r="W1703" s="54" t="s">
        <v>2</v>
      </c>
      <c r="X1703" s="54" t="s">
        <v>2</v>
      </c>
      <c r="Y1703" s="54" t="s">
        <v>2</v>
      </c>
      <c r="Z1703" s="54" t="s">
        <v>2</v>
      </c>
      <c r="AA1703" s="54" t="s">
        <v>2</v>
      </c>
      <c r="AB1703" s="54" t="s">
        <v>2</v>
      </c>
      <c r="AC1703" s="54" t="s">
        <v>2</v>
      </c>
      <c r="AD1703" s="54" t="s">
        <v>2</v>
      </c>
      <c r="AE1703" s="54" t="s">
        <v>2</v>
      </c>
      <c r="AF1703" s="54" t="s">
        <v>2</v>
      </c>
      <c r="AG1703" s="54" t="s">
        <v>2</v>
      </c>
    </row>
    <row r="1704" ht="15.75" customHeight="1">
      <c r="B1704" s="56"/>
      <c r="U1704" s="46" t="str">
        <f t="array" ref="U1704">IF($D1704="","",IFERROR(_xlfn.XLOOKUP($D1704,'TIR店舗一覧'!$D:$D,'TIR店舗一覧'!$E:$E,""),""))</f>
        <v/>
      </c>
      <c r="V1704" s="54" t="s">
        <v>2</v>
      </c>
      <c r="W1704" s="54" t="s">
        <v>2</v>
      </c>
      <c r="X1704" s="54" t="s">
        <v>2</v>
      </c>
      <c r="Y1704" s="54" t="s">
        <v>2</v>
      </c>
      <c r="Z1704" s="54" t="s">
        <v>2</v>
      </c>
      <c r="AA1704" s="54" t="s">
        <v>2</v>
      </c>
      <c r="AB1704" s="54" t="s">
        <v>2</v>
      </c>
      <c r="AC1704" s="54" t="s">
        <v>2</v>
      </c>
      <c r="AD1704" s="54" t="s">
        <v>2</v>
      </c>
      <c r="AE1704" s="54" t="s">
        <v>2</v>
      </c>
      <c r="AF1704" s="54" t="s">
        <v>2</v>
      </c>
      <c r="AG1704" s="54" t="s">
        <v>2</v>
      </c>
    </row>
    <row r="1705" ht="15.75" customHeight="1">
      <c r="B1705" s="56"/>
      <c r="U1705" s="46" t="str">
        <f t="array" ref="U1705">IF($D1705="","",IFERROR(_xlfn.XLOOKUP($D1705,'TIR店舗一覧'!$D:$D,'TIR店舗一覧'!$E:$E,""),""))</f>
        <v/>
      </c>
      <c r="V1705" s="54" t="s">
        <v>2</v>
      </c>
      <c r="W1705" s="54" t="s">
        <v>2</v>
      </c>
      <c r="X1705" s="54" t="s">
        <v>2</v>
      </c>
      <c r="Y1705" s="54" t="s">
        <v>2</v>
      </c>
      <c r="Z1705" s="54" t="s">
        <v>2</v>
      </c>
      <c r="AA1705" s="54" t="s">
        <v>2</v>
      </c>
      <c r="AB1705" s="54" t="s">
        <v>2</v>
      </c>
      <c r="AC1705" s="54" t="s">
        <v>2</v>
      </c>
      <c r="AD1705" s="54" t="s">
        <v>2</v>
      </c>
      <c r="AE1705" s="54" t="s">
        <v>2</v>
      </c>
      <c r="AF1705" s="54" t="s">
        <v>2</v>
      </c>
      <c r="AG1705" s="54" t="s">
        <v>2</v>
      </c>
    </row>
    <row r="1706" ht="15.75" customHeight="1">
      <c r="B1706" s="56"/>
      <c r="U1706" s="46" t="str">
        <f t="array" ref="U1706">IF($D1706="","",IFERROR(_xlfn.XLOOKUP($D1706,'TIR店舗一覧'!$D:$D,'TIR店舗一覧'!$E:$E,""),""))</f>
        <v/>
      </c>
      <c r="V1706" s="54" t="s">
        <v>2</v>
      </c>
      <c r="W1706" s="54" t="s">
        <v>2</v>
      </c>
      <c r="X1706" s="54" t="s">
        <v>2</v>
      </c>
      <c r="Y1706" s="54" t="s">
        <v>2</v>
      </c>
      <c r="Z1706" s="54" t="s">
        <v>2</v>
      </c>
      <c r="AA1706" s="54" t="s">
        <v>2</v>
      </c>
      <c r="AB1706" s="54" t="s">
        <v>2</v>
      </c>
      <c r="AC1706" s="54" t="s">
        <v>2</v>
      </c>
      <c r="AD1706" s="54" t="s">
        <v>2</v>
      </c>
      <c r="AE1706" s="54" t="s">
        <v>2</v>
      </c>
      <c r="AF1706" s="54" t="s">
        <v>2</v>
      </c>
      <c r="AG1706" s="54" t="s">
        <v>2</v>
      </c>
    </row>
    <row r="1707" ht="15.75" customHeight="1">
      <c r="B1707" s="56"/>
      <c r="U1707" s="46" t="str">
        <f t="array" ref="U1707">IF($D1707="","",IFERROR(_xlfn.XLOOKUP($D1707,'TIR店舗一覧'!$D:$D,'TIR店舗一覧'!$E:$E,""),""))</f>
        <v/>
      </c>
      <c r="V1707" s="54" t="s">
        <v>2</v>
      </c>
      <c r="W1707" s="54" t="s">
        <v>2</v>
      </c>
      <c r="X1707" s="54" t="s">
        <v>2</v>
      </c>
      <c r="Y1707" s="54" t="s">
        <v>2</v>
      </c>
      <c r="Z1707" s="54" t="s">
        <v>2</v>
      </c>
      <c r="AA1707" s="54" t="s">
        <v>2</v>
      </c>
      <c r="AB1707" s="54" t="s">
        <v>2</v>
      </c>
      <c r="AC1707" s="54" t="s">
        <v>2</v>
      </c>
      <c r="AD1707" s="54" t="s">
        <v>2</v>
      </c>
      <c r="AE1707" s="54" t="s">
        <v>2</v>
      </c>
      <c r="AF1707" s="54" t="s">
        <v>2</v>
      </c>
      <c r="AG1707" s="54" t="s">
        <v>2</v>
      </c>
    </row>
    <row r="1708" ht="15.75" customHeight="1">
      <c r="B1708" s="56"/>
      <c r="U1708" s="46" t="str">
        <f t="array" ref="U1708">IF($D1708="","",IFERROR(_xlfn.XLOOKUP($D1708,'TIR店舗一覧'!$D:$D,'TIR店舗一覧'!$E:$E,""),""))</f>
        <v/>
      </c>
      <c r="V1708" s="54" t="s">
        <v>2</v>
      </c>
      <c r="W1708" s="54" t="s">
        <v>2</v>
      </c>
      <c r="X1708" s="54" t="s">
        <v>2</v>
      </c>
      <c r="Y1708" s="54" t="s">
        <v>2</v>
      </c>
      <c r="Z1708" s="54" t="s">
        <v>2</v>
      </c>
      <c r="AA1708" s="54" t="s">
        <v>2</v>
      </c>
      <c r="AB1708" s="54" t="s">
        <v>2</v>
      </c>
      <c r="AC1708" s="54" t="s">
        <v>2</v>
      </c>
      <c r="AD1708" s="54" t="s">
        <v>2</v>
      </c>
      <c r="AE1708" s="54" t="s">
        <v>2</v>
      </c>
      <c r="AF1708" s="54" t="s">
        <v>2</v>
      </c>
      <c r="AG1708" s="54" t="s">
        <v>2</v>
      </c>
    </row>
    <row r="1709" ht="15.75" customHeight="1">
      <c r="B1709" s="56"/>
      <c r="U1709" s="46" t="str">
        <f t="array" ref="U1709">IF($D1709="","",IFERROR(_xlfn.XLOOKUP($D1709,'TIR店舗一覧'!$D:$D,'TIR店舗一覧'!$E:$E,""),""))</f>
        <v/>
      </c>
      <c r="V1709" s="54" t="s">
        <v>2</v>
      </c>
      <c r="W1709" s="54" t="s">
        <v>2</v>
      </c>
      <c r="X1709" s="54" t="s">
        <v>2</v>
      </c>
      <c r="Y1709" s="54" t="s">
        <v>2</v>
      </c>
      <c r="Z1709" s="54" t="s">
        <v>2</v>
      </c>
      <c r="AA1709" s="54" t="s">
        <v>2</v>
      </c>
      <c r="AB1709" s="54" t="s">
        <v>2</v>
      </c>
      <c r="AC1709" s="54" t="s">
        <v>2</v>
      </c>
      <c r="AD1709" s="54" t="s">
        <v>2</v>
      </c>
      <c r="AE1709" s="54" t="s">
        <v>2</v>
      </c>
      <c r="AF1709" s="54" t="s">
        <v>2</v>
      </c>
      <c r="AG1709" s="54" t="s">
        <v>2</v>
      </c>
    </row>
    <row r="1710" ht="15.75" customHeight="1">
      <c r="B1710" s="56"/>
      <c r="U1710" s="46" t="str">
        <f t="array" ref="U1710">IF($D1710="","",IFERROR(_xlfn.XLOOKUP($D1710,'TIR店舗一覧'!$D:$D,'TIR店舗一覧'!$E:$E,""),""))</f>
        <v/>
      </c>
      <c r="V1710" s="54" t="s">
        <v>2</v>
      </c>
      <c r="W1710" s="54" t="s">
        <v>2</v>
      </c>
      <c r="X1710" s="54" t="s">
        <v>2</v>
      </c>
      <c r="Y1710" s="54" t="s">
        <v>2</v>
      </c>
      <c r="Z1710" s="54" t="s">
        <v>2</v>
      </c>
      <c r="AA1710" s="54" t="s">
        <v>2</v>
      </c>
      <c r="AB1710" s="54" t="s">
        <v>2</v>
      </c>
      <c r="AC1710" s="54" t="s">
        <v>2</v>
      </c>
      <c r="AD1710" s="54" t="s">
        <v>2</v>
      </c>
      <c r="AE1710" s="54" t="s">
        <v>2</v>
      </c>
      <c r="AF1710" s="54" t="s">
        <v>2</v>
      </c>
      <c r="AG1710" s="54" t="s">
        <v>2</v>
      </c>
    </row>
    <row r="1711" ht="15.75" customHeight="1">
      <c r="B1711" s="56"/>
      <c r="U1711" s="46" t="str">
        <f t="array" ref="U1711">IF($D1711="","",IFERROR(_xlfn.XLOOKUP($D1711,'TIR店舗一覧'!$D:$D,'TIR店舗一覧'!$E:$E,""),""))</f>
        <v/>
      </c>
      <c r="V1711" s="54" t="s">
        <v>2</v>
      </c>
      <c r="W1711" s="54" t="s">
        <v>2</v>
      </c>
      <c r="X1711" s="54" t="s">
        <v>2</v>
      </c>
      <c r="Y1711" s="54" t="s">
        <v>2</v>
      </c>
      <c r="Z1711" s="54" t="s">
        <v>2</v>
      </c>
      <c r="AA1711" s="54" t="s">
        <v>2</v>
      </c>
      <c r="AB1711" s="54" t="s">
        <v>2</v>
      </c>
      <c r="AC1711" s="54" t="s">
        <v>2</v>
      </c>
      <c r="AD1711" s="54" t="s">
        <v>2</v>
      </c>
      <c r="AE1711" s="54" t="s">
        <v>2</v>
      </c>
      <c r="AF1711" s="54" t="s">
        <v>2</v>
      </c>
      <c r="AG1711" s="54" t="s">
        <v>2</v>
      </c>
    </row>
    <row r="1712" ht="15.75" customHeight="1">
      <c r="B1712" s="56"/>
      <c r="U1712" s="46" t="str">
        <f t="array" ref="U1712">IF($D1712="","",IFERROR(_xlfn.XLOOKUP($D1712,'TIR店舗一覧'!$D:$D,'TIR店舗一覧'!$E:$E,""),""))</f>
        <v/>
      </c>
      <c r="V1712" s="54" t="s">
        <v>2</v>
      </c>
      <c r="W1712" s="54" t="s">
        <v>2</v>
      </c>
      <c r="X1712" s="54" t="s">
        <v>2</v>
      </c>
      <c r="Y1712" s="54" t="s">
        <v>2</v>
      </c>
      <c r="Z1712" s="54" t="s">
        <v>2</v>
      </c>
      <c r="AA1712" s="54" t="s">
        <v>2</v>
      </c>
      <c r="AB1712" s="54" t="s">
        <v>2</v>
      </c>
      <c r="AC1712" s="54" t="s">
        <v>2</v>
      </c>
      <c r="AD1712" s="54" t="s">
        <v>2</v>
      </c>
      <c r="AE1712" s="54" t="s">
        <v>2</v>
      </c>
      <c r="AF1712" s="54" t="s">
        <v>2</v>
      </c>
      <c r="AG1712" s="54" t="s">
        <v>2</v>
      </c>
    </row>
    <row r="1713" ht="15.75" customHeight="1">
      <c r="B1713" s="56"/>
      <c r="U1713" s="46" t="str">
        <f t="array" ref="U1713">IF($D1713="","",IFERROR(_xlfn.XLOOKUP($D1713,'TIR店舗一覧'!$D:$D,'TIR店舗一覧'!$E:$E,""),""))</f>
        <v/>
      </c>
      <c r="V1713" s="54" t="s">
        <v>2</v>
      </c>
      <c r="W1713" s="54" t="s">
        <v>2</v>
      </c>
      <c r="X1713" s="54" t="s">
        <v>2</v>
      </c>
      <c r="Y1713" s="54" t="s">
        <v>2</v>
      </c>
      <c r="Z1713" s="54" t="s">
        <v>2</v>
      </c>
      <c r="AA1713" s="54" t="s">
        <v>2</v>
      </c>
      <c r="AB1713" s="54" t="s">
        <v>2</v>
      </c>
      <c r="AC1713" s="54" t="s">
        <v>2</v>
      </c>
      <c r="AD1713" s="54" t="s">
        <v>2</v>
      </c>
      <c r="AE1713" s="54" t="s">
        <v>2</v>
      </c>
      <c r="AF1713" s="54" t="s">
        <v>2</v>
      </c>
      <c r="AG1713" s="54" t="s">
        <v>2</v>
      </c>
    </row>
    <row r="1714" ht="15.75" customHeight="1">
      <c r="B1714" s="56"/>
      <c r="U1714" s="46" t="str">
        <f t="array" ref="U1714">IF($D1714="","",IFERROR(_xlfn.XLOOKUP($D1714,'TIR店舗一覧'!$D:$D,'TIR店舗一覧'!$E:$E,""),""))</f>
        <v/>
      </c>
      <c r="V1714" s="54" t="s">
        <v>2</v>
      </c>
      <c r="W1714" s="54" t="s">
        <v>2</v>
      </c>
      <c r="X1714" s="54" t="s">
        <v>2</v>
      </c>
      <c r="Y1714" s="54" t="s">
        <v>2</v>
      </c>
      <c r="Z1714" s="54" t="s">
        <v>2</v>
      </c>
      <c r="AA1714" s="54" t="s">
        <v>2</v>
      </c>
      <c r="AB1714" s="54" t="s">
        <v>2</v>
      </c>
      <c r="AC1714" s="54" t="s">
        <v>2</v>
      </c>
      <c r="AD1714" s="54" t="s">
        <v>2</v>
      </c>
      <c r="AE1714" s="54" t="s">
        <v>2</v>
      </c>
      <c r="AF1714" s="54" t="s">
        <v>2</v>
      </c>
      <c r="AG1714" s="54" t="s">
        <v>2</v>
      </c>
    </row>
    <row r="1715" ht="15.75" customHeight="1">
      <c r="B1715" s="56"/>
      <c r="U1715" s="46" t="str">
        <f t="array" ref="U1715">IF($D1715="","",IFERROR(_xlfn.XLOOKUP($D1715,'TIR店舗一覧'!$D:$D,'TIR店舗一覧'!$E:$E,""),""))</f>
        <v/>
      </c>
      <c r="V1715" s="54" t="s">
        <v>2</v>
      </c>
      <c r="W1715" s="54" t="s">
        <v>2</v>
      </c>
      <c r="X1715" s="54" t="s">
        <v>2</v>
      </c>
      <c r="Y1715" s="54" t="s">
        <v>2</v>
      </c>
      <c r="Z1715" s="54" t="s">
        <v>2</v>
      </c>
      <c r="AA1715" s="54" t="s">
        <v>2</v>
      </c>
      <c r="AB1715" s="54" t="s">
        <v>2</v>
      </c>
      <c r="AC1715" s="54" t="s">
        <v>2</v>
      </c>
      <c r="AD1715" s="54" t="s">
        <v>2</v>
      </c>
      <c r="AE1715" s="54" t="s">
        <v>2</v>
      </c>
      <c r="AF1715" s="54" t="s">
        <v>2</v>
      </c>
      <c r="AG1715" s="54" t="s">
        <v>2</v>
      </c>
    </row>
    <row r="1716" ht="15.75" customHeight="1">
      <c r="B1716" s="56"/>
      <c r="U1716" s="46" t="str">
        <f t="array" ref="U1716">IF($D1716="","",IFERROR(_xlfn.XLOOKUP($D1716,'TIR店舗一覧'!$D:$D,'TIR店舗一覧'!$E:$E,""),""))</f>
        <v/>
      </c>
      <c r="V1716" s="54" t="s">
        <v>2</v>
      </c>
      <c r="W1716" s="54" t="s">
        <v>2</v>
      </c>
      <c r="X1716" s="54" t="s">
        <v>2</v>
      </c>
      <c r="Y1716" s="54" t="s">
        <v>2</v>
      </c>
      <c r="Z1716" s="54" t="s">
        <v>2</v>
      </c>
      <c r="AA1716" s="54" t="s">
        <v>2</v>
      </c>
      <c r="AB1716" s="54" t="s">
        <v>2</v>
      </c>
      <c r="AC1716" s="54" t="s">
        <v>2</v>
      </c>
      <c r="AD1716" s="54" t="s">
        <v>2</v>
      </c>
      <c r="AE1716" s="54" t="s">
        <v>2</v>
      </c>
      <c r="AF1716" s="54" t="s">
        <v>2</v>
      </c>
      <c r="AG1716" s="54" t="s">
        <v>2</v>
      </c>
    </row>
    <row r="1717" ht="15.75" customHeight="1">
      <c r="B1717" s="56"/>
      <c r="U1717" s="46" t="str">
        <f t="array" ref="U1717">IF($D1717="","",IFERROR(_xlfn.XLOOKUP($D1717,'TIR店舗一覧'!$D:$D,'TIR店舗一覧'!$E:$E,""),""))</f>
        <v/>
      </c>
      <c r="V1717" s="54" t="s">
        <v>2</v>
      </c>
      <c r="W1717" s="54" t="s">
        <v>2</v>
      </c>
      <c r="X1717" s="54" t="s">
        <v>2</v>
      </c>
      <c r="Y1717" s="54" t="s">
        <v>2</v>
      </c>
      <c r="Z1717" s="54" t="s">
        <v>2</v>
      </c>
      <c r="AA1717" s="54" t="s">
        <v>2</v>
      </c>
      <c r="AB1717" s="54" t="s">
        <v>2</v>
      </c>
      <c r="AC1717" s="54" t="s">
        <v>2</v>
      </c>
      <c r="AD1717" s="54" t="s">
        <v>2</v>
      </c>
      <c r="AE1717" s="54" t="s">
        <v>2</v>
      </c>
      <c r="AF1717" s="54" t="s">
        <v>2</v>
      </c>
      <c r="AG1717" s="54" t="s">
        <v>2</v>
      </c>
    </row>
    <row r="1718" ht="15.75" customHeight="1">
      <c r="B1718" s="56"/>
      <c r="U1718" s="46" t="str">
        <f t="array" ref="U1718">IF($D1718="","",IFERROR(_xlfn.XLOOKUP($D1718,'TIR店舗一覧'!$D:$D,'TIR店舗一覧'!$E:$E,""),""))</f>
        <v/>
      </c>
      <c r="V1718" s="54" t="s">
        <v>2</v>
      </c>
      <c r="W1718" s="54" t="s">
        <v>2</v>
      </c>
      <c r="X1718" s="54" t="s">
        <v>2</v>
      </c>
      <c r="Y1718" s="54" t="s">
        <v>2</v>
      </c>
      <c r="Z1718" s="54" t="s">
        <v>2</v>
      </c>
      <c r="AA1718" s="54" t="s">
        <v>2</v>
      </c>
      <c r="AB1718" s="54" t="s">
        <v>2</v>
      </c>
      <c r="AC1718" s="54" t="s">
        <v>2</v>
      </c>
      <c r="AD1718" s="54" t="s">
        <v>2</v>
      </c>
      <c r="AE1718" s="54" t="s">
        <v>2</v>
      </c>
      <c r="AF1718" s="54" t="s">
        <v>2</v>
      </c>
      <c r="AG1718" s="54" t="s">
        <v>2</v>
      </c>
    </row>
    <row r="1719" ht="15.75" customHeight="1">
      <c r="B1719" s="56"/>
      <c r="U1719" s="46" t="str">
        <f t="array" ref="U1719">IF($D1719="","",IFERROR(_xlfn.XLOOKUP($D1719,'TIR店舗一覧'!$D:$D,'TIR店舗一覧'!$E:$E,""),""))</f>
        <v/>
      </c>
      <c r="V1719" s="54" t="s">
        <v>2</v>
      </c>
      <c r="W1719" s="54" t="s">
        <v>2</v>
      </c>
      <c r="X1719" s="54" t="s">
        <v>2</v>
      </c>
      <c r="Y1719" s="54" t="s">
        <v>2</v>
      </c>
      <c r="Z1719" s="54" t="s">
        <v>2</v>
      </c>
      <c r="AA1719" s="54" t="s">
        <v>2</v>
      </c>
      <c r="AB1719" s="54" t="s">
        <v>2</v>
      </c>
      <c r="AC1719" s="54" t="s">
        <v>2</v>
      </c>
      <c r="AD1719" s="54" t="s">
        <v>2</v>
      </c>
      <c r="AE1719" s="54" t="s">
        <v>2</v>
      </c>
      <c r="AF1719" s="54" t="s">
        <v>2</v>
      </c>
      <c r="AG1719" s="54" t="s">
        <v>2</v>
      </c>
    </row>
    <row r="1720" ht="15.75" customHeight="1">
      <c r="B1720" s="56"/>
      <c r="U1720" s="46" t="str">
        <f t="array" ref="U1720">IF($D1720="","",IFERROR(_xlfn.XLOOKUP($D1720,'TIR店舗一覧'!$D:$D,'TIR店舗一覧'!$E:$E,""),""))</f>
        <v/>
      </c>
      <c r="V1720" s="54" t="s">
        <v>2</v>
      </c>
      <c r="W1720" s="54" t="s">
        <v>2</v>
      </c>
      <c r="X1720" s="54" t="s">
        <v>2</v>
      </c>
      <c r="Y1720" s="54" t="s">
        <v>2</v>
      </c>
      <c r="Z1720" s="54" t="s">
        <v>2</v>
      </c>
      <c r="AA1720" s="54" t="s">
        <v>2</v>
      </c>
      <c r="AB1720" s="54" t="s">
        <v>2</v>
      </c>
      <c r="AC1720" s="54" t="s">
        <v>2</v>
      </c>
      <c r="AD1720" s="54" t="s">
        <v>2</v>
      </c>
      <c r="AE1720" s="54" t="s">
        <v>2</v>
      </c>
      <c r="AF1720" s="54" t="s">
        <v>2</v>
      </c>
      <c r="AG1720" s="54" t="s">
        <v>2</v>
      </c>
    </row>
    <row r="1721" ht="15.75" customHeight="1">
      <c r="B1721" s="56"/>
      <c r="U1721" s="46" t="str">
        <f t="array" ref="U1721">IF($D1721="","",IFERROR(_xlfn.XLOOKUP($D1721,'TIR店舗一覧'!$D:$D,'TIR店舗一覧'!$E:$E,""),""))</f>
        <v/>
      </c>
      <c r="V1721" s="54" t="s">
        <v>2</v>
      </c>
      <c r="W1721" s="54" t="s">
        <v>2</v>
      </c>
      <c r="X1721" s="54" t="s">
        <v>2</v>
      </c>
      <c r="Y1721" s="54" t="s">
        <v>2</v>
      </c>
      <c r="Z1721" s="54" t="s">
        <v>2</v>
      </c>
      <c r="AA1721" s="54" t="s">
        <v>2</v>
      </c>
      <c r="AB1721" s="54" t="s">
        <v>2</v>
      </c>
      <c r="AC1721" s="54" t="s">
        <v>2</v>
      </c>
      <c r="AD1721" s="54" t="s">
        <v>2</v>
      </c>
      <c r="AE1721" s="54" t="s">
        <v>2</v>
      </c>
      <c r="AF1721" s="54" t="s">
        <v>2</v>
      </c>
      <c r="AG1721" s="54" t="s">
        <v>2</v>
      </c>
    </row>
    <row r="1722" ht="15.75" customHeight="1">
      <c r="B1722" s="56"/>
      <c r="U1722" s="46" t="str">
        <f t="array" ref="U1722">IF($D1722="","",IFERROR(_xlfn.XLOOKUP($D1722,'TIR店舗一覧'!$D:$D,'TIR店舗一覧'!$E:$E,""),""))</f>
        <v/>
      </c>
      <c r="V1722" s="54" t="s">
        <v>2</v>
      </c>
      <c r="W1722" s="54" t="s">
        <v>2</v>
      </c>
      <c r="X1722" s="54" t="s">
        <v>2</v>
      </c>
      <c r="Y1722" s="54" t="s">
        <v>2</v>
      </c>
      <c r="Z1722" s="54" t="s">
        <v>2</v>
      </c>
      <c r="AA1722" s="54" t="s">
        <v>2</v>
      </c>
      <c r="AB1722" s="54" t="s">
        <v>2</v>
      </c>
      <c r="AC1722" s="54" t="s">
        <v>2</v>
      </c>
      <c r="AD1722" s="54" t="s">
        <v>2</v>
      </c>
      <c r="AE1722" s="54" t="s">
        <v>2</v>
      </c>
      <c r="AF1722" s="54" t="s">
        <v>2</v>
      </c>
      <c r="AG1722" s="54" t="s">
        <v>2</v>
      </c>
    </row>
    <row r="1723" ht="15.75" customHeight="1">
      <c r="B1723" s="56"/>
      <c r="U1723" s="46" t="str">
        <f t="array" ref="U1723">IF($D1723="","",IFERROR(_xlfn.XLOOKUP($D1723,'TIR店舗一覧'!$D:$D,'TIR店舗一覧'!$E:$E,""),""))</f>
        <v/>
      </c>
      <c r="V1723" s="54" t="s">
        <v>2</v>
      </c>
      <c r="W1723" s="54" t="s">
        <v>2</v>
      </c>
      <c r="X1723" s="54" t="s">
        <v>2</v>
      </c>
      <c r="Y1723" s="54" t="s">
        <v>2</v>
      </c>
      <c r="Z1723" s="54" t="s">
        <v>2</v>
      </c>
      <c r="AA1723" s="54" t="s">
        <v>2</v>
      </c>
      <c r="AB1723" s="54" t="s">
        <v>2</v>
      </c>
      <c r="AC1723" s="54" t="s">
        <v>2</v>
      </c>
      <c r="AD1723" s="54" t="s">
        <v>2</v>
      </c>
      <c r="AE1723" s="54" t="s">
        <v>2</v>
      </c>
      <c r="AF1723" s="54" t="s">
        <v>2</v>
      </c>
      <c r="AG1723" s="54" t="s">
        <v>2</v>
      </c>
    </row>
    <row r="1724" ht="15.75" customHeight="1">
      <c r="B1724" s="56"/>
      <c r="U1724" s="46" t="str">
        <f t="array" ref="U1724">IF($D1724="","",IFERROR(_xlfn.XLOOKUP($D1724,'TIR店舗一覧'!$D:$D,'TIR店舗一覧'!$E:$E,""),""))</f>
        <v/>
      </c>
      <c r="V1724" s="54" t="s">
        <v>2</v>
      </c>
      <c r="W1724" s="54" t="s">
        <v>2</v>
      </c>
      <c r="X1724" s="54" t="s">
        <v>2</v>
      </c>
      <c r="Y1724" s="54" t="s">
        <v>2</v>
      </c>
      <c r="Z1724" s="54" t="s">
        <v>2</v>
      </c>
      <c r="AA1724" s="54" t="s">
        <v>2</v>
      </c>
      <c r="AB1724" s="54" t="s">
        <v>2</v>
      </c>
      <c r="AC1724" s="54" t="s">
        <v>2</v>
      </c>
      <c r="AD1724" s="54" t="s">
        <v>2</v>
      </c>
      <c r="AE1724" s="54" t="s">
        <v>2</v>
      </c>
      <c r="AF1724" s="54" t="s">
        <v>2</v>
      </c>
      <c r="AG1724" s="54" t="s">
        <v>2</v>
      </c>
    </row>
    <row r="1725" ht="15.75" customHeight="1">
      <c r="B1725" s="56"/>
      <c r="U1725" s="46" t="str">
        <f t="array" ref="U1725">IF($D1725="","",IFERROR(_xlfn.XLOOKUP($D1725,'TIR店舗一覧'!$D:$D,'TIR店舗一覧'!$E:$E,""),""))</f>
        <v/>
      </c>
      <c r="V1725" s="54" t="s">
        <v>2</v>
      </c>
      <c r="W1725" s="54" t="s">
        <v>2</v>
      </c>
      <c r="X1725" s="54" t="s">
        <v>2</v>
      </c>
      <c r="Y1725" s="54" t="s">
        <v>2</v>
      </c>
      <c r="Z1725" s="54" t="s">
        <v>2</v>
      </c>
      <c r="AA1725" s="54" t="s">
        <v>2</v>
      </c>
      <c r="AB1725" s="54" t="s">
        <v>2</v>
      </c>
      <c r="AC1725" s="54" t="s">
        <v>2</v>
      </c>
      <c r="AD1725" s="54" t="s">
        <v>2</v>
      </c>
      <c r="AE1725" s="54" t="s">
        <v>2</v>
      </c>
      <c r="AF1725" s="54" t="s">
        <v>2</v>
      </c>
      <c r="AG1725" s="54" t="s">
        <v>2</v>
      </c>
    </row>
    <row r="1726" ht="15.75" customHeight="1">
      <c r="B1726" s="56"/>
      <c r="U1726" s="46" t="str">
        <f t="array" ref="U1726">IF($D1726="","",IFERROR(_xlfn.XLOOKUP($D1726,'TIR店舗一覧'!$D:$D,'TIR店舗一覧'!$E:$E,""),""))</f>
        <v/>
      </c>
      <c r="V1726" s="54" t="s">
        <v>2</v>
      </c>
      <c r="W1726" s="54" t="s">
        <v>2</v>
      </c>
      <c r="X1726" s="54" t="s">
        <v>2</v>
      </c>
      <c r="Y1726" s="54" t="s">
        <v>2</v>
      </c>
      <c r="Z1726" s="54" t="s">
        <v>2</v>
      </c>
      <c r="AA1726" s="54" t="s">
        <v>2</v>
      </c>
      <c r="AB1726" s="54" t="s">
        <v>2</v>
      </c>
      <c r="AC1726" s="54" t="s">
        <v>2</v>
      </c>
      <c r="AD1726" s="54" t="s">
        <v>2</v>
      </c>
      <c r="AE1726" s="54" t="s">
        <v>2</v>
      </c>
      <c r="AF1726" s="54" t="s">
        <v>2</v>
      </c>
      <c r="AG1726" s="54" t="s">
        <v>2</v>
      </c>
    </row>
    <row r="1727" ht="15.75" customHeight="1">
      <c r="B1727" s="56"/>
      <c r="U1727" s="46" t="str">
        <f t="array" ref="U1727">IF($D1727="","",IFERROR(_xlfn.XLOOKUP($D1727,'TIR店舗一覧'!$D:$D,'TIR店舗一覧'!$E:$E,""),""))</f>
        <v/>
      </c>
      <c r="V1727" s="54" t="s">
        <v>2</v>
      </c>
      <c r="W1727" s="54" t="s">
        <v>2</v>
      </c>
      <c r="X1727" s="54" t="s">
        <v>2</v>
      </c>
      <c r="Y1727" s="54" t="s">
        <v>2</v>
      </c>
      <c r="Z1727" s="54" t="s">
        <v>2</v>
      </c>
      <c r="AA1727" s="54" t="s">
        <v>2</v>
      </c>
      <c r="AB1727" s="54" t="s">
        <v>2</v>
      </c>
      <c r="AC1727" s="54" t="s">
        <v>2</v>
      </c>
      <c r="AD1727" s="54" t="s">
        <v>2</v>
      </c>
      <c r="AE1727" s="54" t="s">
        <v>2</v>
      </c>
      <c r="AF1727" s="54" t="s">
        <v>2</v>
      </c>
      <c r="AG1727" s="54" t="s">
        <v>2</v>
      </c>
    </row>
    <row r="1728" ht="15.75" customHeight="1">
      <c r="B1728" s="56"/>
      <c r="U1728" s="46" t="str">
        <f t="array" ref="U1728">IF($D1728="","",IFERROR(_xlfn.XLOOKUP($D1728,'TIR店舗一覧'!$D:$D,'TIR店舗一覧'!$E:$E,""),""))</f>
        <v/>
      </c>
      <c r="V1728" s="54" t="s">
        <v>2</v>
      </c>
      <c r="W1728" s="54" t="s">
        <v>2</v>
      </c>
      <c r="X1728" s="54" t="s">
        <v>2</v>
      </c>
      <c r="Y1728" s="54" t="s">
        <v>2</v>
      </c>
      <c r="Z1728" s="54" t="s">
        <v>2</v>
      </c>
      <c r="AA1728" s="54" t="s">
        <v>2</v>
      </c>
      <c r="AB1728" s="54" t="s">
        <v>2</v>
      </c>
      <c r="AC1728" s="54" t="s">
        <v>2</v>
      </c>
      <c r="AD1728" s="54" t="s">
        <v>2</v>
      </c>
      <c r="AE1728" s="54" t="s">
        <v>2</v>
      </c>
      <c r="AF1728" s="54" t="s">
        <v>2</v>
      </c>
      <c r="AG1728" s="54" t="s">
        <v>2</v>
      </c>
    </row>
    <row r="1729" ht="15.75" customHeight="1">
      <c r="B1729" s="56"/>
      <c r="U1729" s="46" t="str">
        <f t="array" ref="U1729">IF($D1729="","",IFERROR(_xlfn.XLOOKUP($D1729,'TIR店舗一覧'!$D:$D,'TIR店舗一覧'!$E:$E,""),""))</f>
        <v/>
      </c>
      <c r="V1729" s="54" t="s">
        <v>2</v>
      </c>
      <c r="W1729" s="54" t="s">
        <v>2</v>
      </c>
      <c r="X1729" s="54" t="s">
        <v>2</v>
      </c>
      <c r="Y1729" s="54" t="s">
        <v>2</v>
      </c>
      <c r="Z1729" s="54" t="s">
        <v>2</v>
      </c>
      <c r="AA1729" s="54" t="s">
        <v>2</v>
      </c>
      <c r="AB1729" s="54" t="s">
        <v>2</v>
      </c>
      <c r="AC1729" s="54" t="s">
        <v>2</v>
      </c>
      <c r="AD1729" s="54" t="s">
        <v>2</v>
      </c>
      <c r="AE1729" s="54" t="s">
        <v>2</v>
      </c>
      <c r="AF1729" s="54" t="s">
        <v>2</v>
      </c>
      <c r="AG1729" s="54" t="s">
        <v>2</v>
      </c>
    </row>
    <row r="1730" ht="15.75" customHeight="1">
      <c r="B1730" s="56"/>
      <c r="U1730" s="46" t="str">
        <f t="array" ref="U1730">IF($D1730="","",IFERROR(_xlfn.XLOOKUP($D1730,'TIR店舗一覧'!$D:$D,'TIR店舗一覧'!$E:$E,""),""))</f>
        <v/>
      </c>
      <c r="V1730" s="54" t="s">
        <v>2</v>
      </c>
      <c r="W1730" s="54" t="s">
        <v>2</v>
      </c>
      <c r="X1730" s="54" t="s">
        <v>2</v>
      </c>
      <c r="Y1730" s="54" t="s">
        <v>2</v>
      </c>
      <c r="Z1730" s="54" t="s">
        <v>2</v>
      </c>
      <c r="AA1730" s="54" t="s">
        <v>2</v>
      </c>
      <c r="AB1730" s="54" t="s">
        <v>2</v>
      </c>
      <c r="AC1730" s="54" t="s">
        <v>2</v>
      </c>
      <c r="AD1730" s="54" t="s">
        <v>2</v>
      </c>
      <c r="AE1730" s="54" t="s">
        <v>2</v>
      </c>
      <c r="AF1730" s="54" t="s">
        <v>2</v>
      </c>
      <c r="AG1730" s="54" t="s">
        <v>2</v>
      </c>
    </row>
    <row r="1731" ht="15.75" customHeight="1">
      <c r="B1731" s="56"/>
      <c r="U1731" s="46" t="str">
        <f t="array" ref="U1731">IF($D1731="","",IFERROR(_xlfn.XLOOKUP($D1731,'TIR店舗一覧'!$D:$D,'TIR店舗一覧'!$E:$E,""),""))</f>
        <v/>
      </c>
      <c r="V1731" s="54" t="s">
        <v>2</v>
      </c>
      <c r="W1731" s="54" t="s">
        <v>2</v>
      </c>
      <c r="X1731" s="54" t="s">
        <v>2</v>
      </c>
      <c r="Y1731" s="54" t="s">
        <v>2</v>
      </c>
      <c r="Z1731" s="54" t="s">
        <v>2</v>
      </c>
      <c r="AA1731" s="54" t="s">
        <v>2</v>
      </c>
      <c r="AB1731" s="54" t="s">
        <v>2</v>
      </c>
      <c r="AC1731" s="54" t="s">
        <v>2</v>
      </c>
      <c r="AD1731" s="54" t="s">
        <v>2</v>
      </c>
      <c r="AE1731" s="54" t="s">
        <v>2</v>
      </c>
      <c r="AF1731" s="54" t="s">
        <v>2</v>
      </c>
      <c r="AG1731" s="54" t="s">
        <v>2</v>
      </c>
    </row>
    <row r="1732" ht="15.75" customHeight="1">
      <c r="B1732" s="56"/>
      <c r="U1732" s="46" t="str">
        <f t="array" ref="U1732">IF($D1732="","",IFERROR(_xlfn.XLOOKUP($D1732,'TIR店舗一覧'!$D:$D,'TIR店舗一覧'!$E:$E,""),""))</f>
        <v/>
      </c>
      <c r="V1732" s="54" t="s">
        <v>2</v>
      </c>
      <c r="W1732" s="54" t="s">
        <v>2</v>
      </c>
      <c r="X1732" s="54" t="s">
        <v>2</v>
      </c>
      <c r="Y1732" s="54" t="s">
        <v>2</v>
      </c>
      <c r="Z1732" s="54" t="s">
        <v>2</v>
      </c>
      <c r="AA1732" s="54" t="s">
        <v>2</v>
      </c>
      <c r="AB1732" s="54" t="s">
        <v>2</v>
      </c>
      <c r="AC1732" s="54" t="s">
        <v>2</v>
      </c>
      <c r="AD1732" s="54" t="s">
        <v>2</v>
      </c>
      <c r="AE1732" s="54" t="s">
        <v>2</v>
      </c>
      <c r="AF1732" s="54" t="s">
        <v>2</v>
      </c>
      <c r="AG1732" s="54" t="s">
        <v>2</v>
      </c>
    </row>
    <row r="1733" ht="15.75" customHeight="1">
      <c r="B1733" s="56"/>
      <c r="U1733" s="46" t="str">
        <f t="array" ref="U1733">IF($D1733="","",IFERROR(_xlfn.XLOOKUP($D1733,'TIR店舗一覧'!$D:$D,'TIR店舗一覧'!$E:$E,""),""))</f>
        <v/>
      </c>
      <c r="V1733" s="54" t="s">
        <v>2</v>
      </c>
      <c r="W1733" s="54" t="s">
        <v>2</v>
      </c>
      <c r="X1733" s="54" t="s">
        <v>2</v>
      </c>
      <c r="Y1733" s="54" t="s">
        <v>2</v>
      </c>
      <c r="Z1733" s="54" t="s">
        <v>2</v>
      </c>
      <c r="AA1733" s="54" t="s">
        <v>2</v>
      </c>
      <c r="AB1733" s="54" t="s">
        <v>2</v>
      </c>
      <c r="AC1733" s="54" t="s">
        <v>2</v>
      </c>
      <c r="AD1733" s="54" t="s">
        <v>2</v>
      </c>
      <c r="AE1733" s="54" t="s">
        <v>2</v>
      </c>
      <c r="AF1733" s="54" t="s">
        <v>2</v>
      </c>
      <c r="AG1733" s="54" t="s">
        <v>2</v>
      </c>
    </row>
    <row r="1734" ht="15.75" customHeight="1">
      <c r="B1734" s="56"/>
      <c r="U1734" s="46" t="str">
        <f t="array" ref="U1734">IF($D1734="","",IFERROR(_xlfn.XLOOKUP($D1734,'TIR店舗一覧'!$D:$D,'TIR店舗一覧'!$E:$E,""),""))</f>
        <v/>
      </c>
      <c r="V1734" s="54" t="s">
        <v>2</v>
      </c>
      <c r="W1734" s="54" t="s">
        <v>2</v>
      </c>
      <c r="X1734" s="54" t="s">
        <v>2</v>
      </c>
      <c r="Y1734" s="54" t="s">
        <v>2</v>
      </c>
      <c r="Z1734" s="54" t="s">
        <v>2</v>
      </c>
      <c r="AA1734" s="54" t="s">
        <v>2</v>
      </c>
      <c r="AB1734" s="54" t="s">
        <v>2</v>
      </c>
      <c r="AC1734" s="54" t="s">
        <v>2</v>
      </c>
      <c r="AD1734" s="54" t="s">
        <v>2</v>
      </c>
      <c r="AE1734" s="54" t="s">
        <v>2</v>
      </c>
      <c r="AF1734" s="54" t="s">
        <v>2</v>
      </c>
      <c r="AG1734" s="54" t="s">
        <v>2</v>
      </c>
    </row>
    <row r="1735" ht="15.75" customHeight="1">
      <c r="B1735" s="56"/>
      <c r="U1735" s="46" t="str">
        <f t="array" ref="U1735">IF($D1735="","",IFERROR(_xlfn.XLOOKUP($D1735,'TIR店舗一覧'!$D:$D,'TIR店舗一覧'!$E:$E,""),""))</f>
        <v/>
      </c>
      <c r="V1735" s="54" t="s">
        <v>2</v>
      </c>
      <c r="W1735" s="54" t="s">
        <v>2</v>
      </c>
      <c r="X1735" s="54" t="s">
        <v>2</v>
      </c>
      <c r="Y1735" s="54" t="s">
        <v>2</v>
      </c>
      <c r="Z1735" s="54" t="s">
        <v>2</v>
      </c>
      <c r="AA1735" s="54" t="s">
        <v>2</v>
      </c>
      <c r="AB1735" s="54" t="s">
        <v>2</v>
      </c>
      <c r="AC1735" s="54" t="s">
        <v>2</v>
      </c>
      <c r="AD1735" s="54" t="s">
        <v>2</v>
      </c>
      <c r="AE1735" s="54" t="s">
        <v>2</v>
      </c>
      <c r="AF1735" s="54" t="s">
        <v>2</v>
      </c>
      <c r="AG1735" s="54" t="s">
        <v>2</v>
      </c>
    </row>
    <row r="1736" ht="15.75" customHeight="1">
      <c r="B1736" s="56"/>
      <c r="U1736" s="46" t="str">
        <f t="array" ref="U1736">IF($D1736="","",IFERROR(_xlfn.XLOOKUP($D1736,'TIR店舗一覧'!$D:$D,'TIR店舗一覧'!$E:$E,""),""))</f>
        <v/>
      </c>
      <c r="V1736" s="54" t="s">
        <v>2</v>
      </c>
      <c r="W1736" s="54" t="s">
        <v>2</v>
      </c>
      <c r="X1736" s="54" t="s">
        <v>2</v>
      </c>
      <c r="Y1736" s="54" t="s">
        <v>2</v>
      </c>
      <c r="Z1736" s="54" t="s">
        <v>2</v>
      </c>
      <c r="AA1736" s="54" t="s">
        <v>2</v>
      </c>
      <c r="AB1736" s="54" t="s">
        <v>2</v>
      </c>
      <c r="AC1736" s="54" t="s">
        <v>2</v>
      </c>
      <c r="AD1736" s="54" t="s">
        <v>2</v>
      </c>
      <c r="AE1736" s="54" t="s">
        <v>2</v>
      </c>
      <c r="AF1736" s="54" t="s">
        <v>2</v>
      </c>
      <c r="AG1736" s="54" t="s">
        <v>2</v>
      </c>
    </row>
    <row r="1737" ht="15.75" customHeight="1">
      <c r="B1737" s="56"/>
      <c r="U1737" s="46" t="str">
        <f t="array" ref="U1737">IF($D1737="","",IFERROR(_xlfn.XLOOKUP($D1737,'TIR店舗一覧'!$D:$D,'TIR店舗一覧'!$E:$E,""),""))</f>
        <v/>
      </c>
      <c r="V1737" s="54" t="s">
        <v>2</v>
      </c>
      <c r="W1737" s="54" t="s">
        <v>2</v>
      </c>
      <c r="X1737" s="54" t="s">
        <v>2</v>
      </c>
      <c r="Y1737" s="54" t="s">
        <v>2</v>
      </c>
      <c r="Z1737" s="54" t="s">
        <v>2</v>
      </c>
      <c r="AA1737" s="54" t="s">
        <v>2</v>
      </c>
      <c r="AB1737" s="54" t="s">
        <v>2</v>
      </c>
      <c r="AC1737" s="54" t="s">
        <v>2</v>
      </c>
      <c r="AD1737" s="54" t="s">
        <v>2</v>
      </c>
      <c r="AE1737" s="54" t="s">
        <v>2</v>
      </c>
      <c r="AF1737" s="54" t="s">
        <v>2</v>
      </c>
      <c r="AG1737" s="54" t="s">
        <v>2</v>
      </c>
    </row>
    <row r="1738" ht="15.75" customHeight="1">
      <c r="B1738" s="56"/>
      <c r="U1738" s="46" t="str">
        <f t="array" ref="U1738">IF($D1738="","",IFERROR(_xlfn.XLOOKUP($D1738,'TIR店舗一覧'!$D:$D,'TIR店舗一覧'!$E:$E,""),""))</f>
        <v/>
      </c>
      <c r="V1738" s="54" t="s">
        <v>2</v>
      </c>
      <c r="W1738" s="54" t="s">
        <v>2</v>
      </c>
      <c r="X1738" s="54" t="s">
        <v>2</v>
      </c>
      <c r="Y1738" s="54" t="s">
        <v>2</v>
      </c>
      <c r="Z1738" s="54" t="s">
        <v>2</v>
      </c>
      <c r="AA1738" s="54" t="s">
        <v>2</v>
      </c>
      <c r="AB1738" s="54" t="s">
        <v>2</v>
      </c>
      <c r="AC1738" s="54" t="s">
        <v>2</v>
      </c>
      <c r="AD1738" s="54" t="s">
        <v>2</v>
      </c>
      <c r="AE1738" s="54" t="s">
        <v>2</v>
      </c>
      <c r="AF1738" s="54" t="s">
        <v>2</v>
      </c>
      <c r="AG1738" s="54" t="s">
        <v>2</v>
      </c>
    </row>
    <row r="1739" ht="15.75" customHeight="1">
      <c r="B1739" s="56"/>
      <c r="U1739" s="46" t="str">
        <f t="array" ref="U1739">IF($D1739="","",IFERROR(_xlfn.XLOOKUP($D1739,'TIR店舗一覧'!$D:$D,'TIR店舗一覧'!$E:$E,""),""))</f>
        <v/>
      </c>
      <c r="V1739" s="54" t="s">
        <v>2</v>
      </c>
      <c r="W1739" s="54" t="s">
        <v>2</v>
      </c>
      <c r="X1739" s="54" t="s">
        <v>2</v>
      </c>
      <c r="Y1739" s="54" t="s">
        <v>2</v>
      </c>
      <c r="Z1739" s="54" t="s">
        <v>2</v>
      </c>
      <c r="AA1739" s="54" t="s">
        <v>2</v>
      </c>
      <c r="AB1739" s="54" t="s">
        <v>2</v>
      </c>
      <c r="AC1739" s="54" t="s">
        <v>2</v>
      </c>
      <c r="AD1739" s="54" t="s">
        <v>2</v>
      </c>
      <c r="AE1739" s="54" t="s">
        <v>2</v>
      </c>
      <c r="AF1739" s="54" t="s">
        <v>2</v>
      </c>
      <c r="AG1739" s="54" t="s">
        <v>2</v>
      </c>
    </row>
    <row r="1740" ht="15.75" customHeight="1">
      <c r="B1740" s="56"/>
      <c r="U1740" s="46" t="str">
        <f t="array" ref="U1740">IF($D1740="","",IFERROR(_xlfn.XLOOKUP($D1740,'TIR店舗一覧'!$D:$D,'TIR店舗一覧'!$E:$E,""),""))</f>
        <v/>
      </c>
      <c r="V1740" s="54" t="s">
        <v>2</v>
      </c>
      <c r="W1740" s="54" t="s">
        <v>2</v>
      </c>
      <c r="X1740" s="54" t="s">
        <v>2</v>
      </c>
      <c r="Y1740" s="54" t="s">
        <v>2</v>
      </c>
      <c r="Z1740" s="54" t="s">
        <v>2</v>
      </c>
      <c r="AA1740" s="54" t="s">
        <v>2</v>
      </c>
      <c r="AB1740" s="54" t="s">
        <v>2</v>
      </c>
      <c r="AC1740" s="54" t="s">
        <v>2</v>
      </c>
      <c r="AD1740" s="54" t="s">
        <v>2</v>
      </c>
      <c r="AE1740" s="54" t="s">
        <v>2</v>
      </c>
      <c r="AF1740" s="54" t="s">
        <v>2</v>
      </c>
      <c r="AG1740" s="54" t="s">
        <v>2</v>
      </c>
    </row>
    <row r="1741" ht="15.75" customHeight="1">
      <c r="B1741" s="56"/>
      <c r="U1741" s="46" t="str">
        <f t="array" ref="U1741">IF($D1741="","",IFERROR(_xlfn.XLOOKUP($D1741,'TIR店舗一覧'!$D:$D,'TIR店舗一覧'!$E:$E,""),""))</f>
        <v/>
      </c>
      <c r="V1741" s="54" t="s">
        <v>2</v>
      </c>
      <c r="W1741" s="54" t="s">
        <v>2</v>
      </c>
      <c r="X1741" s="54" t="s">
        <v>2</v>
      </c>
      <c r="Y1741" s="54" t="s">
        <v>2</v>
      </c>
      <c r="Z1741" s="54" t="s">
        <v>2</v>
      </c>
      <c r="AA1741" s="54" t="s">
        <v>2</v>
      </c>
      <c r="AB1741" s="54" t="s">
        <v>2</v>
      </c>
      <c r="AC1741" s="54" t="s">
        <v>2</v>
      </c>
      <c r="AD1741" s="54" t="s">
        <v>2</v>
      </c>
      <c r="AE1741" s="54" t="s">
        <v>2</v>
      </c>
      <c r="AF1741" s="54" t="s">
        <v>2</v>
      </c>
      <c r="AG1741" s="54" t="s">
        <v>2</v>
      </c>
    </row>
    <row r="1742" ht="15.75" customHeight="1">
      <c r="B1742" s="56"/>
      <c r="U1742" s="46" t="str">
        <f t="array" ref="U1742">IF($D1742="","",IFERROR(_xlfn.XLOOKUP($D1742,'TIR店舗一覧'!$D:$D,'TIR店舗一覧'!$E:$E,""),""))</f>
        <v/>
      </c>
      <c r="V1742" s="54" t="s">
        <v>2</v>
      </c>
      <c r="W1742" s="54" t="s">
        <v>2</v>
      </c>
      <c r="X1742" s="54" t="s">
        <v>2</v>
      </c>
      <c r="Y1742" s="54" t="s">
        <v>2</v>
      </c>
      <c r="Z1742" s="54" t="s">
        <v>2</v>
      </c>
      <c r="AA1742" s="54" t="s">
        <v>2</v>
      </c>
      <c r="AB1742" s="54" t="s">
        <v>2</v>
      </c>
      <c r="AC1742" s="54" t="s">
        <v>2</v>
      </c>
      <c r="AD1742" s="54" t="s">
        <v>2</v>
      </c>
      <c r="AE1742" s="54" t="s">
        <v>2</v>
      </c>
      <c r="AF1742" s="54" t="s">
        <v>2</v>
      </c>
      <c r="AG1742" s="54" t="s">
        <v>2</v>
      </c>
    </row>
    <row r="1743" ht="15.75" customHeight="1">
      <c r="B1743" s="56"/>
      <c r="U1743" s="46" t="str">
        <f t="array" ref="U1743">IF($D1743="","",IFERROR(_xlfn.XLOOKUP($D1743,'TIR店舗一覧'!$D:$D,'TIR店舗一覧'!$E:$E,""),""))</f>
        <v/>
      </c>
      <c r="V1743" s="54" t="s">
        <v>2</v>
      </c>
      <c r="W1743" s="54" t="s">
        <v>2</v>
      </c>
      <c r="X1743" s="54" t="s">
        <v>2</v>
      </c>
      <c r="Y1743" s="54" t="s">
        <v>2</v>
      </c>
      <c r="Z1743" s="54" t="s">
        <v>2</v>
      </c>
      <c r="AA1743" s="54" t="s">
        <v>2</v>
      </c>
      <c r="AB1743" s="54" t="s">
        <v>2</v>
      </c>
      <c r="AC1743" s="54" t="s">
        <v>2</v>
      </c>
      <c r="AD1743" s="54" t="s">
        <v>2</v>
      </c>
      <c r="AE1743" s="54" t="s">
        <v>2</v>
      </c>
      <c r="AF1743" s="54" t="s">
        <v>2</v>
      </c>
      <c r="AG1743" s="54" t="s">
        <v>2</v>
      </c>
    </row>
    <row r="1744" ht="15.75" customHeight="1">
      <c r="B1744" s="56"/>
      <c r="U1744" s="46" t="str">
        <f t="array" ref="U1744">IF($D1744="","",IFERROR(_xlfn.XLOOKUP($D1744,'TIR店舗一覧'!$D:$D,'TIR店舗一覧'!$E:$E,""),""))</f>
        <v/>
      </c>
      <c r="V1744" s="54" t="s">
        <v>2</v>
      </c>
      <c r="W1744" s="54" t="s">
        <v>2</v>
      </c>
      <c r="X1744" s="54" t="s">
        <v>2</v>
      </c>
      <c r="Y1744" s="54" t="s">
        <v>2</v>
      </c>
      <c r="Z1744" s="54" t="s">
        <v>2</v>
      </c>
      <c r="AA1744" s="54" t="s">
        <v>2</v>
      </c>
      <c r="AB1744" s="54" t="s">
        <v>2</v>
      </c>
      <c r="AC1744" s="54" t="s">
        <v>2</v>
      </c>
      <c r="AD1744" s="54" t="s">
        <v>2</v>
      </c>
      <c r="AE1744" s="54" t="s">
        <v>2</v>
      </c>
      <c r="AF1744" s="54" t="s">
        <v>2</v>
      </c>
      <c r="AG1744" s="54" t="s">
        <v>2</v>
      </c>
    </row>
    <row r="1745" ht="15.75" customHeight="1">
      <c r="B1745" s="56"/>
      <c r="U1745" s="46" t="str">
        <f t="array" ref="U1745">IF($D1745="","",IFERROR(_xlfn.XLOOKUP($D1745,'TIR店舗一覧'!$D:$D,'TIR店舗一覧'!$E:$E,""),""))</f>
        <v/>
      </c>
      <c r="V1745" s="54" t="s">
        <v>2</v>
      </c>
      <c r="W1745" s="54" t="s">
        <v>2</v>
      </c>
      <c r="X1745" s="54" t="s">
        <v>2</v>
      </c>
      <c r="Y1745" s="54" t="s">
        <v>2</v>
      </c>
      <c r="Z1745" s="54" t="s">
        <v>2</v>
      </c>
      <c r="AA1745" s="54" t="s">
        <v>2</v>
      </c>
      <c r="AB1745" s="54" t="s">
        <v>2</v>
      </c>
      <c r="AC1745" s="54" t="s">
        <v>2</v>
      </c>
      <c r="AD1745" s="54" t="s">
        <v>2</v>
      </c>
      <c r="AE1745" s="54" t="s">
        <v>2</v>
      </c>
      <c r="AF1745" s="54" t="s">
        <v>2</v>
      </c>
      <c r="AG1745" s="54" t="s">
        <v>2</v>
      </c>
    </row>
    <row r="1746" ht="15.75" customHeight="1">
      <c r="B1746" s="56"/>
      <c r="U1746" s="46" t="str">
        <f t="array" ref="U1746">IF($D1746="","",IFERROR(_xlfn.XLOOKUP($D1746,'TIR店舗一覧'!$D:$D,'TIR店舗一覧'!$E:$E,""),""))</f>
        <v/>
      </c>
      <c r="V1746" s="54" t="s">
        <v>2</v>
      </c>
      <c r="W1746" s="54" t="s">
        <v>2</v>
      </c>
      <c r="X1746" s="54" t="s">
        <v>2</v>
      </c>
      <c r="Y1746" s="54" t="s">
        <v>2</v>
      </c>
      <c r="Z1746" s="54" t="s">
        <v>2</v>
      </c>
      <c r="AA1746" s="54" t="s">
        <v>2</v>
      </c>
      <c r="AB1746" s="54" t="s">
        <v>2</v>
      </c>
      <c r="AC1746" s="54" t="s">
        <v>2</v>
      </c>
      <c r="AD1746" s="54" t="s">
        <v>2</v>
      </c>
      <c r="AE1746" s="54" t="s">
        <v>2</v>
      </c>
      <c r="AF1746" s="54" t="s">
        <v>2</v>
      </c>
      <c r="AG1746" s="54" t="s">
        <v>2</v>
      </c>
    </row>
    <row r="1747" ht="15.75" customHeight="1">
      <c r="B1747" s="56"/>
      <c r="U1747" s="46" t="str">
        <f t="array" ref="U1747">IF($D1747="","",IFERROR(_xlfn.XLOOKUP($D1747,'TIR店舗一覧'!$D:$D,'TIR店舗一覧'!$E:$E,""),""))</f>
        <v/>
      </c>
      <c r="V1747" s="54" t="s">
        <v>2</v>
      </c>
      <c r="W1747" s="54" t="s">
        <v>2</v>
      </c>
      <c r="X1747" s="54" t="s">
        <v>2</v>
      </c>
      <c r="Y1747" s="54" t="s">
        <v>2</v>
      </c>
      <c r="Z1747" s="54" t="s">
        <v>2</v>
      </c>
      <c r="AA1747" s="54" t="s">
        <v>2</v>
      </c>
      <c r="AB1747" s="54" t="s">
        <v>2</v>
      </c>
      <c r="AC1747" s="54" t="s">
        <v>2</v>
      </c>
      <c r="AD1747" s="54" t="s">
        <v>2</v>
      </c>
      <c r="AE1747" s="54" t="s">
        <v>2</v>
      </c>
      <c r="AF1747" s="54" t="s">
        <v>2</v>
      </c>
      <c r="AG1747" s="54" t="s">
        <v>2</v>
      </c>
    </row>
    <row r="1748" ht="15.75" customHeight="1">
      <c r="B1748" s="56"/>
      <c r="U1748" s="46" t="str">
        <f t="array" ref="U1748">IF($D1748="","",IFERROR(_xlfn.XLOOKUP($D1748,'TIR店舗一覧'!$D:$D,'TIR店舗一覧'!$E:$E,""),""))</f>
        <v/>
      </c>
      <c r="V1748" s="54" t="s">
        <v>2</v>
      </c>
      <c r="W1748" s="54" t="s">
        <v>2</v>
      </c>
      <c r="X1748" s="54" t="s">
        <v>2</v>
      </c>
      <c r="Y1748" s="54" t="s">
        <v>2</v>
      </c>
      <c r="Z1748" s="54" t="s">
        <v>2</v>
      </c>
      <c r="AA1748" s="54" t="s">
        <v>2</v>
      </c>
      <c r="AB1748" s="54" t="s">
        <v>2</v>
      </c>
      <c r="AC1748" s="54" t="s">
        <v>2</v>
      </c>
      <c r="AD1748" s="54" t="s">
        <v>2</v>
      </c>
      <c r="AE1748" s="54" t="s">
        <v>2</v>
      </c>
      <c r="AF1748" s="54" t="s">
        <v>2</v>
      </c>
      <c r="AG1748" s="54" t="s">
        <v>2</v>
      </c>
    </row>
    <row r="1749" ht="15.75" customHeight="1">
      <c r="B1749" s="56"/>
      <c r="U1749" s="46" t="str">
        <f t="array" ref="U1749">IF($D1749="","",IFERROR(_xlfn.XLOOKUP($D1749,'TIR店舗一覧'!$D:$D,'TIR店舗一覧'!$E:$E,""),""))</f>
        <v/>
      </c>
      <c r="V1749" s="54" t="s">
        <v>2</v>
      </c>
      <c r="W1749" s="54" t="s">
        <v>2</v>
      </c>
      <c r="X1749" s="54" t="s">
        <v>2</v>
      </c>
      <c r="Y1749" s="54" t="s">
        <v>2</v>
      </c>
      <c r="Z1749" s="54" t="s">
        <v>2</v>
      </c>
      <c r="AA1749" s="54" t="s">
        <v>2</v>
      </c>
      <c r="AB1749" s="54" t="s">
        <v>2</v>
      </c>
      <c r="AC1749" s="54" t="s">
        <v>2</v>
      </c>
      <c r="AD1749" s="54" t="s">
        <v>2</v>
      </c>
      <c r="AE1749" s="54" t="s">
        <v>2</v>
      </c>
      <c r="AF1749" s="54" t="s">
        <v>2</v>
      </c>
      <c r="AG1749" s="54" t="s">
        <v>2</v>
      </c>
    </row>
    <row r="1750" ht="15.75" customHeight="1">
      <c r="B1750" s="56"/>
      <c r="U1750" s="46" t="str">
        <f t="array" ref="U1750">IF($D1750="","",IFERROR(_xlfn.XLOOKUP($D1750,'TIR店舗一覧'!$D:$D,'TIR店舗一覧'!$E:$E,""),""))</f>
        <v/>
      </c>
      <c r="V1750" s="54" t="s">
        <v>2</v>
      </c>
      <c r="W1750" s="54" t="s">
        <v>2</v>
      </c>
      <c r="X1750" s="54" t="s">
        <v>2</v>
      </c>
      <c r="Y1750" s="54" t="s">
        <v>2</v>
      </c>
      <c r="Z1750" s="54" t="s">
        <v>2</v>
      </c>
      <c r="AA1750" s="54" t="s">
        <v>2</v>
      </c>
      <c r="AB1750" s="54" t="s">
        <v>2</v>
      </c>
      <c r="AC1750" s="54" t="s">
        <v>2</v>
      </c>
      <c r="AD1750" s="54" t="s">
        <v>2</v>
      </c>
      <c r="AE1750" s="54" t="s">
        <v>2</v>
      </c>
      <c r="AF1750" s="54" t="s">
        <v>2</v>
      </c>
      <c r="AG1750" s="54" t="s">
        <v>2</v>
      </c>
    </row>
    <row r="1751" ht="15.75" customHeight="1">
      <c r="B1751" s="56"/>
      <c r="U1751" s="46" t="str">
        <f t="array" ref="U1751">IF($D1751="","",IFERROR(_xlfn.XLOOKUP($D1751,'TIR店舗一覧'!$D:$D,'TIR店舗一覧'!$E:$E,""),""))</f>
        <v/>
      </c>
      <c r="V1751" s="54" t="s">
        <v>2</v>
      </c>
      <c r="W1751" s="54" t="s">
        <v>2</v>
      </c>
      <c r="X1751" s="54" t="s">
        <v>2</v>
      </c>
      <c r="Y1751" s="54" t="s">
        <v>2</v>
      </c>
      <c r="Z1751" s="54" t="s">
        <v>2</v>
      </c>
      <c r="AA1751" s="54" t="s">
        <v>2</v>
      </c>
      <c r="AB1751" s="54" t="s">
        <v>2</v>
      </c>
      <c r="AC1751" s="54" t="s">
        <v>2</v>
      </c>
      <c r="AD1751" s="54" t="s">
        <v>2</v>
      </c>
      <c r="AE1751" s="54" t="s">
        <v>2</v>
      </c>
      <c r="AF1751" s="54" t="s">
        <v>2</v>
      </c>
      <c r="AG1751" s="54" t="s">
        <v>2</v>
      </c>
    </row>
    <row r="1752" ht="15.75" customHeight="1">
      <c r="B1752" s="56"/>
      <c r="U1752" s="46" t="str">
        <f t="array" ref="U1752">IF($D1752="","",IFERROR(_xlfn.XLOOKUP($D1752,'TIR店舗一覧'!$D:$D,'TIR店舗一覧'!$E:$E,""),""))</f>
        <v/>
      </c>
      <c r="V1752" s="54" t="s">
        <v>2</v>
      </c>
      <c r="W1752" s="54" t="s">
        <v>2</v>
      </c>
      <c r="X1752" s="54" t="s">
        <v>2</v>
      </c>
      <c r="Y1752" s="54" t="s">
        <v>2</v>
      </c>
      <c r="Z1752" s="54" t="s">
        <v>2</v>
      </c>
      <c r="AA1752" s="54" t="s">
        <v>2</v>
      </c>
      <c r="AB1752" s="54" t="s">
        <v>2</v>
      </c>
      <c r="AC1752" s="54" t="s">
        <v>2</v>
      </c>
      <c r="AD1752" s="54" t="s">
        <v>2</v>
      </c>
      <c r="AE1752" s="54" t="s">
        <v>2</v>
      </c>
      <c r="AF1752" s="54" t="s">
        <v>2</v>
      </c>
      <c r="AG1752" s="54" t="s">
        <v>2</v>
      </c>
    </row>
    <row r="1753" ht="15.75" customHeight="1">
      <c r="B1753" s="56"/>
      <c r="U1753" s="46" t="str">
        <f t="array" ref="U1753">IF($D1753="","",IFERROR(_xlfn.XLOOKUP($D1753,'TIR店舗一覧'!$D:$D,'TIR店舗一覧'!$E:$E,""),""))</f>
        <v/>
      </c>
      <c r="V1753" s="54" t="s">
        <v>2</v>
      </c>
      <c r="W1753" s="54" t="s">
        <v>2</v>
      </c>
      <c r="X1753" s="54" t="s">
        <v>2</v>
      </c>
      <c r="Y1753" s="54" t="s">
        <v>2</v>
      </c>
      <c r="Z1753" s="54" t="s">
        <v>2</v>
      </c>
      <c r="AA1753" s="54" t="s">
        <v>2</v>
      </c>
      <c r="AB1753" s="54" t="s">
        <v>2</v>
      </c>
      <c r="AC1753" s="54" t="s">
        <v>2</v>
      </c>
      <c r="AD1753" s="54" t="s">
        <v>2</v>
      </c>
      <c r="AE1753" s="54" t="s">
        <v>2</v>
      </c>
      <c r="AF1753" s="54" t="s">
        <v>2</v>
      </c>
      <c r="AG1753" s="54" t="s">
        <v>2</v>
      </c>
    </row>
    <row r="1754" ht="15.75" customHeight="1">
      <c r="B1754" s="56"/>
      <c r="U1754" s="46" t="str">
        <f t="array" ref="U1754">IF($D1754="","",IFERROR(_xlfn.XLOOKUP($D1754,'TIR店舗一覧'!$D:$D,'TIR店舗一覧'!$E:$E,""),""))</f>
        <v/>
      </c>
      <c r="V1754" s="54" t="s">
        <v>2</v>
      </c>
      <c r="W1754" s="54" t="s">
        <v>2</v>
      </c>
      <c r="X1754" s="54" t="s">
        <v>2</v>
      </c>
      <c r="Y1754" s="54" t="s">
        <v>2</v>
      </c>
      <c r="Z1754" s="54" t="s">
        <v>2</v>
      </c>
      <c r="AA1754" s="54" t="s">
        <v>2</v>
      </c>
      <c r="AB1754" s="54" t="s">
        <v>2</v>
      </c>
      <c r="AC1754" s="54" t="s">
        <v>2</v>
      </c>
      <c r="AD1754" s="54" t="s">
        <v>2</v>
      </c>
      <c r="AE1754" s="54" t="s">
        <v>2</v>
      </c>
      <c r="AF1754" s="54" t="s">
        <v>2</v>
      </c>
      <c r="AG1754" s="54" t="s">
        <v>2</v>
      </c>
    </row>
    <row r="1755" ht="15.75" customHeight="1">
      <c r="B1755" s="56"/>
      <c r="U1755" s="46" t="str">
        <f t="array" ref="U1755">IF($D1755="","",IFERROR(_xlfn.XLOOKUP($D1755,'TIR店舗一覧'!$D:$D,'TIR店舗一覧'!$E:$E,""),""))</f>
        <v/>
      </c>
      <c r="V1755" s="54" t="s">
        <v>2</v>
      </c>
      <c r="W1755" s="54" t="s">
        <v>2</v>
      </c>
      <c r="X1755" s="54" t="s">
        <v>2</v>
      </c>
      <c r="Y1755" s="54" t="s">
        <v>2</v>
      </c>
      <c r="Z1755" s="54" t="s">
        <v>2</v>
      </c>
      <c r="AA1755" s="54" t="s">
        <v>2</v>
      </c>
      <c r="AB1755" s="54" t="s">
        <v>2</v>
      </c>
      <c r="AC1755" s="54" t="s">
        <v>2</v>
      </c>
      <c r="AD1755" s="54" t="s">
        <v>2</v>
      </c>
      <c r="AE1755" s="54" t="s">
        <v>2</v>
      </c>
      <c r="AF1755" s="54" t="s">
        <v>2</v>
      </c>
      <c r="AG1755" s="54" t="s">
        <v>2</v>
      </c>
    </row>
    <row r="1756" ht="15.75" customHeight="1">
      <c r="B1756" s="56"/>
      <c r="U1756" s="46" t="str">
        <f t="array" ref="U1756">IF($D1756="","",IFERROR(_xlfn.XLOOKUP($D1756,'TIR店舗一覧'!$D:$D,'TIR店舗一覧'!$E:$E,""),""))</f>
        <v/>
      </c>
      <c r="V1756" s="54" t="s">
        <v>2</v>
      </c>
      <c r="W1756" s="54" t="s">
        <v>2</v>
      </c>
      <c r="X1756" s="54" t="s">
        <v>2</v>
      </c>
      <c r="Y1756" s="54" t="s">
        <v>2</v>
      </c>
      <c r="Z1756" s="54" t="s">
        <v>2</v>
      </c>
      <c r="AA1756" s="54" t="s">
        <v>2</v>
      </c>
      <c r="AB1756" s="54" t="s">
        <v>2</v>
      </c>
      <c r="AC1756" s="54" t="s">
        <v>2</v>
      </c>
      <c r="AD1756" s="54" t="s">
        <v>2</v>
      </c>
      <c r="AE1756" s="54" t="s">
        <v>2</v>
      </c>
      <c r="AF1756" s="54" t="s">
        <v>2</v>
      </c>
      <c r="AG1756" s="54" t="s">
        <v>2</v>
      </c>
    </row>
    <row r="1757" ht="15.75" customHeight="1">
      <c r="B1757" s="56"/>
      <c r="U1757" s="46" t="str">
        <f t="array" ref="U1757">IF($D1757="","",IFERROR(_xlfn.XLOOKUP($D1757,'TIR店舗一覧'!$D:$D,'TIR店舗一覧'!$E:$E,""),""))</f>
        <v/>
      </c>
      <c r="V1757" s="54" t="s">
        <v>2</v>
      </c>
      <c r="W1757" s="54" t="s">
        <v>2</v>
      </c>
      <c r="X1757" s="54" t="s">
        <v>2</v>
      </c>
      <c r="Y1757" s="54" t="s">
        <v>2</v>
      </c>
      <c r="Z1757" s="54" t="s">
        <v>2</v>
      </c>
      <c r="AA1757" s="54" t="s">
        <v>2</v>
      </c>
      <c r="AB1757" s="54" t="s">
        <v>2</v>
      </c>
      <c r="AC1757" s="54" t="s">
        <v>2</v>
      </c>
      <c r="AD1757" s="54" t="s">
        <v>2</v>
      </c>
      <c r="AE1757" s="54" t="s">
        <v>2</v>
      </c>
      <c r="AF1757" s="54" t="s">
        <v>2</v>
      </c>
      <c r="AG1757" s="54" t="s">
        <v>2</v>
      </c>
    </row>
    <row r="1758" ht="15.75" customHeight="1">
      <c r="B1758" s="56"/>
      <c r="U1758" s="46" t="str">
        <f t="array" ref="U1758">IF($D1758="","",IFERROR(_xlfn.XLOOKUP($D1758,'TIR店舗一覧'!$D:$D,'TIR店舗一覧'!$E:$E,""),""))</f>
        <v/>
      </c>
      <c r="V1758" s="54" t="s">
        <v>2</v>
      </c>
      <c r="W1758" s="54" t="s">
        <v>2</v>
      </c>
      <c r="X1758" s="54" t="s">
        <v>2</v>
      </c>
      <c r="Y1758" s="54" t="s">
        <v>2</v>
      </c>
      <c r="Z1758" s="54" t="s">
        <v>2</v>
      </c>
      <c r="AA1758" s="54" t="s">
        <v>2</v>
      </c>
      <c r="AB1758" s="54" t="s">
        <v>2</v>
      </c>
      <c r="AC1758" s="54" t="s">
        <v>2</v>
      </c>
      <c r="AD1758" s="54" t="s">
        <v>2</v>
      </c>
      <c r="AE1758" s="54" t="s">
        <v>2</v>
      </c>
      <c r="AF1758" s="54" t="s">
        <v>2</v>
      </c>
      <c r="AG1758" s="54" t="s">
        <v>2</v>
      </c>
    </row>
    <row r="1759" ht="15.75" customHeight="1">
      <c r="B1759" s="56"/>
      <c r="U1759" s="46" t="str">
        <f t="array" ref="U1759">IF($D1759="","",IFERROR(_xlfn.XLOOKUP($D1759,'TIR店舗一覧'!$D:$D,'TIR店舗一覧'!$E:$E,""),""))</f>
        <v/>
      </c>
      <c r="V1759" s="54" t="s">
        <v>2</v>
      </c>
      <c r="W1759" s="54" t="s">
        <v>2</v>
      </c>
      <c r="X1759" s="54" t="s">
        <v>2</v>
      </c>
      <c r="Y1759" s="54" t="s">
        <v>2</v>
      </c>
      <c r="Z1759" s="54" t="s">
        <v>2</v>
      </c>
      <c r="AA1759" s="54" t="s">
        <v>2</v>
      </c>
      <c r="AB1759" s="54" t="s">
        <v>2</v>
      </c>
      <c r="AC1759" s="54" t="s">
        <v>2</v>
      </c>
      <c r="AD1759" s="54" t="s">
        <v>2</v>
      </c>
      <c r="AE1759" s="54" t="s">
        <v>2</v>
      </c>
      <c r="AF1759" s="54" t="s">
        <v>2</v>
      </c>
      <c r="AG1759" s="54" t="s">
        <v>2</v>
      </c>
    </row>
    <row r="1760" ht="15.75" customHeight="1">
      <c r="B1760" s="56"/>
      <c r="U1760" s="46" t="str">
        <f t="array" ref="U1760">IF($D1760="","",IFERROR(_xlfn.XLOOKUP($D1760,'TIR店舗一覧'!$D:$D,'TIR店舗一覧'!$E:$E,""),""))</f>
        <v/>
      </c>
      <c r="V1760" s="54" t="s">
        <v>2</v>
      </c>
      <c r="W1760" s="54" t="s">
        <v>2</v>
      </c>
      <c r="X1760" s="54" t="s">
        <v>2</v>
      </c>
      <c r="Y1760" s="54" t="s">
        <v>2</v>
      </c>
      <c r="Z1760" s="54" t="s">
        <v>2</v>
      </c>
      <c r="AA1760" s="54" t="s">
        <v>2</v>
      </c>
      <c r="AB1760" s="54" t="s">
        <v>2</v>
      </c>
      <c r="AC1760" s="54" t="s">
        <v>2</v>
      </c>
      <c r="AD1760" s="54" t="s">
        <v>2</v>
      </c>
      <c r="AE1760" s="54" t="s">
        <v>2</v>
      </c>
      <c r="AF1760" s="54" t="s">
        <v>2</v>
      </c>
      <c r="AG1760" s="54" t="s">
        <v>2</v>
      </c>
    </row>
    <row r="1761" ht="15.75" customHeight="1">
      <c r="B1761" s="56"/>
      <c r="U1761" s="46" t="str">
        <f t="array" ref="U1761">IF($D1761="","",IFERROR(_xlfn.XLOOKUP($D1761,'TIR店舗一覧'!$D:$D,'TIR店舗一覧'!$E:$E,""),""))</f>
        <v/>
      </c>
      <c r="V1761" s="54" t="s">
        <v>2</v>
      </c>
      <c r="W1761" s="54" t="s">
        <v>2</v>
      </c>
      <c r="X1761" s="54" t="s">
        <v>2</v>
      </c>
      <c r="Y1761" s="54" t="s">
        <v>2</v>
      </c>
      <c r="Z1761" s="54" t="s">
        <v>2</v>
      </c>
      <c r="AA1761" s="54" t="s">
        <v>2</v>
      </c>
      <c r="AB1761" s="54" t="s">
        <v>2</v>
      </c>
      <c r="AC1761" s="54" t="s">
        <v>2</v>
      </c>
      <c r="AD1761" s="54" t="s">
        <v>2</v>
      </c>
      <c r="AE1761" s="54" t="s">
        <v>2</v>
      </c>
      <c r="AF1761" s="54" t="s">
        <v>2</v>
      </c>
      <c r="AG1761" s="54" t="s">
        <v>2</v>
      </c>
    </row>
    <row r="1762" ht="15.75" customHeight="1">
      <c r="B1762" s="56"/>
      <c r="U1762" s="46" t="str">
        <f t="array" ref="U1762">IF($D1762="","",IFERROR(_xlfn.XLOOKUP($D1762,'TIR店舗一覧'!$D:$D,'TIR店舗一覧'!$E:$E,""),""))</f>
        <v/>
      </c>
      <c r="V1762" s="54" t="s">
        <v>2</v>
      </c>
      <c r="W1762" s="54" t="s">
        <v>2</v>
      </c>
      <c r="X1762" s="54" t="s">
        <v>2</v>
      </c>
      <c r="Y1762" s="54" t="s">
        <v>2</v>
      </c>
      <c r="Z1762" s="54" t="s">
        <v>2</v>
      </c>
      <c r="AA1762" s="54" t="s">
        <v>2</v>
      </c>
      <c r="AB1762" s="54" t="s">
        <v>2</v>
      </c>
      <c r="AC1762" s="54" t="s">
        <v>2</v>
      </c>
      <c r="AD1762" s="54" t="s">
        <v>2</v>
      </c>
      <c r="AE1762" s="54" t="s">
        <v>2</v>
      </c>
      <c r="AF1762" s="54" t="s">
        <v>2</v>
      </c>
      <c r="AG1762" s="54" t="s">
        <v>2</v>
      </c>
    </row>
    <row r="1763" ht="15.75" customHeight="1">
      <c r="B1763" s="56"/>
      <c r="U1763" s="46" t="str">
        <f t="array" ref="U1763">IF($D1763="","",IFERROR(_xlfn.XLOOKUP($D1763,'TIR店舗一覧'!$D:$D,'TIR店舗一覧'!$E:$E,""),""))</f>
        <v/>
      </c>
      <c r="V1763" s="54" t="s">
        <v>2</v>
      </c>
      <c r="W1763" s="54" t="s">
        <v>2</v>
      </c>
      <c r="X1763" s="54" t="s">
        <v>2</v>
      </c>
      <c r="Y1763" s="54" t="s">
        <v>2</v>
      </c>
      <c r="Z1763" s="54" t="s">
        <v>2</v>
      </c>
      <c r="AA1763" s="54" t="s">
        <v>2</v>
      </c>
      <c r="AB1763" s="54" t="s">
        <v>2</v>
      </c>
      <c r="AC1763" s="54" t="s">
        <v>2</v>
      </c>
      <c r="AD1763" s="54" t="s">
        <v>2</v>
      </c>
      <c r="AE1763" s="54" t="s">
        <v>2</v>
      </c>
      <c r="AF1763" s="54" t="s">
        <v>2</v>
      </c>
      <c r="AG1763" s="54" t="s">
        <v>2</v>
      </c>
    </row>
    <row r="1764" ht="15.75" customHeight="1">
      <c r="B1764" s="56"/>
      <c r="U1764" s="46" t="str">
        <f t="array" ref="U1764">IF($D1764="","",IFERROR(_xlfn.XLOOKUP($D1764,'TIR店舗一覧'!$D:$D,'TIR店舗一覧'!$E:$E,""),""))</f>
        <v/>
      </c>
      <c r="V1764" s="54" t="s">
        <v>2</v>
      </c>
      <c r="W1764" s="54" t="s">
        <v>2</v>
      </c>
      <c r="X1764" s="54" t="s">
        <v>2</v>
      </c>
      <c r="Y1764" s="54" t="s">
        <v>2</v>
      </c>
      <c r="Z1764" s="54" t="s">
        <v>2</v>
      </c>
      <c r="AA1764" s="54" t="s">
        <v>2</v>
      </c>
      <c r="AB1764" s="54" t="s">
        <v>2</v>
      </c>
      <c r="AC1764" s="54" t="s">
        <v>2</v>
      </c>
      <c r="AD1764" s="54" t="s">
        <v>2</v>
      </c>
      <c r="AE1764" s="54" t="s">
        <v>2</v>
      </c>
      <c r="AF1764" s="54" t="s">
        <v>2</v>
      </c>
      <c r="AG1764" s="54" t="s">
        <v>2</v>
      </c>
    </row>
    <row r="1765" ht="15.75" customHeight="1">
      <c r="B1765" s="56"/>
      <c r="U1765" s="46" t="str">
        <f t="array" ref="U1765">IF($D1765="","",IFERROR(_xlfn.XLOOKUP($D1765,'TIR店舗一覧'!$D:$D,'TIR店舗一覧'!$E:$E,""),""))</f>
        <v/>
      </c>
      <c r="V1765" s="54" t="s">
        <v>2</v>
      </c>
      <c r="W1765" s="54" t="s">
        <v>2</v>
      </c>
      <c r="X1765" s="54" t="s">
        <v>2</v>
      </c>
      <c r="Y1765" s="54" t="s">
        <v>2</v>
      </c>
      <c r="Z1765" s="54" t="s">
        <v>2</v>
      </c>
      <c r="AA1765" s="54" t="s">
        <v>2</v>
      </c>
      <c r="AB1765" s="54" t="s">
        <v>2</v>
      </c>
      <c r="AC1765" s="54" t="s">
        <v>2</v>
      </c>
      <c r="AD1765" s="54" t="s">
        <v>2</v>
      </c>
      <c r="AE1765" s="54" t="s">
        <v>2</v>
      </c>
      <c r="AF1765" s="54" t="s">
        <v>2</v>
      </c>
      <c r="AG1765" s="54" t="s">
        <v>2</v>
      </c>
    </row>
    <row r="1766" ht="15.75" customHeight="1">
      <c r="B1766" s="56"/>
      <c r="U1766" s="46" t="str">
        <f t="array" ref="U1766">IF($D1766="","",IFERROR(_xlfn.XLOOKUP($D1766,'TIR店舗一覧'!$D:$D,'TIR店舗一覧'!$E:$E,""),""))</f>
        <v/>
      </c>
      <c r="V1766" s="54" t="s">
        <v>2</v>
      </c>
      <c r="W1766" s="54" t="s">
        <v>2</v>
      </c>
      <c r="X1766" s="54" t="s">
        <v>2</v>
      </c>
      <c r="Y1766" s="54" t="s">
        <v>2</v>
      </c>
      <c r="Z1766" s="54" t="s">
        <v>2</v>
      </c>
      <c r="AA1766" s="54" t="s">
        <v>2</v>
      </c>
      <c r="AB1766" s="54" t="s">
        <v>2</v>
      </c>
      <c r="AC1766" s="54" t="s">
        <v>2</v>
      </c>
      <c r="AD1766" s="54" t="s">
        <v>2</v>
      </c>
      <c r="AE1766" s="54" t="s">
        <v>2</v>
      </c>
      <c r="AF1766" s="54" t="s">
        <v>2</v>
      </c>
      <c r="AG1766" s="54" t="s">
        <v>2</v>
      </c>
    </row>
    <row r="1767" ht="15.75" customHeight="1">
      <c r="B1767" s="56"/>
      <c r="U1767" s="46" t="str">
        <f t="array" ref="U1767">IF($D1767="","",IFERROR(_xlfn.XLOOKUP($D1767,'TIR店舗一覧'!$D:$D,'TIR店舗一覧'!$E:$E,""),""))</f>
        <v/>
      </c>
      <c r="V1767" s="54" t="s">
        <v>2</v>
      </c>
      <c r="W1767" s="54" t="s">
        <v>2</v>
      </c>
      <c r="X1767" s="54" t="s">
        <v>2</v>
      </c>
      <c r="Y1767" s="54" t="s">
        <v>2</v>
      </c>
      <c r="Z1767" s="54" t="s">
        <v>2</v>
      </c>
      <c r="AA1767" s="54" t="s">
        <v>2</v>
      </c>
      <c r="AB1767" s="54" t="s">
        <v>2</v>
      </c>
      <c r="AC1767" s="54" t="s">
        <v>2</v>
      </c>
      <c r="AD1767" s="54" t="s">
        <v>2</v>
      </c>
      <c r="AE1767" s="54" t="s">
        <v>2</v>
      </c>
      <c r="AF1767" s="54" t="s">
        <v>2</v>
      </c>
      <c r="AG1767" s="54" t="s">
        <v>2</v>
      </c>
    </row>
    <row r="1768" ht="15.75" customHeight="1">
      <c r="B1768" s="56"/>
      <c r="U1768" s="46" t="str">
        <f t="array" ref="U1768">IF($D1768="","",IFERROR(_xlfn.XLOOKUP($D1768,'TIR店舗一覧'!$D:$D,'TIR店舗一覧'!$E:$E,""),""))</f>
        <v/>
      </c>
      <c r="V1768" s="54" t="s">
        <v>2</v>
      </c>
      <c r="W1768" s="54" t="s">
        <v>2</v>
      </c>
      <c r="X1768" s="54" t="s">
        <v>2</v>
      </c>
      <c r="Y1768" s="54" t="s">
        <v>2</v>
      </c>
      <c r="Z1768" s="54" t="s">
        <v>2</v>
      </c>
      <c r="AA1768" s="54" t="s">
        <v>2</v>
      </c>
      <c r="AB1768" s="54" t="s">
        <v>2</v>
      </c>
      <c r="AC1768" s="54" t="s">
        <v>2</v>
      </c>
      <c r="AD1768" s="54" t="s">
        <v>2</v>
      </c>
      <c r="AE1768" s="54" t="s">
        <v>2</v>
      </c>
      <c r="AF1768" s="54" t="s">
        <v>2</v>
      </c>
      <c r="AG1768" s="54" t="s">
        <v>2</v>
      </c>
    </row>
    <row r="1769" ht="15.75" customHeight="1">
      <c r="B1769" s="56"/>
      <c r="U1769" s="46" t="str">
        <f t="array" ref="U1769">IF($D1769="","",IFERROR(_xlfn.XLOOKUP($D1769,'TIR店舗一覧'!$D:$D,'TIR店舗一覧'!$E:$E,""),""))</f>
        <v/>
      </c>
      <c r="V1769" s="54" t="s">
        <v>2</v>
      </c>
      <c r="W1769" s="54" t="s">
        <v>2</v>
      </c>
      <c r="X1769" s="54" t="s">
        <v>2</v>
      </c>
      <c r="Y1769" s="54" t="s">
        <v>2</v>
      </c>
      <c r="Z1769" s="54" t="s">
        <v>2</v>
      </c>
      <c r="AA1769" s="54" t="s">
        <v>2</v>
      </c>
      <c r="AB1769" s="54" t="s">
        <v>2</v>
      </c>
      <c r="AC1769" s="54" t="s">
        <v>2</v>
      </c>
      <c r="AD1769" s="54" t="s">
        <v>2</v>
      </c>
      <c r="AE1769" s="54" t="s">
        <v>2</v>
      </c>
      <c r="AF1769" s="54" t="s">
        <v>2</v>
      </c>
      <c r="AG1769" s="54" t="s">
        <v>2</v>
      </c>
    </row>
    <row r="1770" ht="15.75" customHeight="1">
      <c r="B1770" s="56"/>
      <c r="U1770" s="46" t="str">
        <f t="array" ref="U1770">IF($D1770="","",IFERROR(_xlfn.XLOOKUP($D1770,'TIR店舗一覧'!$D:$D,'TIR店舗一覧'!$E:$E,""),""))</f>
        <v/>
      </c>
      <c r="V1770" s="54" t="s">
        <v>2</v>
      </c>
      <c r="W1770" s="54" t="s">
        <v>2</v>
      </c>
      <c r="X1770" s="54" t="s">
        <v>2</v>
      </c>
      <c r="Y1770" s="54" t="s">
        <v>2</v>
      </c>
      <c r="Z1770" s="54" t="s">
        <v>2</v>
      </c>
      <c r="AA1770" s="54" t="s">
        <v>2</v>
      </c>
      <c r="AB1770" s="54" t="s">
        <v>2</v>
      </c>
      <c r="AC1770" s="54" t="s">
        <v>2</v>
      </c>
      <c r="AD1770" s="54" t="s">
        <v>2</v>
      </c>
      <c r="AE1770" s="54" t="s">
        <v>2</v>
      </c>
      <c r="AF1770" s="54" t="s">
        <v>2</v>
      </c>
      <c r="AG1770" s="54" t="s">
        <v>2</v>
      </c>
    </row>
    <row r="1771" ht="15.75" customHeight="1">
      <c r="B1771" s="56"/>
      <c r="U1771" s="46" t="str">
        <f t="array" ref="U1771">IF($D1771="","",IFERROR(_xlfn.XLOOKUP($D1771,'TIR店舗一覧'!$D:$D,'TIR店舗一覧'!$E:$E,""),""))</f>
        <v/>
      </c>
      <c r="V1771" s="54" t="s">
        <v>2</v>
      </c>
      <c r="W1771" s="54" t="s">
        <v>2</v>
      </c>
      <c r="X1771" s="54" t="s">
        <v>2</v>
      </c>
      <c r="Y1771" s="54" t="s">
        <v>2</v>
      </c>
      <c r="Z1771" s="54" t="s">
        <v>2</v>
      </c>
      <c r="AA1771" s="54" t="s">
        <v>2</v>
      </c>
      <c r="AB1771" s="54" t="s">
        <v>2</v>
      </c>
      <c r="AC1771" s="54" t="s">
        <v>2</v>
      </c>
      <c r="AD1771" s="54" t="s">
        <v>2</v>
      </c>
      <c r="AE1771" s="54" t="s">
        <v>2</v>
      </c>
      <c r="AF1771" s="54" t="s">
        <v>2</v>
      </c>
      <c r="AG1771" s="54" t="s">
        <v>2</v>
      </c>
    </row>
    <row r="1772" ht="15.75" customHeight="1">
      <c r="B1772" s="56"/>
      <c r="U1772" s="46" t="str">
        <f t="array" ref="U1772">IF($D1772="","",IFERROR(_xlfn.XLOOKUP($D1772,'TIR店舗一覧'!$D:$D,'TIR店舗一覧'!$E:$E,""),""))</f>
        <v/>
      </c>
      <c r="V1772" s="54" t="s">
        <v>2</v>
      </c>
      <c r="W1772" s="54" t="s">
        <v>2</v>
      </c>
      <c r="X1772" s="54" t="s">
        <v>2</v>
      </c>
      <c r="Y1772" s="54" t="s">
        <v>2</v>
      </c>
      <c r="Z1772" s="54" t="s">
        <v>2</v>
      </c>
      <c r="AA1772" s="54" t="s">
        <v>2</v>
      </c>
      <c r="AB1772" s="54" t="s">
        <v>2</v>
      </c>
      <c r="AC1772" s="54" t="s">
        <v>2</v>
      </c>
      <c r="AD1772" s="54" t="s">
        <v>2</v>
      </c>
      <c r="AE1772" s="54" t="s">
        <v>2</v>
      </c>
      <c r="AF1772" s="54" t="s">
        <v>2</v>
      </c>
      <c r="AG1772" s="54" t="s">
        <v>2</v>
      </c>
    </row>
    <row r="1773" ht="15.75" customHeight="1">
      <c r="B1773" s="56"/>
      <c r="U1773" s="46" t="str">
        <f t="array" ref="U1773">IF($D1773="","",IFERROR(_xlfn.XLOOKUP($D1773,'TIR店舗一覧'!$D:$D,'TIR店舗一覧'!$E:$E,""),""))</f>
        <v/>
      </c>
      <c r="V1773" s="54" t="s">
        <v>2</v>
      </c>
      <c r="W1773" s="54" t="s">
        <v>2</v>
      </c>
      <c r="X1773" s="54" t="s">
        <v>2</v>
      </c>
      <c r="Y1773" s="54" t="s">
        <v>2</v>
      </c>
      <c r="Z1773" s="54" t="s">
        <v>2</v>
      </c>
      <c r="AA1773" s="54" t="s">
        <v>2</v>
      </c>
      <c r="AB1773" s="54" t="s">
        <v>2</v>
      </c>
      <c r="AC1773" s="54" t="s">
        <v>2</v>
      </c>
      <c r="AD1773" s="54" t="s">
        <v>2</v>
      </c>
      <c r="AE1773" s="54" t="s">
        <v>2</v>
      </c>
      <c r="AF1773" s="54" t="s">
        <v>2</v>
      </c>
      <c r="AG1773" s="54" t="s">
        <v>2</v>
      </c>
    </row>
    <row r="1774" ht="15.75" customHeight="1">
      <c r="B1774" s="56"/>
      <c r="U1774" s="46" t="str">
        <f t="array" ref="U1774">IF($D1774="","",IFERROR(_xlfn.XLOOKUP($D1774,'TIR店舗一覧'!$D:$D,'TIR店舗一覧'!$E:$E,""),""))</f>
        <v/>
      </c>
      <c r="V1774" s="54" t="s">
        <v>2</v>
      </c>
      <c r="W1774" s="54" t="s">
        <v>2</v>
      </c>
      <c r="X1774" s="54" t="s">
        <v>2</v>
      </c>
      <c r="Y1774" s="54" t="s">
        <v>2</v>
      </c>
      <c r="Z1774" s="54" t="s">
        <v>2</v>
      </c>
      <c r="AA1774" s="54" t="s">
        <v>2</v>
      </c>
      <c r="AB1774" s="54" t="s">
        <v>2</v>
      </c>
      <c r="AC1774" s="54" t="s">
        <v>2</v>
      </c>
      <c r="AD1774" s="54" t="s">
        <v>2</v>
      </c>
      <c r="AE1774" s="54" t="s">
        <v>2</v>
      </c>
      <c r="AF1774" s="54" t="s">
        <v>2</v>
      </c>
      <c r="AG1774" s="54" t="s">
        <v>2</v>
      </c>
    </row>
    <row r="1775" ht="15.75" customHeight="1">
      <c r="B1775" s="56"/>
      <c r="U1775" s="46" t="str">
        <f t="array" ref="U1775">IF($D1775="","",IFERROR(_xlfn.XLOOKUP($D1775,'TIR店舗一覧'!$D:$D,'TIR店舗一覧'!$E:$E,""),""))</f>
        <v/>
      </c>
      <c r="V1775" s="54" t="s">
        <v>2</v>
      </c>
      <c r="W1775" s="54" t="s">
        <v>2</v>
      </c>
      <c r="X1775" s="54" t="s">
        <v>2</v>
      </c>
      <c r="Y1775" s="54" t="s">
        <v>2</v>
      </c>
      <c r="Z1775" s="54" t="s">
        <v>2</v>
      </c>
      <c r="AA1775" s="54" t="s">
        <v>2</v>
      </c>
      <c r="AB1775" s="54" t="s">
        <v>2</v>
      </c>
      <c r="AC1775" s="54" t="s">
        <v>2</v>
      </c>
      <c r="AD1775" s="54" t="s">
        <v>2</v>
      </c>
      <c r="AE1775" s="54" t="s">
        <v>2</v>
      </c>
      <c r="AF1775" s="54" t="s">
        <v>2</v>
      </c>
      <c r="AG1775" s="54" t="s">
        <v>2</v>
      </c>
    </row>
    <row r="1776" ht="15.75" customHeight="1">
      <c r="B1776" s="56"/>
      <c r="U1776" s="46" t="str">
        <f t="array" ref="U1776">IF($D1776="","",IFERROR(_xlfn.XLOOKUP($D1776,'TIR店舗一覧'!$D:$D,'TIR店舗一覧'!$E:$E,""),""))</f>
        <v/>
      </c>
      <c r="V1776" s="54" t="s">
        <v>2</v>
      </c>
      <c r="W1776" s="54" t="s">
        <v>2</v>
      </c>
      <c r="X1776" s="54" t="s">
        <v>2</v>
      </c>
      <c r="Y1776" s="54" t="s">
        <v>2</v>
      </c>
      <c r="Z1776" s="54" t="s">
        <v>2</v>
      </c>
      <c r="AA1776" s="54" t="s">
        <v>2</v>
      </c>
      <c r="AB1776" s="54" t="s">
        <v>2</v>
      </c>
      <c r="AC1776" s="54" t="s">
        <v>2</v>
      </c>
      <c r="AD1776" s="54" t="s">
        <v>2</v>
      </c>
      <c r="AE1776" s="54" t="s">
        <v>2</v>
      </c>
      <c r="AF1776" s="54" t="s">
        <v>2</v>
      </c>
      <c r="AG1776" s="54" t="s">
        <v>2</v>
      </c>
    </row>
    <row r="1777" ht="15.75" customHeight="1">
      <c r="B1777" s="56"/>
      <c r="U1777" s="46" t="str">
        <f t="array" ref="U1777">IF($D1777="","",IFERROR(_xlfn.XLOOKUP($D1777,'TIR店舗一覧'!$D:$D,'TIR店舗一覧'!$E:$E,""),""))</f>
        <v/>
      </c>
      <c r="V1777" s="54" t="s">
        <v>2</v>
      </c>
      <c r="W1777" s="54" t="s">
        <v>2</v>
      </c>
      <c r="X1777" s="54" t="s">
        <v>2</v>
      </c>
      <c r="Y1777" s="54" t="s">
        <v>2</v>
      </c>
      <c r="Z1777" s="54" t="s">
        <v>2</v>
      </c>
      <c r="AA1777" s="54" t="s">
        <v>2</v>
      </c>
      <c r="AB1777" s="54" t="s">
        <v>2</v>
      </c>
      <c r="AC1777" s="54" t="s">
        <v>2</v>
      </c>
      <c r="AD1777" s="54" t="s">
        <v>2</v>
      </c>
      <c r="AE1777" s="54" t="s">
        <v>2</v>
      </c>
      <c r="AF1777" s="54" t="s">
        <v>2</v>
      </c>
      <c r="AG1777" s="54" t="s">
        <v>2</v>
      </c>
    </row>
    <row r="1778" ht="15.75" customHeight="1">
      <c r="B1778" s="56"/>
      <c r="U1778" s="46" t="str">
        <f t="array" ref="U1778">IF($D1778="","",IFERROR(_xlfn.XLOOKUP($D1778,'TIR店舗一覧'!$D:$D,'TIR店舗一覧'!$E:$E,""),""))</f>
        <v/>
      </c>
      <c r="V1778" s="54" t="s">
        <v>2</v>
      </c>
      <c r="W1778" s="54" t="s">
        <v>2</v>
      </c>
      <c r="X1778" s="54" t="s">
        <v>2</v>
      </c>
      <c r="Y1778" s="54" t="s">
        <v>2</v>
      </c>
      <c r="Z1778" s="54" t="s">
        <v>2</v>
      </c>
      <c r="AA1778" s="54" t="s">
        <v>2</v>
      </c>
      <c r="AB1778" s="54" t="s">
        <v>2</v>
      </c>
      <c r="AC1778" s="54" t="s">
        <v>2</v>
      </c>
      <c r="AD1778" s="54" t="s">
        <v>2</v>
      </c>
      <c r="AE1778" s="54" t="s">
        <v>2</v>
      </c>
      <c r="AF1778" s="54" t="s">
        <v>2</v>
      </c>
      <c r="AG1778" s="54" t="s">
        <v>2</v>
      </c>
    </row>
    <row r="1779" ht="15.75" customHeight="1">
      <c r="B1779" s="56"/>
      <c r="U1779" s="46" t="str">
        <f t="array" ref="U1779">IF($D1779="","",IFERROR(_xlfn.XLOOKUP($D1779,'TIR店舗一覧'!$D:$D,'TIR店舗一覧'!$E:$E,""),""))</f>
        <v/>
      </c>
      <c r="V1779" s="54" t="s">
        <v>2</v>
      </c>
      <c r="W1779" s="54" t="s">
        <v>2</v>
      </c>
      <c r="X1779" s="54" t="s">
        <v>2</v>
      </c>
      <c r="Y1779" s="54" t="s">
        <v>2</v>
      </c>
      <c r="Z1779" s="54" t="s">
        <v>2</v>
      </c>
      <c r="AA1779" s="54" t="s">
        <v>2</v>
      </c>
      <c r="AB1779" s="54" t="s">
        <v>2</v>
      </c>
      <c r="AC1779" s="54" t="s">
        <v>2</v>
      </c>
      <c r="AD1779" s="54" t="s">
        <v>2</v>
      </c>
      <c r="AE1779" s="54" t="s">
        <v>2</v>
      </c>
      <c r="AF1779" s="54" t="s">
        <v>2</v>
      </c>
      <c r="AG1779" s="54" t="s">
        <v>2</v>
      </c>
    </row>
    <row r="1780" ht="15.75" customHeight="1">
      <c r="B1780" s="56"/>
      <c r="U1780" s="46" t="str">
        <f t="array" ref="U1780">IF($D1780="","",IFERROR(_xlfn.XLOOKUP($D1780,'TIR店舗一覧'!$D:$D,'TIR店舗一覧'!$E:$E,""),""))</f>
        <v/>
      </c>
      <c r="V1780" s="54" t="s">
        <v>2</v>
      </c>
      <c r="W1780" s="54" t="s">
        <v>2</v>
      </c>
      <c r="X1780" s="54" t="s">
        <v>2</v>
      </c>
      <c r="Y1780" s="54" t="s">
        <v>2</v>
      </c>
      <c r="Z1780" s="54" t="s">
        <v>2</v>
      </c>
      <c r="AA1780" s="54" t="s">
        <v>2</v>
      </c>
      <c r="AB1780" s="54" t="s">
        <v>2</v>
      </c>
      <c r="AC1780" s="54" t="s">
        <v>2</v>
      </c>
      <c r="AD1780" s="54" t="s">
        <v>2</v>
      </c>
      <c r="AE1780" s="54" t="s">
        <v>2</v>
      </c>
      <c r="AF1780" s="54" t="s">
        <v>2</v>
      </c>
      <c r="AG1780" s="54" t="s">
        <v>2</v>
      </c>
    </row>
    <row r="1781" ht="15.75" customHeight="1">
      <c r="B1781" s="56"/>
      <c r="U1781" s="46" t="str">
        <f t="array" ref="U1781">IF($D1781="","",IFERROR(_xlfn.XLOOKUP($D1781,'TIR店舗一覧'!$D:$D,'TIR店舗一覧'!$E:$E,""),""))</f>
        <v/>
      </c>
      <c r="V1781" s="54" t="s">
        <v>2</v>
      </c>
      <c r="W1781" s="54" t="s">
        <v>2</v>
      </c>
      <c r="X1781" s="54" t="s">
        <v>2</v>
      </c>
      <c r="Y1781" s="54" t="s">
        <v>2</v>
      </c>
      <c r="Z1781" s="54" t="s">
        <v>2</v>
      </c>
      <c r="AA1781" s="54" t="s">
        <v>2</v>
      </c>
      <c r="AB1781" s="54" t="s">
        <v>2</v>
      </c>
      <c r="AC1781" s="54" t="s">
        <v>2</v>
      </c>
      <c r="AD1781" s="54" t="s">
        <v>2</v>
      </c>
      <c r="AE1781" s="54" t="s">
        <v>2</v>
      </c>
      <c r="AF1781" s="54" t="s">
        <v>2</v>
      </c>
      <c r="AG1781" s="54" t="s">
        <v>2</v>
      </c>
    </row>
    <row r="1782" ht="15.75" customHeight="1">
      <c r="B1782" s="56"/>
      <c r="U1782" s="46" t="str">
        <f t="array" ref="U1782">IF($D1782="","",IFERROR(_xlfn.XLOOKUP($D1782,'TIR店舗一覧'!$D:$D,'TIR店舗一覧'!$E:$E,""),""))</f>
        <v/>
      </c>
      <c r="V1782" s="54" t="s">
        <v>2</v>
      </c>
      <c r="W1782" s="54" t="s">
        <v>2</v>
      </c>
      <c r="X1782" s="54" t="s">
        <v>2</v>
      </c>
      <c r="Y1782" s="54" t="s">
        <v>2</v>
      </c>
      <c r="Z1782" s="54" t="s">
        <v>2</v>
      </c>
      <c r="AA1782" s="54" t="s">
        <v>2</v>
      </c>
      <c r="AB1782" s="54" t="s">
        <v>2</v>
      </c>
      <c r="AC1782" s="54" t="s">
        <v>2</v>
      </c>
      <c r="AD1782" s="54" t="s">
        <v>2</v>
      </c>
      <c r="AE1782" s="54" t="s">
        <v>2</v>
      </c>
      <c r="AF1782" s="54" t="s">
        <v>2</v>
      </c>
      <c r="AG1782" s="54" t="s">
        <v>2</v>
      </c>
    </row>
    <row r="1783" ht="15.75" customHeight="1">
      <c r="B1783" s="56"/>
      <c r="U1783" s="46" t="str">
        <f t="array" ref="U1783">IF($D1783="","",IFERROR(_xlfn.XLOOKUP($D1783,'TIR店舗一覧'!$D:$D,'TIR店舗一覧'!$E:$E,""),""))</f>
        <v/>
      </c>
      <c r="V1783" s="54" t="s">
        <v>2</v>
      </c>
      <c r="W1783" s="54" t="s">
        <v>2</v>
      </c>
      <c r="X1783" s="54" t="s">
        <v>2</v>
      </c>
      <c r="Y1783" s="54" t="s">
        <v>2</v>
      </c>
      <c r="Z1783" s="54" t="s">
        <v>2</v>
      </c>
      <c r="AA1783" s="54" t="s">
        <v>2</v>
      </c>
      <c r="AB1783" s="54" t="s">
        <v>2</v>
      </c>
      <c r="AC1783" s="54" t="s">
        <v>2</v>
      </c>
      <c r="AD1783" s="54" t="s">
        <v>2</v>
      </c>
      <c r="AE1783" s="54" t="s">
        <v>2</v>
      </c>
      <c r="AF1783" s="54" t="s">
        <v>2</v>
      </c>
      <c r="AG1783" s="54" t="s">
        <v>2</v>
      </c>
    </row>
    <row r="1784" ht="15.75" customHeight="1">
      <c r="B1784" s="56"/>
      <c r="U1784" s="46" t="str">
        <f t="array" ref="U1784">IF($D1784="","",IFERROR(_xlfn.XLOOKUP($D1784,'TIR店舗一覧'!$D:$D,'TIR店舗一覧'!$E:$E,""),""))</f>
        <v/>
      </c>
      <c r="V1784" s="54" t="s">
        <v>2</v>
      </c>
      <c r="W1784" s="54" t="s">
        <v>2</v>
      </c>
      <c r="X1784" s="54" t="s">
        <v>2</v>
      </c>
      <c r="Y1784" s="54" t="s">
        <v>2</v>
      </c>
      <c r="Z1784" s="54" t="s">
        <v>2</v>
      </c>
      <c r="AA1784" s="54" t="s">
        <v>2</v>
      </c>
      <c r="AB1784" s="54" t="s">
        <v>2</v>
      </c>
      <c r="AC1784" s="54" t="s">
        <v>2</v>
      </c>
      <c r="AD1784" s="54" t="s">
        <v>2</v>
      </c>
      <c r="AE1784" s="54" t="s">
        <v>2</v>
      </c>
      <c r="AF1784" s="54" t="s">
        <v>2</v>
      </c>
      <c r="AG1784" s="54" t="s">
        <v>2</v>
      </c>
    </row>
    <row r="1785" ht="15.75" customHeight="1">
      <c r="B1785" s="56"/>
      <c r="U1785" s="46" t="str">
        <f t="array" ref="U1785">IF($D1785="","",IFERROR(_xlfn.XLOOKUP($D1785,'TIR店舗一覧'!$D:$D,'TIR店舗一覧'!$E:$E,""),""))</f>
        <v/>
      </c>
      <c r="V1785" s="54" t="s">
        <v>2</v>
      </c>
      <c r="W1785" s="54" t="s">
        <v>2</v>
      </c>
      <c r="X1785" s="54" t="s">
        <v>2</v>
      </c>
      <c r="Y1785" s="54" t="s">
        <v>2</v>
      </c>
      <c r="Z1785" s="54" t="s">
        <v>2</v>
      </c>
      <c r="AA1785" s="54" t="s">
        <v>2</v>
      </c>
      <c r="AB1785" s="54" t="s">
        <v>2</v>
      </c>
      <c r="AC1785" s="54" t="s">
        <v>2</v>
      </c>
      <c r="AD1785" s="54" t="s">
        <v>2</v>
      </c>
      <c r="AE1785" s="54" t="s">
        <v>2</v>
      </c>
      <c r="AF1785" s="54" t="s">
        <v>2</v>
      </c>
      <c r="AG1785" s="54" t="s">
        <v>2</v>
      </c>
    </row>
    <row r="1786" ht="15.75" customHeight="1">
      <c r="B1786" s="56"/>
      <c r="U1786" s="46" t="str">
        <f t="array" ref="U1786">IF($D1786="","",IFERROR(_xlfn.XLOOKUP($D1786,'TIR店舗一覧'!$D:$D,'TIR店舗一覧'!$E:$E,""),""))</f>
        <v/>
      </c>
      <c r="V1786" s="54" t="s">
        <v>2</v>
      </c>
      <c r="W1786" s="54" t="s">
        <v>2</v>
      </c>
      <c r="X1786" s="54" t="s">
        <v>2</v>
      </c>
      <c r="Y1786" s="54" t="s">
        <v>2</v>
      </c>
      <c r="Z1786" s="54" t="s">
        <v>2</v>
      </c>
      <c r="AA1786" s="54" t="s">
        <v>2</v>
      </c>
      <c r="AB1786" s="54" t="s">
        <v>2</v>
      </c>
      <c r="AC1786" s="54" t="s">
        <v>2</v>
      </c>
      <c r="AD1786" s="54" t="s">
        <v>2</v>
      </c>
      <c r="AE1786" s="54" t="s">
        <v>2</v>
      </c>
      <c r="AF1786" s="54" t="s">
        <v>2</v>
      </c>
      <c r="AG1786" s="54" t="s">
        <v>2</v>
      </c>
    </row>
    <row r="1787" ht="15.75" customHeight="1">
      <c r="B1787" s="56"/>
      <c r="U1787" s="46" t="str">
        <f t="array" ref="U1787">IF($D1787="","",IFERROR(_xlfn.XLOOKUP($D1787,'TIR店舗一覧'!$D:$D,'TIR店舗一覧'!$E:$E,""),""))</f>
        <v/>
      </c>
      <c r="V1787" s="54" t="s">
        <v>2</v>
      </c>
      <c r="W1787" s="54" t="s">
        <v>2</v>
      </c>
      <c r="X1787" s="54" t="s">
        <v>2</v>
      </c>
      <c r="Y1787" s="54" t="s">
        <v>2</v>
      </c>
      <c r="Z1787" s="54" t="s">
        <v>2</v>
      </c>
      <c r="AA1787" s="54" t="s">
        <v>2</v>
      </c>
      <c r="AB1787" s="54" t="s">
        <v>2</v>
      </c>
      <c r="AC1787" s="54" t="s">
        <v>2</v>
      </c>
      <c r="AD1787" s="54" t="s">
        <v>2</v>
      </c>
      <c r="AE1787" s="54" t="s">
        <v>2</v>
      </c>
      <c r="AF1787" s="54" t="s">
        <v>2</v>
      </c>
      <c r="AG1787" s="54" t="s">
        <v>2</v>
      </c>
    </row>
    <row r="1788" ht="15.75" customHeight="1">
      <c r="B1788" s="56"/>
      <c r="U1788" s="46" t="str">
        <f t="array" ref="U1788">IF($D1788="","",IFERROR(_xlfn.XLOOKUP($D1788,'TIR店舗一覧'!$D:$D,'TIR店舗一覧'!$E:$E,""),""))</f>
        <v/>
      </c>
      <c r="V1788" s="54" t="s">
        <v>2</v>
      </c>
      <c r="W1788" s="54" t="s">
        <v>2</v>
      </c>
      <c r="X1788" s="54" t="s">
        <v>2</v>
      </c>
      <c r="Y1788" s="54" t="s">
        <v>2</v>
      </c>
      <c r="Z1788" s="54" t="s">
        <v>2</v>
      </c>
      <c r="AA1788" s="54" t="s">
        <v>2</v>
      </c>
      <c r="AB1788" s="54" t="s">
        <v>2</v>
      </c>
      <c r="AC1788" s="54" t="s">
        <v>2</v>
      </c>
      <c r="AD1788" s="54" t="s">
        <v>2</v>
      </c>
      <c r="AE1788" s="54" t="s">
        <v>2</v>
      </c>
      <c r="AF1788" s="54" t="s">
        <v>2</v>
      </c>
      <c r="AG1788" s="54" t="s">
        <v>2</v>
      </c>
    </row>
    <row r="1789" ht="15.75" customHeight="1">
      <c r="B1789" s="56"/>
      <c r="U1789" s="46" t="str">
        <f t="array" ref="U1789">IF($D1789="","",IFERROR(_xlfn.XLOOKUP($D1789,'TIR店舗一覧'!$D:$D,'TIR店舗一覧'!$E:$E,""),""))</f>
        <v/>
      </c>
      <c r="V1789" s="54" t="s">
        <v>2</v>
      </c>
      <c r="W1789" s="54" t="s">
        <v>2</v>
      </c>
      <c r="X1789" s="54" t="s">
        <v>2</v>
      </c>
      <c r="Y1789" s="54" t="s">
        <v>2</v>
      </c>
      <c r="Z1789" s="54" t="s">
        <v>2</v>
      </c>
      <c r="AA1789" s="54" t="s">
        <v>2</v>
      </c>
      <c r="AB1789" s="54" t="s">
        <v>2</v>
      </c>
      <c r="AC1789" s="54" t="s">
        <v>2</v>
      </c>
      <c r="AD1789" s="54" t="s">
        <v>2</v>
      </c>
      <c r="AE1789" s="54" t="s">
        <v>2</v>
      </c>
      <c r="AF1789" s="54" t="s">
        <v>2</v>
      </c>
      <c r="AG1789" s="54" t="s">
        <v>2</v>
      </c>
    </row>
    <row r="1790" ht="15.75" customHeight="1">
      <c r="B1790" s="56"/>
      <c r="U1790" s="46" t="str">
        <f t="array" ref="U1790">IF($D1790="","",IFERROR(_xlfn.XLOOKUP($D1790,'TIR店舗一覧'!$D:$D,'TIR店舗一覧'!$E:$E,""),""))</f>
        <v/>
      </c>
      <c r="V1790" s="54" t="s">
        <v>2</v>
      </c>
      <c r="W1790" s="54" t="s">
        <v>2</v>
      </c>
      <c r="X1790" s="54" t="s">
        <v>2</v>
      </c>
      <c r="Y1790" s="54" t="s">
        <v>2</v>
      </c>
      <c r="Z1790" s="54" t="s">
        <v>2</v>
      </c>
      <c r="AA1790" s="54" t="s">
        <v>2</v>
      </c>
      <c r="AB1790" s="54" t="s">
        <v>2</v>
      </c>
      <c r="AC1790" s="54" t="s">
        <v>2</v>
      </c>
      <c r="AD1790" s="54" t="s">
        <v>2</v>
      </c>
      <c r="AE1790" s="54" t="s">
        <v>2</v>
      </c>
      <c r="AF1790" s="54" t="s">
        <v>2</v>
      </c>
      <c r="AG1790" s="54" t="s">
        <v>2</v>
      </c>
    </row>
    <row r="1791" ht="15.75" customHeight="1">
      <c r="B1791" s="56"/>
      <c r="U1791" s="46" t="str">
        <f t="array" ref="U1791">IF($D1791="","",IFERROR(_xlfn.XLOOKUP($D1791,'TIR店舗一覧'!$D:$D,'TIR店舗一覧'!$E:$E,""),""))</f>
        <v/>
      </c>
      <c r="V1791" s="54" t="s">
        <v>2</v>
      </c>
      <c r="W1791" s="54" t="s">
        <v>2</v>
      </c>
      <c r="X1791" s="54" t="s">
        <v>2</v>
      </c>
      <c r="Y1791" s="54" t="s">
        <v>2</v>
      </c>
      <c r="Z1791" s="54" t="s">
        <v>2</v>
      </c>
      <c r="AA1791" s="54" t="s">
        <v>2</v>
      </c>
      <c r="AB1791" s="54" t="s">
        <v>2</v>
      </c>
      <c r="AC1791" s="54" t="s">
        <v>2</v>
      </c>
      <c r="AD1791" s="54" t="s">
        <v>2</v>
      </c>
      <c r="AE1791" s="54" t="s">
        <v>2</v>
      </c>
      <c r="AF1791" s="54" t="s">
        <v>2</v>
      </c>
      <c r="AG1791" s="54" t="s">
        <v>2</v>
      </c>
    </row>
    <row r="1792" ht="15.75" customHeight="1">
      <c r="B1792" s="56"/>
      <c r="U1792" s="46" t="str">
        <f t="array" ref="U1792">IF($D1792="","",IFERROR(_xlfn.XLOOKUP($D1792,'TIR店舗一覧'!$D:$D,'TIR店舗一覧'!$E:$E,""),""))</f>
        <v/>
      </c>
      <c r="V1792" s="54" t="s">
        <v>2</v>
      </c>
      <c r="W1792" s="54" t="s">
        <v>2</v>
      </c>
      <c r="X1792" s="54" t="s">
        <v>2</v>
      </c>
      <c r="Y1792" s="54" t="s">
        <v>2</v>
      </c>
      <c r="Z1792" s="54" t="s">
        <v>2</v>
      </c>
      <c r="AA1792" s="54" t="s">
        <v>2</v>
      </c>
      <c r="AB1792" s="54" t="s">
        <v>2</v>
      </c>
      <c r="AC1792" s="54" t="s">
        <v>2</v>
      </c>
      <c r="AD1792" s="54" t="s">
        <v>2</v>
      </c>
      <c r="AE1792" s="54" t="s">
        <v>2</v>
      </c>
      <c r="AF1792" s="54" t="s">
        <v>2</v>
      </c>
      <c r="AG1792" s="54" t="s">
        <v>2</v>
      </c>
    </row>
    <row r="1793" ht="15.75" customHeight="1">
      <c r="B1793" s="56"/>
      <c r="U1793" s="46" t="str">
        <f t="array" ref="U1793">IF($D1793="","",IFERROR(_xlfn.XLOOKUP($D1793,'TIR店舗一覧'!$D:$D,'TIR店舗一覧'!$E:$E,""),""))</f>
        <v/>
      </c>
      <c r="V1793" s="54" t="s">
        <v>2</v>
      </c>
      <c r="W1793" s="54" t="s">
        <v>2</v>
      </c>
      <c r="X1793" s="54" t="s">
        <v>2</v>
      </c>
      <c r="Y1793" s="54" t="s">
        <v>2</v>
      </c>
      <c r="Z1793" s="54" t="s">
        <v>2</v>
      </c>
      <c r="AA1793" s="54" t="s">
        <v>2</v>
      </c>
      <c r="AB1793" s="54" t="s">
        <v>2</v>
      </c>
      <c r="AC1793" s="54" t="s">
        <v>2</v>
      </c>
      <c r="AD1793" s="54" t="s">
        <v>2</v>
      </c>
      <c r="AE1793" s="54" t="s">
        <v>2</v>
      </c>
      <c r="AF1793" s="54" t="s">
        <v>2</v>
      </c>
      <c r="AG1793" s="54" t="s">
        <v>2</v>
      </c>
    </row>
    <row r="1794" ht="15.75" customHeight="1">
      <c r="B1794" s="56"/>
      <c r="U1794" s="46" t="str">
        <f t="array" ref="U1794">IF($D1794="","",IFERROR(_xlfn.XLOOKUP($D1794,'TIR店舗一覧'!$D:$D,'TIR店舗一覧'!$E:$E,""),""))</f>
        <v/>
      </c>
      <c r="V1794" s="54" t="s">
        <v>2</v>
      </c>
      <c r="W1794" s="54" t="s">
        <v>2</v>
      </c>
      <c r="X1794" s="54" t="s">
        <v>2</v>
      </c>
      <c r="Y1794" s="54" t="s">
        <v>2</v>
      </c>
      <c r="Z1794" s="54" t="s">
        <v>2</v>
      </c>
      <c r="AA1794" s="54" t="s">
        <v>2</v>
      </c>
      <c r="AB1794" s="54" t="s">
        <v>2</v>
      </c>
      <c r="AC1794" s="54" t="s">
        <v>2</v>
      </c>
      <c r="AD1794" s="54" t="s">
        <v>2</v>
      </c>
      <c r="AE1794" s="54" t="s">
        <v>2</v>
      </c>
      <c r="AF1794" s="54" t="s">
        <v>2</v>
      </c>
      <c r="AG1794" s="54" t="s">
        <v>2</v>
      </c>
    </row>
    <row r="1795" ht="15.75" customHeight="1">
      <c r="B1795" s="56"/>
      <c r="U1795" s="46" t="str">
        <f t="array" ref="U1795">IF($D1795="","",IFERROR(_xlfn.XLOOKUP($D1795,'TIR店舗一覧'!$D:$D,'TIR店舗一覧'!$E:$E,""),""))</f>
        <v/>
      </c>
      <c r="V1795" s="54" t="s">
        <v>2</v>
      </c>
      <c r="W1795" s="54" t="s">
        <v>2</v>
      </c>
      <c r="X1795" s="54" t="s">
        <v>2</v>
      </c>
      <c r="Y1795" s="54" t="s">
        <v>2</v>
      </c>
      <c r="Z1795" s="54" t="s">
        <v>2</v>
      </c>
      <c r="AA1795" s="54" t="s">
        <v>2</v>
      </c>
      <c r="AB1795" s="54" t="s">
        <v>2</v>
      </c>
      <c r="AC1795" s="54" t="s">
        <v>2</v>
      </c>
      <c r="AD1795" s="54" t="s">
        <v>2</v>
      </c>
      <c r="AE1795" s="54" t="s">
        <v>2</v>
      </c>
      <c r="AF1795" s="54" t="s">
        <v>2</v>
      </c>
      <c r="AG1795" s="54" t="s">
        <v>2</v>
      </c>
    </row>
    <row r="1796" ht="15.75" customHeight="1">
      <c r="B1796" s="56"/>
      <c r="U1796" s="46" t="str">
        <f t="array" ref="U1796">IF($D1796="","",IFERROR(_xlfn.XLOOKUP($D1796,'TIR店舗一覧'!$D:$D,'TIR店舗一覧'!$E:$E,""),""))</f>
        <v/>
      </c>
      <c r="V1796" s="54" t="s">
        <v>2</v>
      </c>
      <c r="W1796" s="54" t="s">
        <v>2</v>
      </c>
      <c r="X1796" s="54" t="s">
        <v>2</v>
      </c>
      <c r="Y1796" s="54" t="s">
        <v>2</v>
      </c>
      <c r="Z1796" s="54" t="s">
        <v>2</v>
      </c>
      <c r="AA1796" s="54" t="s">
        <v>2</v>
      </c>
      <c r="AB1796" s="54" t="s">
        <v>2</v>
      </c>
      <c r="AC1796" s="54" t="s">
        <v>2</v>
      </c>
      <c r="AD1796" s="54" t="s">
        <v>2</v>
      </c>
      <c r="AE1796" s="54" t="s">
        <v>2</v>
      </c>
      <c r="AF1796" s="54" t="s">
        <v>2</v>
      </c>
      <c r="AG1796" s="54" t="s">
        <v>2</v>
      </c>
    </row>
    <row r="1797" ht="15.75" customHeight="1">
      <c r="B1797" s="56"/>
      <c r="U1797" s="46" t="str">
        <f t="array" ref="U1797">IF($D1797="","",IFERROR(_xlfn.XLOOKUP($D1797,'TIR店舗一覧'!$D:$D,'TIR店舗一覧'!$E:$E,""),""))</f>
        <v/>
      </c>
      <c r="V1797" s="54" t="s">
        <v>2</v>
      </c>
      <c r="W1797" s="54" t="s">
        <v>2</v>
      </c>
      <c r="X1797" s="54" t="s">
        <v>2</v>
      </c>
      <c r="Y1797" s="54" t="s">
        <v>2</v>
      </c>
      <c r="Z1797" s="54" t="s">
        <v>2</v>
      </c>
      <c r="AA1797" s="54" t="s">
        <v>2</v>
      </c>
      <c r="AB1797" s="54" t="s">
        <v>2</v>
      </c>
      <c r="AC1797" s="54" t="s">
        <v>2</v>
      </c>
      <c r="AD1797" s="54" t="s">
        <v>2</v>
      </c>
      <c r="AE1797" s="54" t="s">
        <v>2</v>
      </c>
      <c r="AF1797" s="54" t="s">
        <v>2</v>
      </c>
      <c r="AG1797" s="54" t="s">
        <v>2</v>
      </c>
    </row>
    <row r="1798" ht="15.75" customHeight="1">
      <c r="B1798" s="56"/>
      <c r="U1798" s="46" t="str">
        <f t="array" ref="U1798">IF($D1798="","",IFERROR(_xlfn.XLOOKUP($D1798,'TIR店舗一覧'!$D:$D,'TIR店舗一覧'!$E:$E,""),""))</f>
        <v/>
      </c>
      <c r="V1798" s="54" t="s">
        <v>2</v>
      </c>
      <c r="W1798" s="54" t="s">
        <v>2</v>
      </c>
      <c r="X1798" s="54" t="s">
        <v>2</v>
      </c>
      <c r="Y1798" s="54" t="s">
        <v>2</v>
      </c>
      <c r="Z1798" s="54" t="s">
        <v>2</v>
      </c>
      <c r="AA1798" s="54" t="s">
        <v>2</v>
      </c>
      <c r="AB1798" s="54" t="s">
        <v>2</v>
      </c>
      <c r="AC1798" s="54" t="s">
        <v>2</v>
      </c>
      <c r="AD1798" s="54" t="s">
        <v>2</v>
      </c>
      <c r="AE1798" s="54" t="s">
        <v>2</v>
      </c>
      <c r="AF1798" s="54" t="s">
        <v>2</v>
      </c>
      <c r="AG1798" s="54" t="s">
        <v>2</v>
      </c>
    </row>
    <row r="1799" ht="15.75" customHeight="1">
      <c r="B1799" s="56"/>
      <c r="U1799" s="46" t="str">
        <f t="array" ref="U1799">IF($D1799="","",IFERROR(_xlfn.XLOOKUP($D1799,'TIR店舗一覧'!$D:$D,'TIR店舗一覧'!$E:$E,""),""))</f>
        <v/>
      </c>
      <c r="V1799" s="54" t="s">
        <v>2</v>
      </c>
      <c r="W1799" s="54" t="s">
        <v>2</v>
      </c>
      <c r="X1799" s="54" t="s">
        <v>2</v>
      </c>
      <c r="Y1799" s="54" t="s">
        <v>2</v>
      </c>
      <c r="Z1799" s="54" t="s">
        <v>2</v>
      </c>
      <c r="AA1799" s="54" t="s">
        <v>2</v>
      </c>
      <c r="AB1799" s="54" t="s">
        <v>2</v>
      </c>
      <c r="AC1799" s="54" t="s">
        <v>2</v>
      </c>
      <c r="AD1799" s="54" t="s">
        <v>2</v>
      </c>
      <c r="AE1799" s="54" t="s">
        <v>2</v>
      </c>
      <c r="AF1799" s="54" t="s">
        <v>2</v>
      </c>
      <c r="AG1799" s="54" t="s">
        <v>2</v>
      </c>
    </row>
    <row r="1800" ht="15.75" customHeight="1">
      <c r="B1800" s="56"/>
      <c r="U1800" s="46" t="str">
        <f t="array" ref="U1800">IF($D1800="","",IFERROR(_xlfn.XLOOKUP($D1800,'TIR店舗一覧'!$D:$D,'TIR店舗一覧'!$E:$E,""),""))</f>
        <v/>
      </c>
      <c r="V1800" s="54" t="s">
        <v>2</v>
      </c>
      <c r="W1800" s="54" t="s">
        <v>2</v>
      </c>
      <c r="X1800" s="54" t="s">
        <v>2</v>
      </c>
      <c r="Y1800" s="54" t="s">
        <v>2</v>
      </c>
      <c r="Z1800" s="54" t="s">
        <v>2</v>
      </c>
      <c r="AA1800" s="54" t="s">
        <v>2</v>
      </c>
      <c r="AB1800" s="54" t="s">
        <v>2</v>
      </c>
      <c r="AC1800" s="54" t="s">
        <v>2</v>
      </c>
      <c r="AD1800" s="54" t="s">
        <v>2</v>
      </c>
      <c r="AE1800" s="54" t="s">
        <v>2</v>
      </c>
      <c r="AF1800" s="54" t="s">
        <v>2</v>
      </c>
      <c r="AG1800" s="54" t="s">
        <v>2</v>
      </c>
    </row>
    <row r="1801" ht="15.75" customHeight="1">
      <c r="B1801" s="56"/>
      <c r="U1801" s="46" t="str">
        <f t="array" ref="U1801">IF($D1801="","",IFERROR(_xlfn.XLOOKUP($D1801,'TIR店舗一覧'!$D:$D,'TIR店舗一覧'!$E:$E,""),""))</f>
        <v/>
      </c>
      <c r="V1801" s="54" t="s">
        <v>2</v>
      </c>
      <c r="W1801" s="54" t="s">
        <v>2</v>
      </c>
      <c r="X1801" s="54" t="s">
        <v>2</v>
      </c>
      <c r="Y1801" s="54" t="s">
        <v>2</v>
      </c>
      <c r="Z1801" s="54" t="s">
        <v>2</v>
      </c>
      <c r="AA1801" s="54" t="s">
        <v>2</v>
      </c>
      <c r="AB1801" s="54" t="s">
        <v>2</v>
      </c>
      <c r="AC1801" s="54" t="s">
        <v>2</v>
      </c>
      <c r="AD1801" s="54" t="s">
        <v>2</v>
      </c>
      <c r="AE1801" s="54" t="s">
        <v>2</v>
      </c>
      <c r="AF1801" s="54" t="s">
        <v>2</v>
      </c>
      <c r="AG1801" s="54" t="s">
        <v>2</v>
      </c>
    </row>
    <row r="1802" ht="15.75" customHeight="1">
      <c r="B1802" s="56"/>
      <c r="U1802" s="46" t="str">
        <f t="array" ref="U1802">IF($D1802="","",IFERROR(_xlfn.XLOOKUP($D1802,'TIR店舗一覧'!$D:$D,'TIR店舗一覧'!$E:$E,""),""))</f>
        <v/>
      </c>
      <c r="V1802" s="54" t="s">
        <v>2</v>
      </c>
      <c r="W1802" s="54" t="s">
        <v>2</v>
      </c>
      <c r="X1802" s="54" t="s">
        <v>2</v>
      </c>
      <c r="Y1802" s="54" t="s">
        <v>2</v>
      </c>
      <c r="Z1802" s="54" t="s">
        <v>2</v>
      </c>
      <c r="AA1802" s="54" t="s">
        <v>2</v>
      </c>
      <c r="AB1802" s="54" t="s">
        <v>2</v>
      </c>
      <c r="AC1802" s="54" t="s">
        <v>2</v>
      </c>
      <c r="AD1802" s="54" t="s">
        <v>2</v>
      </c>
      <c r="AE1802" s="54" t="s">
        <v>2</v>
      </c>
      <c r="AF1802" s="54" t="s">
        <v>2</v>
      </c>
      <c r="AG1802" s="54" t="s">
        <v>2</v>
      </c>
    </row>
    <row r="1803" ht="15.75" customHeight="1">
      <c r="B1803" s="56"/>
      <c r="U1803" s="46" t="str">
        <f t="array" ref="U1803">IF($D1803="","",IFERROR(_xlfn.XLOOKUP($D1803,'TIR店舗一覧'!$D:$D,'TIR店舗一覧'!$E:$E,""),""))</f>
        <v/>
      </c>
      <c r="V1803" s="54" t="s">
        <v>2</v>
      </c>
      <c r="W1803" s="54" t="s">
        <v>2</v>
      </c>
      <c r="X1803" s="54" t="s">
        <v>2</v>
      </c>
      <c r="Y1803" s="54" t="s">
        <v>2</v>
      </c>
      <c r="Z1803" s="54" t="s">
        <v>2</v>
      </c>
      <c r="AA1803" s="54" t="s">
        <v>2</v>
      </c>
      <c r="AB1803" s="54" t="s">
        <v>2</v>
      </c>
      <c r="AC1803" s="54" t="s">
        <v>2</v>
      </c>
      <c r="AD1803" s="54" t="s">
        <v>2</v>
      </c>
      <c r="AE1803" s="54" t="s">
        <v>2</v>
      </c>
      <c r="AF1803" s="54" t="s">
        <v>2</v>
      </c>
      <c r="AG1803" s="54" t="s">
        <v>2</v>
      </c>
    </row>
    <row r="1804" ht="15.75" customHeight="1">
      <c r="B1804" s="56"/>
      <c r="U1804" s="46" t="str">
        <f t="array" ref="U1804">IF($D1804="","",IFERROR(_xlfn.XLOOKUP($D1804,'TIR店舗一覧'!$D:$D,'TIR店舗一覧'!$E:$E,""),""))</f>
        <v/>
      </c>
      <c r="V1804" s="54" t="s">
        <v>2</v>
      </c>
      <c r="W1804" s="54" t="s">
        <v>2</v>
      </c>
      <c r="X1804" s="54" t="s">
        <v>2</v>
      </c>
      <c r="Y1804" s="54" t="s">
        <v>2</v>
      </c>
      <c r="Z1804" s="54" t="s">
        <v>2</v>
      </c>
      <c r="AA1804" s="54" t="s">
        <v>2</v>
      </c>
      <c r="AB1804" s="54" t="s">
        <v>2</v>
      </c>
      <c r="AC1804" s="54" t="s">
        <v>2</v>
      </c>
      <c r="AD1804" s="54" t="s">
        <v>2</v>
      </c>
      <c r="AE1804" s="54" t="s">
        <v>2</v>
      </c>
      <c r="AF1804" s="54" t="s">
        <v>2</v>
      </c>
      <c r="AG1804" s="54" t="s">
        <v>2</v>
      </c>
    </row>
    <row r="1805" ht="15.75" customHeight="1">
      <c r="B1805" s="56"/>
      <c r="U1805" s="46" t="str">
        <f t="array" ref="U1805">IF($D1805="","",IFERROR(_xlfn.XLOOKUP($D1805,'TIR店舗一覧'!$D:$D,'TIR店舗一覧'!$E:$E,""),""))</f>
        <v/>
      </c>
      <c r="V1805" s="54" t="s">
        <v>2</v>
      </c>
      <c r="W1805" s="54" t="s">
        <v>2</v>
      </c>
      <c r="X1805" s="54" t="s">
        <v>2</v>
      </c>
      <c r="Y1805" s="54" t="s">
        <v>2</v>
      </c>
      <c r="Z1805" s="54" t="s">
        <v>2</v>
      </c>
      <c r="AA1805" s="54" t="s">
        <v>2</v>
      </c>
      <c r="AB1805" s="54" t="s">
        <v>2</v>
      </c>
      <c r="AC1805" s="54" t="s">
        <v>2</v>
      </c>
      <c r="AD1805" s="54" t="s">
        <v>2</v>
      </c>
      <c r="AE1805" s="54" t="s">
        <v>2</v>
      </c>
      <c r="AF1805" s="54" t="s">
        <v>2</v>
      </c>
      <c r="AG1805" s="54" t="s">
        <v>2</v>
      </c>
    </row>
    <row r="1806" ht="15.75" customHeight="1">
      <c r="B1806" s="56"/>
      <c r="U1806" s="46" t="str">
        <f t="array" ref="U1806">IF($D1806="","",IFERROR(_xlfn.XLOOKUP($D1806,'TIR店舗一覧'!$D:$D,'TIR店舗一覧'!$E:$E,""),""))</f>
        <v/>
      </c>
      <c r="V1806" s="54" t="s">
        <v>2</v>
      </c>
      <c r="W1806" s="54" t="s">
        <v>2</v>
      </c>
      <c r="X1806" s="54" t="s">
        <v>2</v>
      </c>
      <c r="Y1806" s="54" t="s">
        <v>2</v>
      </c>
      <c r="Z1806" s="54" t="s">
        <v>2</v>
      </c>
      <c r="AA1806" s="54" t="s">
        <v>2</v>
      </c>
      <c r="AB1806" s="54" t="s">
        <v>2</v>
      </c>
      <c r="AC1806" s="54" t="s">
        <v>2</v>
      </c>
      <c r="AD1806" s="54" t="s">
        <v>2</v>
      </c>
      <c r="AE1806" s="54" t="s">
        <v>2</v>
      </c>
      <c r="AF1806" s="54" t="s">
        <v>2</v>
      </c>
      <c r="AG1806" s="54" t="s">
        <v>2</v>
      </c>
    </row>
    <row r="1807" ht="15.75" customHeight="1">
      <c r="B1807" s="56"/>
      <c r="U1807" s="46" t="str">
        <f t="array" ref="U1807">IF($D1807="","",IFERROR(_xlfn.XLOOKUP($D1807,'TIR店舗一覧'!$D:$D,'TIR店舗一覧'!$E:$E,""),""))</f>
        <v/>
      </c>
      <c r="V1807" s="54" t="s">
        <v>2</v>
      </c>
      <c r="W1807" s="54" t="s">
        <v>2</v>
      </c>
      <c r="X1807" s="54" t="s">
        <v>2</v>
      </c>
      <c r="Y1807" s="54" t="s">
        <v>2</v>
      </c>
      <c r="Z1807" s="54" t="s">
        <v>2</v>
      </c>
      <c r="AA1807" s="54" t="s">
        <v>2</v>
      </c>
      <c r="AB1807" s="54" t="s">
        <v>2</v>
      </c>
      <c r="AC1807" s="54" t="s">
        <v>2</v>
      </c>
      <c r="AD1807" s="54" t="s">
        <v>2</v>
      </c>
      <c r="AE1807" s="54" t="s">
        <v>2</v>
      </c>
      <c r="AF1807" s="54" t="s">
        <v>2</v>
      </c>
      <c r="AG1807" s="54" t="s">
        <v>2</v>
      </c>
    </row>
    <row r="1808" ht="15.75" customHeight="1">
      <c r="B1808" s="56"/>
      <c r="U1808" s="46" t="str">
        <f t="array" ref="U1808">IF($D1808="","",IFERROR(_xlfn.XLOOKUP($D1808,'TIR店舗一覧'!$D:$D,'TIR店舗一覧'!$E:$E,""),""))</f>
        <v/>
      </c>
      <c r="V1808" s="54" t="s">
        <v>2</v>
      </c>
      <c r="W1808" s="54" t="s">
        <v>2</v>
      </c>
      <c r="X1808" s="54" t="s">
        <v>2</v>
      </c>
      <c r="Y1808" s="54" t="s">
        <v>2</v>
      </c>
      <c r="Z1808" s="54" t="s">
        <v>2</v>
      </c>
      <c r="AA1808" s="54" t="s">
        <v>2</v>
      </c>
      <c r="AB1808" s="54" t="s">
        <v>2</v>
      </c>
      <c r="AC1808" s="54" t="s">
        <v>2</v>
      </c>
      <c r="AD1808" s="54" t="s">
        <v>2</v>
      </c>
      <c r="AE1808" s="54" t="s">
        <v>2</v>
      </c>
      <c r="AF1808" s="54" t="s">
        <v>2</v>
      </c>
      <c r="AG1808" s="54" t="s">
        <v>2</v>
      </c>
    </row>
    <row r="1809" ht="15.75" customHeight="1">
      <c r="B1809" s="56"/>
      <c r="U1809" s="46" t="str">
        <f t="array" ref="U1809">IF($D1809="","",IFERROR(_xlfn.XLOOKUP($D1809,'TIR店舗一覧'!$D:$D,'TIR店舗一覧'!$E:$E,""),""))</f>
        <v/>
      </c>
      <c r="V1809" s="54" t="s">
        <v>2</v>
      </c>
      <c r="W1809" s="54" t="s">
        <v>2</v>
      </c>
      <c r="X1809" s="54" t="s">
        <v>2</v>
      </c>
      <c r="Y1809" s="54" t="s">
        <v>2</v>
      </c>
      <c r="Z1809" s="54" t="s">
        <v>2</v>
      </c>
      <c r="AA1809" s="54" t="s">
        <v>2</v>
      </c>
      <c r="AB1809" s="54" t="s">
        <v>2</v>
      </c>
      <c r="AC1809" s="54" t="s">
        <v>2</v>
      </c>
      <c r="AD1809" s="54" t="s">
        <v>2</v>
      </c>
      <c r="AE1809" s="54" t="s">
        <v>2</v>
      </c>
      <c r="AF1809" s="54" t="s">
        <v>2</v>
      </c>
      <c r="AG1809" s="54" t="s">
        <v>2</v>
      </c>
    </row>
    <row r="1810" ht="15.75" customHeight="1">
      <c r="B1810" s="56"/>
      <c r="U1810" s="46" t="str">
        <f t="array" ref="U1810">IF($D1810="","",IFERROR(_xlfn.XLOOKUP($D1810,'TIR店舗一覧'!$D:$D,'TIR店舗一覧'!$E:$E,""),""))</f>
        <v/>
      </c>
      <c r="V1810" s="54" t="s">
        <v>2</v>
      </c>
      <c r="W1810" s="54" t="s">
        <v>2</v>
      </c>
      <c r="X1810" s="54" t="s">
        <v>2</v>
      </c>
      <c r="Y1810" s="54" t="s">
        <v>2</v>
      </c>
      <c r="Z1810" s="54" t="s">
        <v>2</v>
      </c>
      <c r="AA1810" s="54" t="s">
        <v>2</v>
      </c>
      <c r="AB1810" s="54" t="s">
        <v>2</v>
      </c>
      <c r="AC1810" s="54" t="s">
        <v>2</v>
      </c>
      <c r="AD1810" s="54" t="s">
        <v>2</v>
      </c>
      <c r="AE1810" s="54" t="s">
        <v>2</v>
      </c>
      <c r="AF1810" s="54" t="s">
        <v>2</v>
      </c>
      <c r="AG1810" s="54" t="s">
        <v>2</v>
      </c>
    </row>
    <row r="1811" ht="15.75" customHeight="1">
      <c r="B1811" s="56"/>
      <c r="U1811" s="46" t="str">
        <f t="array" ref="U1811">IF($D1811="","",IFERROR(_xlfn.XLOOKUP($D1811,'TIR店舗一覧'!$D:$D,'TIR店舗一覧'!$E:$E,""),""))</f>
        <v/>
      </c>
      <c r="V1811" s="54" t="s">
        <v>2</v>
      </c>
      <c r="W1811" s="54" t="s">
        <v>2</v>
      </c>
      <c r="X1811" s="54" t="s">
        <v>2</v>
      </c>
      <c r="Y1811" s="54" t="s">
        <v>2</v>
      </c>
      <c r="Z1811" s="54" t="s">
        <v>2</v>
      </c>
      <c r="AA1811" s="54" t="s">
        <v>2</v>
      </c>
      <c r="AB1811" s="54" t="s">
        <v>2</v>
      </c>
      <c r="AC1811" s="54" t="s">
        <v>2</v>
      </c>
      <c r="AD1811" s="54" t="s">
        <v>2</v>
      </c>
      <c r="AE1811" s="54" t="s">
        <v>2</v>
      </c>
      <c r="AF1811" s="54" t="s">
        <v>2</v>
      </c>
      <c r="AG1811" s="54" t="s">
        <v>2</v>
      </c>
    </row>
    <row r="1812" ht="15.75" customHeight="1">
      <c r="B1812" s="56"/>
      <c r="U1812" s="46" t="str">
        <f t="array" ref="U1812">IF($D1812="","",IFERROR(_xlfn.XLOOKUP($D1812,'TIR店舗一覧'!$D:$D,'TIR店舗一覧'!$E:$E,""),""))</f>
        <v/>
      </c>
      <c r="V1812" s="54" t="s">
        <v>2</v>
      </c>
      <c r="W1812" s="54" t="s">
        <v>2</v>
      </c>
      <c r="X1812" s="54" t="s">
        <v>2</v>
      </c>
      <c r="Y1812" s="54" t="s">
        <v>2</v>
      </c>
      <c r="Z1812" s="54" t="s">
        <v>2</v>
      </c>
      <c r="AA1812" s="54" t="s">
        <v>2</v>
      </c>
      <c r="AB1812" s="54" t="s">
        <v>2</v>
      </c>
      <c r="AC1812" s="54" t="s">
        <v>2</v>
      </c>
      <c r="AD1812" s="54" t="s">
        <v>2</v>
      </c>
      <c r="AE1812" s="54" t="s">
        <v>2</v>
      </c>
      <c r="AF1812" s="54" t="s">
        <v>2</v>
      </c>
      <c r="AG1812" s="54" t="s">
        <v>2</v>
      </c>
    </row>
    <row r="1813" ht="15.75" customHeight="1">
      <c r="B1813" s="56"/>
      <c r="U1813" s="46" t="str">
        <f t="array" ref="U1813">IF($D1813="","",IFERROR(_xlfn.XLOOKUP($D1813,'TIR店舗一覧'!$D:$D,'TIR店舗一覧'!$E:$E,""),""))</f>
        <v/>
      </c>
      <c r="V1813" s="54" t="s">
        <v>2</v>
      </c>
      <c r="W1813" s="54" t="s">
        <v>2</v>
      </c>
      <c r="X1813" s="54" t="s">
        <v>2</v>
      </c>
      <c r="Y1813" s="54" t="s">
        <v>2</v>
      </c>
      <c r="Z1813" s="54" t="s">
        <v>2</v>
      </c>
      <c r="AA1813" s="54" t="s">
        <v>2</v>
      </c>
      <c r="AB1813" s="54" t="s">
        <v>2</v>
      </c>
      <c r="AC1813" s="54" t="s">
        <v>2</v>
      </c>
      <c r="AD1813" s="54" t="s">
        <v>2</v>
      </c>
      <c r="AE1813" s="54" t="s">
        <v>2</v>
      </c>
      <c r="AF1813" s="54" t="s">
        <v>2</v>
      </c>
      <c r="AG1813" s="54" t="s">
        <v>2</v>
      </c>
    </row>
    <row r="1814" ht="15.75" customHeight="1">
      <c r="B1814" s="56"/>
      <c r="U1814" s="46" t="str">
        <f t="array" ref="U1814">IF($D1814="","",IFERROR(_xlfn.XLOOKUP($D1814,'TIR店舗一覧'!$D:$D,'TIR店舗一覧'!$E:$E,""),""))</f>
        <v/>
      </c>
      <c r="V1814" s="54" t="s">
        <v>2</v>
      </c>
      <c r="W1814" s="54" t="s">
        <v>2</v>
      </c>
      <c r="X1814" s="54" t="s">
        <v>2</v>
      </c>
      <c r="Y1814" s="54" t="s">
        <v>2</v>
      </c>
      <c r="Z1814" s="54" t="s">
        <v>2</v>
      </c>
      <c r="AA1814" s="54" t="s">
        <v>2</v>
      </c>
      <c r="AB1814" s="54" t="s">
        <v>2</v>
      </c>
      <c r="AC1814" s="54" t="s">
        <v>2</v>
      </c>
      <c r="AD1814" s="54" t="s">
        <v>2</v>
      </c>
      <c r="AE1814" s="54" t="s">
        <v>2</v>
      </c>
      <c r="AF1814" s="54" t="s">
        <v>2</v>
      </c>
      <c r="AG1814" s="54" t="s">
        <v>2</v>
      </c>
    </row>
    <row r="1815" ht="15.75" customHeight="1">
      <c r="B1815" s="56"/>
      <c r="U1815" s="46" t="str">
        <f t="array" ref="U1815">IF($D1815="","",IFERROR(_xlfn.XLOOKUP($D1815,'TIR店舗一覧'!$D:$D,'TIR店舗一覧'!$E:$E,""),""))</f>
        <v/>
      </c>
      <c r="V1815" s="54" t="s">
        <v>2</v>
      </c>
      <c r="W1815" s="54" t="s">
        <v>2</v>
      </c>
      <c r="X1815" s="54" t="s">
        <v>2</v>
      </c>
      <c r="Y1815" s="54" t="s">
        <v>2</v>
      </c>
      <c r="Z1815" s="54" t="s">
        <v>2</v>
      </c>
      <c r="AA1815" s="54" t="s">
        <v>2</v>
      </c>
      <c r="AB1815" s="54" t="s">
        <v>2</v>
      </c>
      <c r="AC1815" s="54" t="s">
        <v>2</v>
      </c>
      <c r="AD1815" s="54" t="s">
        <v>2</v>
      </c>
      <c r="AE1815" s="54" t="s">
        <v>2</v>
      </c>
      <c r="AF1815" s="54" t="s">
        <v>2</v>
      </c>
      <c r="AG1815" s="54" t="s">
        <v>2</v>
      </c>
    </row>
    <row r="1816" ht="15.75" customHeight="1">
      <c r="B1816" s="56"/>
      <c r="U1816" s="46" t="str">
        <f t="array" ref="U1816">IF($D1816="","",IFERROR(_xlfn.XLOOKUP($D1816,'TIR店舗一覧'!$D:$D,'TIR店舗一覧'!$E:$E,""),""))</f>
        <v/>
      </c>
      <c r="V1816" s="54" t="s">
        <v>2</v>
      </c>
      <c r="W1816" s="54" t="s">
        <v>2</v>
      </c>
      <c r="X1816" s="54" t="s">
        <v>2</v>
      </c>
      <c r="Y1816" s="54" t="s">
        <v>2</v>
      </c>
      <c r="Z1816" s="54" t="s">
        <v>2</v>
      </c>
      <c r="AA1816" s="54" t="s">
        <v>2</v>
      </c>
      <c r="AB1816" s="54" t="s">
        <v>2</v>
      </c>
      <c r="AC1816" s="54" t="s">
        <v>2</v>
      </c>
      <c r="AD1816" s="54" t="s">
        <v>2</v>
      </c>
      <c r="AE1816" s="54" t="s">
        <v>2</v>
      </c>
      <c r="AF1816" s="54" t="s">
        <v>2</v>
      </c>
      <c r="AG1816" s="54" t="s">
        <v>2</v>
      </c>
    </row>
    <row r="1817" ht="15.75" customHeight="1">
      <c r="B1817" s="56"/>
      <c r="U1817" s="46" t="str">
        <f t="array" ref="U1817">IF($D1817="","",IFERROR(_xlfn.XLOOKUP($D1817,'TIR店舗一覧'!$D:$D,'TIR店舗一覧'!$E:$E,""),""))</f>
        <v/>
      </c>
      <c r="V1817" s="54" t="s">
        <v>2</v>
      </c>
      <c r="W1817" s="54" t="s">
        <v>2</v>
      </c>
      <c r="X1817" s="54" t="s">
        <v>2</v>
      </c>
      <c r="Y1817" s="54" t="s">
        <v>2</v>
      </c>
      <c r="Z1817" s="54" t="s">
        <v>2</v>
      </c>
      <c r="AA1817" s="54" t="s">
        <v>2</v>
      </c>
      <c r="AB1817" s="54" t="s">
        <v>2</v>
      </c>
      <c r="AC1817" s="54" t="s">
        <v>2</v>
      </c>
      <c r="AD1817" s="54" t="s">
        <v>2</v>
      </c>
      <c r="AE1817" s="54" t="s">
        <v>2</v>
      </c>
      <c r="AF1817" s="54" t="s">
        <v>2</v>
      </c>
      <c r="AG1817" s="54" t="s">
        <v>2</v>
      </c>
    </row>
    <row r="1818" ht="15.75" customHeight="1">
      <c r="B1818" s="56"/>
      <c r="U1818" s="46" t="str">
        <f t="array" ref="U1818">IF($D1818="","",IFERROR(_xlfn.XLOOKUP($D1818,'TIR店舗一覧'!$D:$D,'TIR店舗一覧'!$E:$E,""),""))</f>
        <v/>
      </c>
      <c r="V1818" s="54" t="s">
        <v>2</v>
      </c>
      <c r="W1818" s="54" t="s">
        <v>2</v>
      </c>
      <c r="X1818" s="54" t="s">
        <v>2</v>
      </c>
      <c r="Y1818" s="54" t="s">
        <v>2</v>
      </c>
      <c r="Z1818" s="54" t="s">
        <v>2</v>
      </c>
      <c r="AA1818" s="54" t="s">
        <v>2</v>
      </c>
      <c r="AB1818" s="54" t="s">
        <v>2</v>
      </c>
      <c r="AC1818" s="54" t="s">
        <v>2</v>
      </c>
      <c r="AD1818" s="54" t="s">
        <v>2</v>
      </c>
      <c r="AE1818" s="54" t="s">
        <v>2</v>
      </c>
      <c r="AF1818" s="54" t="s">
        <v>2</v>
      </c>
      <c r="AG1818" s="54" t="s">
        <v>2</v>
      </c>
    </row>
    <row r="1819" ht="15.75" customHeight="1">
      <c r="B1819" s="56"/>
      <c r="U1819" s="46" t="str">
        <f t="array" ref="U1819">IF($D1819="","",IFERROR(_xlfn.XLOOKUP($D1819,'TIR店舗一覧'!$D:$D,'TIR店舗一覧'!$E:$E,""),""))</f>
        <v/>
      </c>
      <c r="V1819" s="54" t="s">
        <v>2</v>
      </c>
      <c r="W1819" s="54" t="s">
        <v>2</v>
      </c>
      <c r="X1819" s="54" t="s">
        <v>2</v>
      </c>
      <c r="Y1819" s="54" t="s">
        <v>2</v>
      </c>
      <c r="Z1819" s="54" t="s">
        <v>2</v>
      </c>
      <c r="AA1819" s="54" t="s">
        <v>2</v>
      </c>
      <c r="AB1819" s="54" t="s">
        <v>2</v>
      </c>
      <c r="AC1819" s="54" t="s">
        <v>2</v>
      </c>
      <c r="AD1819" s="54" t="s">
        <v>2</v>
      </c>
      <c r="AE1819" s="54" t="s">
        <v>2</v>
      </c>
      <c r="AF1819" s="54" t="s">
        <v>2</v>
      </c>
      <c r="AG1819" s="54" t="s">
        <v>2</v>
      </c>
    </row>
    <row r="1820" ht="15.75" customHeight="1">
      <c r="B1820" s="56"/>
      <c r="U1820" s="46" t="str">
        <f t="array" ref="U1820">IF($D1820="","",IFERROR(_xlfn.XLOOKUP($D1820,'TIR店舗一覧'!$D:$D,'TIR店舗一覧'!$E:$E,""),""))</f>
        <v/>
      </c>
      <c r="V1820" s="54" t="s">
        <v>2</v>
      </c>
      <c r="W1820" s="54" t="s">
        <v>2</v>
      </c>
      <c r="X1820" s="54" t="s">
        <v>2</v>
      </c>
      <c r="Y1820" s="54" t="s">
        <v>2</v>
      </c>
      <c r="Z1820" s="54" t="s">
        <v>2</v>
      </c>
      <c r="AA1820" s="54" t="s">
        <v>2</v>
      </c>
      <c r="AB1820" s="54" t="s">
        <v>2</v>
      </c>
      <c r="AC1820" s="54" t="s">
        <v>2</v>
      </c>
      <c r="AD1820" s="54" t="s">
        <v>2</v>
      </c>
      <c r="AE1820" s="54" t="s">
        <v>2</v>
      </c>
      <c r="AF1820" s="54" t="s">
        <v>2</v>
      </c>
      <c r="AG1820" s="54" t="s">
        <v>2</v>
      </c>
    </row>
    <row r="1821" ht="15.75" customHeight="1">
      <c r="B1821" s="56"/>
      <c r="U1821" s="46" t="str">
        <f t="array" ref="U1821">IF($D1821="","",IFERROR(_xlfn.XLOOKUP($D1821,'TIR店舗一覧'!$D:$D,'TIR店舗一覧'!$E:$E,""),""))</f>
        <v/>
      </c>
      <c r="V1821" s="54" t="s">
        <v>2</v>
      </c>
      <c r="W1821" s="54" t="s">
        <v>2</v>
      </c>
      <c r="X1821" s="54" t="s">
        <v>2</v>
      </c>
      <c r="Y1821" s="54" t="s">
        <v>2</v>
      </c>
      <c r="Z1821" s="54" t="s">
        <v>2</v>
      </c>
      <c r="AA1821" s="54" t="s">
        <v>2</v>
      </c>
      <c r="AB1821" s="54" t="s">
        <v>2</v>
      </c>
      <c r="AC1821" s="54" t="s">
        <v>2</v>
      </c>
      <c r="AD1821" s="54" t="s">
        <v>2</v>
      </c>
      <c r="AE1821" s="54" t="s">
        <v>2</v>
      </c>
      <c r="AF1821" s="54" t="s">
        <v>2</v>
      </c>
      <c r="AG1821" s="54" t="s">
        <v>2</v>
      </c>
    </row>
    <row r="1822" ht="15.75" customHeight="1">
      <c r="B1822" s="56"/>
      <c r="U1822" s="46" t="str">
        <f t="array" ref="U1822">IF($D1822="","",IFERROR(_xlfn.XLOOKUP($D1822,'TIR店舗一覧'!$D:$D,'TIR店舗一覧'!$E:$E,""),""))</f>
        <v/>
      </c>
      <c r="V1822" s="54" t="s">
        <v>2</v>
      </c>
      <c r="W1822" s="54" t="s">
        <v>2</v>
      </c>
      <c r="X1822" s="54" t="s">
        <v>2</v>
      </c>
      <c r="Y1822" s="54" t="s">
        <v>2</v>
      </c>
      <c r="Z1822" s="54" t="s">
        <v>2</v>
      </c>
      <c r="AA1822" s="54" t="s">
        <v>2</v>
      </c>
      <c r="AB1822" s="54" t="s">
        <v>2</v>
      </c>
      <c r="AC1822" s="54" t="s">
        <v>2</v>
      </c>
      <c r="AD1822" s="54" t="s">
        <v>2</v>
      </c>
      <c r="AE1822" s="54" t="s">
        <v>2</v>
      </c>
      <c r="AF1822" s="54" t="s">
        <v>2</v>
      </c>
      <c r="AG1822" s="54" t="s">
        <v>2</v>
      </c>
    </row>
    <row r="1823" ht="15.75" customHeight="1">
      <c r="B1823" s="56"/>
      <c r="U1823" s="46" t="str">
        <f t="array" ref="U1823">IF($D1823="","",IFERROR(_xlfn.XLOOKUP($D1823,'TIR店舗一覧'!$D:$D,'TIR店舗一覧'!$E:$E,""),""))</f>
        <v/>
      </c>
      <c r="V1823" s="54" t="s">
        <v>2</v>
      </c>
      <c r="W1823" s="54" t="s">
        <v>2</v>
      </c>
      <c r="X1823" s="54" t="s">
        <v>2</v>
      </c>
      <c r="Y1823" s="54" t="s">
        <v>2</v>
      </c>
      <c r="Z1823" s="54" t="s">
        <v>2</v>
      </c>
      <c r="AA1823" s="54" t="s">
        <v>2</v>
      </c>
      <c r="AB1823" s="54" t="s">
        <v>2</v>
      </c>
      <c r="AC1823" s="54" t="s">
        <v>2</v>
      </c>
      <c r="AD1823" s="54" t="s">
        <v>2</v>
      </c>
      <c r="AE1823" s="54" t="s">
        <v>2</v>
      </c>
      <c r="AF1823" s="54" t="s">
        <v>2</v>
      </c>
      <c r="AG1823" s="54" t="s">
        <v>2</v>
      </c>
    </row>
    <row r="1824" ht="15.75" customHeight="1">
      <c r="B1824" s="56"/>
      <c r="U1824" s="46" t="str">
        <f t="array" ref="U1824">IF($D1824="","",IFERROR(_xlfn.XLOOKUP($D1824,'TIR店舗一覧'!$D:$D,'TIR店舗一覧'!$E:$E,""),""))</f>
        <v/>
      </c>
      <c r="V1824" s="54" t="s">
        <v>2</v>
      </c>
      <c r="W1824" s="54" t="s">
        <v>2</v>
      </c>
      <c r="X1824" s="54" t="s">
        <v>2</v>
      </c>
      <c r="Y1824" s="54" t="s">
        <v>2</v>
      </c>
      <c r="Z1824" s="54" t="s">
        <v>2</v>
      </c>
      <c r="AA1824" s="54" t="s">
        <v>2</v>
      </c>
      <c r="AB1824" s="54" t="s">
        <v>2</v>
      </c>
      <c r="AC1824" s="54" t="s">
        <v>2</v>
      </c>
      <c r="AD1824" s="54" t="s">
        <v>2</v>
      </c>
      <c r="AE1824" s="54" t="s">
        <v>2</v>
      </c>
      <c r="AF1824" s="54" t="s">
        <v>2</v>
      </c>
      <c r="AG1824" s="54" t="s">
        <v>2</v>
      </c>
    </row>
    <row r="1825" ht="15.75" customHeight="1">
      <c r="B1825" s="56"/>
      <c r="U1825" s="46" t="str">
        <f t="array" ref="U1825">IF($D1825="","",IFERROR(_xlfn.XLOOKUP($D1825,'TIR店舗一覧'!$D:$D,'TIR店舗一覧'!$E:$E,""),""))</f>
        <v/>
      </c>
      <c r="V1825" s="54" t="s">
        <v>2</v>
      </c>
      <c r="W1825" s="54" t="s">
        <v>2</v>
      </c>
      <c r="X1825" s="54" t="s">
        <v>2</v>
      </c>
      <c r="Y1825" s="54" t="s">
        <v>2</v>
      </c>
      <c r="Z1825" s="54" t="s">
        <v>2</v>
      </c>
      <c r="AA1825" s="54" t="s">
        <v>2</v>
      </c>
      <c r="AB1825" s="54" t="s">
        <v>2</v>
      </c>
      <c r="AC1825" s="54" t="s">
        <v>2</v>
      </c>
      <c r="AD1825" s="54" t="s">
        <v>2</v>
      </c>
      <c r="AE1825" s="54" t="s">
        <v>2</v>
      </c>
      <c r="AF1825" s="54" t="s">
        <v>2</v>
      </c>
      <c r="AG1825" s="54" t="s">
        <v>2</v>
      </c>
    </row>
    <row r="1826" ht="15.75" customHeight="1">
      <c r="B1826" s="56"/>
      <c r="U1826" s="46" t="str">
        <f t="array" ref="U1826">IF($D1826="","",IFERROR(_xlfn.XLOOKUP($D1826,'TIR店舗一覧'!$D:$D,'TIR店舗一覧'!$E:$E,""),""))</f>
        <v/>
      </c>
      <c r="V1826" s="54" t="s">
        <v>2</v>
      </c>
      <c r="W1826" s="54" t="s">
        <v>2</v>
      </c>
      <c r="X1826" s="54" t="s">
        <v>2</v>
      </c>
      <c r="Y1826" s="54" t="s">
        <v>2</v>
      </c>
      <c r="Z1826" s="54" t="s">
        <v>2</v>
      </c>
      <c r="AA1826" s="54" t="s">
        <v>2</v>
      </c>
      <c r="AB1826" s="54" t="s">
        <v>2</v>
      </c>
      <c r="AC1826" s="54" t="s">
        <v>2</v>
      </c>
      <c r="AD1826" s="54" t="s">
        <v>2</v>
      </c>
      <c r="AE1826" s="54" t="s">
        <v>2</v>
      </c>
      <c r="AF1826" s="54" t="s">
        <v>2</v>
      </c>
      <c r="AG1826" s="54" t="s">
        <v>2</v>
      </c>
    </row>
    <row r="1827" ht="15.75" customHeight="1">
      <c r="B1827" s="56"/>
      <c r="U1827" s="46" t="str">
        <f t="array" ref="U1827">IF($D1827="","",IFERROR(_xlfn.XLOOKUP($D1827,'TIR店舗一覧'!$D:$D,'TIR店舗一覧'!$E:$E,""),""))</f>
        <v/>
      </c>
      <c r="V1827" s="54" t="s">
        <v>2</v>
      </c>
      <c r="W1827" s="54" t="s">
        <v>2</v>
      </c>
      <c r="X1827" s="54" t="s">
        <v>2</v>
      </c>
      <c r="Y1827" s="54" t="s">
        <v>2</v>
      </c>
      <c r="Z1827" s="54" t="s">
        <v>2</v>
      </c>
      <c r="AA1827" s="54" t="s">
        <v>2</v>
      </c>
      <c r="AB1827" s="54" t="s">
        <v>2</v>
      </c>
      <c r="AC1827" s="54" t="s">
        <v>2</v>
      </c>
      <c r="AD1827" s="54" t="s">
        <v>2</v>
      </c>
      <c r="AE1827" s="54" t="s">
        <v>2</v>
      </c>
      <c r="AF1827" s="54" t="s">
        <v>2</v>
      </c>
      <c r="AG1827" s="54" t="s">
        <v>2</v>
      </c>
    </row>
    <row r="1828" ht="15.75" customHeight="1">
      <c r="B1828" s="56"/>
      <c r="U1828" s="46" t="str">
        <f t="array" ref="U1828">IF($D1828="","",IFERROR(_xlfn.XLOOKUP($D1828,'TIR店舗一覧'!$D:$D,'TIR店舗一覧'!$E:$E,""),""))</f>
        <v/>
      </c>
      <c r="V1828" s="54" t="s">
        <v>2</v>
      </c>
      <c r="W1828" s="54" t="s">
        <v>2</v>
      </c>
      <c r="X1828" s="54" t="s">
        <v>2</v>
      </c>
      <c r="Y1828" s="54" t="s">
        <v>2</v>
      </c>
      <c r="Z1828" s="54" t="s">
        <v>2</v>
      </c>
      <c r="AA1828" s="54" t="s">
        <v>2</v>
      </c>
      <c r="AB1828" s="54" t="s">
        <v>2</v>
      </c>
      <c r="AC1828" s="54" t="s">
        <v>2</v>
      </c>
      <c r="AD1828" s="54" t="s">
        <v>2</v>
      </c>
      <c r="AE1828" s="54" t="s">
        <v>2</v>
      </c>
      <c r="AF1828" s="54" t="s">
        <v>2</v>
      </c>
      <c r="AG1828" s="54" t="s">
        <v>2</v>
      </c>
    </row>
    <row r="1829" ht="15.75" customHeight="1">
      <c r="B1829" s="56"/>
      <c r="U1829" s="46" t="str">
        <f t="array" ref="U1829">IF($D1829="","",IFERROR(_xlfn.XLOOKUP($D1829,'TIR店舗一覧'!$D:$D,'TIR店舗一覧'!$E:$E,""),""))</f>
        <v/>
      </c>
      <c r="V1829" s="54" t="s">
        <v>2</v>
      </c>
      <c r="W1829" s="54" t="s">
        <v>2</v>
      </c>
      <c r="X1829" s="54" t="s">
        <v>2</v>
      </c>
      <c r="Y1829" s="54" t="s">
        <v>2</v>
      </c>
      <c r="Z1829" s="54" t="s">
        <v>2</v>
      </c>
      <c r="AA1829" s="54" t="s">
        <v>2</v>
      </c>
      <c r="AB1829" s="54" t="s">
        <v>2</v>
      </c>
      <c r="AC1829" s="54" t="s">
        <v>2</v>
      </c>
      <c r="AD1829" s="54" t="s">
        <v>2</v>
      </c>
      <c r="AE1829" s="54" t="s">
        <v>2</v>
      </c>
      <c r="AF1829" s="54" t="s">
        <v>2</v>
      </c>
      <c r="AG1829" s="54" t="s">
        <v>2</v>
      </c>
    </row>
    <row r="1830" ht="15.75" customHeight="1">
      <c r="B1830" s="56"/>
      <c r="U1830" s="46" t="str">
        <f t="array" ref="U1830">IF($D1830="","",IFERROR(_xlfn.XLOOKUP($D1830,'TIR店舗一覧'!$D:$D,'TIR店舗一覧'!$E:$E,""),""))</f>
        <v/>
      </c>
      <c r="V1830" s="54" t="s">
        <v>2</v>
      </c>
      <c r="W1830" s="54" t="s">
        <v>2</v>
      </c>
      <c r="X1830" s="54" t="s">
        <v>2</v>
      </c>
      <c r="Y1830" s="54" t="s">
        <v>2</v>
      </c>
      <c r="Z1830" s="54" t="s">
        <v>2</v>
      </c>
      <c r="AA1830" s="54" t="s">
        <v>2</v>
      </c>
      <c r="AB1830" s="54" t="s">
        <v>2</v>
      </c>
      <c r="AC1830" s="54" t="s">
        <v>2</v>
      </c>
      <c r="AD1830" s="54" t="s">
        <v>2</v>
      </c>
      <c r="AE1830" s="54" t="s">
        <v>2</v>
      </c>
      <c r="AF1830" s="54" t="s">
        <v>2</v>
      </c>
      <c r="AG1830" s="54" t="s">
        <v>2</v>
      </c>
    </row>
    <row r="1831" ht="15.75" customHeight="1">
      <c r="B1831" s="56"/>
      <c r="U1831" s="46" t="str">
        <f t="array" ref="U1831">IF($D1831="","",IFERROR(_xlfn.XLOOKUP($D1831,'TIR店舗一覧'!$D:$D,'TIR店舗一覧'!$E:$E,""),""))</f>
        <v/>
      </c>
      <c r="V1831" s="54" t="s">
        <v>2</v>
      </c>
      <c r="W1831" s="54" t="s">
        <v>2</v>
      </c>
      <c r="X1831" s="54" t="s">
        <v>2</v>
      </c>
      <c r="Y1831" s="54" t="s">
        <v>2</v>
      </c>
      <c r="Z1831" s="54" t="s">
        <v>2</v>
      </c>
      <c r="AA1831" s="54" t="s">
        <v>2</v>
      </c>
      <c r="AB1831" s="54" t="s">
        <v>2</v>
      </c>
      <c r="AC1831" s="54" t="s">
        <v>2</v>
      </c>
      <c r="AD1831" s="54" t="s">
        <v>2</v>
      </c>
      <c r="AE1831" s="54" t="s">
        <v>2</v>
      </c>
      <c r="AF1831" s="54" t="s">
        <v>2</v>
      </c>
      <c r="AG1831" s="54" t="s">
        <v>2</v>
      </c>
    </row>
    <row r="1832" ht="15.75" customHeight="1">
      <c r="B1832" s="56"/>
      <c r="U1832" s="46" t="str">
        <f t="array" ref="U1832">IF($D1832="","",IFERROR(_xlfn.XLOOKUP($D1832,'TIR店舗一覧'!$D:$D,'TIR店舗一覧'!$E:$E,""),""))</f>
        <v/>
      </c>
      <c r="V1832" s="54" t="s">
        <v>2</v>
      </c>
      <c r="W1832" s="54" t="s">
        <v>2</v>
      </c>
      <c r="X1832" s="54" t="s">
        <v>2</v>
      </c>
      <c r="Y1832" s="54" t="s">
        <v>2</v>
      </c>
      <c r="Z1832" s="54" t="s">
        <v>2</v>
      </c>
      <c r="AA1832" s="54" t="s">
        <v>2</v>
      </c>
      <c r="AB1832" s="54" t="s">
        <v>2</v>
      </c>
      <c r="AC1832" s="54" t="s">
        <v>2</v>
      </c>
      <c r="AD1832" s="54" t="s">
        <v>2</v>
      </c>
      <c r="AE1832" s="54" t="s">
        <v>2</v>
      </c>
      <c r="AF1832" s="54" t="s">
        <v>2</v>
      </c>
      <c r="AG1832" s="54" t="s">
        <v>2</v>
      </c>
    </row>
    <row r="1833" ht="15.75" customHeight="1">
      <c r="B1833" s="56"/>
      <c r="U1833" s="46" t="str">
        <f t="array" ref="U1833">IF($D1833="","",IFERROR(_xlfn.XLOOKUP($D1833,'TIR店舗一覧'!$D:$D,'TIR店舗一覧'!$E:$E,""),""))</f>
        <v/>
      </c>
      <c r="V1833" s="54" t="s">
        <v>2</v>
      </c>
      <c r="W1833" s="54" t="s">
        <v>2</v>
      </c>
      <c r="X1833" s="54" t="s">
        <v>2</v>
      </c>
      <c r="Y1833" s="54" t="s">
        <v>2</v>
      </c>
      <c r="Z1833" s="54" t="s">
        <v>2</v>
      </c>
      <c r="AA1833" s="54" t="s">
        <v>2</v>
      </c>
      <c r="AB1833" s="54" t="s">
        <v>2</v>
      </c>
      <c r="AC1833" s="54" t="s">
        <v>2</v>
      </c>
      <c r="AD1833" s="54" t="s">
        <v>2</v>
      </c>
      <c r="AE1833" s="54" t="s">
        <v>2</v>
      </c>
      <c r="AF1833" s="54" t="s">
        <v>2</v>
      </c>
      <c r="AG1833" s="54" t="s">
        <v>2</v>
      </c>
    </row>
    <row r="1834" ht="15.75" customHeight="1">
      <c r="B1834" s="56"/>
      <c r="U1834" s="46" t="str">
        <f t="array" ref="U1834">IF($D1834="","",IFERROR(_xlfn.XLOOKUP($D1834,'TIR店舗一覧'!$D:$D,'TIR店舗一覧'!$E:$E,""),""))</f>
        <v/>
      </c>
      <c r="V1834" s="54" t="s">
        <v>2</v>
      </c>
      <c r="W1834" s="54" t="s">
        <v>2</v>
      </c>
      <c r="X1834" s="54" t="s">
        <v>2</v>
      </c>
      <c r="Y1834" s="54" t="s">
        <v>2</v>
      </c>
      <c r="Z1834" s="54" t="s">
        <v>2</v>
      </c>
      <c r="AA1834" s="54" t="s">
        <v>2</v>
      </c>
      <c r="AB1834" s="54" t="s">
        <v>2</v>
      </c>
      <c r="AC1834" s="54" t="s">
        <v>2</v>
      </c>
      <c r="AD1834" s="54" t="s">
        <v>2</v>
      </c>
      <c r="AE1834" s="54" t="s">
        <v>2</v>
      </c>
      <c r="AF1834" s="54" t="s">
        <v>2</v>
      </c>
      <c r="AG1834" s="54" t="s">
        <v>2</v>
      </c>
    </row>
    <row r="1835" ht="15.75" customHeight="1">
      <c r="B1835" s="56"/>
      <c r="U1835" s="46" t="str">
        <f t="array" ref="U1835">IF($D1835="","",IFERROR(_xlfn.XLOOKUP($D1835,'TIR店舗一覧'!$D:$D,'TIR店舗一覧'!$E:$E,""),""))</f>
        <v/>
      </c>
      <c r="V1835" s="54" t="s">
        <v>2</v>
      </c>
      <c r="W1835" s="54" t="s">
        <v>2</v>
      </c>
      <c r="X1835" s="54" t="s">
        <v>2</v>
      </c>
      <c r="Y1835" s="54" t="s">
        <v>2</v>
      </c>
      <c r="Z1835" s="54" t="s">
        <v>2</v>
      </c>
      <c r="AA1835" s="54" t="s">
        <v>2</v>
      </c>
      <c r="AB1835" s="54" t="s">
        <v>2</v>
      </c>
      <c r="AC1835" s="54" t="s">
        <v>2</v>
      </c>
      <c r="AD1835" s="54" t="s">
        <v>2</v>
      </c>
      <c r="AE1835" s="54" t="s">
        <v>2</v>
      </c>
      <c r="AF1835" s="54" t="s">
        <v>2</v>
      </c>
      <c r="AG1835" s="54" t="s">
        <v>2</v>
      </c>
    </row>
    <row r="1836" ht="15.75" customHeight="1">
      <c r="B1836" s="56"/>
      <c r="U1836" s="46" t="str">
        <f t="array" ref="U1836">IF($D1836="","",IFERROR(_xlfn.XLOOKUP($D1836,'TIR店舗一覧'!$D:$D,'TIR店舗一覧'!$E:$E,""),""))</f>
        <v/>
      </c>
      <c r="V1836" s="54" t="s">
        <v>2</v>
      </c>
      <c r="W1836" s="54" t="s">
        <v>2</v>
      </c>
      <c r="X1836" s="54" t="s">
        <v>2</v>
      </c>
      <c r="Y1836" s="54" t="s">
        <v>2</v>
      </c>
      <c r="Z1836" s="54" t="s">
        <v>2</v>
      </c>
      <c r="AA1836" s="54" t="s">
        <v>2</v>
      </c>
      <c r="AB1836" s="54" t="s">
        <v>2</v>
      </c>
      <c r="AC1836" s="54" t="s">
        <v>2</v>
      </c>
      <c r="AD1836" s="54" t="s">
        <v>2</v>
      </c>
      <c r="AE1836" s="54" t="s">
        <v>2</v>
      </c>
      <c r="AF1836" s="54" t="s">
        <v>2</v>
      </c>
      <c r="AG1836" s="54" t="s">
        <v>2</v>
      </c>
    </row>
    <row r="1837" ht="15.75" customHeight="1">
      <c r="B1837" s="56"/>
      <c r="U1837" s="46" t="str">
        <f t="array" ref="U1837">IF($D1837="","",IFERROR(_xlfn.XLOOKUP($D1837,'TIR店舗一覧'!$D:$D,'TIR店舗一覧'!$E:$E,""),""))</f>
        <v/>
      </c>
      <c r="V1837" s="54" t="s">
        <v>2</v>
      </c>
      <c r="W1837" s="54" t="s">
        <v>2</v>
      </c>
      <c r="X1837" s="54" t="s">
        <v>2</v>
      </c>
      <c r="Y1837" s="54" t="s">
        <v>2</v>
      </c>
      <c r="Z1837" s="54" t="s">
        <v>2</v>
      </c>
      <c r="AA1837" s="54" t="s">
        <v>2</v>
      </c>
      <c r="AB1837" s="54" t="s">
        <v>2</v>
      </c>
      <c r="AC1837" s="54" t="s">
        <v>2</v>
      </c>
      <c r="AD1837" s="54" t="s">
        <v>2</v>
      </c>
      <c r="AE1837" s="54" t="s">
        <v>2</v>
      </c>
      <c r="AF1837" s="54" t="s">
        <v>2</v>
      </c>
      <c r="AG1837" s="54" t="s">
        <v>2</v>
      </c>
    </row>
    <row r="1838" ht="15.75" customHeight="1">
      <c r="B1838" s="56"/>
      <c r="U1838" s="46" t="str">
        <f t="array" ref="U1838">IF($D1838="","",IFERROR(_xlfn.XLOOKUP($D1838,'TIR店舗一覧'!$D:$D,'TIR店舗一覧'!$E:$E,""),""))</f>
        <v/>
      </c>
      <c r="V1838" s="54" t="s">
        <v>2</v>
      </c>
      <c r="W1838" s="54" t="s">
        <v>2</v>
      </c>
      <c r="X1838" s="54" t="s">
        <v>2</v>
      </c>
      <c r="Y1838" s="54" t="s">
        <v>2</v>
      </c>
      <c r="Z1838" s="54" t="s">
        <v>2</v>
      </c>
      <c r="AA1838" s="54" t="s">
        <v>2</v>
      </c>
      <c r="AB1838" s="54" t="s">
        <v>2</v>
      </c>
      <c r="AC1838" s="54" t="s">
        <v>2</v>
      </c>
      <c r="AD1838" s="54" t="s">
        <v>2</v>
      </c>
      <c r="AE1838" s="54" t="s">
        <v>2</v>
      </c>
      <c r="AF1838" s="54" t="s">
        <v>2</v>
      </c>
      <c r="AG1838" s="54" t="s">
        <v>2</v>
      </c>
    </row>
    <row r="1839" ht="15.75" customHeight="1">
      <c r="B1839" s="56"/>
      <c r="U1839" s="46" t="str">
        <f t="array" ref="U1839">IF($D1839="","",IFERROR(_xlfn.XLOOKUP($D1839,'TIR店舗一覧'!$D:$D,'TIR店舗一覧'!$E:$E,""),""))</f>
        <v/>
      </c>
      <c r="V1839" s="54" t="s">
        <v>2</v>
      </c>
      <c r="W1839" s="54" t="s">
        <v>2</v>
      </c>
      <c r="X1839" s="54" t="s">
        <v>2</v>
      </c>
      <c r="Y1839" s="54" t="s">
        <v>2</v>
      </c>
      <c r="Z1839" s="54" t="s">
        <v>2</v>
      </c>
      <c r="AA1839" s="54" t="s">
        <v>2</v>
      </c>
      <c r="AB1839" s="54" t="s">
        <v>2</v>
      </c>
      <c r="AC1839" s="54" t="s">
        <v>2</v>
      </c>
      <c r="AD1839" s="54" t="s">
        <v>2</v>
      </c>
      <c r="AE1839" s="54" t="s">
        <v>2</v>
      </c>
      <c r="AF1839" s="54" t="s">
        <v>2</v>
      </c>
      <c r="AG1839" s="54" t="s">
        <v>2</v>
      </c>
    </row>
    <row r="1840" ht="15.75" customHeight="1">
      <c r="B1840" s="56"/>
      <c r="U1840" s="46" t="str">
        <f t="array" ref="U1840">IF($D1840="","",IFERROR(_xlfn.XLOOKUP($D1840,'TIR店舗一覧'!$D:$D,'TIR店舗一覧'!$E:$E,""),""))</f>
        <v/>
      </c>
      <c r="V1840" s="54" t="s">
        <v>2</v>
      </c>
      <c r="W1840" s="54" t="s">
        <v>2</v>
      </c>
      <c r="X1840" s="54" t="s">
        <v>2</v>
      </c>
      <c r="Y1840" s="54" t="s">
        <v>2</v>
      </c>
      <c r="Z1840" s="54" t="s">
        <v>2</v>
      </c>
      <c r="AA1840" s="54" t="s">
        <v>2</v>
      </c>
      <c r="AB1840" s="54" t="s">
        <v>2</v>
      </c>
      <c r="AC1840" s="54" t="s">
        <v>2</v>
      </c>
      <c r="AD1840" s="54" t="s">
        <v>2</v>
      </c>
      <c r="AE1840" s="54" t="s">
        <v>2</v>
      </c>
      <c r="AF1840" s="54" t="s">
        <v>2</v>
      </c>
      <c r="AG1840" s="54" t="s">
        <v>2</v>
      </c>
    </row>
    <row r="1841" ht="15.75" customHeight="1">
      <c r="B1841" s="56"/>
      <c r="U1841" s="46" t="str">
        <f t="array" ref="U1841">IF($D1841="","",IFERROR(_xlfn.XLOOKUP($D1841,'TIR店舗一覧'!$D:$D,'TIR店舗一覧'!$E:$E,""),""))</f>
        <v/>
      </c>
      <c r="V1841" s="54" t="s">
        <v>2</v>
      </c>
      <c r="W1841" s="54" t="s">
        <v>2</v>
      </c>
      <c r="X1841" s="54" t="s">
        <v>2</v>
      </c>
      <c r="Y1841" s="54" t="s">
        <v>2</v>
      </c>
      <c r="Z1841" s="54" t="s">
        <v>2</v>
      </c>
      <c r="AA1841" s="54" t="s">
        <v>2</v>
      </c>
      <c r="AB1841" s="54" t="s">
        <v>2</v>
      </c>
      <c r="AC1841" s="54" t="s">
        <v>2</v>
      </c>
      <c r="AD1841" s="54" t="s">
        <v>2</v>
      </c>
      <c r="AE1841" s="54" t="s">
        <v>2</v>
      </c>
      <c r="AF1841" s="54" t="s">
        <v>2</v>
      </c>
      <c r="AG1841" s="54" t="s">
        <v>2</v>
      </c>
    </row>
    <row r="1842" ht="15.75" customHeight="1">
      <c r="B1842" s="56"/>
      <c r="U1842" s="46" t="str">
        <f t="array" ref="U1842">IF($D1842="","",IFERROR(_xlfn.XLOOKUP($D1842,'TIR店舗一覧'!$D:$D,'TIR店舗一覧'!$E:$E,""),""))</f>
        <v/>
      </c>
      <c r="V1842" s="54" t="s">
        <v>2</v>
      </c>
      <c r="W1842" s="54" t="s">
        <v>2</v>
      </c>
      <c r="X1842" s="54" t="s">
        <v>2</v>
      </c>
      <c r="Y1842" s="54" t="s">
        <v>2</v>
      </c>
      <c r="Z1842" s="54" t="s">
        <v>2</v>
      </c>
      <c r="AA1842" s="54" t="s">
        <v>2</v>
      </c>
      <c r="AB1842" s="54" t="s">
        <v>2</v>
      </c>
      <c r="AC1842" s="54" t="s">
        <v>2</v>
      </c>
      <c r="AD1842" s="54" t="s">
        <v>2</v>
      </c>
      <c r="AE1842" s="54" t="s">
        <v>2</v>
      </c>
      <c r="AF1842" s="54" t="s">
        <v>2</v>
      </c>
      <c r="AG1842" s="54" t="s">
        <v>2</v>
      </c>
    </row>
    <row r="1843" ht="15.75" customHeight="1">
      <c r="B1843" s="56"/>
      <c r="U1843" s="46" t="str">
        <f t="array" ref="U1843">IF($D1843="","",IFERROR(_xlfn.XLOOKUP($D1843,'TIR店舗一覧'!$D:$D,'TIR店舗一覧'!$E:$E,""),""))</f>
        <v/>
      </c>
      <c r="V1843" s="54" t="s">
        <v>2</v>
      </c>
      <c r="W1843" s="54" t="s">
        <v>2</v>
      </c>
      <c r="X1843" s="54" t="s">
        <v>2</v>
      </c>
      <c r="Y1843" s="54" t="s">
        <v>2</v>
      </c>
      <c r="Z1843" s="54" t="s">
        <v>2</v>
      </c>
      <c r="AA1843" s="54" t="s">
        <v>2</v>
      </c>
      <c r="AB1843" s="54" t="s">
        <v>2</v>
      </c>
      <c r="AC1843" s="54" t="s">
        <v>2</v>
      </c>
      <c r="AD1843" s="54" t="s">
        <v>2</v>
      </c>
      <c r="AE1843" s="54" t="s">
        <v>2</v>
      </c>
      <c r="AF1843" s="54" t="s">
        <v>2</v>
      </c>
      <c r="AG1843" s="54" t="s">
        <v>2</v>
      </c>
    </row>
    <row r="1844" ht="15.75" customHeight="1">
      <c r="B1844" s="56"/>
      <c r="U1844" s="46" t="str">
        <f t="array" ref="U1844">IF($D1844="","",IFERROR(_xlfn.XLOOKUP($D1844,'TIR店舗一覧'!$D:$D,'TIR店舗一覧'!$E:$E,""),""))</f>
        <v/>
      </c>
      <c r="V1844" s="54" t="s">
        <v>2</v>
      </c>
      <c r="W1844" s="54" t="s">
        <v>2</v>
      </c>
      <c r="X1844" s="54" t="s">
        <v>2</v>
      </c>
      <c r="Y1844" s="54" t="s">
        <v>2</v>
      </c>
      <c r="Z1844" s="54" t="s">
        <v>2</v>
      </c>
      <c r="AA1844" s="54" t="s">
        <v>2</v>
      </c>
      <c r="AB1844" s="54" t="s">
        <v>2</v>
      </c>
      <c r="AC1844" s="54" t="s">
        <v>2</v>
      </c>
      <c r="AD1844" s="54" t="s">
        <v>2</v>
      </c>
      <c r="AE1844" s="54" t="s">
        <v>2</v>
      </c>
      <c r="AF1844" s="54" t="s">
        <v>2</v>
      </c>
      <c r="AG1844" s="54" t="s">
        <v>2</v>
      </c>
    </row>
    <row r="1845" ht="15.75" customHeight="1">
      <c r="B1845" s="56"/>
      <c r="U1845" s="46" t="str">
        <f t="array" ref="U1845">IF($D1845="","",IFERROR(_xlfn.XLOOKUP($D1845,'TIR店舗一覧'!$D:$D,'TIR店舗一覧'!$E:$E,""),""))</f>
        <v/>
      </c>
      <c r="V1845" s="54" t="s">
        <v>2</v>
      </c>
      <c r="W1845" s="54" t="s">
        <v>2</v>
      </c>
      <c r="X1845" s="54" t="s">
        <v>2</v>
      </c>
      <c r="Y1845" s="54" t="s">
        <v>2</v>
      </c>
      <c r="Z1845" s="54" t="s">
        <v>2</v>
      </c>
      <c r="AA1845" s="54" t="s">
        <v>2</v>
      </c>
      <c r="AB1845" s="54" t="s">
        <v>2</v>
      </c>
      <c r="AC1845" s="54" t="s">
        <v>2</v>
      </c>
      <c r="AD1845" s="54" t="s">
        <v>2</v>
      </c>
      <c r="AE1845" s="54" t="s">
        <v>2</v>
      </c>
      <c r="AF1845" s="54" t="s">
        <v>2</v>
      </c>
      <c r="AG1845" s="54" t="s">
        <v>2</v>
      </c>
    </row>
    <row r="1846" ht="15.75" customHeight="1">
      <c r="B1846" s="56"/>
      <c r="U1846" s="46" t="str">
        <f t="array" ref="U1846">IF($D1846="","",IFERROR(_xlfn.XLOOKUP($D1846,'TIR店舗一覧'!$D:$D,'TIR店舗一覧'!$E:$E,""),""))</f>
        <v/>
      </c>
      <c r="V1846" s="54" t="s">
        <v>2</v>
      </c>
      <c r="W1846" s="54" t="s">
        <v>2</v>
      </c>
      <c r="X1846" s="54" t="s">
        <v>2</v>
      </c>
      <c r="Y1846" s="54" t="s">
        <v>2</v>
      </c>
      <c r="Z1846" s="54" t="s">
        <v>2</v>
      </c>
      <c r="AA1846" s="54" t="s">
        <v>2</v>
      </c>
      <c r="AB1846" s="54" t="s">
        <v>2</v>
      </c>
      <c r="AC1846" s="54" t="s">
        <v>2</v>
      </c>
      <c r="AD1846" s="54" t="s">
        <v>2</v>
      </c>
      <c r="AE1846" s="54" t="s">
        <v>2</v>
      </c>
      <c r="AF1846" s="54" t="s">
        <v>2</v>
      </c>
      <c r="AG1846" s="54" t="s">
        <v>2</v>
      </c>
    </row>
    <row r="1847" ht="15.75" customHeight="1">
      <c r="B1847" s="56"/>
      <c r="U1847" s="46" t="str">
        <f t="array" ref="U1847">IF($D1847="","",IFERROR(_xlfn.XLOOKUP($D1847,'TIR店舗一覧'!$D:$D,'TIR店舗一覧'!$E:$E,""),""))</f>
        <v/>
      </c>
      <c r="V1847" s="54" t="s">
        <v>2</v>
      </c>
      <c r="W1847" s="54" t="s">
        <v>2</v>
      </c>
      <c r="X1847" s="54" t="s">
        <v>2</v>
      </c>
      <c r="Y1847" s="54" t="s">
        <v>2</v>
      </c>
      <c r="Z1847" s="54" t="s">
        <v>2</v>
      </c>
      <c r="AA1847" s="54" t="s">
        <v>2</v>
      </c>
      <c r="AB1847" s="54" t="s">
        <v>2</v>
      </c>
      <c r="AC1847" s="54" t="s">
        <v>2</v>
      </c>
      <c r="AD1847" s="54" t="s">
        <v>2</v>
      </c>
      <c r="AE1847" s="54" t="s">
        <v>2</v>
      </c>
      <c r="AF1847" s="54" t="s">
        <v>2</v>
      </c>
      <c r="AG1847" s="54" t="s">
        <v>2</v>
      </c>
    </row>
    <row r="1848" ht="15.75" customHeight="1">
      <c r="B1848" s="56"/>
      <c r="U1848" s="46" t="str">
        <f t="array" ref="U1848">IF($D1848="","",IFERROR(_xlfn.XLOOKUP($D1848,'TIR店舗一覧'!$D:$D,'TIR店舗一覧'!$E:$E,""),""))</f>
        <v/>
      </c>
      <c r="V1848" s="54" t="s">
        <v>2</v>
      </c>
      <c r="W1848" s="54" t="s">
        <v>2</v>
      </c>
      <c r="X1848" s="54" t="s">
        <v>2</v>
      </c>
      <c r="Y1848" s="54" t="s">
        <v>2</v>
      </c>
      <c r="Z1848" s="54" t="s">
        <v>2</v>
      </c>
      <c r="AA1848" s="54" t="s">
        <v>2</v>
      </c>
      <c r="AB1848" s="54" t="s">
        <v>2</v>
      </c>
      <c r="AC1848" s="54" t="s">
        <v>2</v>
      </c>
      <c r="AD1848" s="54" t="s">
        <v>2</v>
      </c>
      <c r="AE1848" s="54" t="s">
        <v>2</v>
      </c>
      <c r="AF1848" s="54" t="s">
        <v>2</v>
      </c>
      <c r="AG1848" s="54" t="s">
        <v>2</v>
      </c>
    </row>
    <row r="1849" ht="15.75" customHeight="1">
      <c r="B1849" s="56"/>
      <c r="U1849" s="46" t="str">
        <f t="array" ref="U1849">IF($D1849="","",IFERROR(_xlfn.XLOOKUP($D1849,'TIR店舗一覧'!$D:$D,'TIR店舗一覧'!$E:$E,""),""))</f>
        <v/>
      </c>
      <c r="V1849" s="54" t="s">
        <v>2</v>
      </c>
      <c r="W1849" s="54" t="s">
        <v>2</v>
      </c>
      <c r="X1849" s="54" t="s">
        <v>2</v>
      </c>
      <c r="Y1849" s="54" t="s">
        <v>2</v>
      </c>
      <c r="Z1849" s="54" t="s">
        <v>2</v>
      </c>
      <c r="AA1849" s="54" t="s">
        <v>2</v>
      </c>
      <c r="AB1849" s="54" t="s">
        <v>2</v>
      </c>
      <c r="AC1849" s="54" t="s">
        <v>2</v>
      </c>
      <c r="AD1849" s="54" t="s">
        <v>2</v>
      </c>
      <c r="AE1849" s="54" t="s">
        <v>2</v>
      </c>
      <c r="AF1849" s="54" t="s">
        <v>2</v>
      </c>
      <c r="AG1849" s="54" t="s">
        <v>2</v>
      </c>
    </row>
    <row r="1850" ht="15.75" customHeight="1">
      <c r="B1850" s="56"/>
      <c r="U1850" s="46" t="str">
        <f t="array" ref="U1850">IF($D1850="","",IFERROR(_xlfn.XLOOKUP($D1850,'TIR店舗一覧'!$D:$D,'TIR店舗一覧'!$E:$E,""),""))</f>
        <v/>
      </c>
      <c r="V1850" s="54" t="s">
        <v>2</v>
      </c>
      <c r="W1850" s="54" t="s">
        <v>2</v>
      </c>
      <c r="X1850" s="54" t="s">
        <v>2</v>
      </c>
      <c r="Y1850" s="54" t="s">
        <v>2</v>
      </c>
      <c r="Z1850" s="54" t="s">
        <v>2</v>
      </c>
      <c r="AA1850" s="54" t="s">
        <v>2</v>
      </c>
      <c r="AB1850" s="54" t="s">
        <v>2</v>
      </c>
      <c r="AC1850" s="54" t="s">
        <v>2</v>
      </c>
      <c r="AD1850" s="54" t="s">
        <v>2</v>
      </c>
      <c r="AE1850" s="54" t="s">
        <v>2</v>
      </c>
      <c r="AF1850" s="54" t="s">
        <v>2</v>
      </c>
      <c r="AG1850" s="54" t="s">
        <v>2</v>
      </c>
    </row>
    <row r="1851" ht="15.75" customHeight="1">
      <c r="B1851" s="56"/>
      <c r="U1851" s="46" t="str">
        <f t="array" ref="U1851">IF($D1851="","",IFERROR(_xlfn.XLOOKUP($D1851,'TIR店舗一覧'!$D:$D,'TIR店舗一覧'!$E:$E,""),""))</f>
        <v/>
      </c>
      <c r="V1851" s="54" t="s">
        <v>2</v>
      </c>
      <c r="W1851" s="54" t="s">
        <v>2</v>
      </c>
      <c r="X1851" s="54" t="s">
        <v>2</v>
      </c>
      <c r="Y1851" s="54" t="s">
        <v>2</v>
      </c>
      <c r="Z1851" s="54" t="s">
        <v>2</v>
      </c>
      <c r="AA1851" s="54" t="s">
        <v>2</v>
      </c>
      <c r="AB1851" s="54" t="s">
        <v>2</v>
      </c>
      <c r="AC1851" s="54" t="s">
        <v>2</v>
      </c>
      <c r="AD1851" s="54" t="s">
        <v>2</v>
      </c>
      <c r="AE1851" s="54" t="s">
        <v>2</v>
      </c>
      <c r="AF1851" s="54" t="s">
        <v>2</v>
      </c>
      <c r="AG1851" s="54" t="s">
        <v>2</v>
      </c>
    </row>
    <row r="1852" ht="15.75" customHeight="1">
      <c r="B1852" s="56"/>
      <c r="U1852" s="46" t="str">
        <f t="array" ref="U1852">IF($D1852="","",IFERROR(_xlfn.XLOOKUP($D1852,'TIR店舗一覧'!$D:$D,'TIR店舗一覧'!$E:$E,""),""))</f>
        <v/>
      </c>
      <c r="V1852" s="54" t="s">
        <v>2</v>
      </c>
      <c r="W1852" s="54" t="s">
        <v>2</v>
      </c>
      <c r="X1852" s="54" t="s">
        <v>2</v>
      </c>
      <c r="Y1852" s="54" t="s">
        <v>2</v>
      </c>
      <c r="Z1852" s="54" t="s">
        <v>2</v>
      </c>
      <c r="AA1852" s="54" t="s">
        <v>2</v>
      </c>
      <c r="AB1852" s="54" t="s">
        <v>2</v>
      </c>
      <c r="AC1852" s="54" t="s">
        <v>2</v>
      </c>
      <c r="AD1852" s="54" t="s">
        <v>2</v>
      </c>
      <c r="AE1852" s="54" t="s">
        <v>2</v>
      </c>
      <c r="AF1852" s="54" t="s">
        <v>2</v>
      </c>
      <c r="AG1852" s="54" t="s">
        <v>2</v>
      </c>
    </row>
    <row r="1853" ht="15.75" customHeight="1">
      <c r="B1853" s="56"/>
      <c r="U1853" s="46" t="str">
        <f t="array" ref="U1853">IF($D1853="","",IFERROR(_xlfn.XLOOKUP($D1853,'TIR店舗一覧'!$D:$D,'TIR店舗一覧'!$E:$E,""),""))</f>
        <v/>
      </c>
      <c r="V1853" s="54" t="s">
        <v>2</v>
      </c>
      <c r="W1853" s="54" t="s">
        <v>2</v>
      </c>
      <c r="X1853" s="54" t="s">
        <v>2</v>
      </c>
      <c r="Y1853" s="54" t="s">
        <v>2</v>
      </c>
      <c r="Z1853" s="54" t="s">
        <v>2</v>
      </c>
      <c r="AA1853" s="54" t="s">
        <v>2</v>
      </c>
      <c r="AB1853" s="54" t="s">
        <v>2</v>
      </c>
      <c r="AC1853" s="54" t="s">
        <v>2</v>
      </c>
      <c r="AD1853" s="54" t="s">
        <v>2</v>
      </c>
      <c r="AE1853" s="54" t="s">
        <v>2</v>
      </c>
      <c r="AF1853" s="54" t="s">
        <v>2</v>
      </c>
      <c r="AG1853" s="54" t="s">
        <v>2</v>
      </c>
    </row>
    <row r="1854" ht="15.75" customHeight="1">
      <c r="B1854" s="56"/>
      <c r="U1854" s="46" t="str">
        <f t="array" ref="U1854">IF($D1854="","",IFERROR(_xlfn.XLOOKUP($D1854,'TIR店舗一覧'!$D:$D,'TIR店舗一覧'!$E:$E,""),""))</f>
        <v/>
      </c>
      <c r="V1854" s="54" t="s">
        <v>2</v>
      </c>
      <c r="W1854" s="54" t="s">
        <v>2</v>
      </c>
      <c r="X1854" s="54" t="s">
        <v>2</v>
      </c>
      <c r="Y1854" s="54" t="s">
        <v>2</v>
      </c>
      <c r="Z1854" s="54" t="s">
        <v>2</v>
      </c>
      <c r="AA1854" s="54" t="s">
        <v>2</v>
      </c>
      <c r="AB1854" s="54" t="s">
        <v>2</v>
      </c>
      <c r="AC1854" s="54" t="s">
        <v>2</v>
      </c>
      <c r="AD1854" s="54" t="s">
        <v>2</v>
      </c>
      <c r="AE1854" s="54" t="s">
        <v>2</v>
      </c>
      <c r="AF1854" s="54" t="s">
        <v>2</v>
      </c>
      <c r="AG1854" s="54" t="s">
        <v>2</v>
      </c>
    </row>
    <row r="1855" ht="15.75" customHeight="1">
      <c r="B1855" s="56"/>
      <c r="U1855" s="46" t="str">
        <f t="array" ref="U1855">IF($D1855="","",IFERROR(_xlfn.XLOOKUP($D1855,'TIR店舗一覧'!$D:$D,'TIR店舗一覧'!$E:$E,""),""))</f>
        <v/>
      </c>
      <c r="V1855" s="54" t="s">
        <v>2</v>
      </c>
      <c r="W1855" s="54" t="s">
        <v>2</v>
      </c>
      <c r="X1855" s="54" t="s">
        <v>2</v>
      </c>
      <c r="Y1855" s="54" t="s">
        <v>2</v>
      </c>
      <c r="Z1855" s="54" t="s">
        <v>2</v>
      </c>
      <c r="AA1855" s="54" t="s">
        <v>2</v>
      </c>
      <c r="AB1855" s="54" t="s">
        <v>2</v>
      </c>
      <c r="AC1855" s="54" t="s">
        <v>2</v>
      </c>
      <c r="AD1855" s="54" t="s">
        <v>2</v>
      </c>
      <c r="AE1855" s="54" t="s">
        <v>2</v>
      </c>
      <c r="AF1855" s="54" t="s">
        <v>2</v>
      </c>
      <c r="AG1855" s="54" t="s">
        <v>2</v>
      </c>
    </row>
    <row r="1856" ht="15.75" customHeight="1">
      <c r="B1856" s="56"/>
      <c r="U1856" s="46" t="str">
        <f t="array" ref="U1856">IF($D1856="","",IFERROR(_xlfn.XLOOKUP($D1856,'TIR店舗一覧'!$D:$D,'TIR店舗一覧'!$E:$E,""),""))</f>
        <v/>
      </c>
      <c r="V1856" s="54" t="s">
        <v>2</v>
      </c>
      <c r="W1856" s="54" t="s">
        <v>2</v>
      </c>
      <c r="X1856" s="54" t="s">
        <v>2</v>
      </c>
      <c r="Y1856" s="54" t="s">
        <v>2</v>
      </c>
      <c r="Z1856" s="54" t="s">
        <v>2</v>
      </c>
      <c r="AA1856" s="54" t="s">
        <v>2</v>
      </c>
      <c r="AB1856" s="54" t="s">
        <v>2</v>
      </c>
      <c r="AC1856" s="54" t="s">
        <v>2</v>
      </c>
      <c r="AD1856" s="54" t="s">
        <v>2</v>
      </c>
      <c r="AE1856" s="54" t="s">
        <v>2</v>
      </c>
      <c r="AF1856" s="54" t="s">
        <v>2</v>
      </c>
      <c r="AG1856" s="54" t="s">
        <v>2</v>
      </c>
    </row>
    <row r="1857" ht="15.75" customHeight="1">
      <c r="B1857" s="56"/>
      <c r="U1857" s="46" t="str">
        <f t="array" ref="U1857">IF($D1857="","",IFERROR(_xlfn.XLOOKUP($D1857,'TIR店舗一覧'!$D:$D,'TIR店舗一覧'!$E:$E,""),""))</f>
        <v/>
      </c>
      <c r="V1857" s="54" t="s">
        <v>2</v>
      </c>
      <c r="W1857" s="54" t="s">
        <v>2</v>
      </c>
      <c r="X1857" s="54" t="s">
        <v>2</v>
      </c>
      <c r="Y1857" s="54" t="s">
        <v>2</v>
      </c>
      <c r="Z1857" s="54" t="s">
        <v>2</v>
      </c>
      <c r="AA1857" s="54" t="s">
        <v>2</v>
      </c>
      <c r="AB1857" s="54" t="s">
        <v>2</v>
      </c>
      <c r="AC1857" s="54" t="s">
        <v>2</v>
      </c>
      <c r="AD1857" s="54" t="s">
        <v>2</v>
      </c>
      <c r="AE1857" s="54" t="s">
        <v>2</v>
      </c>
      <c r="AF1857" s="54" t="s">
        <v>2</v>
      </c>
      <c r="AG1857" s="54" t="s">
        <v>2</v>
      </c>
    </row>
    <row r="1858" ht="15.75" customHeight="1">
      <c r="B1858" s="56"/>
      <c r="U1858" s="46" t="str">
        <f t="array" ref="U1858">IF($D1858="","",IFERROR(_xlfn.XLOOKUP($D1858,'TIR店舗一覧'!$D:$D,'TIR店舗一覧'!$E:$E,""),""))</f>
        <v/>
      </c>
      <c r="V1858" s="54" t="s">
        <v>2</v>
      </c>
      <c r="W1858" s="54" t="s">
        <v>2</v>
      </c>
      <c r="X1858" s="54" t="s">
        <v>2</v>
      </c>
      <c r="Y1858" s="54" t="s">
        <v>2</v>
      </c>
      <c r="Z1858" s="54" t="s">
        <v>2</v>
      </c>
      <c r="AA1858" s="54" t="s">
        <v>2</v>
      </c>
      <c r="AB1858" s="54" t="s">
        <v>2</v>
      </c>
      <c r="AC1858" s="54" t="s">
        <v>2</v>
      </c>
      <c r="AD1858" s="54" t="s">
        <v>2</v>
      </c>
      <c r="AE1858" s="54" t="s">
        <v>2</v>
      </c>
      <c r="AF1858" s="54" t="s">
        <v>2</v>
      </c>
      <c r="AG1858" s="54" t="s">
        <v>2</v>
      </c>
    </row>
    <row r="1859" ht="15.75" customHeight="1">
      <c r="B1859" s="56"/>
      <c r="U1859" s="46" t="str">
        <f t="array" ref="U1859">IF($D1859="","",IFERROR(_xlfn.XLOOKUP($D1859,'TIR店舗一覧'!$D:$D,'TIR店舗一覧'!$E:$E,""),""))</f>
        <v/>
      </c>
      <c r="V1859" s="54" t="s">
        <v>2</v>
      </c>
      <c r="W1859" s="54" t="s">
        <v>2</v>
      </c>
      <c r="X1859" s="54" t="s">
        <v>2</v>
      </c>
      <c r="Y1859" s="54" t="s">
        <v>2</v>
      </c>
      <c r="Z1859" s="54" t="s">
        <v>2</v>
      </c>
      <c r="AA1859" s="54" t="s">
        <v>2</v>
      </c>
      <c r="AB1859" s="54" t="s">
        <v>2</v>
      </c>
      <c r="AC1859" s="54" t="s">
        <v>2</v>
      </c>
      <c r="AD1859" s="54" t="s">
        <v>2</v>
      </c>
      <c r="AE1859" s="54" t="s">
        <v>2</v>
      </c>
      <c r="AF1859" s="54" t="s">
        <v>2</v>
      </c>
      <c r="AG1859" s="54" t="s">
        <v>2</v>
      </c>
    </row>
    <row r="1860" ht="15.75" customHeight="1">
      <c r="B1860" s="56"/>
      <c r="U1860" s="46" t="str">
        <f t="array" ref="U1860">IF($D1860="","",IFERROR(_xlfn.XLOOKUP($D1860,'TIR店舗一覧'!$D:$D,'TIR店舗一覧'!$E:$E,""),""))</f>
        <v/>
      </c>
      <c r="V1860" s="54" t="s">
        <v>2</v>
      </c>
      <c r="W1860" s="54" t="s">
        <v>2</v>
      </c>
      <c r="X1860" s="54" t="s">
        <v>2</v>
      </c>
      <c r="Y1860" s="54" t="s">
        <v>2</v>
      </c>
      <c r="Z1860" s="54" t="s">
        <v>2</v>
      </c>
      <c r="AA1860" s="54" t="s">
        <v>2</v>
      </c>
      <c r="AB1860" s="54" t="s">
        <v>2</v>
      </c>
      <c r="AC1860" s="54" t="s">
        <v>2</v>
      </c>
      <c r="AD1860" s="54" t="s">
        <v>2</v>
      </c>
      <c r="AE1860" s="54" t="s">
        <v>2</v>
      </c>
      <c r="AF1860" s="54" t="s">
        <v>2</v>
      </c>
      <c r="AG1860" s="54" t="s">
        <v>2</v>
      </c>
    </row>
    <row r="1861" ht="15.75" customHeight="1">
      <c r="B1861" s="56"/>
      <c r="U1861" s="46" t="str">
        <f t="array" ref="U1861">IF($D1861="","",IFERROR(_xlfn.XLOOKUP($D1861,'TIR店舗一覧'!$D:$D,'TIR店舗一覧'!$E:$E,""),""))</f>
        <v/>
      </c>
      <c r="V1861" s="54" t="s">
        <v>2</v>
      </c>
      <c r="W1861" s="54" t="s">
        <v>2</v>
      </c>
      <c r="X1861" s="54" t="s">
        <v>2</v>
      </c>
      <c r="Y1861" s="54" t="s">
        <v>2</v>
      </c>
      <c r="Z1861" s="54" t="s">
        <v>2</v>
      </c>
      <c r="AA1861" s="54" t="s">
        <v>2</v>
      </c>
      <c r="AB1861" s="54" t="s">
        <v>2</v>
      </c>
      <c r="AC1861" s="54" t="s">
        <v>2</v>
      </c>
      <c r="AD1861" s="54" t="s">
        <v>2</v>
      </c>
      <c r="AE1861" s="54" t="s">
        <v>2</v>
      </c>
      <c r="AF1861" s="54" t="s">
        <v>2</v>
      </c>
      <c r="AG1861" s="54" t="s">
        <v>2</v>
      </c>
    </row>
    <row r="1862" ht="15.75" customHeight="1">
      <c r="B1862" s="56"/>
      <c r="U1862" s="46" t="str">
        <f t="array" ref="U1862">IF($D1862="","",IFERROR(_xlfn.XLOOKUP($D1862,'TIR店舗一覧'!$D:$D,'TIR店舗一覧'!$E:$E,""),""))</f>
        <v/>
      </c>
      <c r="V1862" s="54" t="s">
        <v>2</v>
      </c>
      <c r="W1862" s="54" t="s">
        <v>2</v>
      </c>
      <c r="X1862" s="54" t="s">
        <v>2</v>
      </c>
      <c r="Y1862" s="54" t="s">
        <v>2</v>
      </c>
      <c r="Z1862" s="54" t="s">
        <v>2</v>
      </c>
      <c r="AA1862" s="54" t="s">
        <v>2</v>
      </c>
      <c r="AB1862" s="54" t="s">
        <v>2</v>
      </c>
      <c r="AC1862" s="54" t="s">
        <v>2</v>
      </c>
      <c r="AD1862" s="54" t="s">
        <v>2</v>
      </c>
      <c r="AE1862" s="54" t="s">
        <v>2</v>
      </c>
      <c r="AF1862" s="54" t="s">
        <v>2</v>
      </c>
      <c r="AG1862" s="54" t="s">
        <v>2</v>
      </c>
    </row>
    <row r="1863" ht="15.75" customHeight="1">
      <c r="B1863" s="56"/>
      <c r="U1863" s="46" t="str">
        <f t="array" ref="U1863">IF($D1863="","",IFERROR(_xlfn.XLOOKUP($D1863,'TIR店舗一覧'!$D:$D,'TIR店舗一覧'!$E:$E,""),""))</f>
        <v/>
      </c>
      <c r="V1863" s="54" t="s">
        <v>2</v>
      </c>
      <c r="W1863" s="54" t="s">
        <v>2</v>
      </c>
      <c r="X1863" s="54" t="s">
        <v>2</v>
      </c>
      <c r="Y1863" s="54" t="s">
        <v>2</v>
      </c>
      <c r="Z1863" s="54" t="s">
        <v>2</v>
      </c>
      <c r="AA1863" s="54" t="s">
        <v>2</v>
      </c>
      <c r="AB1863" s="54" t="s">
        <v>2</v>
      </c>
      <c r="AC1863" s="54" t="s">
        <v>2</v>
      </c>
      <c r="AD1863" s="54" t="s">
        <v>2</v>
      </c>
      <c r="AE1863" s="54" t="s">
        <v>2</v>
      </c>
      <c r="AF1863" s="54" t="s">
        <v>2</v>
      </c>
      <c r="AG1863" s="54" t="s">
        <v>2</v>
      </c>
    </row>
    <row r="1864" ht="15.75" customHeight="1">
      <c r="B1864" s="56"/>
      <c r="U1864" s="46" t="str">
        <f t="array" ref="U1864">IF($D1864="","",IFERROR(_xlfn.XLOOKUP($D1864,'TIR店舗一覧'!$D:$D,'TIR店舗一覧'!$E:$E,""),""))</f>
        <v/>
      </c>
      <c r="V1864" s="54" t="s">
        <v>2</v>
      </c>
      <c r="W1864" s="54" t="s">
        <v>2</v>
      </c>
      <c r="X1864" s="54" t="s">
        <v>2</v>
      </c>
      <c r="Y1864" s="54" t="s">
        <v>2</v>
      </c>
      <c r="Z1864" s="54" t="s">
        <v>2</v>
      </c>
      <c r="AA1864" s="54" t="s">
        <v>2</v>
      </c>
      <c r="AB1864" s="54" t="s">
        <v>2</v>
      </c>
      <c r="AC1864" s="54" t="s">
        <v>2</v>
      </c>
      <c r="AD1864" s="54" t="s">
        <v>2</v>
      </c>
      <c r="AE1864" s="54" t="s">
        <v>2</v>
      </c>
      <c r="AF1864" s="54" t="s">
        <v>2</v>
      </c>
      <c r="AG1864" s="54" t="s">
        <v>2</v>
      </c>
    </row>
    <row r="1865" ht="15.75" customHeight="1">
      <c r="B1865" s="56"/>
      <c r="U1865" s="46" t="str">
        <f t="array" ref="U1865">IF($D1865="","",IFERROR(_xlfn.XLOOKUP($D1865,'TIR店舗一覧'!$D:$D,'TIR店舗一覧'!$E:$E,""),""))</f>
        <v/>
      </c>
      <c r="V1865" s="54" t="s">
        <v>2</v>
      </c>
      <c r="W1865" s="54" t="s">
        <v>2</v>
      </c>
      <c r="X1865" s="54" t="s">
        <v>2</v>
      </c>
      <c r="Y1865" s="54" t="s">
        <v>2</v>
      </c>
      <c r="Z1865" s="54" t="s">
        <v>2</v>
      </c>
      <c r="AA1865" s="54" t="s">
        <v>2</v>
      </c>
      <c r="AB1865" s="54" t="s">
        <v>2</v>
      </c>
      <c r="AC1865" s="54" t="s">
        <v>2</v>
      </c>
      <c r="AD1865" s="54" t="s">
        <v>2</v>
      </c>
      <c r="AE1865" s="54" t="s">
        <v>2</v>
      </c>
      <c r="AF1865" s="54" t="s">
        <v>2</v>
      </c>
      <c r="AG1865" s="54" t="s">
        <v>2</v>
      </c>
    </row>
    <row r="1866" ht="15.75" customHeight="1">
      <c r="B1866" s="56"/>
      <c r="U1866" s="46" t="str">
        <f t="array" ref="U1866">IF($D1866="","",IFERROR(_xlfn.XLOOKUP($D1866,'TIR店舗一覧'!$D:$D,'TIR店舗一覧'!$E:$E,""),""))</f>
        <v/>
      </c>
      <c r="V1866" s="54" t="s">
        <v>2</v>
      </c>
      <c r="W1866" s="54" t="s">
        <v>2</v>
      </c>
      <c r="X1866" s="54" t="s">
        <v>2</v>
      </c>
      <c r="Y1866" s="54" t="s">
        <v>2</v>
      </c>
      <c r="Z1866" s="54" t="s">
        <v>2</v>
      </c>
      <c r="AA1866" s="54" t="s">
        <v>2</v>
      </c>
      <c r="AB1866" s="54" t="s">
        <v>2</v>
      </c>
      <c r="AC1866" s="54" t="s">
        <v>2</v>
      </c>
      <c r="AD1866" s="54" t="s">
        <v>2</v>
      </c>
      <c r="AE1866" s="54" t="s">
        <v>2</v>
      </c>
      <c r="AF1866" s="54" t="s">
        <v>2</v>
      </c>
      <c r="AG1866" s="54" t="s">
        <v>2</v>
      </c>
    </row>
    <row r="1867" ht="15.75" customHeight="1">
      <c r="B1867" s="56"/>
      <c r="U1867" s="46" t="str">
        <f t="array" ref="U1867">IF($D1867="","",IFERROR(_xlfn.XLOOKUP($D1867,'TIR店舗一覧'!$D:$D,'TIR店舗一覧'!$E:$E,""),""))</f>
        <v/>
      </c>
      <c r="V1867" s="54" t="s">
        <v>2</v>
      </c>
      <c r="W1867" s="54" t="s">
        <v>2</v>
      </c>
      <c r="X1867" s="54" t="s">
        <v>2</v>
      </c>
      <c r="Y1867" s="54" t="s">
        <v>2</v>
      </c>
      <c r="Z1867" s="54" t="s">
        <v>2</v>
      </c>
      <c r="AA1867" s="54" t="s">
        <v>2</v>
      </c>
      <c r="AB1867" s="54" t="s">
        <v>2</v>
      </c>
      <c r="AC1867" s="54" t="s">
        <v>2</v>
      </c>
      <c r="AD1867" s="54" t="s">
        <v>2</v>
      </c>
      <c r="AE1867" s="54" t="s">
        <v>2</v>
      </c>
      <c r="AF1867" s="54" t="s">
        <v>2</v>
      </c>
      <c r="AG1867" s="54" t="s">
        <v>2</v>
      </c>
    </row>
    <row r="1868" ht="15.75" customHeight="1">
      <c r="B1868" s="56"/>
      <c r="U1868" s="46" t="str">
        <f t="array" ref="U1868">IF($D1868="","",IFERROR(_xlfn.XLOOKUP($D1868,'TIR店舗一覧'!$D:$D,'TIR店舗一覧'!$E:$E,""),""))</f>
        <v/>
      </c>
      <c r="V1868" s="54" t="s">
        <v>2</v>
      </c>
      <c r="W1868" s="54" t="s">
        <v>2</v>
      </c>
      <c r="X1868" s="54" t="s">
        <v>2</v>
      </c>
      <c r="Y1868" s="54" t="s">
        <v>2</v>
      </c>
      <c r="Z1868" s="54" t="s">
        <v>2</v>
      </c>
      <c r="AA1868" s="54" t="s">
        <v>2</v>
      </c>
      <c r="AB1868" s="54" t="s">
        <v>2</v>
      </c>
      <c r="AC1868" s="54" t="s">
        <v>2</v>
      </c>
      <c r="AD1868" s="54" t="s">
        <v>2</v>
      </c>
      <c r="AE1868" s="54" t="s">
        <v>2</v>
      </c>
      <c r="AF1868" s="54" t="s">
        <v>2</v>
      </c>
      <c r="AG1868" s="54" t="s">
        <v>2</v>
      </c>
    </row>
    <row r="1869" ht="15.75" customHeight="1">
      <c r="B1869" s="56"/>
      <c r="U1869" s="46" t="str">
        <f t="array" ref="U1869">IF($D1869="","",IFERROR(_xlfn.XLOOKUP($D1869,'TIR店舗一覧'!$D:$D,'TIR店舗一覧'!$E:$E,""),""))</f>
        <v/>
      </c>
      <c r="V1869" s="54" t="s">
        <v>2</v>
      </c>
      <c r="W1869" s="54" t="s">
        <v>2</v>
      </c>
      <c r="X1869" s="54" t="s">
        <v>2</v>
      </c>
      <c r="Y1869" s="54" t="s">
        <v>2</v>
      </c>
      <c r="Z1869" s="54" t="s">
        <v>2</v>
      </c>
      <c r="AA1869" s="54" t="s">
        <v>2</v>
      </c>
      <c r="AB1869" s="54" t="s">
        <v>2</v>
      </c>
      <c r="AC1869" s="54" t="s">
        <v>2</v>
      </c>
      <c r="AD1869" s="54" t="s">
        <v>2</v>
      </c>
      <c r="AE1869" s="54" t="s">
        <v>2</v>
      </c>
      <c r="AF1869" s="54" t="s">
        <v>2</v>
      </c>
      <c r="AG1869" s="54" t="s">
        <v>2</v>
      </c>
    </row>
    <row r="1870" ht="15.75" customHeight="1">
      <c r="B1870" s="56"/>
      <c r="U1870" s="46" t="str">
        <f t="array" ref="U1870">IF($D1870="","",IFERROR(_xlfn.XLOOKUP($D1870,'TIR店舗一覧'!$D:$D,'TIR店舗一覧'!$E:$E,""),""))</f>
        <v/>
      </c>
      <c r="V1870" s="54" t="s">
        <v>2</v>
      </c>
      <c r="W1870" s="54" t="s">
        <v>2</v>
      </c>
      <c r="X1870" s="54" t="s">
        <v>2</v>
      </c>
      <c r="Y1870" s="54" t="s">
        <v>2</v>
      </c>
      <c r="Z1870" s="54" t="s">
        <v>2</v>
      </c>
      <c r="AA1870" s="54" t="s">
        <v>2</v>
      </c>
      <c r="AB1870" s="54" t="s">
        <v>2</v>
      </c>
      <c r="AC1870" s="54" t="s">
        <v>2</v>
      </c>
      <c r="AD1870" s="54" t="s">
        <v>2</v>
      </c>
      <c r="AE1870" s="54" t="s">
        <v>2</v>
      </c>
      <c r="AF1870" s="54" t="s">
        <v>2</v>
      </c>
      <c r="AG1870" s="54" t="s">
        <v>2</v>
      </c>
    </row>
    <row r="1871" ht="15.75" customHeight="1">
      <c r="B1871" s="56"/>
      <c r="U1871" s="46" t="str">
        <f t="array" ref="U1871">IF($D1871="","",IFERROR(_xlfn.XLOOKUP($D1871,'TIR店舗一覧'!$D:$D,'TIR店舗一覧'!$E:$E,""),""))</f>
        <v/>
      </c>
      <c r="V1871" s="54" t="s">
        <v>2</v>
      </c>
      <c r="W1871" s="54" t="s">
        <v>2</v>
      </c>
      <c r="X1871" s="54" t="s">
        <v>2</v>
      </c>
      <c r="Y1871" s="54" t="s">
        <v>2</v>
      </c>
      <c r="Z1871" s="54" t="s">
        <v>2</v>
      </c>
      <c r="AA1871" s="54" t="s">
        <v>2</v>
      </c>
      <c r="AB1871" s="54" t="s">
        <v>2</v>
      </c>
      <c r="AC1871" s="54" t="s">
        <v>2</v>
      </c>
      <c r="AD1871" s="54" t="s">
        <v>2</v>
      </c>
      <c r="AE1871" s="54" t="s">
        <v>2</v>
      </c>
      <c r="AF1871" s="54" t="s">
        <v>2</v>
      </c>
      <c r="AG1871" s="54" t="s">
        <v>2</v>
      </c>
    </row>
    <row r="1872" ht="15.75" customHeight="1">
      <c r="B1872" s="56"/>
      <c r="U1872" s="46" t="str">
        <f t="array" ref="U1872">IF($D1872="","",IFERROR(_xlfn.XLOOKUP($D1872,'TIR店舗一覧'!$D:$D,'TIR店舗一覧'!$E:$E,""),""))</f>
        <v/>
      </c>
      <c r="V1872" s="54" t="s">
        <v>2</v>
      </c>
      <c r="W1872" s="54" t="s">
        <v>2</v>
      </c>
      <c r="X1872" s="54" t="s">
        <v>2</v>
      </c>
      <c r="Y1872" s="54" t="s">
        <v>2</v>
      </c>
      <c r="Z1872" s="54" t="s">
        <v>2</v>
      </c>
      <c r="AA1872" s="54" t="s">
        <v>2</v>
      </c>
      <c r="AB1872" s="54" t="s">
        <v>2</v>
      </c>
      <c r="AC1872" s="54" t="s">
        <v>2</v>
      </c>
      <c r="AD1872" s="54" t="s">
        <v>2</v>
      </c>
      <c r="AE1872" s="54" t="s">
        <v>2</v>
      </c>
      <c r="AF1872" s="54" t="s">
        <v>2</v>
      </c>
      <c r="AG1872" s="54" t="s">
        <v>2</v>
      </c>
    </row>
    <row r="1873" ht="15.75" customHeight="1">
      <c r="B1873" s="56"/>
      <c r="U1873" s="46" t="str">
        <f t="array" ref="U1873">IF($D1873="","",IFERROR(_xlfn.XLOOKUP($D1873,'TIR店舗一覧'!$D:$D,'TIR店舗一覧'!$E:$E,""),""))</f>
        <v/>
      </c>
      <c r="V1873" s="54" t="s">
        <v>2</v>
      </c>
      <c r="W1873" s="54" t="s">
        <v>2</v>
      </c>
      <c r="X1873" s="54" t="s">
        <v>2</v>
      </c>
      <c r="Y1873" s="54" t="s">
        <v>2</v>
      </c>
      <c r="Z1873" s="54" t="s">
        <v>2</v>
      </c>
      <c r="AA1873" s="54" t="s">
        <v>2</v>
      </c>
      <c r="AB1873" s="54" t="s">
        <v>2</v>
      </c>
      <c r="AC1873" s="54" t="s">
        <v>2</v>
      </c>
      <c r="AD1873" s="54" t="s">
        <v>2</v>
      </c>
      <c r="AE1873" s="54" t="s">
        <v>2</v>
      </c>
      <c r="AF1873" s="54" t="s">
        <v>2</v>
      </c>
      <c r="AG1873" s="54" t="s">
        <v>2</v>
      </c>
    </row>
    <row r="1874" ht="15.75" customHeight="1">
      <c r="B1874" s="56"/>
      <c r="U1874" s="46" t="str">
        <f t="array" ref="U1874">IF($D1874="","",IFERROR(_xlfn.XLOOKUP($D1874,'TIR店舗一覧'!$D:$D,'TIR店舗一覧'!$E:$E,""),""))</f>
        <v/>
      </c>
      <c r="V1874" s="54" t="s">
        <v>2</v>
      </c>
      <c r="W1874" s="54" t="s">
        <v>2</v>
      </c>
      <c r="X1874" s="54" t="s">
        <v>2</v>
      </c>
      <c r="Y1874" s="54" t="s">
        <v>2</v>
      </c>
      <c r="Z1874" s="54" t="s">
        <v>2</v>
      </c>
      <c r="AA1874" s="54" t="s">
        <v>2</v>
      </c>
      <c r="AB1874" s="54" t="s">
        <v>2</v>
      </c>
      <c r="AC1874" s="54" t="s">
        <v>2</v>
      </c>
      <c r="AD1874" s="54" t="s">
        <v>2</v>
      </c>
      <c r="AE1874" s="54" t="s">
        <v>2</v>
      </c>
      <c r="AF1874" s="54" t="s">
        <v>2</v>
      </c>
      <c r="AG1874" s="54" t="s">
        <v>2</v>
      </c>
    </row>
    <row r="1875" ht="15.75" customHeight="1">
      <c r="B1875" s="56"/>
      <c r="U1875" s="46" t="str">
        <f t="array" ref="U1875">IF($D1875="","",IFERROR(_xlfn.XLOOKUP($D1875,'TIR店舗一覧'!$D:$D,'TIR店舗一覧'!$E:$E,""),""))</f>
        <v/>
      </c>
      <c r="V1875" s="54" t="s">
        <v>2</v>
      </c>
      <c r="W1875" s="54" t="s">
        <v>2</v>
      </c>
      <c r="X1875" s="54" t="s">
        <v>2</v>
      </c>
      <c r="Y1875" s="54" t="s">
        <v>2</v>
      </c>
      <c r="Z1875" s="54" t="s">
        <v>2</v>
      </c>
      <c r="AA1875" s="54" t="s">
        <v>2</v>
      </c>
      <c r="AB1875" s="54" t="s">
        <v>2</v>
      </c>
      <c r="AC1875" s="54" t="s">
        <v>2</v>
      </c>
      <c r="AD1875" s="54" t="s">
        <v>2</v>
      </c>
      <c r="AE1875" s="54" t="s">
        <v>2</v>
      </c>
      <c r="AF1875" s="54" t="s">
        <v>2</v>
      </c>
      <c r="AG1875" s="54" t="s">
        <v>2</v>
      </c>
    </row>
    <row r="1876" ht="15.75" customHeight="1">
      <c r="B1876" s="56"/>
      <c r="U1876" s="46" t="str">
        <f t="array" ref="U1876">IF($D1876="","",IFERROR(_xlfn.XLOOKUP($D1876,'TIR店舗一覧'!$D:$D,'TIR店舗一覧'!$E:$E,""),""))</f>
        <v/>
      </c>
      <c r="V1876" s="54" t="s">
        <v>2</v>
      </c>
      <c r="W1876" s="54" t="s">
        <v>2</v>
      </c>
      <c r="X1876" s="54" t="s">
        <v>2</v>
      </c>
      <c r="Y1876" s="54" t="s">
        <v>2</v>
      </c>
      <c r="Z1876" s="54" t="s">
        <v>2</v>
      </c>
      <c r="AA1876" s="54" t="s">
        <v>2</v>
      </c>
      <c r="AB1876" s="54" t="s">
        <v>2</v>
      </c>
      <c r="AC1876" s="54" t="s">
        <v>2</v>
      </c>
      <c r="AD1876" s="54" t="s">
        <v>2</v>
      </c>
      <c r="AE1876" s="54" t="s">
        <v>2</v>
      </c>
      <c r="AF1876" s="54" t="s">
        <v>2</v>
      </c>
      <c r="AG1876" s="54" t="s">
        <v>2</v>
      </c>
    </row>
    <row r="1877" ht="15.75" customHeight="1">
      <c r="B1877" s="56"/>
      <c r="U1877" s="46" t="str">
        <f t="array" ref="U1877">IF($D1877="","",IFERROR(_xlfn.XLOOKUP($D1877,'TIR店舗一覧'!$D:$D,'TIR店舗一覧'!$E:$E,""),""))</f>
        <v/>
      </c>
      <c r="V1877" s="54" t="s">
        <v>2</v>
      </c>
      <c r="W1877" s="54" t="s">
        <v>2</v>
      </c>
      <c r="X1877" s="54" t="s">
        <v>2</v>
      </c>
      <c r="Y1877" s="54" t="s">
        <v>2</v>
      </c>
      <c r="Z1877" s="54" t="s">
        <v>2</v>
      </c>
      <c r="AA1877" s="54" t="s">
        <v>2</v>
      </c>
      <c r="AB1877" s="54" t="s">
        <v>2</v>
      </c>
      <c r="AC1877" s="54" t="s">
        <v>2</v>
      </c>
      <c r="AD1877" s="54" t="s">
        <v>2</v>
      </c>
      <c r="AE1877" s="54" t="s">
        <v>2</v>
      </c>
      <c r="AF1877" s="54" t="s">
        <v>2</v>
      </c>
      <c r="AG1877" s="54" t="s">
        <v>2</v>
      </c>
    </row>
    <row r="1878" ht="15.75" customHeight="1">
      <c r="B1878" s="56"/>
      <c r="U1878" s="46" t="str">
        <f t="array" ref="U1878">IF($D1878="","",IFERROR(_xlfn.XLOOKUP($D1878,'TIR店舗一覧'!$D:$D,'TIR店舗一覧'!$E:$E,""),""))</f>
        <v/>
      </c>
      <c r="V1878" s="54" t="s">
        <v>2</v>
      </c>
      <c r="W1878" s="54" t="s">
        <v>2</v>
      </c>
      <c r="X1878" s="54" t="s">
        <v>2</v>
      </c>
      <c r="Y1878" s="54" t="s">
        <v>2</v>
      </c>
      <c r="Z1878" s="54" t="s">
        <v>2</v>
      </c>
      <c r="AA1878" s="54" t="s">
        <v>2</v>
      </c>
      <c r="AB1878" s="54" t="s">
        <v>2</v>
      </c>
      <c r="AC1878" s="54" t="s">
        <v>2</v>
      </c>
      <c r="AD1878" s="54" t="s">
        <v>2</v>
      </c>
      <c r="AE1878" s="54" t="s">
        <v>2</v>
      </c>
      <c r="AF1878" s="54" t="s">
        <v>2</v>
      </c>
      <c r="AG1878" s="54" t="s">
        <v>2</v>
      </c>
    </row>
    <row r="1879" ht="15.75" customHeight="1">
      <c r="B1879" s="56"/>
      <c r="U1879" s="46" t="str">
        <f t="array" ref="U1879">IF($D1879="","",IFERROR(_xlfn.XLOOKUP($D1879,'TIR店舗一覧'!$D:$D,'TIR店舗一覧'!$E:$E,""),""))</f>
        <v/>
      </c>
      <c r="V1879" s="54" t="s">
        <v>2</v>
      </c>
      <c r="W1879" s="54" t="s">
        <v>2</v>
      </c>
      <c r="X1879" s="54" t="s">
        <v>2</v>
      </c>
      <c r="Y1879" s="54" t="s">
        <v>2</v>
      </c>
      <c r="Z1879" s="54" t="s">
        <v>2</v>
      </c>
      <c r="AA1879" s="54" t="s">
        <v>2</v>
      </c>
      <c r="AB1879" s="54" t="s">
        <v>2</v>
      </c>
      <c r="AC1879" s="54" t="s">
        <v>2</v>
      </c>
      <c r="AD1879" s="54" t="s">
        <v>2</v>
      </c>
      <c r="AE1879" s="54" t="s">
        <v>2</v>
      </c>
      <c r="AF1879" s="54" t="s">
        <v>2</v>
      </c>
      <c r="AG1879" s="54" t="s">
        <v>2</v>
      </c>
    </row>
    <row r="1880" ht="15.75" customHeight="1">
      <c r="B1880" s="56"/>
      <c r="U1880" s="46" t="str">
        <f t="array" ref="U1880">IF($D1880="","",IFERROR(_xlfn.XLOOKUP($D1880,'TIR店舗一覧'!$D:$D,'TIR店舗一覧'!$E:$E,""),""))</f>
        <v/>
      </c>
      <c r="V1880" s="54" t="s">
        <v>2</v>
      </c>
      <c r="W1880" s="54" t="s">
        <v>2</v>
      </c>
      <c r="X1880" s="54" t="s">
        <v>2</v>
      </c>
      <c r="Y1880" s="54" t="s">
        <v>2</v>
      </c>
      <c r="Z1880" s="54" t="s">
        <v>2</v>
      </c>
      <c r="AA1880" s="54" t="s">
        <v>2</v>
      </c>
      <c r="AB1880" s="54" t="s">
        <v>2</v>
      </c>
      <c r="AC1880" s="54" t="s">
        <v>2</v>
      </c>
      <c r="AD1880" s="54" t="s">
        <v>2</v>
      </c>
      <c r="AE1880" s="54" t="s">
        <v>2</v>
      </c>
      <c r="AF1880" s="54" t="s">
        <v>2</v>
      </c>
      <c r="AG1880" s="54" t="s">
        <v>2</v>
      </c>
    </row>
    <row r="1881" ht="15.75" customHeight="1">
      <c r="B1881" s="56"/>
      <c r="U1881" s="46" t="str">
        <f t="array" ref="U1881">IF($D1881="","",IFERROR(_xlfn.XLOOKUP($D1881,'TIR店舗一覧'!$D:$D,'TIR店舗一覧'!$E:$E,""),""))</f>
        <v/>
      </c>
      <c r="V1881" s="54" t="s">
        <v>2</v>
      </c>
      <c r="W1881" s="54" t="s">
        <v>2</v>
      </c>
      <c r="X1881" s="54" t="s">
        <v>2</v>
      </c>
      <c r="Y1881" s="54" t="s">
        <v>2</v>
      </c>
      <c r="Z1881" s="54" t="s">
        <v>2</v>
      </c>
      <c r="AA1881" s="54" t="s">
        <v>2</v>
      </c>
      <c r="AB1881" s="54" t="s">
        <v>2</v>
      </c>
      <c r="AC1881" s="54" t="s">
        <v>2</v>
      </c>
      <c r="AD1881" s="54" t="s">
        <v>2</v>
      </c>
      <c r="AE1881" s="54" t="s">
        <v>2</v>
      </c>
      <c r="AF1881" s="54" t="s">
        <v>2</v>
      </c>
      <c r="AG1881" s="54" t="s">
        <v>2</v>
      </c>
    </row>
    <row r="1882" ht="15.75" customHeight="1">
      <c r="B1882" s="56"/>
      <c r="U1882" s="46" t="str">
        <f t="array" ref="U1882">IF($D1882="","",IFERROR(_xlfn.XLOOKUP($D1882,'TIR店舗一覧'!$D:$D,'TIR店舗一覧'!$E:$E,""),""))</f>
        <v/>
      </c>
      <c r="V1882" s="54" t="s">
        <v>2</v>
      </c>
      <c r="W1882" s="54" t="s">
        <v>2</v>
      </c>
      <c r="X1882" s="54" t="s">
        <v>2</v>
      </c>
      <c r="Y1882" s="54" t="s">
        <v>2</v>
      </c>
      <c r="Z1882" s="54" t="s">
        <v>2</v>
      </c>
      <c r="AA1882" s="54" t="s">
        <v>2</v>
      </c>
      <c r="AB1882" s="54" t="s">
        <v>2</v>
      </c>
      <c r="AC1882" s="54" t="s">
        <v>2</v>
      </c>
      <c r="AD1882" s="54" t="s">
        <v>2</v>
      </c>
      <c r="AE1882" s="54" t="s">
        <v>2</v>
      </c>
      <c r="AF1882" s="54" t="s">
        <v>2</v>
      </c>
      <c r="AG1882" s="54" t="s">
        <v>2</v>
      </c>
    </row>
    <row r="1883" ht="15.75" customHeight="1">
      <c r="B1883" s="56"/>
      <c r="U1883" s="46" t="str">
        <f t="array" ref="U1883">IF($D1883="","",IFERROR(_xlfn.XLOOKUP($D1883,'TIR店舗一覧'!$D:$D,'TIR店舗一覧'!$E:$E,""),""))</f>
        <v/>
      </c>
      <c r="V1883" s="54" t="s">
        <v>2</v>
      </c>
      <c r="W1883" s="54" t="s">
        <v>2</v>
      </c>
      <c r="X1883" s="54" t="s">
        <v>2</v>
      </c>
      <c r="Y1883" s="54" t="s">
        <v>2</v>
      </c>
      <c r="Z1883" s="54" t="s">
        <v>2</v>
      </c>
      <c r="AA1883" s="54" t="s">
        <v>2</v>
      </c>
      <c r="AB1883" s="54" t="s">
        <v>2</v>
      </c>
      <c r="AC1883" s="54" t="s">
        <v>2</v>
      </c>
      <c r="AD1883" s="54" t="s">
        <v>2</v>
      </c>
      <c r="AE1883" s="54" t="s">
        <v>2</v>
      </c>
      <c r="AF1883" s="54" t="s">
        <v>2</v>
      </c>
      <c r="AG1883" s="54" t="s">
        <v>2</v>
      </c>
    </row>
    <row r="1884" ht="15.75" customHeight="1">
      <c r="B1884" s="56"/>
      <c r="U1884" s="46" t="str">
        <f t="array" ref="U1884">IF($D1884="","",IFERROR(_xlfn.XLOOKUP($D1884,'TIR店舗一覧'!$D:$D,'TIR店舗一覧'!$E:$E,""),""))</f>
        <v/>
      </c>
      <c r="V1884" s="54" t="s">
        <v>2</v>
      </c>
      <c r="W1884" s="54" t="s">
        <v>2</v>
      </c>
      <c r="X1884" s="54" t="s">
        <v>2</v>
      </c>
      <c r="Y1884" s="54" t="s">
        <v>2</v>
      </c>
      <c r="Z1884" s="54" t="s">
        <v>2</v>
      </c>
      <c r="AA1884" s="54" t="s">
        <v>2</v>
      </c>
      <c r="AB1884" s="54" t="s">
        <v>2</v>
      </c>
      <c r="AC1884" s="54" t="s">
        <v>2</v>
      </c>
      <c r="AD1884" s="54" t="s">
        <v>2</v>
      </c>
      <c r="AE1884" s="54" t="s">
        <v>2</v>
      </c>
      <c r="AF1884" s="54" t="s">
        <v>2</v>
      </c>
      <c r="AG1884" s="54" t="s">
        <v>2</v>
      </c>
    </row>
    <row r="1885" ht="15.75" customHeight="1">
      <c r="B1885" s="56"/>
      <c r="U1885" s="46" t="str">
        <f t="array" ref="U1885">IF($D1885="","",IFERROR(_xlfn.XLOOKUP($D1885,'TIR店舗一覧'!$D:$D,'TIR店舗一覧'!$E:$E,""),""))</f>
        <v/>
      </c>
      <c r="V1885" s="54" t="s">
        <v>2</v>
      </c>
      <c r="W1885" s="54" t="s">
        <v>2</v>
      </c>
      <c r="X1885" s="54" t="s">
        <v>2</v>
      </c>
      <c r="Y1885" s="54" t="s">
        <v>2</v>
      </c>
      <c r="Z1885" s="54" t="s">
        <v>2</v>
      </c>
      <c r="AA1885" s="54" t="s">
        <v>2</v>
      </c>
      <c r="AB1885" s="54" t="s">
        <v>2</v>
      </c>
      <c r="AC1885" s="54" t="s">
        <v>2</v>
      </c>
      <c r="AD1885" s="54" t="s">
        <v>2</v>
      </c>
      <c r="AE1885" s="54" t="s">
        <v>2</v>
      </c>
      <c r="AF1885" s="54" t="s">
        <v>2</v>
      </c>
      <c r="AG1885" s="54" t="s">
        <v>2</v>
      </c>
    </row>
    <row r="1886" ht="15.75" customHeight="1">
      <c r="B1886" s="56"/>
      <c r="U1886" s="46" t="str">
        <f t="array" ref="U1886">IF($D1886="","",IFERROR(_xlfn.XLOOKUP($D1886,'TIR店舗一覧'!$D:$D,'TIR店舗一覧'!$E:$E,""),""))</f>
        <v/>
      </c>
      <c r="V1886" s="54" t="s">
        <v>2</v>
      </c>
      <c r="W1886" s="54" t="s">
        <v>2</v>
      </c>
      <c r="X1886" s="54" t="s">
        <v>2</v>
      </c>
      <c r="Y1886" s="54" t="s">
        <v>2</v>
      </c>
      <c r="Z1886" s="54" t="s">
        <v>2</v>
      </c>
      <c r="AA1886" s="54" t="s">
        <v>2</v>
      </c>
      <c r="AB1886" s="54" t="s">
        <v>2</v>
      </c>
      <c r="AC1886" s="54" t="s">
        <v>2</v>
      </c>
      <c r="AD1886" s="54" t="s">
        <v>2</v>
      </c>
      <c r="AE1886" s="54" t="s">
        <v>2</v>
      </c>
      <c r="AF1886" s="54" t="s">
        <v>2</v>
      </c>
      <c r="AG1886" s="54" t="s">
        <v>2</v>
      </c>
    </row>
    <row r="1887" ht="15.75" customHeight="1">
      <c r="B1887" s="56"/>
      <c r="U1887" s="46" t="str">
        <f t="array" ref="U1887">IF($D1887="","",IFERROR(_xlfn.XLOOKUP($D1887,'TIR店舗一覧'!$D:$D,'TIR店舗一覧'!$E:$E,""),""))</f>
        <v/>
      </c>
      <c r="V1887" s="54" t="s">
        <v>2</v>
      </c>
      <c r="W1887" s="54" t="s">
        <v>2</v>
      </c>
      <c r="X1887" s="54" t="s">
        <v>2</v>
      </c>
      <c r="Y1887" s="54" t="s">
        <v>2</v>
      </c>
      <c r="Z1887" s="54" t="s">
        <v>2</v>
      </c>
      <c r="AA1887" s="54" t="s">
        <v>2</v>
      </c>
      <c r="AB1887" s="54" t="s">
        <v>2</v>
      </c>
      <c r="AC1887" s="54" t="s">
        <v>2</v>
      </c>
      <c r="AD1887" s="54" t="s">
        <v>2</v>
      </c>
      <c r="AE1887" s="54" t="s">
        <v>2</v>
      </c>
      <c r="AF1887" s="54" t="s">
        <v>2</v>
      </c>
      <c r="AG1887" s="54" t="s">
        <v>2</v>
      </c>
    </row>
    <row r="1888" ht="15.75" customHeight="1">
      <c r="B1888" s="56"/>
      <c r="U1888" s="46" t="str">
        <f t="array" ref="U1888">IF($D1888="","",IFERROR(_xlfn.XLOOKUP($D1888,'TIR店舗一覧'!$D:$D,'TIR店舗一覧'!$E:$E,""),""))</f>
        <v/>
      </c>
      <c r="V1888" s="54" t="s">
        <v>2</v>
      </c>
      <c r="W1888" s="54" t="s">
        <v>2</v>
      </c>
      <c r="X1888" s="54" t="s">
        <v>2</v>
      </c>
      <c r="Y1888" s="54" t="s">
        <v>2</v>
      </c>
      <c r="Z1888" s="54" t="s">
        <v>2</v>
      </c>
      <c r="AA1888" s="54" t="s">
        <v>2</v>
      </c>
      <c r="AB1888" s="54" t="s">
        <v>2</v>
      </c>
      <c r="AC1888" s="54" t="s">
        <v>2</v>
      </c>
      <c r="AD1888" s="54" t="s">
        <v>2</v>
      </c>
      <c r="AE1888" s="54" t="s">
        <v>2</v>
      </c>
      <c r="AF1888" s="54" t="s">
        <v>2</v>
      </c>
      <c r="AG1888" s="54" t="s">
        <v>2</v>
      </c>
    </row>
    <row r="1889" ht="15.75" customHeight="1">
      <c r="B1889" s="56"/>
      <c r="U1889" s="46" t="str">
        <f t="array" ref="U1889">IF($D1889="","",IFERROR(_xlfn.XLOOKUP($D1889,'TIR店舗一覧'!$D:$D,'TIR店舗一覧'!$E:$E,""),""))</f>
        <v/>
      </c>
      <c r="V1889" s="54" t="s">
        <v>2</v>
      </c>
      <c r="W1889" s="54" t="s">
        <v>2</v>
      </c>
      <c r="X1889" s="54" t="s">
        <v>2</v>
      </c>
      <c r="Y1889" s="54" t="s">
        <v>2</v>
      </c>
      <c r="Z1889" s="54" t="s">
        <v>2</v>
      </c>
      <c r="AA1889" s="54" t="s">
        <v>2</v>
      </c>
      <c r="AB1889" s="54" t="s">
        <v>2</v>
      </c>
      <c r="AC1889" s="54" t="s">
        <v>2</v>
      </c>
      <c r="AD1889" s="54" t="s">
        <v>2</v>
      </c>
      <c r="AE1889" s="54" t="s">
        <v>2</v>
      </c>
      <c r="AF1889" s="54" t="s">
        <v>2</v>
      </c>
      <c r="AG1889" s="54" t="s">
        <v>2</v>
      </c>
    </row>
    <row r="1890" ht="15.75" customHeight="1">
      <c r="B1890" s="56"/>
      <c r="U1890" s="46" t="str">
        <f t="array" ref="U1890">IF($D1890="","",IFERROR(_xlfn.XLOOKUP($D1890,'TIR店舗一覧'!$D:$D,'TIR店舗一覧'!$E:$E,""),""))</f>
        <v/>
      </c>
      <c r="V1890" s="54" t="s">
        <v>2</v>
      </c>
      <c r="W1890" s="54" t="s">
        <v>2</v>
      </c>
      <c r="X1890" s="54" t="s">
        <v>2</v>
      </c>
      <c r="Y1890" s="54" t="s">
        <v>2</v>
      </c>
      <c r="Z1890" s="54" t="s">
        <v>2</v>
      </c>
      <c r="AA1890" s="54" t="s">
        <v>2</v>
      </c>
      <c r="AB1890" s="54" t="s">
        <v>2</v>
      </c>
      <c r="AC1890" s="54" t="s">
        <v>2</v>
      </c>
      <c r="AD1890" s="54" t="s">
        <v>2</v>
      </c>
      <c r="AE1890" s="54" t="s">
        <v>2</v>
      </c>
      <c r="AF1890" s="54" t="s">
        <v>2</v>
      </c>
      <c r="AG1890" s="54" t="s">
        <v>2</v>
      </c>
    </row>
    <row r="1891" ht="15.75" customHeight="1">
      <c r="B1891" s="56"/>
      <c r="U1891" s="46" t="str">
        <f t="array" ref="U1891">IF($D1891="","",IFERROR(_xlfn.XLOOKUP($D1891,'TIR店舗一覧'!$D:$D,'TIR店舗一覧'!$E:$E,""),""))</f>
        <v/>
      </c>
      <c r="V1891" s="54" t="s">
        <v>2</v>
      </c>
      <c r="W1891" s="54" t="s">
        <v>2</v>
      </c>
      <c r="X1891" s="54" t="s">
        <v>2</v>
      </c>
      <c r="Y1891" s="54" t="s">
        <v>2</v>
      </c>
      <c r="Z1891" s="54" t="s">
        <v>2</v>
      </c>
      <c r="AA1891" s="54" t="s">
        <v>2</v>
      </c>
      <c r="AB1891" s="54" t="s">
        <v>2</v>
      </c>
      <c r="AC1891" s="54" t="s">
        <v>2</v>
      </c>
      <c r="AD1891" s="54" t="s">
        <v>2</v>
      </c>
      <c r="AE1891" s="54" t="s">
        <v>2</v>
      </c>
      <c r="AF1891" s="54" t="s">
        <v>2</v>
      </c>
      <c r="AG1891" s="54" t="s">
        <v>2</v>
      </c>
    </row>
    <row r="1892" ht="15.75" customHeight="1">
      <c r="B1892" s="56"/>
      <c r="U1892" s="46" t="str">
        <f t="array" ref="U1892">IF($D1892="","",IFERROR(_xlfn.XLOOKUP($D1892,'TIR店舗一覧'!$D:$D,'TIR店舗一覧'!$E:$E,""),""))</f>
        <v/>
      </c>
      <c r="V1892" s="54" t="s">
        <v>2</v>
      </c>
      <c r="W1892" s="54" t="s">
        <v>2</v>
      </c>
      <c r="X1892" s="54" t="s">
        <v>2</v>
      </c>
      <c r="Y1892" s="54" t="s">
        <v>2</v>
      </c>
      <c r="Z1892" s="54" t="s">
        <v>2</v>
      </c>
      <c r="AA1892" s="54" t="s">
        <v>2</v>
      </c>
      <c r="AB1892" s="54" t="s">
        <v>2</v>
      </c>
      <c r="AC1892" s="54" t="s">
        <v>2</v>
      </c>
      <c r="AD1892" s="54" t="s">
        <v>2</v>
      </c>
      <c r="AE1892" s="54" t="s">
        <v>2</v>
      </c>
      <c r="AF1892" s="54" t="s">
        <v>2</v>
      </c>
      <c r="AG1892" s="54" t="s">
        <v>2</v>
      </c>
    </row>
    <row r="1893" ht="15.75" customHeight="1">
      <c r="B1893" s="56"/>
      <c r="U1893" s="46" t="str">
        <f t="array" ref="U1893">IF($D1893="","",IFERROR(_xlfn.XLOOKUP($D1893,'TIR店舗一覧'!$D:$D,'TIR店舗一覧'!$E:$E,""),""))</f>
        <v/>
      </c>
      <c r="V1893" s="54" t="s">
        <v>2</v>
      </c>
      <c r="W1893" s="54" t="s">
        <v>2</v>
      </c>
      <c r="X1893" s="54" t="s">
        <v>2</v>
      </c>
      <c r="Y1893" s="54" t="s">
        <v>2</v>
      </c>
      <c r="Z1893" s="54" t="s">
        <v>2</v>
      </c>
      <c r="AA1893" s="54" t="s">
        <v>2</v>
      </c>
      <c r="AB1893" s="54" t="s">
        <v>2</v>
      </c>
      <c r="AC1893" s="54" t="s">
        <v>2</v>
      </c>
      <c r="AD1893" s="54" t="s">
        <v>2</v>
      </c>
      <c r="AE1893" s="54" t="s">
        <v>2</v>
      </c>
      <c r="AF1893" s="54" t="s">
        <v>2</v>
      </c>
      <c r="AG1893" s="54" t="s">
        <v>2</v>
      </c>
    </row>
    <row r="1894" ht="15.75" customHeight="1">
      <c r="B1894" s="56"/>
      <c r="U1894" s="46" t="str">
        <f t="array" ref="U1894">IF($D1894="","",IFERROR(_xlfn.XLOOKUP($D1894,'TIR店舗一覧'!$D:$D,'TIR店舗一覧'!$E:$E,""),""))</f>
        <v/>
      </c>
      <c r="V1894" s="54" t="s">
        <v>2</v>
      </c>
      <c r="W1894" s="54" t="s">
        <v>2</v>
      </c>
      <c r="X1894" s="54" t="s">
        <v>2</v>
      </c>
      <c r="Y1894" s="54" t="s">
        <v>2</v>
      </c>
      <c r="Z1894" s="54" t="s">
        <v>2</v>
      </c>
      <c r="AA1894" s="54" t="s">
        <v>2</v>
      </c>
      <c r="AB1894" s="54" t="s">
        <v>2</v>
      </c>
      <c r="AC1894" s="54" t="s">
        <v>2</v>
      </c>
      <c r="AD1894" s="54" t="s">
        <v>2</v>
      </c>
      <c r="AE1894" s="54" t="s">
        <v>2</v>
      </c>
      <c r="AF1894" s="54" t="s">
        <v>2</v>
      </c>
      <c r="AG1894" s="54" t="s">
        <v>2</v>
      </c>
    </row>
    <row r="1895" ht="15.75" customHeight="1">
      <c r="B1895" s="56"/>
      <c r="U1895" s="46" t="str">
        <f t="array" ref="U1895">IF($D1895="","",IFERROR(_xlfn.XLOOKUP($D1895,'TIR店舗一覧'!$D:$D,'TIR店舗一覧'!$E:$E,""),""))</f>
        <v/>
      </c>
      <c r="V1895" s="54" t="s">
        <v>2</v>
      </c>
      <c r="W1895" s="54" t="s">
        <v>2</v>
      </c>
      <c r="X1895" s="54" t="s">
        <v>2</v>
      </c>
      <c r="Y1895" s="54" t="s">
        <v>2</v>
      </c>
      <c r="Z1895" s="54" t="s">
        <v>2</v>
      </c>
      <c r="AA1895" s="54" t="s">
        <v>2</v>
      </c>
      <c r="AB1895" s="54" t="s">
        <v>2</v>
      </c>
      <c r="AC1895" s="54" t="s">
        <v>2</v>
      </c>
      <c r="AD1895" s="54" t="s">
        <v>2</v>
      </c>
      <c r="AE1895" s="54" t="s">
        <v>2</v>
      </c>
      <c r="AF1895" s="54" t="s">
        <v>2</v>
      </c>
      <c r="AG1895" s="54" t="s">
        <v>2</v>
      </c>
    </row>
    <row r="1896" ht="15.75" customHeight="1">
      <c r="B1896" s="56"/>
      <c r="U1896" s="46" t="str">
        <f t="array" ref="U1896">IF($D1896="","",IFERROR(_xlfn.XLOOKUP($D1896,'TIR店舗一覧'!$D:$D,'TIR店舗一覧'!$E:$E,""),""))</f>
        <v/>
      </c>
      <c r="V1896" s="54" t="s">
        <v>2</v>
      </c>
      <c r="W1896" s="54" t="s">
        <v>2</v>
      </c>
      <c r="X1896" s="54" t="s">
        <v>2</v>
      </c>
      <c r="Y1896" s="54" t="s">
        <v>2</v>
      </c>
      <c r="Z1896" s="54" t="s">
        <v>2</v>
      </c>
      <c r="AA1896" s="54" t="s">
        <v>2</v>
      </c>
      <c r="AB1896" s="54" t="s">
        <v>2</v>
      </c>
      <c r="AC1896" s="54" t="s">
        <v>2</v>
      </c>
      <c r="AD1896" s="54" t="s">
        <v>2</v>
      </c>
      <c r="AE1896" s="54" t="s">
        <v>2</v>
      </c>
      <c r="AF1896" s="54" t="s">
        <v>2</v>
      </c>
      <c r="AG1896" s="54" t="s">
        <v>2</v>
      </c>
    </row>
    <row r="1897" ht="15.75" customHeight="1">
      <c r="B1897" s="56"/>
      <c r="U1897" s="46" t="str">
        <f t="array" ref="U1897">IF($D1897="","",IFERROR(_xlfn.XLOOKUP($D1897,'TIR店舗一覧'!$D:$D,'TIR店舗一覧'!$E:$E,""),""))</f>
        <v/>
      </c>
      <c r="V1897" s="54" t="s">
        <v>2</v>
      </c>
      <c r="W1897" s="54" t="s">
        <v>2</v>
      </c>
      <c r="X1897" s="54" t="s">
        <v>2</v>
      </c>
      <c r="Y1897" s="54" t="s">
        <v>2</v>
      </c>
      <c r="Z1897" s="54" t="s">
        <v>2</v>
      </c>
      <c r="AA1897" s="54" t="s">
        <v>2</v>
      </c>
      <c r="AB1897" s="54" t="s">
        <v>2</v>
      </c>
      <c r="AC1897" s="54" t="s">
        <v>2</v>
      </c>
      <c r="AD1897" s="54" t="s">
        <v>2</v>
      </c>
      <c r="AE1897" s="54" t="s">
        <v>2</v>
      </c>
      <c r="AF1897" s="54" t="s">
        <v>2</v>
      </c>
      <c r="AG1897" s="54" t="s">
        <v>2</v>
      </c>
    </row>
    <row r="1898" ht="15.75" customHeight="1">
      <c r="B1898" s="56"/>
      <c r="U1898" s="46" t="str">
        <f t="array" ref="U1898">IF($D1898="","",IFERROR(_xlfn.XLOOKUP($D1898,'TIR店舗一覧'!$D:$D,'TIR店舗一覧'!$E:$E,""),""))</f>
        <v/>
      </c>
      <c r="V1898" s="54" t="s">
        <v>2</v>
      </c>
      <c r="W1898" s="54" t="s">
        <v>2</v>
      </c>
      <c r="X1898" s="54" t="s">
        <v>2</v>
      </c>
      <c r="Y1898" s="54" t="s">
        <v>2</v>
      </c>
      <c r="Z1898" s="54" t="s">
        <v>2</v>
      </c>
      <c r="AA1898" s="54" t="s">
        <v>2</v>
      </c>
      <c r="AB1898" s="54" t="s">
        <v>2</v>
      </c>
      <c r="AC1898" s="54" t="s">
        <v>2</v>
      </c>
      <c r="AD1898" s="54" t="s">
        <v>2</v>
      </c>
      <c r="AE1898" s="54" t="s">
        <v>2</v>
      </c>
      <c r="AF1898" s="54" t="s">
        <v>2</v>
      </c>
      <c r="AG1898" s="54" t="s">
        <v>2</v>
      </c>
    </row>
    <row r="1899" ht="15.75" customHeight="1">
      <c r="B1899" s="56"/>
      <c r="U1899" s="46" t="str">
        <f t="array" ref="U1899">IF($D1899="","",IFERROR(_xlfn.XLOOKUP($D1899,'TIR店舗一覧'!$D:$D,'TIR店舗一覧'!$E:$E,""),""))</f>
        <v/>
      </c>
      <c r="V1899" s="54" t="s">
        <v>2</v>
      </c>
      <c r="W1899" s="54" t="s">
        <v>2</v>
      </c>
      <c r="X1899" s="54" t="s">
        <v>2</v>
      </c>
      <c r="Y1899" s="54" t="s">
        <v>2</v>
      </c>
      <c r="Z1899" s="54" t="s">
        <v>2</v>
      </c>
      <c r="AA1899" s="54" t="s">
        <v>2</v>
      </c>
      <c r="AB1899" s="54" t="s">
        <v>2</v>
      </c>
      <c r="AC1899" s="54" t="s">
        <v>2</v>
      </c>
      <c r="AD1899" s="54" t="s">
        <v>2</v>
      </c>
      <c r="AE1899" s="54" t="s">
        <v>2</v>
      </c>
      <c r="AF1899" s="54" t="s">
        <v>2</v>
      </c>
      <c r="AG1899" s="54" t="s">
        <v>2</v>
      </c>
    </row>
    <row r="1900" ht="15.75" customHeight="1">
      <c r="B1900" s="56"/>
      <c r="U1900" s="46" t="str">
        <f t="array" ref="U1900">IF($D1900="","",IFERROR(_xlfn.XLOOKUP($D1900,'TIR店舗一覧'!$D:$D,'TIR店舗一覧'!$E:$E,""),""))</f>
        <v/>
      </c>
      <c r="V1900" s="54" t="s">
        <v>2</v>
      </c>
      <c r="W1900" s="54" t="s">
        <v>2</v>
      </c>
      <c r="X1900" s="54" t="s">
        <v>2</v>
      </c>
      <c r="Y1900" s="54" t="s">
        <v>2</v>
      </c>
      <c r="Z1900" s="54" t="s">
        <v>2</v>
      </c>
      <c r="AA1900" s="54" t="s">
        <v>2</v>
      </c>
      <c r="AB1900" s="54" t="s">
        <v>2</v>
      </c>
      <c r="AC1900" s="54" t="s">
        <v>2</v>
      </c>
      <c r="AD1900" s="54" t="s">
        <v>2</v>
      </c>
      <c r="AE1900" s="54" t="s">
        <v>2</v>
      </c>
      <c r="AF1900" s="54" t="s">
        <v>2</v>
      </c>
      <c r="AG1900" s="54" t="s">
        <v>2</v>
      </c>
    </row>
    <row r="1901" ht="15.75" customHeight="1">
      <c r="B1901" s="56"/>
      <c r="U1901" s="46" t="str">
        <f t="array" ref="U1901">IF($D1901="","",IFERROR(_xlfn.XLOOKUP($D1901,'TIR店舗一覧'!$D:$D,'TIR店舗一覧'!$E:$E,""),""))</f>
        <v/>
      </c>
      <c r="V1901" s="54" t="s">
        <v>2</v>
      </c>
      <c r="W1901" s="54" t="s">
        <v>2</v>
      </c>
      <c r="X1901" s="54" t="s">
        <v>2</v>
      </c>
      <c r="Y1901" s="54" t="s">
        <v>2</v>
      </c>
      <c r="Z1901" s="54" t="s">
        <v>2</v>
      </c>
      <c r="AA1901" s="54" t="s">
        <v>2</v>
      </c>
      <c r="AB1901" s="54" t="s">
        <v>2</v>
      </c>
      <c r="AC1901" s="54" t="s">
        <v>2</v>
      </c>
      <c r="AD1901" s="54" t="s">
        <v>2</v>
      </c>
      <c r="AE1901" s="54" t="s">
        <v>2</v>
      </c>
      <c r="AF1901" s="54" t="s">
        <v>2</v>
      </c>
      <c r="AG1901" s="54" t="s">
        <v>2</v>
      </c>
    </row>
    <row r="1902" ht="15.75" customHeight="1">
      <c r="B1902" s="56"/>
      <c r="U1902" s="46" t="str">
        <f t="array" ref="U1902">IF($D1902="","",IFERROR(_xlfn.XLOOKUP($D1902,'TIR店舗一覧'!$D:$D,'TIR店舗一覧'!$E:$E,""),""))</f>
        <v/>
      </c>
      <c r="V1902" s="54" t="s">
        <v>2</v>
      </c>
      <c r="W1902" s="54" t="s">
        <v>2</v>
      </c>
      <c r="X1902" s="54" t="s">
        <v>2</v>
      </c>
      <c r="Y1902" s="54" t="s">
        <v>2</v>
      </c>
      <c r="Z1902" s="54" t="s">
        <v>2</v>
      </c>
      <c r="AA1902" s="54" t="s">
        <v>2</v>
      </c>
      <c r="AB1902" s="54" t="s">
        <v>2</v>
      </c>
      <c r="AC1902" s="54" t="s">
        <v>2</v>
      </c>
      <c r="AD1902" s="54" t="s">
        <v>2</v>
      </c>
      <c r="AE1902" s="54" t="s">
        <v>2</v>
      </c>
      <c r="AF1902" s="54" t="s">
        <v>2</v>
      </c>
      <c r="AG1902" s="54" t="s">
        <v>2</v>
      </c>
    </row>
    <row r="1903" ht="15.75" customHeight="1">
      <c r="B1903" s="56"/>
      <c r="U1903" s="46" t="str">
        <f t="array" ref="U1903">IF($D1903="","",IFERROR(_xlfn.XLOOKUP($D1903,'TIR店舗一覧'!$D:$D,'TIR店舗一覧'!$E:$E,""),""))</f>
        <v/>
      </c>
      <c r="V1903" s="54" t="s">
        <v>2</v>
      </c>
      <c r="W1903" s="54" t="s">
        <v>2</v>
      </c>
      <c r="X1903" s="54" t="s">
        <v>2</v>
      </c>
      <c r="Y1903" s="54" t="s">
        <v>2</v>
      </c>
      <c r="Z1903" s="54" t="s">
        <v>2</v>
      </c>
      <c r="AA1903" s="54" t="s">
        <v>2</v>
      </c>
      <c r="AB1903" s="54" t="s">
        <v>2</v>
      </c>
      <c r="AC1903" s="54" t="s">
        <v>2</v>
      </c>
      <c r="AD1903" s="54" t="s">
        <v>2</v>
      </c>
      <c r="AE1903" s="54" t="s">
        <v>2</v>
      </c>
      <c r="AF1903" s="54" t="s">
        <v>2</v>
      </c>
      <c r="AG1903" s="54" t="s">
        <v>2</v>
      </c>
    </row>
    <row r="1904" ht="15.75" customHeight="1">
      <c r="B1904" s="56"/>
      <c r="U1904" s="46" t="str">
        <f t="array" ref="U1904">IF($D1904="","",IFERROR(_xlfn.XLOOKUP($D1904,'TIR店舗一覧'!$D:$D,'TIR店舗一覧'!$E:$E,""),""))</f>
        <v/>
      </c>
      <c r="V1904" s="54" t="s">
        <v>2</v>
      </c>
      <c r="W1904" s="54" t="s">
        <v>2</v>
      </c>
      <c r="X1904" s="54" t="s">
        <v>2</v>
      </c>
      <c r="Y1904" s="54" t="s">
        <v>2</v>
      </c>
      <c r="Z1904" s="54" t="s">
        <v>2</v>
      </c>
      <c r="AA1904" s="54" t="s">
        <v>2</v>
      </c>
      <c r="AB1904" s="54" t="s">
        <v>2</v>
      </c>
      <c r="AC1904" s="54" t="s">
        <v>2</v>
      </c>
      <c r="AD1904" s="54" t="s">
        <v>2</v>
      </c>
      <c r="AE1904" s="54" t="s">
        <v>2</v>
      </c>
      <c r="AF1904" s="54" t="s">
        <v>2</v>
      </c>
      <c r="AG1904" s="54" t="s">
        <v>2</v>
      </c>
    </row>
    <row r="1905" ht="15.75" customHeight="1">
      <c r="B1905" s="56"/>
      <c r="U1905" s="46" t="str">
        <f t="array" ref="U1905">IF($D1905="","",IFERROR(_xlfn.XLOOKUP($D1905,'TIR店舗一覧'!$D:$D,'TIR店舗一覧'!$E:$E,""),""))</f>
        <v/>
      </c>
      <c r="V1905" s="54" t="s">
        <v>2</v>
      </c>
      <c r="W1905" s="54" t="s">
        <v>2</v>
      </c>
      <c r="X1905" s="54" t="s">
        <v>2</v>
      </c>
      <c r="Y1905" s="54" t="s">
        <v>2</v>
      </c>
      <c r="Z1905" s="54" t="s">
        <v>2</v>
      </c>
      <c r="AA1905" s="54" t="s">
        <v>2</v>
      </c>
      <c r="AB1905" s="54" t="s">
        <v>2</v>
      </c>
      <c r="AC1905" s="54" t="s">
        <v>2</v>
      </c>
      <c r="AD1905" s="54" t="s">
        <v>2</v>
      </c>
      <c r="AE1905" s="54" t="s">
        <v>2</v>
      </c>
      <c r="AF1905" s="54" t="s">
        <v>2</v>
      </c>
      <c r="AG1905" s="54" t="s">
        <v>2</v>
      </c>
    </row>
    <row r="1906" ht="15.75" customHeight="1">
      <c r="B1906" s="56"/>
      <c r="U1906" s="46" t="str">
        <f t="array" ref="U1906">IF($D1906="","",IFERROR(_xlfn.XLOOKUP($D1906,'TIR店舗一覧'!$D:$D,'TIR店舗一覧'!$E:$E,""),""))</f>
        <v/>
      </c>
      <c r="V1906" s="54" t="s">
        <v>2</v>
      </c>
      <c r="W1906" s="54" t="s">
        <v>2</v>
      </c>
      <c r="X1906" s="54" t="s">
        <v>2</v>
      </c>
      <c r="Y1906" s="54" t="s">
        <v>2</v>
      </c>
      <c r="Z1906" s="54" t="s">
        <v>2</v>
      </c>
      <c r="AA1906" s="54" t="s">
        <v>2</v>
      </c>
      <c r="AB1906" s="54" t="s">
        <v>2</v>
      </c>
      <c r="AC1906" s="54" t="s">
        <v>2</v>
      </c>
      <c r="AD1906" s="54" t="s">
        <v>2</v>
      </c>
      <c r="AE1906" s="54" t="s">
        <v>2</v>
      </c>
      <c r="AF1906" s="54" t="s">
        <v>2</v>
      </c>
      <c r="AG1906" s="54" t="s">
        <v>2</v>
      </c>
    </row>
    <row r="1907" ht="15.75" customHeight="1">
      <c r="B1907" s="56"/>
      <c r="U1907" s="46" t="str">
        <f t="array" ref="U1907">IF($D1907="","",IFERROR(_xlfn.XLOOKUP($D1907,'TIR店舗一覧'!$D:$D,'TIR店舗一覧'!$E:$E,""),""))</f>
        <v/>
      </c>
      <c r="V1907" s="54" t="s">
        <v>2</v>
      </c>
      <c r="W1907" s="54" t="s">
        <v>2</v>
      </c>
      <c r="X1907" s="54" t="s">
        <v>2</v>
      </c>
      <c r="Y1907" s="54" t="s">
        <v>2</v>
      </c>
      <c r="Z1907" s="54" t="s">
        <v>2</v>
      </c>
      <c r="AA1907" s="54" t="s">
        <v>2</v>
      </c>
      <c r="AB1907" s="54" t="s">
        <v>2</v>
      </c>
      <c r="AC1907" s="54" t="s">
        <v>2</v>
      </c>
      <c r="AD1907" s="54" t="s">
        <v>2</v>
      </c>
      <c r="AE1907" s="54" t="s">
        <v>2</v>
      </c>
      <c r="AF1907" s="54" t="s">
        <v>2</v>
      </c>
      <c r="AG1907" s="54" t="s">
        <v>2</v>
      </c>
    </row>
    <row r="1908" ht="15.75" customHeight="1">
      <c r="B1908" s="56"/>
      <c r="U1908" s="46" t="str">
        <f t="array" ref="U1908">IF($D1908="","",IFERROR(_xlfn.XLOOKUP($D1908,'TIR店舗一覧'!$D:$D,'TIR店舗一覧'!$E:$E,""),""))</f>
        <v/>
      </c>
      <c r="V1908" s="54" t="s">
        <v>2</v>
      </c>
      <c r="W1908" s="54" t="s">
        <v>2</v>
      </c>
      <c r="X1908" s="54" t="s">
        <v>2</v>
      </c>
      <c r="Y1908" s="54" t="s">
        <v>2</v>
      </c>
      <c r="Z1908" s="54" t="s">
        <v>2</v>
      </c>
      <c r="AA1908" s="54" t="s">
        <v>2</v>
      </c>
      <c r="AB1908" s="54" t="s">
        <v>2</v>
      </c>
      <c r="AC1908" s="54" t="s">
        <v>2</v>
      </c>
      <c r="AD1908" s="54" t="s">
        <v>2</v>
      </c>
      <c r="AE1908" s="54" t="s">
        <v>2</v>
      </c>
      <c r="AF1908" s="54" t="s">
        <v>2</v>
      </c>
      <c r="AG1908" s="54" t="s">
        <v>2</v>
      </c>
    </row>
    <row r="1909" ht="15.75" customHeight="1">
      <c r="B1909" s="56"/>
      <c r="U1909" s="46" t="str">
        <f t="array" ref="U1909">IF($D1909="","",IFERROR(_xlfn.XLOOKUP($D1909,'TIR店舗一覧'!$D:$D,'TIR店舗一覧'!$E:$E,""),""))</f>
        <v/>
      </c>
      <c r="V1909" s="54" t="s">
        <v>2</v>
      </c>
      <c r="W1909" s="54" t="s">
        <v>2</v>
      </c>
      <c r="X1909" s="54" t="s">
        <v>2</v>
      </c>
      <c r="Y1909" s="54" t="s">
        <v>2</v>
      </c>
      <c r="Z1909" s="54" t="s">
        <v>2</v>
      </c>
      <c r="AA1909" s="54" t="s">
        <v>2</v>
      </c>
      <c r="AB1909" s="54" t="s">
        <v>2</v>
      </c>
      <c r="AC1909" s="54" t="s">
        <v>2</v>
      </c>
      <c r="AD1909" s="54" t="s">
        <v>2</v>
      </c>
      <c r="AE1909" s="54" t="s">
        <v>2</v>
      </c>
      <c r="AF1909" s="54" t="s">
        <v>2</v>
      </c>
      <c r="AG1909" s="54" t="s">
        <v>2</v>
      </c>
    </row>
    <row r="1910" ht="15.75" customHeight="1">
      <c r="B1910" s="56"/>
      <c r="U1910" s="46" t="str">
        <f t="array" ref="U1910">IF($D1910="","",IFERROR(_xlfn.XLOOKUP($D1910,'TIR店舗一覧'!$D:$D,'TIR店舗一覧'!$E:$E,""),""))</f>
        <v/>
      </c>
      <c r="V1910" s="54" t="s">
        <v>2</v>
      </c>
      <c r="W1910" s="54" t="s">
        <v>2</v>
      </c>
      <c r="X1910" s="54" t="s">
        <v>2</v>
      </c>
      <c r="Y1910" s="54" t="s">
        <v>2</v>
      </c>
      <c r="Z1910" s="54" t="s">
        <v>2</v>
      </c>
      <c r="AA1910" s="54" t="s">
        <v>2</v>
      </c>
      <c r="AB1910" s="54" t="s">
        <v>2</v>
      </c>
      <c r="AC1910" s="54" t="s">
        <v>2</v>
      </c>
      <c r="AD1910" s="54" t="s">
        <v>2</v>
      </c>
      <c r="AE1910" s="54" t="s">
        <v>2</v>
      </c>
      <c r="AF1910" s="54" t="s">
        <v>2</v>
      </c>
      <c r="AG1910" s="54" t="s">
        <v>2</v>
      </c>
    </row>
    <row r="1911" ht="15.75" customHeight="1">
      <c r="B1911" s="56"/>
      <c r="U1911" s="46" t="str">
        <f t="array" ref="U1911">IF($D1911="","",IFERROR(_xlfn.XLOOKUP($D1911,'TIR店舗一覧'!$D:$D,'TIR店舗一覧'!$E:$E,""),""))</f>
        <v/>
      </c>
      <c r="V1911" s="54" t="s">
        <v>2</v>
      </c>
      <c r="W1911" s="54" t="s">
        <v>2</v>
      </c>
      <c r="X1911" s="54" t="s">
        <v>2</v>
      </c>
      <c r="Y1911" s="54" t="s">
        <v>2</v>
      </c>
      <c r="Z1911" s="54" t="s">
        <v>2</v>
      </c>
      <c r="AA1911" s="54" t="s">
        <v>2</v>
      </c>
      <c r="AB1911" s="54" t="s">
        <v>2</v>
      </c>
      <c r="AC1911" s="54" t="s">
        <v>2</v>
      </c>
      <c r="AD1911" s="54" t="s">
        <v>2</v>
      </c>
      <c r="AE1911" s="54" t="s">
        <v>2</v>
      </c>
      <c r="AF1911" s="54" t="s">
        <v>2</v>
      </c>
      <c r="AG1911" s="54" t="s">
        <v>2</v>
      </c>
    </row>
    <row r="1912" ht="15.75" customHeight="1">
      <c r="B1912" s="56"/>
      <c r="U1912" s="46" t="str">
        <f t="array" ref="U1912">IF($D1912="","",IFERROR(_xlfn.XLOOKUP($D1912,'TIR店舗一覧'!$D:$D,'TIR店舗一覧'!$E:$E,""),""))</f>
        <v/>
      </c>
      <c r="V1912" s="54" t="s">
        <v>2</v>
      </c>
      <c r="W1912" s="54" t="s">
        <v>2</v>
      </c>
      <c r="X1912" s="54" t="s">
        <v>2</v>
      </c>
      <c r="Y1912" s="54" t="s">
        <v>2</v>
      </c>
      <c r="Z1912" s="54" t="s">
        <v>2</v>
      </c>
      <c r="AA1912" s="54" t="s">
        <v>2</v>
      </c>
      <c r="AB1912" s="54" t="s">
        <v>2</v>
      </c>
      <c r="AC1912" s="54" t="s">
        <v>2</v>
      </c>
      <c r="AD1912" s="54" t="s">
        <v>2</v>
      </c>
      <c r="AE1912" s="54" t="s">
        <v>2</v>
      </c>
      <c r="AF1912" s="54" t="s">
        <v>2</v>
      </c>
      <c r="AG1912" s="54" t="s">
        <v>2</v>
      </c>
    </row>
    <row r="1913" ht="15.75" customHeight="1">
      <c r="B1913" s="56"/>
      <c r="U1913" s="46" t="str">
        <f t="array" ref="U1913">IF($D1913="","",IFERROR(_xlfn.XLOOKUP($D1913,'TIR店舗一覧'!$D:$D,'TIR店舗一覧'!$E:$E,""),""))</f>
        <v/>
      </c>
      <c r="V1913" s="54" t="s">
        <v>2</v>
      </c>
      <c r="W1913" s="54" t="s">
        <v>2</v>
      </c>
      <c r="X1913" s="54" t="s">
        <v>2</v>
      </c>
      <c r="Y1913" s="54" t="s">
        <v>2</v>
      </c>
      <c r="Z1913" s="54" t="s">
        <v>2</v>
      </c>
      <c r="AA1913" s="54" t="s">
        <v>2</v>
      </c>
      <c r="AB1913" s="54" t="s">
        <v>2</v>
      </c>
      <c r="AC1913" s="54" t="s">
        <v>2</v>
      </c>
      <c r="AD1913" s="54" t="s">
        <v>2</v>
      </c>
      <c r="AE1913" s="54" t="s">
        <v>2</v>
      </c>
      <c r="AF1913" s="54" t="s">
        <v>2</v>
      </c>
      <c r="AG1913" s="54" t="s">
        <v>2</v>
      </c>
    </row>
    <row r="1914" ht="15.75" customHeight="1">
      <c r="B1914" s="56"/>
      <c r="U1914" s="46" t="str">
        <f t="array" ref="U1914">IF($D1914="","",IFERROR(_xlfn.XLOOKUP($D1914,'TIR店舗一覧'!$D:$D,'TIR店舗一覧'!$E:$E,""),""))</f>
        <v/>
      </c>
      <c r="V1914" s="54" t="s">
        <v>2</v>
      </c>
      <c r="W1914" s="54" t="s">
        <v>2</v>
      </c>
      <c r="X1914" s="54" t="s">
        <v>2</v>
      </c>
      <c r="Y1914" s="54" t="s">
        <v>2</v>
      </c>
      <c r="Z1914" s="54" t="s">
        <v>2</v>
      </c>
      <c r="AA1914" s="54" t="s">
        <v>2</v>
      </c>
      <c r="AB1914" s="54" t="s">
        <v>2</v>
      </c>
      <c r="AC1914" s="54" t="s">
        <v>2</v>
      </c>
      <c r="AD1914" s="54" t="s">
        <v>2</v>
      </c>
      <c r="AE1914" s="54" t="s">
        <v>2</v>
      </c>
      <c r="AF1914" s="54" t="s">
        <v>2</v>
      </c>
      <c r="AG1914" s="54" t="s">
        <v>2</v>
      </c>
    </row>
    <row r="1915" ht="15.75" customHeight="1">
      <c r="B1915" s="56"/>
      <c r="U1915" s="46" t="str">
        <f t="array" ref="U1915">IF($D1915="","",IFERROR(_xlfn.XLOOKUP($D1915,'TIR店舗一覧'!$D:$D,'TIR店舗一覧'!$E:$E,""),""))</f>
        <v/>
      </c>
      <c r="V1915" s="54" t="s">
        <v>2</v>
      </c>
      <c r="W1915" s="54" t="s">
        <v>2</v>
      </c>
      <c r="X1915" s="54" t="s">
        <v>2</v>
      </c>
      <c r="Y1915" s="54" t="s">
        <v>2</v>
      </c>
      <c r="Z1915" s="54" t="s">
        <v>2</v>
      </c>
      <c r="AA1915" s="54" t="s">
        <v>2</v>
      </c>
      <c r="AB1915" s="54" t="s">
        <v>2</v>
      </c>
      <c r="AC1915" s="54" t="s">
        <v>2</v>
      </c>
      <c r="AD1915" s="54" t="s">
        <v>2</v>
      </c>
      <c r="AE1915" s="54" t="s">
        <v>2</v>
      </c>
      <c r="AF1915" s="54" t="s">
        <v>2</v>
      </c>
      <c r="AG1915" s="54" t="s">
        <v>2</v>
      </c>
    </row>
    <row r="1916" ht="15.75" customHeight="1">
      <c r="B1916" s="56"/>
      <c r="U1916" s="46" t="str">
        <f t="array" ref="U1916">IF($D1916="","",IFERROR(_xlfn.XLOOKUP($D1916,'TIR店舗一覧'!$D:$D,'TIR店舗一覧'!$E:$E,""),""))</f>
        <v/>
      </c>
      <c r="V1916" s="54" t="s">
        <v>2</v>
      </c>
      <c r="W1916" s="54" t="s">
        <v>2</v>
      </c>
      <c r="X1916" s="54" t="s">
        <v>2</v>
      </c>
      <c r="Y1916" s="54" t="s">
        <v>2</v>
      </c>
      <c r="Z1916" s="54" t="s">
        <v>2</v>
      </c>
      <c r="AA1916" s="54" t="s">
        <v>2</v>
      </c>
      <c r="AB1916" s="54" t="s">
        <v>2</v>
      </c>
      <c r="AC1916" s="54" t="s">
        <v>2</v>
      </c>
      <c r="AD1916" s="54" t="s">
        <v>2</v>
      </c>
      <c r="AE1916" s="54" t="s">
        <v>2</v>
      </c>
      <c r="AF1916" s="54" t="s">
        <v>2</v>
      </c>
      <c r="AG1916" s="54" t="s">
        <v>2</v>
      </c>
    </row>
    <row r="1917" ht="15.75" customHeight="1">
      <c r="B1917" s="56"/>
      <c r="U1917" s="46" t="str">
        <f t="array" ref="U1917">IF($D1917="","",IFERROR(_xlfn.XLOOKUP($D1917,'TIR店舗一覧'!$D:$D,'TIR店舗一覧'!$E:$E,""),""))</f>
        <v/>
      </c>
      <c r="V1917" s="54" t="s">
        <v>2</v>
      </c>
      <c r="W1917" s="54" t="s">
        <v>2</v>
      </c>
      <c r="X1917" s="54" t="s">
        <v>2</v>
      </c>
      <c r="Y1917" s="54" t="s">
        <v>2</v>
      </c>
      <c r="Z1917" s="54" t="s">
        <v>2</v>
      </c>
      <c r="AA1917" s="54" t="s">
        <v>2</v>
      </c>
      <c r="AB1917" s="54" t="s">
        <v>2</v>
      </c>
      <c r="AC1917" s="54" t="s">
        <v>2</v>
      </c>
      <c r="AD1917" s="54" t="s">
        <v>2</v>
      </c>
      <c r="AE1917" s="54" t="s">
        <v>2</v>
      </c>
      <c r="AF1917" s="54" t="s">
        <v>2</v>
      </c>
      <c r="AG1917" s="54" t="s">
        <v>2</v>
      </c>
    </row>
    <row r="1918" ht="15.75" customHeight="1">
      <c r="B1918" s="56"/>
      <c r="U1918" s="46" t="str">
        <f t="array" ref="U1918">IF($D1918="","",IFERROR(_xlfn.XLOOKUP($D1918,'TIR店舗一覧'!$D:$D,'TIR店舗一覧'!$E:$E,""),""))</f>
        <v/>
      </c>
      <c r="V1918" s="54" t="s">
        <v>2</v>
      </c>
      <c r="W1918" s="54" t="s">
        <v>2</v>
      </c>
      <c r="X1918" s="54" t="s">
        <v>2</v>
      </c>
      <c r="Y1918" s="54" t="s">
        <v>2</v>
      </c>
      <c r="Z1918" s="54" t="s">
        <v>2</v>
      </c>
      <c r="AA1918" s="54" t="s">
        <v>2</v>
      </c>
      <c r="AB1918" s="54" t="s">
        <v>2</v>
      </c>
      <c r="AC1918" s="54" t="s">
        <v>2</v>
      </c>
      <c r="AD1918" s="54" t="s">
        <v>2</v>
      </c>
      <c r="AE1918" s="54" t="s">
        <v>2</v>
      </c>
      <c r="AF1918" s="54" t="s">
        <v>2</v>
      </c>
      <c r="AG1918" s="54" t="s">
        <v>2</v>
      </c>
    </row>
    <row r="1919" ht="15.75" customHeight="1">
      <c r="B1919" s="56"/>
      <c r="U1919" s="46" t="str">
        <f t="array" ref="U1919">IF($D1919="","",IFERROR(_xlfn.XLOOKUP($D1919,'TIR店舗一覧'!$D:$D,'TIR店舗一覧'!$E:$E,""),""))</f>
        <v/>
      </c>
      <c r="V1919" s="54" t="s">
        <v>2</v>
      </c>
      <c r="W1919" s="54" t="s">
        <v>2</v>
      </c>
      <c r="X1919" s="54" t="s">
        <v>2</v>
      </c>
      <c r="Y1919" s="54" t="s">
        <v>2</v>
      </c>
      <c r="Z1919" s="54" t="s">
        <v>2</v>
      </c>
      <c r="AA1919" s="54" t="s">
        <v>2</v>
      </c>
      <c r="AB1919" s="54" t="s">
        <v>2</v>
      </c>
      <c r="AC1919" s="54" t="s">
        <v>2</v>
      </c>
      <c r="AD1919" s="54" t="s">
        <v>2</v>
      </c>
      <c r="AE1919" s="54" t="s">
        <v>2</v>
      </c>
      <c r="AF1919" s="54" t="s">
        <v>2</v>
      </c>
      <c r="AG1919" s="54" t="s">
        <v>2</v>
      </c>
    </row>
    <row r="1920" ht="15.75" customHeight="1">
      <c r="B1920" s="56"/>
      <c r="U1920" s="46" t="str">
        <f t="array" ref="U1920">IF($D1920="","",IFERROR(_xlfn.XLOOKUP($D1920,'TIR店舗一覧'!$D:$D,'TIR店舗一覧'!$E:$E,""),""))</f>
        <v/>
      </c>
      <c r="V1920" s="54" t="s">
        <v>2</v>
      </c>
      <c r="W1920" s="54" t="s">
        <v>2</v>
      </c>
      <c r="X1920" s="54" t="s">
        <v>2</v>
      </c>
      <c r="Y1920" s="54" t="s">
        <v>2</v>
      </c>
      <c r="Z1920" s="54" t="s">
        <v>2</v>
      </c>
      <c r="AA1920" s="54" t="s">
        <v>2</v>
      </c>
      <c r="AB1920" s="54" t="s">
        <v>2</v>
      </c>
      <c r="AC1920" s="54" t="s">
        <v>2</v>
      </c>
      <c r="AD1920" s="54" t="s">
        <v>2</v>
      </c>
      <c r="AE1920" s="54" t="s">
        <v>2</v>
      </c>
      <c r="AF1920" s="54" t="s">
        <v>2</v>
      </c>
      <c r="AG1920" s="54" t="s">
        <v>2</v>
      </c>
    </row>
    <row r="1921" ht="15.75" customHeight="1">
      <c r="B1921" s="56"/>
      <c r="U1921" s="46" t="str">
        <f t="array" ref="U1921">IF($D1921="","",IFERROR(_xlfn.XLOOKUP($D1921,'TIR店舗一覧'!$D:$D,'TIR店舗一覧'!$E:$E,""),""))</f>
        <v/>
      </c>
      <c r="V1921" s="54" t="s">
        <v>2</v>
      </c>
      <c r="W1921" s="54" t="s">
        <v>2</v>
      </c>
      <c r="X1921" s="54" t="s">
        <v>2</v>
      </c>
      <c r="Y1921" s="54" t="s">
        <v>2</v>
      </c>
      <c r="Z1921" s="54" t="s">
        <v>2</v>
      </c>
      <c r="AA1921" s="54" t="s">
        <v>2</v>
      </c>
      <c r="AB1921" s="54" t="s">
        <v>2</v>
      </c>
      <c r="AC1921" s="54" t="s">
        <v>2</v>
      </c>
      <c r="AD1921" s="54" t="s">
        <v>2</v>
      </c>
      <c r="AE1921" s="54" t="s">
        <v>2</v>
      </c>
      <c r="AF1921" s="54" t="s">
        <v>2</v>
      </c>
      <c r="AG1921" s="54" t="s">
        <v>2</v>
      </c>
    </row>
    <row r="1922" ht="15.75" customHeight="1">
      <c r="B1922" s="56"/>
      <c r="U1922" s="46" t="str">
        <f t="array" ref="U1922">IF($D1922="","",IFERROR(_xlfn.XLOOKUP($D1922,'TIR店舗一覧'!$D:$D,'TIR店舗一覧'!$E:$E,""),""))</f>
        <v/>
      </c>
      <c r="V1922" s="54" t="s">
        <v>2</v>
      </c>
      <c r="W1922" s="54" t="s">
        <v>2</v>
      </c>
      <c r="X1922" s="54" t="s">
        <v>2</v>
      </c>
      <c r="Y1922" s="54" t="s">
        <v>2</v>
      </c>
      <c r="Z1922" s="54" t="s">
        <v>2</v>
      </c>
      <c r="AA1922" s="54" t="s">
        <v>2</v>
      </c>
      <c r="AB1922" s="54" t="s">
        <v>2</v>
      </c>
      <c r="AC1922" s="54" t="s">
        <v>2</v>
      </c>
      <c r="AD1922" s="54" t="s">
        <v>2</v>
      </c>
      <c r="AE1922" s="54" t="s">
        <v>2</v>
      </c>
      <c r="AF1922" s="54" t="s">
        <v>2</v>
      </c>
      <c r="AG1922" s="54" t="s">
        <v>2</v>
      </c>
    </row>
    <row r="1923" ht="15.75" customHeight="1">
      <c r="B1923" s="56"/>
      <c r="U1923" s="46" t="str">
        <f t="array" ref="U1923">IF($D1923="","",IFERROR(_xlfn.XLOOKUP($D1923,'TIR店舗一覧'!$D:$D,'TIR店舗一覧'!$E:$E,""),""))</f>
        <v/>
      </c>
      <c r="V1923" s="54" t="s">
        <v>2</v>
      </c>
      <c r="W1923" s="54" t="s">
        <v>2</v>
      </c>
      <c r="X1923" s="54" t="s">
        <v>2</v>
      </c>
      <c r="Y1923" s="54" t="s">
        <v>2</v>
      </c>
      <c r="Z1923" s="54" t="s">
        <v>2</v>
      </c>
      <c r="AA1923" s="54" t="s">
        <v>2</v>
      </c>
      <c r="AB1923" s="54" t="s">
        <v>2</v>
      </c>
      <c r="AC1923" s="54" t="s">
        <v>2</v>
      </c>
      <c r="AD1923" s="54" t="s">
        <v>2</v>
      </c>
      <c r="AE1923" s="54" t="s">
        <v>2</v>
      </c>
      <c r="AF1923" s="54" t="s">
        <v>2</v>
      </c>
      <c r="AG1923" s="54" t="s">
        <v>2</v>
      </c>
    </row>
    <row r="1924" ht="15.75" customHeight="1">
      <c r="B1924" s="56"/>
      <c r="U1924" s="46" t="str">
        <f t="array" ref="U1924">IF($D1924="","",IFERROR(_xlfn.XLOOKUP($D1924,'TIR店舗一覧'!$D:$D,'TIR店舗一覧'!$E:$E,""),""))</f>
        <v/>
      </c>
      <c r="V1924" s="54" t="s">
        <v>2</v>
      </c>
      <c r="W1924" s="54" t="s">
        <v>2</v>
      </c>
      <c r="X1924" s="54" t="s">
        <v>2</v>
      </c>
      <c r="Y1924" s="54" t="s">
        <v>2</v>
      </c>
      <c r="Z1924" s="54" t="s">
        <v>2</v>
      </c>
      <c r="AA1924" s="54" t="s">
        <v>2</v>
      </c>
      <c r="AB1924" s="54" t="s">
        <v>2</v>
      </c>
      <c r="AC1924" s="54" t="s">
        <v>2</v>
      </c>
      <c r="AD1924" s="54" t="s">
        <v>2</v>
      </c>
      <c r="AE1924" s="54" t="s">
        <v>2</v>
      </c>
      <c r="AF1924" s="54" t="s">
        <v>2</v>
      </c>
      <c r="AG1924" s="54" t="s">
        <v>2</v>
      </c>
    </row>
    <row r="1925" ht="15.75" customHeight="1">
      <c r="B1925" s="56"/>
      <c r="U1925" s="46" t="str">
        <f t="array" ref="U1925">IF($D1925="","",IFERROR(_xlfn.XLOOKUP($D1925,'TIR店舗一覧'!$D:$D,'TIR店舗一覧'!$E:$E,""),""))</f>
        <v/>
      </c>
      <c r="V1925" s="54" t="s">
        <v>2</v>
      </c>
      <c r="W1925" s="54" t="s">
        <v>2</v>
      </c>
      <c r="X1925" s="54" t="s">
        <v>2</v>
      </c>
      <c r="Y1925" s="54" t="s">
        <v>2</v>
      </c>
      <c r="Z1925" s="54" t="s">
        <v>2</v>
      </c>
      <c r="AA1925" s="54" t="s">
        <v>2</v>
      </c>
      <c r="AB1925" s="54" t="s">
        <v>2</v>
      </c>
      <c r="AC1925" s="54" t="s">
        <v>2</v>
      </c>
      <c r="AD1925" s="54" t="s">
        <v>2</v>
      </c>
      <c r="AE1925" s="54" t="s">
        <v>2</v>
      </c>
      <c r="AF1925" s="54" t="s">
        <v>2</v>
      </c>
      <c r="AG1925" s="54" t="s">
        <v>2</v>
      </c>
    </row>
    <row r="1926" ht="15.75" customHeight="1">
      <c r="B1926" s="56"/>
      <c r="U1926" s="46" t="str">
        <f t="array" ref="U1926">IF($D1926="","",IFERROR(_xlfn.XLOOKUP($D1926,'TIR店舗一覧'!$D:$D,'TIR店舗一覧'!$E:$E,""),""))</f>
        <v/>
      </c>
      <c r="V1926" s="54" t="s">
        <v>2</v>
      </c>
      <c r="W1926" s="54" t="s">
        <v>2</v>
      </c>
      <c r="X1926" s="54" t="s">
        <v>2</v>
      </c>
      <c r="Y1926" s="54" t="s">
        <v>2</v>
      </c>
      <c r="Z1926" s="54" t="s">
        <v>2</v>
      </c>
      <c r="AA1926" s="54" t="s">
        <v>2</v>
      </c>
      <c r="AB1926" s="54" t="s">
        <v>2</v>
      </c>
      <c r="AC1926" s="54" t="s">
        <v>2</v>
      </c>
      <c r="AD1926" s="54" t="s">
        <v>2</v>
      </c>
      <c r="AE1926" s="54" t="s">
        <v>2</v>
      </c>
      <c r="AF1926" s="54" t="s">
        <v>2</v>
      </c>
      <c r="AG1926" s="54" t="s">
        <v>2</v>
      </c>
    </row>
    <row r="1927" ht="15.75" customHeight="1">
      <c r="B1927" s="56"/>
      <c r="U1927" s="46" t="str">
        <f t="array" ref="U1927">IF($D1927="","",IFERROR(_xlfn.XLOOKUP($D1927,'TIR店舗一覧'!$D:$D,'TIR店舗一覧'!$E:$E,""),""))</f>
        <v/>
      </c>
      <c r="V1927" s="54" t="s">
        <v>2</v>
      </c>
      <c r="W1927" s="54" t="s">
        <v>2</v>
      </c>
      <c r="X1927" s="54" t="s">
        <v>2</v>
      </c>
      <c r="Y1927" s="54" t="s">
        <v>2</v>
      </c>
      <c r="Z1927" s="54" t="s">
        <v>2</v>
      </c>
      <c r="AA1927" s="54" t="s">
        <v>2</v>
      </c>
      <c r="AB1927" s="54" t="s">
        <v>2</v>
      </c>
      <c r="AC1927" s="54" t="s">
        <v>2</v>
      </c>
      <c r="AD1927" s="54" t="s">
        <v>2</v>
      </c>
      <c r="AE1927" s="54" t="s">
        <v>2</v>
      </c>
      <c r="AF1927" s="54" t="s">
        <v>2</v>
      </c>
      <c r="AG1927" s="54" t="s">
        <v>2</v>
      </c>
    </row>
    <row r="1928" ht="15.75" customHeight="1">
      <c r="B1928" s="56"/>
      <c r="U1928" s="46" t="str">
        <f t="array" ref="U1928">IF($D1928="","",IFERROR(_xlfn.XLOOKUP($D1928,'TIR店舗一覧'!$D:$D,'TIR店舗一覧'!$E:$E,""),""))</f>
        <v/>
      </c>
      <c r="V1928" s="54" t="s">
        <v>2</v>
      </c>
      <c r="W1928" s="54" t="s">
        <v>2</v>
      </c>
      <c r="X1928" s="54" t="s">
        <v>2</v>
      </c>
      <c r="Y1928" s="54" t="s">
        <v>2</v>
      </c>
      <c r="Z1928" s="54" t="s">
        <v>2</v>
      </c>
      <c r="AA1928" s="54" t="s">
        <v>2</v>
      </c>
      <c r="AB1928" s="54" t="s">
        <v>2</v>
      </c>
      <c r="AC1928" s="54" t="s">
        <v>2</v>
      </c>
      <c r="AD1928" s="54" t="s">
        <v>2</v>
      </c>
      <c r="AE1928" s="54" t="s">
        <v>2</v>
      </c>
      <c r="AF1928" s="54" t="s">
        <v>2</v>
      </c>
      <c r="AG1928" s="54" t="s">
        <v>2</v>
      </c>
    </row>
    <row r="1929" ht="15.75" customHeight="1">
      <c r="B1929" s="56"/>
      <c r="U1929" s="46" t="str">
        <f t="array" ref="U1929">IF($D1929="","",IFERROR(_xlfn.XLOOKUP($D1929,'TIR店舗一覧'!$D:$D,'TIR店舗一覧'!$E:$E,""),""))</f>
        <v/>
      </c>
      <c r="V1929" s="54" t="s">
        <v>2</v>
      </c>
      <c r="W1929" s="54" t="s">
        <v>2</v>
      </c>
      <c r="X1929" s="54" t="s">
        <v>2</v>
      </c>
      <c r="Y1929" s="54" t="s">
        <v>2</v>
      </c>
      <c r="Z1929" s="54" t="s">
        <v>2</v>
      </c>
      <c r="AA1929" s="54" t="s">
        <v>2</v>
      </c>
      <c r="AB1929" s="54" t="s">
        <v>2</v>
      </c>
      <c r="AC1929" s="54" t="s">
        <v>2</v>
      </c>
      <c r="AD1929" s="54" t="s">
        <v>2</v>
      </c>
      <c r="AE1929" s="54" t="s">
        <v>2</v>
      </c>
      <c r="AF1929" s="54" t="s">
        <v>2</v>
      </c>
      <c r="AG1929" s="54" t="s">
        <v>2</v>
      </c>
    </row>
    <row r="1930" ht="15.75" customHeight="1">
      <c r="B1930" s="56"/>
      <c r="U1930" s="46" t="str">
        <f t="array" ref="U1930">IF($D1930="","",IFERROR(_xlfn.XLOOKUP($D1930,'TIR店舗一覧'!$D:$D,'TIR店舗一覧'!$E:$E,""),""))</f>
        <v/>
      </c>
      <c r="V1930" s="54" t="s">
        <v>2</v>
      </c>
      <c r="W1930" s="54" t="s">
        <v>2</v>
      </c>
      <c r="X1930" s="54" t="s">
        <v>2</v>
      </c>
      <c r="Y1930" s="54" t="s">
        <v>2</v>
      </c>
      <c r="Z1930" s="54" t="s">
        <v>2</v>
      </c>
      <c r="AA1930" s="54" t="s">
        <v>2</v>
      </c>
      <c r="AB1930" s="54" t="s">
        <v>2</v>
      </c>
      <c r="AC1930" s="54" t="s">
        <v>2</v>
      </c>
      <c r="AD1930" s="54" t="s">
        <v>2</v>
      </c>
      <c r="AE1930" s="54" t="s">
        <v>2</v>
      </c>
      <c r="AF1930" s="54" t="s">
        <v>2</v>
      </c>
      <c r="AG1930" s="54" t="s">
        <v>2</v>
      </c>
    </row>
    <row r="1931" ht="15.75" customHeight="1">
      <c r="B1931" s="56"/>
      <c r="U1931" s="46" t="str">
        <f t="array" ref="U1931">IF($D1931="","",IFERROR(_xlfn.XLOOKUP($D1931,'TIR店舗一覧'!$D:$D,'TIR店舗一覧'!$E:$E,""),""))</f>
        <v/>
      </c>
      <c r="V1931" s="54" t="s">
        <v>2</v>
      </c>
      <c r="W1931" s="54" t="s">
        <v>2</v>
      </c>
      <c r="X1931" s="54" t="s">
        <v>2</v>
      </c>
      <c r="Y1931" s="54" t="s">
        <v>2</v>
      </c>
      <c r="Z1931" s="54" t="s">
        <v>2</v>
      </c>
      <c r="AA1931" s="54" t="s">
        <v>2</v>
      </c>
      <c r="AB1931" s="54" t="s">
        <v>2</v>
      </c>
      <c r="AC1931" s="54" t="s">
        <v>2</v>
      </c>
      <c r="AD1931" s="54" t="s">
        <v>2</v>
      </c>
      <c r="AE1931" s="54" t="s">
        <v>2</v>
      </c>
      <c r="AF1931" s="54" t="s">
        <v>2</v>
      </c>
      <c r="AG1931" s="54" t="s">
        <v>2</v>
      </c>
    </row>
    <row r="1932" ht="15.75" customHeight="1">
      <c r="B1932" s="56"/>
      <c r="U1932" s="46" t="str">
        <f t="array" ref="U1932">IF($D1932="","",IFERROR(_xlfn.XLOOKUP($D1932,'TIR店舗一覧'!$D:$D,'TIR店舗一覧'!$E:$E,""),""))</f>
        <v/>
      </c>
      <c r="V1932" s="54" t="s">
        <v>2</v>
      </c>
      <c r="W1932" s="54" t="s">
        <v>2</v>
      </c>
      <c r="X1932" s="54" t="s">
        <v>2</v>
      </c>
      <c r="Y1932" s="54" t="s">
        <v>2</v>
      </c>
      <c r="Z1932" s="54" t="s">
        <v>2</v>
      </c>
      <c r="AA1932" s="54" t="s">
        <v>2</v>
      </c>
      <c r="AB1932" s="54" t="s">
        <v>2</v>
      </c>
      <c r="AC1932" s="54" t="s">
        <v>2</v>
      </c>
      <c r="AD1932" s="54" t="s">
        <v>2</v>
      </c>
      <c r="AE1932" s="54" t="s">
        <v>2</v>
      </c>
      <c r="AF1932" s="54" t="s">
        <v>2</v>
      </c>
      <c r="AG1932" s="54" t="s">
        <v>2</v>
      </c>
    </row>
    <row r="1933" ht="15.75" customHeight="1">
      <c r="B1933" s="56"/>
      <c r="U1933" s="46" t="str">
        <f t="array" ref="U1933">IF($D1933="","",IFERROR(_xlfn.XLOOKUP($D1933,'TIR店舗一覧'!$D:$D,'TIR店舗一覧'!$E:$E,""),""))</f>
        <v/>
      </c>
      <c r="V1933" s="54" t="s">
        <v>2</v>
      </c>
      <c r="W1933" s="54" t="s">
        <v>2</v>
      </c>
      <c r="X1933" s="54" t="s">
        <v>2</v>
      </c>
      <c r="Y1933" s="54" t="s">
        <v>2</v>
      </c>
      <c r="Z1933" s="54" t="s">
        <v>2</v>
      </c>
      <c r="AA1933" s="54" t="s">
        <v>2</v>
      </c>
      <c r="AB1933" s="54" t="s">
        <v>2</v>
      </c>
      <c r="AC1933" s="54" t="s">
        <v>2</v>
      </c>
      <c r="AD1933" s="54" t="s">
        <v>2</v>
      </c>
      <c r="AE1933" s="54" t="s">
        <v>2</v>
      </c>
      <c r="AF1933" s="54" t="s">
        <v>2</v>
      </c>
      <c r="AG1933" s="54" t="s">
        <v>2</v>
      </c>
    </row>
    <row r="1934" ht="15.75" customHeight="1">
      <c r="B1934" s="56"/>
      <c r="U1934" s="46" t="str">
        <f t="array" ref="U1934">IF($D1934="","",IFERROR(_xlfn.XLOOKUP($D1934,'TIR店舗一覧'!$D:$D,'TIR店舗一覧'!$E:$E,""),""))</f>
        <v/>
      </c>
      <c r="V1934" s="54" t="s">
        <v>2</v>
      </c>
      <c r="W1934" s="54" t="s">
        <v>2</v>
      </c>
      <c r="X1934" s="54" t="s">
        <v>2</v>
      </c>
      <c r="Y1934" s="54" t="s">
        <v>2</v>
      </c>
      <c r="Z1934" s="54" t="s">
        <v>2</v>
      </c>
      <c r="AA1934" s="54" t="s">
        <v>2</v>
      </c>
      <c r="AB1934" s="54" t="s">
        <v>2</v>
      </c>
      <c r="AC1934" s="54" t="s">
        <v>2</v>
      </c>
      <c r="AD1934" s="54" t="s">
        <v>2</v>
      </c>
      <c r="AE1934" s="54" t="s">
        <v>2</v>
      </c>
      <c r="AF1934" s="54" t="s">
        <v>2</v>
      </c>
      <c r="AG1934" s="54" t="s">
        <v>2</v>
      </c>
    </row>
    <row r="1935" ht="15.75" customHeight="1">
      <c r="B1935" s="56"/>
      <c r="U1935" s="46" t="str">
        <f t="array" ref="U1935">IF($D1935="","",IFERROR(_xlfn.XLOOKUP($D1935,'TIR店舗一覧'!$D:$D,'TIR店舗一覧'!$E:$E,""),""))</f>
        <v/>
      </c>
      <c r="V1935" s="54" t="s">
        <v>2</v>
      </c>
      <c r="W1935" s="54" t="s">
        <v>2</v>
      </c>
      <c r="X1935" s="54" t="s">
        <v>2</v>
      </c>
      <c r="Y1935" s="54" t="s">
        <v>2</v>
      </c>
      <c r="Z1935" s="54" t="s">
        <v>2</v>
      </c>
      <c r="AA1935" s="54" t="s">
        <v>2</v>
      </c>
      <c r="AB1935" s="54" t="s">
        <v>2</v>
      </c>
      <c r="AC1935" s="54" t="s">
        <v>2</v>
      </c>
      <c r="AD1935" s="54" t="s">
        <v>2</v>
      </c>
      <c r="AE1935" s="54" t="s">
        <v>2</v>
      </c>
      <c r="AF1935" s="54" t="s">
        <v>2</v>
      </c>
      <c r="AG1935" s="54" t="s">
        <v>2</v>
      </c>
    </row>
    <row r="1936" ht="15.75" customHeight="1">
      <c r="B1936" s="56"/>
      <c r="U1936" s="46" t="str">
        <f t="array" ref="U1936">IF($D1936="","",IFERROR(_xlfn.XLOOKUP($D1936,'TIR店舗一覧'!$D:$D,'TIR店舗一覧'!$E:$E,""),""))</f>
        <v/>
      </c>
      <c r="V1936" s="54" t="s">
        <v>2</v>
      </c>
      <c r="W1936" s="54" t="s">
        <v>2</v>
      </c>
      <c r="X1936" s="54" t="s">
        <v>2</v>
      </c>
      <c r="Y1936" s="54" t="s">
        <v>2</v>
      </c>
      <c r="Z1936" s="54" t="s">
        <v>2</v>
      </c>
      <c r="AA1936" s="54" t="s">
        <v>2</v>
      </c>
      <c r="AB1936" s="54" t="s">
        <v>2</v>
      </c>
      <c r="AC1936" s="54" t="s">
        <v>2</v>
      </c>
      <c r="AD1936" s="54" t="s">
        <v>2</v>
      </c>
      <c r="AE1936" s="54" t="s">
        <v>2</v>
      </c>
      <c r="AF1936" s="54" t="s">
        <v>2</v>
      </c>
      <c r="AG1936" s="54" t="s">
        <v>2</v>
      </c>
    </row>
    <row r="1937" ht="15.75" customHeight="1">
      <c r="B1937" s="56"/>
      <c r="U1937" s="46" t="str">
        <f t="array" ref="U1937">IF($D1937="","",IFERROR(_xlfn.XLOOKUP($D1937,'TIR店舗一覧'!$D:$D,'TIR店舗一覧'!$E:$E,""),""))</f>
        <v/>
      </c>
      <c r="V1937" s="54" t="s">
        <v>2</v>
      </c>
      <c r="W1937" s="54" t="s">
        <v>2</v>
      </c>
      <c r="X1937" s="54" t="s">
        <v>2</v>
      </c>
      <c r="Y1937" s="54" t="s">
        <v>2</v>
      </c>
      <c r="Z1937" s="54" t="s">
        <v>2</v>
      </c>
      <c r="AA1937" s="54" t="s">
        <v>2</v>
      </c>
      <c r="AB1937" s="54" t="s">
        <v>2</v>
      </c>
      <c r="AC1937" s="54" t="s">
        <v>2</v>
      </c>
      <c r="AD1937" s="54" t="s">
        <v>2</v>
      </c>
      <c r="AE1937" s="54" t="s">
        <v>2</v>
      </c>
      <c r="AF1937" s="54" t="s">
        <v>2</v>
      </c>
      <c r="AG1937" s="54" t="s">
        <v>2</v>
      </c>
    </row>
    <row r="1938" ht="15.75" customHeight="1">
      <c r="B1938" s="56"/>
      <c r="U1938" s="46" t="str">
        <f t="array" ref="U1938">IF($D1938="","",IFERROR(_xlfn.XLOOKUP($D1938,'TIR店舗一覧'!$D:$D,'TIR店舗一覧'!$E:$E,""),""))</f>
        <v/>
      </c>
      <c r="V1938" s="54" t="s">
        <v>2</v>
      </c>
      <c r="W1938" s="54" t="s">
        <v>2</v>
      </c>
      <c r="X1938" s="54" t="s">
        <v>2</v>
      </c>
      <c r="Y1938" s="54" t="s">
        <v>2</v>
      </c>
      <c r="Z1938" s="54" t="s">
        <v>2</v>
      </c>
      <c r="AA1938" s="54" t="s">
        <v>2</v>
      </c>
      <c r="AB1938" s="54" t="s">
        <v>2</v>
      </c>
      <c r="AC1938" s="54" t="s">
        <v>2</v>
      </c>
      <c r="AD1938" s="54" t="s">
        <v>2</v>
      </c>
      <c r="AE1938" s="54" t="s">
        <v>2</v>
      </c>
      <c r="AF1938" s="54" t="s">
        <v>2</v>
      </c>
      <c r="AG1938" s="54" t="s">
        <v>2</v>
      </c>
    </row>
    <row r="1939" ht="15.75" customHeight="1">
      <c r="B1939" s="56"/>
      <c r="U1939" s="46" t="str">
        <f t="array" ref="U1939">IF($D1939="","",IFERROR(_xlfn.XLOOKUP($D1939,'TIR店舗一覧'!$D:$D,'TIR店舗一覧'!$E:$E,""),""))</f>
        <v/>
      </c>
      <c r="V1939" s="54" t="s">
        <v>2</v>
      </c>
      <c r="W1939" s="54" t="s">
        <v>2</v>
      </c>
      <c r="X1939" s="54" t="s">
        <v>2</v>
      </c>
      <c r="Y1939" s="54" t="s">
        <v>2</v>
      </c>
      <c r="Z1939" s="54" t="s">
        <v>2</v>
      </c>
      <c r="AA1939" s="54" t="s">
        <v>2</v>
      </c>
      <c r="AB1939" s="54" t="s">
        <v>2</v>
      </c>
      <c r="AC1939" s="54" t="s">
        <v>2</v>
      </c>
      <c r="AD1939" s="54" t="s">
        <v>2</v>
      </c>
      <c r="AE1939" s="54" t="s">
        <v>2</v>
      </c>
      <c r="AF1939" s="54" t="s">
        <v>2</v>
      </c>
      <c r="AG1939" s="54" t="s">
        <v>2</v>
      </c>
    </row>
    <row r="1940" ht="15.75" customHeight="1">
      <c r="B1940" s="56"/>
      <c r="U1940" s="46" t="str">
        <f t="array" ref="U1940">IF($D1940="","",IFERROR(_xlfn.XLOOKUP($D1940,'TIR店舗一覧'!$D:$D,'TIR店舗一覧'!$E:$E,""),""))</f>
        <v/>
      </c>
      <c r="V1940" s="54" t="s">
        <v>2</v>
      </c>
      <c r="W1940" s="54" t="s">
        <v>2</v>
      </c>
      <c r="X1940" s="54" t="s">
        <v>2</v>
      </c>
      <c r="Y1940" s="54" t="s">
        <v>2</v>
      </c>
      <c r="Z1940" s="54" t="s">
        <v>2</v>
      </c>
      <c r="AA1940" s="54" t="s">
        <v>2</v>
      </c>
      <c r="AB1940" s="54" t="s">
        <v>2</v>
      </c>
      <c r="AC1940" s="54" t="s">
        <v>2</v>
      </c>
      <c r="AD1940" s="54" t="s">
        <v>2</v>
      </c>
      <c r="AE1940" s="54" t="s">
        <v>2</v>
      </c>
      <c r="AF1940" s="54" t="s">
        <v>2</v>
      </c>
      <c r="AG1940" s="54" t="s">
        <v>2</v>
      </c>
    </row>
    <row r="1941" ht="15.75" customHeight="1">
      <c r="B1941" s="56"/>
      <c r="U1941" s="46" t="str">
        <f t="array" ref="U1941">IF($D1941="","",IFERROR(_xlfn.XLOOKUP($D1941,'TIR店舗一覧'!$D:$D,'TIR店舗一覧'!$E:$E,""),""))</f>
        <v/>
      </c>
      <c r="V1941" s="54" t="s">
        <v>2</v>
      </c>
      <c r="W1941" s="54" t="s">
        <v>2</v>
      </c>
      <c r="X1941" s="54" t="s">
        <v>2</v>
      </c>
      <c r="Y1941" s="54" t="s">
        <v>2</v>
      </c>
      <c r="Z1941" s="54" t="s">
        <v>2</v>
      </c>
      <c r="AA1941" s="54" t="s">
        <v>2</v>
      </c>
      <c r="AB1941" s="54" t="s">
        <v>2</v>
      </c>
      <c r="AC1941" s="54" t="s">
        <v>2</v>
      </c>
      <c r="AD1941" s="54" t="s">
        <v>2</v>
      </c>
      <c r="AE1941" s="54" t="s">
        <v>2</v>
      </c>
      <c r="AF1941" s="54" t="s">
        <v>2</v>
      </c>
      <c r="AG1941" s="54" t="s">
        <v>2</v>
      </c>
    </row>
    <row r="1942" ht="15.75" customHeight="1">
      <c r="B1942" s="56"/>
      <c r="U1942" s="46" t="str">
        <f t="array" ref="U1942">IF($D1942="","",IFERROR(_xlfn.XLOOKUP($D1942,'TIR店舗一覧'!$D:$D,'TIR店舗一覧'!$E:$E,""),""))</f>
        <v/>
      </c>
      <c r="V1942" s="54" t="s">
        <v>2</v>
      </c>
      <c r="W1942" s="54" t="s">
        <v>2</v>
      </c>
      <c r="X1942" s="54" t="s">
        <v>2</v>
      </c>
      <c r="Y1942" s="54" t="s">
        <v>2</v>
      </c>
      <c r="Z1942" s="54" t="s">
        <v>2</v>
      </c>
      <c r="AA1942" s="54" t="s">
        <v>2</v>
      </c>
      <c r="AB1942" s="54" t="s">
        <v>2</v>
      </c>
      <c r="AC1942" s="54" t="s">
        <v>2</v>
      </c>
      <c r="AD1942" s="54" t="s">
        <v>2</v>
      </c>
      <c r="AE1942" s="54" t="s">
        <v>2</v>
      </c>
      <c r="AF1942" s="54" t="s">
        <v>2</v>
      </c>
      <c r="AG1942" s="54" t="s">
        <v>2</v>
      </c>
    </row>
    <row r="1943" ht="15.75" customHeight="1">
      <c r="B1943" s="56"/>
      <c r="U1943" s="46" t="str">
        <f t="array" ref="U1943">IF($D1943="","",IFERROR(_xlfn.XLOOKUP($D1943,'TIR店舗一覧'!$D:$D,'TIR店舗一覧'!$E:$E,""),""))</f>
        <v/>
      </c>
      <c r="V1943" s="54" t="s">
        <v>2</v>
      </c>
      <c r="W1943" s="54" t="s">
        <v>2</v>
      </c>
      <c r="X1943" s="54" t="s">
        <v>2</v>
      </c>
      <c r="Y1943" s="54" t="s">
        <v>2</v>
      </c>
      <c r="Z1943" s="54" t="s">
        <v>2</v>
      </c>
      <c r="AA1943" s="54" t="s">
        <v>2</v>
      </c>
      <c r="AB1943" s="54" t="s">
        <v>2</v>
      </c>
      <c r="AC1943" s="54" t="s">
        <v>2</v>
      </c>
      <c r="AD1943" s="54" t="s">
        <v>2</v>
      </c>
      <c r="AE1943" s="54" t="s">
        <v>2</v>
      </c>
      <c r="AF1943" s="54" t="s">
        <v>2</v>
      </c>
      <c r="AG1943" s="54" t="s">
        <v>2</v>
      </c>
    </row>
    <row r="1944" ht="15.75" customHeight="1">
      <c r="B1944" s="56"/>
      <c r="U1944" s="46" t="str">
        <f t="array" ref="U1944">IF($D1944="","",IFERROR(_xlfn.XLOOKUP($D1944,'TIR店舗一覧'!$D:$D,'TIR店舗一覧'!$E:$E,""),""))</f>
        <v/>
      </c>
      <c r="V1944" s="54" t="s">
        <v>2</v>
      </c>
      <c r="W1944" s="54" t="s">
        <v>2</v>
      </c>
      <c r="X1944" s="54" t="s">
        <v>2</v>
      </c>
      <c r="Y1944" s="54" t="s">
        <v>2</v>
      </c>
      <c r="Z1944" s="54" t="s">
        <v>2</v>
      </c>
      <c r="AA1944" s="54" t="s">
        <v>2</v>
      </c>
      <c r="AB1944" s="54" t="s">
        <v>2</v>
      </c>
      <c r="AC1944" s="54" t="s">
        <v>2</v>
      </c>
      <c r="AD1944" s="54" t="s">
        <v>2</v>
      </c>
      <c r="AE1944" s="54" t="s">
        <v>2</v>
      </c>
      <c r="AF1944" s="54" t="s">
        <v>2</v>
      </c>
      <c r="AG1944" s="54" t="s">
        <v>2</v>
      </c>
    </row>
    <row r="1945" ht="15.75" customHeight="1">
      <c r="B1945" s="56"/>
      <c r="U1945" s="46" t="str">
        <f t="array" ref="U1945">IF($D1945="","",IFERROR(_xlfn.XLOOKUP($D1945,'TIR店舗一覧'!$D:$D,'TIR店舗一覧'!$E:$E,""),""))</f>
        <v/>
      </c>
      <c r="V1945" s="54" t="s">
        <v>2</v>
      </c>
      <c r="W1945" s="54" t="s">
        <v>2</v>
      </c>
      <c r="X1945" s="54" t="s">
        <v>2</v>
      </c>
      <c r="Y1945" s="54" t="s">
        <v>2</v>
      </c>
      <c r="Z1945" s="54" t="s">
        <v>2</v>
      </c>
      <c r="AA1945" s="54" t="s">
        <v>2</v>
      </c>
      <c r="AB1945" s="54" t="s">
        <v>2</v>
      </c>
      <c r="AC1945" s="54" t="s">
        <v>2</v>
      </c>
      <c r="AD1945" s="54" t="s">
        <v>2</v>
      </c>
      <c r="AE1945" s="54" t="s">
        <v>2</v>
      </c>
      <c r="AF1945" s="54" t="s">
        <v>2</v>
      </c>
      <c r="AG1945" s="54" t="s">
        <v>2</v>
      </c>
    </row>
    <row r="1946" ht="15.75" customHeight="1">
      <c r="B1946" s="56"/>
      <c r="U1946" s="46" t="str">
        <f t="array" ref="U1946">IF($D1946="","",IFERROR(_xlfn.XLOOKUP($D1946,'TIR店舗一覧'!$D:$D,'TIR店舗一覧'!$E:$E,""),""))</f>
        <v/>
      </c>
      <c r="V1946" s="54" t="s">
        <v>2</v>
      </c>
      <c r="W1946" s="54" t="s">
        <v>2</v>
      </c>
      <c r="X1946" s="54" t="s">
        <v>2</v>
      </c>
      <c r="Y1946" s="54" t="s">
        <v>2</v>
      </c>
      <c r="Z1946" s="54" t="s">
        <v>2</v>
      </c>
      <c r="AA1946" s="54" t="s">
        <v>2</v>
      </c>
      <c r="AB1946" s="54" t="s">
        <v>2</v>
      </c>
      <c r="AC1946" s="54" t="s">
        <v>2</v>
      </c>
      <c r="AD1946" s="54" t="s">
        <v>2</v>
      </c>
      <c r="AE1946" s="54" t="s">
        <v>2</v>
      </c>
      <c r="AF1946" s="54" t="s">
        <v>2</v>
      </c>
      <c r="AG1946" s="54" t="s">
        <v>2</v>
      </c>
    </row>
    <row r="1947" ht="15.75" customHeight="1">
      <c r="B1947" s="56"/>
      <c r="U1947" s="46" t="str">
        <f t="array" ref="U1947">IF($D1947="","",IFERROR(_xlfn.XLOOKUP($D1947,'TIR店舗一覧'!$D:$D,'TIR店舗一覧'!$E:$E,""),""))</f>
        <v/>
      </c>
      <c r="V1947" s="54" t="s">
        <v>2</v>
      </c>
      <c r="W1947" s="54" t="s">
        <v>2</v>
      </c>
      <c r="X1947" s="54" t="s">
        <v>2</v>
      </c>
      <c r="Y1947" s="54" t="s">
        <v>2</v>
      </c>
      <c r="Z1947" s="54" t="s">
        <v>2</v>
      </c>
      <c r="AA1947" s="54" t="s">
        <v>2</v>
      </c>
      <c r="AB1947" s="54" t="s">
        <v>2</v>
      </c>
      <c r="AC1947" s="54" t="s">
        <v>2</v>
      </c>
      <c r="AD1947" s="54" t="s">
        <v>2</v>
      </c>
      <c r="AE1947" s="54" t="s">
        <v>2</v>
      </c>
      <c r="AF1947" s="54" t="s">
        <v>2</v>
      </c>
      <c r="AG1947" s="54" t="s">
        <v>2</v>
      </c>
    </row>
    <row r="1948" ht="15.75" customHeight="1">
      <c r="B1948" s="56"/>
      <c r="U1948" s="46" t="str">
        <f t="array" ref="U1948">IF($D1948="","",IFERROR(_xlfn.XLOOKUP($D1948,'TIR店舗一覧'!$D:$D,'TIR店舗一覧'!$E:$E,""),""))</f>
        <v/>
      </c>
      <c r="V1948" s="54" t="s">
        <v>2</v>
      </c>
      <c r="W1948" s="54" t="s">
        <v>2</v>
      </c>
      <c r="X1948" s="54" t="s">
        <v>2</v>
      </c>
      <c r="Y1948" s="54" t="s">
        <v>2</v>
      </c>
      <c r="Z1948" s="54" t="s">
        <v>2</v>
      </c>
      <c r="AA1948" s="54" t="s">
        <v>2</v>
      </c>
      <c r="AB1948" s="54" t="s">
        <v>2</v>
      </c>
      <c r="AC1948" s="54" t="s">
        <v>2</v>
      </c>
      <c r="AD1948" s="54" t="s">
        <v>2</v>
      </c>
      <c r="AE1948" s="54" t="s">
        <v>2</v>
      </c>
      <c r="AF1948" s="54" t="s">
        <v>2</v>
      </c>
      <c r="AG1948" s="54" t="s">
        <v>2</v>
      </c>
    </row>
    <row r="1949" ht="15.75" customHeight="1">
      <c r="B1949" s="56"/>
      <c r="U1949" s="46" t="str">
        <f t="array" ref="U1949">IF($D1949="","",IFERROR(_xlfn.XLOOKUP($D1949,'TIR店舗一覧'!$D:$D,'TIR店舗一覧'!$E:$E,""),""))</f>
        <v/>
      </c>
      <c r="V1949" s="54" t="s">
        <v>2</v>
      </c>
      <c r="W1949" s="54" t="s">
        <v>2</v>
      </c>
      <c r="X1949" s="54" t="s">
        <v>2</v>
      </c>
      <c r="Y1949" s="54" t="s">
        <v>2</v>
      </c>
      <c r="Z1949" s="54" t="s">
        <v>2</v>
      </c>
      <c r="AA1949" s="54" t="s">
        <v>2</v>
      </c>
      <c r="AB1949" s="54" t="s">
        <v>2</v>
      </c>
      <c r="AC1949" s="54" t="s">
        <v>2</v>
      </c>
      <c r="AD1949" s="54" t="s">
        <v>2</v>
      </c>
      <c r="AE1949" s="54" t="s">
        <v>2</v>
      </c>
      <c r="AF1949" s="54" t="s">
        <v>2</v>
      </c>
      <c r="AG1949" s="54" t="s">
        <v>2</v>
      </c>
    </row>
    <row r="1950" ht="15.75" customHeight="1">
      <c r="B1950" s="56"/>
      <c r="U1950" s="46" t="str">
        <f t="array" ref="U1950">IF($D1950="","",IFERROR(_xlfn.XLOOKUP($D1950,'TIR店舗一覧'!$D:$D,'TIR店舗一覧'!$E:$E,""),""))</f>
        <v/>
      </c>
      <c r="V1950" s="54" t="s">
        <v>2</v>
      </c>
      <c r="W1950" s="54" t="s">
        <v>2</v>
      </c>
      <c r="X1950" s="54" t="s">
        <v>2</v>
      </c>
      <c r="Y1950" s="54" t="s">
        <v>2</v>
      </c>
      <c r="Z1950" s="54" t="s">
        <v>2</v>
      </c>
      <c r="AA1950" s="54" t="s">
        <v>2</v>
      </c>
      <c r="AB1950" s="54" t="s">
        <v>2</v>
      </c>
      <c r="AC1950" s="54" t="s">
        <v>2</v>
      </c>
      <c r="AD1950" s="54" t="s">
        <v>2</v>
      </c>
      <c r="AE1950" s="54" t="s">
        <v>2</v>
      </c>
      <c r="AF1950" s="54" t="s">
        <v>2</v>
      </c>
      <c r="AG1950" s="54" t="s">
        <v>2</v>
      </c>
    </row>
    <row r="1951" ht="15.75" customHeight="1">
      <c r="B1951" s="56"/>
      <c r="U1951" s="46" t="str">
        <f t="array" ref="U1951">IF($D1951="","",IFERROR(_xlfn.XLOOKUP($D1951,'TIR店舗一覧'!$D:$D,'TIR店舗一覧'!$E:$E,""),""))</f>
        <v/>
      </c>
      <c r="V1951" s="54" t="s">
        <v>2</v>
      </c>
      <c r="W1951" s="54" t="s">
        <v>2</v>
      </c>
      <c r="X1951" s="54" t="s">
        <v>2</v>
      </c>
      <c r="Y1951" s="54" t="s">
        <v>2</v>
      </c>
      <c r="Z1951" s="54" t="s">
        <v>2</v>
      </c>
      <c r="AA1951" s="54" t="s">
        <v>2</v>
      </c>
      <c r="AB1951" s="54" t="s">
        <v>2</v>
      </c>
      <c r="AC1951" s="54" t="s">
        <v>2</v>
      </c>
      <c r="AD1951" s="54" t="s">
        <v>2</v>
      </c>
      <c r="AE1951" s="54" t="s">
        <v>2</v>
      </c>
      <c r="AF1951" s="54" t="s">
        <v>2</v>
      </c>
      <c r="AG1951" s="54" t="s">
        <v>2</v>
      </c>
    </row>
    <row r="1952" ht="15.75" customHeight="1">
      <c r="B1952" s="56"/>
      <c r="U1952" s="46" t="str">
        <f t="array" ref="U1952">IF($D1952="","",IFERROR(_xlfn.XLOOKUP($D1952,'TIR店舗一覧'!$D:$D,'TIR店舗一覧'!$E:$E,""),""))</f>
        <v/>
      </c>
      <c r="V1952" s="54" t="s">
        <v>2</v>
      </c>
      <c r="W1952" s="54" t="s">
        <v>2</v>
      </c>
      <c r="X1952" s="54" t="s">
        <v>2</v>
      </c>
      <c r="Y1952" s="54" t="s">
        <v>2</v>
      </c>
      <c r="Z1952" s="54" t="s">
        <v>2</v>
      </c>
      <c r="AA1952" s="54" t="s">
        <v>2</v>
      </c>
      <c r="AB1952" s="54" t="s">
        <v>2</v>
      </c>
      <c r="AC1952" s="54" t="s">
        <v>2</v>
      </c>
      <c r="AD1952" s="54" t="s">
        <v>2</v>
      </c>
      <c r="AE1952" s="54" t="s">
        <v>2</v>
      </c>
      <c r="AF1952" s="54" t="s">
        <v>2</v>
      </c>
      <c r="AG1952" s="54" t="s">
        <v>2</v>
      </c>
    </row>
    <row r="1953" ht="15.75" customHeight="1">
      <c r="B1953" s="56"/>
      <c r="U1953" s="46" t="str">
        <f t="array" ref="U1953">IF($D1953="","",IFERROR(_xlfn.XLOOKUP($D1953,'TIR店舗一覧'!$D:$D,'TIR店舗一覧'!$E:$E,""),""))</f>
        <v/>
      </c>
      <c r="V1953" s="54" t="s">
        <v>2</v>
      </c>
      <c r="W1953" s="54" t="s">
        <v>2</v>
      </c>
      <c r="X1953" s="54" t="s">
        <v>2</v>
      </c>
      <c r="Y1953" s="54" t="s">
        <v>2</v>
      </c>
      <c r="Z1953" s="54" t="s">
        <v>2</v>
      </c>
      <c r="AA1953" s="54" t="s">
        <v>2</v>
      </c>
      <c r="AB1953" s="54" t="s">
        <v>2</v>
      </c>
      <c r="AC1953" s="54" t="s">
        <v>2</v>
      </c>
      <c r="AD1953" s="54" t="s">
        <v>2</v>
      </c>
      <c r="AE1953" s="54" t="s">
        <v>2</v>
      </c>
      <c r="AF1953" s="54" t="s">
        <v>2</v>
      </c>
      <c r="AG1953" s="54" t="s">
        <v>2</v>
      </c>
    </row>
    <row r="1954" ht="15.75" customHeight="1">
      <c r="B1954" s="56"/>
      <c r="U1954" s="46" t="str">
        <f t="array" ref="U1954">IF($D1954="","",IFERROR(_xlfn.XLOOKUP($D1954,'TIR店舗一覧'!$D:$D,'TIR店舗一覧'!$E:$E,""),""))</f>
        <v/>
      </c>
      <c r="V1954" s="54" t="s">
        <v>2</v>
      </c>
      <c r="W1954" s="54" t="s">
        <v>2</v>
      </c>
      <c r="X1954" s="54" t="s">
        <v>2</v>
      </c>
      <c r="Y1954" s="54" t="s">
        <v>2</v>
      </c>
      <c r="Z1954" s="54" t="s">
        <v>2</v>
      </c>
      <c r="AA1954" s="54" t="s">
        <v>2</v>
      </c>
      <c r="AB1954" s="54" t="s">
        <v>2</v>
      </c>
      <c r="AC1954" s="54" t="s">
        <v>2</v>
      </c>
      <c r="AD1954" s="54" t="s">
        <v>2</v>
      </c>
      <c r="AE1954" s="54" t="s">
        <v>2</v>
      </c>
      <c r="AF1954" s="54" t="s">
        <v>2</v>
      </c>
      <c r="AG1954" s="54" t="s">
        <v>2</v>
      </c>
    </row>
    <row r="1955" ht="15.75" customHeight="1">
      <c r="B1955" s="56"/>
      <c r="U1955" s="46" t="str">
        <f t="array" ref="U1955">IF($D1955="","",IFERROR(_xlfn.XLOOKUP($D1955,'TIR店舗一覧'!$D:$D,'TIR店舗一覧'!$E:$E,""),""))</f>
        <v/>
      </c>
      <c r="V1955" s="54" t="s">
        <v>2</v>
      </c>
      <c r="W1955" s="54" t="s">
        <v>2</v>
      </c>
      <c r="X1955" s="54" t="s">
        <v>2</v>
      </c>
      <c r="Y1955" s="54" t="s">
        <v>2</v>
      </c>
      <c r="Z1955" s="54" t="s">
        <v>2</v>
      </c>
      <c r="AA1955" s="54" t="s">
        <v>2</v>
      </c>
      <c r="AB1955" s="54" t="s">
        <v>2</v>
      </c>
      <c r="AC1955" s="54" t="s">
        <v>2</v>
      </c>
      <c r="AD1955" s="54" t="s">
        <v>2</v>
      </c>
      <c r="AE1955" s="54" t="s">
        <v>2</v>
      </c>
      <c r="AF1955" s="54" t="s">
        <v>2</v>
      </c>
      <c r="AG1955" s="54" t="s">
        <v>2</v>
      </c>
    </row>
    <row r="1956" ht="15.75" customHeight="1">
      <c r="B1956" s="56"/>
      <c r="U1956" s="46" t="str">
        <f t="array" ref="U1956">IF($D1956="","",IFERROR(_xlfn.XLOOKUP($D1956,'TIR店舗一覧'!$D:$D,'TIR店舗一覧'!$E:$E,""),""))</f>
        <v/>
      </c>
      <c r="V1956" s="54" t="s">
        <v>2</v>
      </c>
      <c r="W1956" s="54" t="s">
        <v>2</v>
      </c>
      <c r="X1956" s="54" t="s">
        <v>2</v>
      </c>
      <c r="Y1956" s="54" t="s">
        <v>2</v>
      </c>
      <c r="Z1956" s="54" t="s">
        <v>2</v>
      </c>
      <c r="AA1956" s="54" t="s">
        <v>2</v>
      </c>
      <c r="AB1956" s="54" t="s">
        <v>2</v>
      </c>
      <c r="AC1956" s="54" t="s">
        <v>2</v>
      </c>
      <c r="AD1956" s="54" t="s">
        <v>2</v>
      </c>
      <c r="AE1956" s="54" t="s">
        <v>2</v>
      </c>
      <c r="AF1956" s="54" t="s">
        <v>2</v>
      </c>
      <c r="AG1956" s="54" t="s">
        <v>2</v>
      </c>
    </row>
    <row r="1957" ht="15.75" customHeight="1">
      <c r="B1957" s="56"/>
      <c r="U1957" s="46" t="str">
        <f t="array" ref="U1957">IF($D1957="","",IFERROR(_xlfn.XLOOKUP($D1957,'TIR店舗一覧'!$D:$D,'TIR店舗一覧'!$E:$E,""),""))</f>
        <v/>
      </c>
      <c r="V1957" s="54" t="s">
        <v>2</v>
      </c>
      <c r="W1957" s="54" t="s">
        <v>2</v>
      </c>
      <c r="X1957" s="54" t="s">
        <v>2</v>
      </c>
      <c r="Y1957" s="54" t="s">
        <v>2</v>
      </c>
      <c r="Z1957" s="54" t="s">
        <v>2</v>
      </c>
      <c r="AA1957" s="54" t="s">
        <v>2</v>
      </c>
      <c r="AB1957" s="54" t="s">
        <v>2</v>
      </c>
      <c r="AC1957" s="54" t="s">
        <v>2</v>
      </c>
      <c r="AD1957" s="54" t="s">
        <v>2</v>
      </c>
      <c r="AE1957" s="54" t="s">
        <v>2</v>
      </c>
      <c r="AF1957" s="54" t="s">
        <v>2</v>
      </c>
      <c r="AG1957" s="54" t="s">
        <v>2</v>
      </c>
    </row>
    <row r="1958" ht="15.75" customHeight="1">
      <c r="B1958" s="56"/>
      <c r="U1958" s="46" t="str">
        <f t="array" ref="U1958">IF($D1958="","",IFERROR(_xlfn.XLOOKUP($D1958,'TIR店舗一覧'!$D:$D,'TIR店舗一覧'!$E:$E,""),""))</f>
        <v/>
      </c>
      <c r="V1958" s="54" t="s">
        <v>2</v>
      </c>
      <c r="W1958" s="54" t="s">
        <v>2</v>
      </c>
      <c r="X1958" s="54" t="s">
        <v>2</v>
      </c>
      <c r="Y1958" s="54" t="s">
        <v>2</v>
      </c>
      <c r="Z1958" s="54" t="s">
        <v>2</v>
      </c>
      <c r="AA1958" s="54" t="s">
        <v>2</v>
      </c>
      <c r="AB1958" s="54" t="s">
        <v>2</v>
      </c>
      <c r="AC1958" s="54" t="s">
        <v>2</v>
      </c>
      <c r="AD1958" s="54" t="s">
        <v>2</v>
      </c>
      <c r="AE1958" s="54" t="s">
        <v>2</v>
      </c>
      <c r="AF1958" s="54" t="s">
        <v>2</v>
      </c>
      <c r="AG1958" s="54" t="s">
        <v>2</v>
      </c>
    </row>
    <row r="1959" ht="15.75" customHeight="1">
      <c r="B1959" s="56"/>
      <c r="U1959" s="46" t="str">
        <f t="array" ref="U1959">IF($D1959="","",IFERROR(_xlfn.XLOOKUP($D1959,'TIR店舗一覧'!$D:$D,'TIR店舗一覧'!$E:$E,""),""))</f>
        <v/>
      </c>
      <c r="V1959" s="54" t="s">
        <v>2</v>
      </c>
      <c r="W1959" s="54" t="s">
        <v>2</v>
      </c>
      <c r="X1959" s="54" t="s">
        <v>2</v>
      </c>
      <c r="Y1959" s="54" t="s">
        <v>2</v>
      </c>
      <c r="Z1959" s="54" t="s">
        <v>2</v>
      </c>
      <c r="AA1959" s="54" t="s">
        <v>2</v>
      </c>
      <c r="AB1959" s="54" t="s">
        <v>2</v>
      </c>
      <c r="AC1959" s="54" t="s">
        <v>2</v>
      </c>
      <c r="AD1959" s="54" t="s">
        <v>2</v>
      </c>
      <c r="AE1959" s="54" t="s">
        <v>2</v>
      </c>
      <c r="AF1959" s="54" t="s">
        <v>2</v>
      </c>
      <c r="AG1959" s="54" t="s">
        <v>2</v>
      </c>
    </row>
    <row r="1960" ht="15.75" customHeight="1">
      <c r="B1960" s="56"/>
      <c r="U1960" s="46" t="str">
        <f t="array" ref="U1960">IF($D1960="","",IFERROR(_xlfn.XLOOKUP($D1960,'TIR店舗一覧'!$D:$D,'TIR店舗一覧'!$E:$E,""),""))</f>
        <v/>
      </c>
      <c r="V1960" s="54" t="s">
        <v>2</v>
      </c>
      <c r="W1960" s="54" t="s">
        <v>2</v>
      </c>
      <c r="X1960" s="54" t="s">
        <v>2</v>
      </c>
      <c r="Y1960" s="54" t="s">
        <v>2</v>
      </c>
      <c r="Z1960" s="54" t="s">
        <v>2</v>
      </c>
      <c r="AA1960" s="54" t="s">
        <v>2</v>
      </c>
      <c r="AB1960" s="54" t="s">
        <v>2</v>
      </c>
      <c r="AC1960" s="54" t="s">
        <v>2</v>
      </c>
      <c r="AD1960" s="54" t="s">
        <v>2</v>
      </c>
      <c r="AE1960" s="54" t="s">
        <v>2</v>
      </c>
      <c r="AF1960" s="54" t="s">
        <v>2</v>
      </c>
      <c r="AG1960" s="54" t="s">
        <v>2</v>
      </c>
    </row>
    <row r="1961" ht="15.75" customHeight="1">
      <c r="B1961" s="56"/>
      <c r="U1961" s="46" t="str">
        <f t="array" ref="U1961">IF($D1961="","",IFERROR(_xlfn.XLOOKUP($D1961,'TIR店舗一覧'!$D:$D,'TIR店舗一覧'!$E:$E,""),""))</f>
        <v/>
      </c>
      <c r="V1961" s="54" t="s">
        <v>2</v>
      </c>
      <c r="W1961" s="54" t="s">
        <v>2</v>
      </c>
      <c r="X1961" s="54" t="s">
        <v>2</v>
      </c>
      <c r="Y1961" s="54" t="s">
        <v>2</v>
      </c>
      <c r="Z1961" s="54" t="s">
        <v>2</v>
      </c>
      <c r="AA1961" s="54" t="s">
        <v>2</v>
      </c>
      <c r="AB1961" s="54" t="s">
        <v>2</v>
      </c>
      <c r="AC1961" s="54" t="s">
        <v>2</v>
      </c>
      <c r="AD1961" s="54" t="s">
        <v>2</v>
      </c>
      <c r="AE1961" s="54" t="s">
        <v>2</v>
      </c>
      <c r="AF1961" s="54" t="s">
        <v>2</v>
      </c>
      <c r="AG1961" s="54" t="s">
        <v>2</v>
      </c>
    </row>
    <row r="1962" ht="15.75" customHeight="1">
      <c r="B1962" s="56"/>
      <c r="U1962" s="46" t="str">
        <f t="array" ref="U1962">IF($D1962="","",IFERROR(_xlfn.XLOOKUP($D1962,'TIR店舗一覧'!$D:$D,'TIR店舗一覧'!$E:$E,""),""))</f>
        <v/>
      </c>
      <c r="V1962" s="54" t="s">
        <v>2</v>
      </c>
      <c r="W1962" s="54" t="s">
        <v>2</v>
      </c>
      <c r="X1962" s="54" t="s">
        <v>2</v>
      </c>
      <c r="Y1962" s="54" t="s">
        <v>2</v>
      </c>
      <c r="Z1962" s="54" t="s">
        <v>2</v>
      </c>
      <c r="AA1962" s="54" t="s">
        <v>2</v>
      </c>
      <c r="AB1962" s="54" t="s">
        <v>2</v>
      </c>
      <c r="AC1962" s="54" t="s">
        <v>2</v>
      </c>
      <c r="AD1962" s="54" t="s">
        <v>2</v>
      </c>
      <c r="AE1962" s="54" t="s">
        <v>2</v>
      </c>
      <c r="AF1962" s="54" t="s">
        <v>2</v>
      </c>
      <c r="AG1962" s="54" t="s">
        <v>2</v>
      </c>
    </row>
    <row r="1963" ht="15.75" customHeight="1">
      <c r="B1963" s="56"/>
      <c r="U1963" s="46" t="str">
        <f t="array" ref="U1963">IF($D1963="","",IFERROR(_xlfn.XLOOKUP($D1963,'TIR店舗一覧'!$D:$D,'TIR店舗一覧'!$E:$E,""),""))</f>
        <v/>
      </c>
      <c r="V1963" s="54" t="s">
        <v>2</v>
      </c>
      <c r="W1963" s="54" t="s">
        <v>2</v>
      </c>
      <c r="X1963" s="54" t="s">
        <v>2</v>
      </c>
      <c r="Y1963" s="54" t="s">
        <v>2</v>
      </c>
      <c r="Z1963" s="54" t="s">
        <v>2</v>
      </c>
      <c r="AA1963" s="54" t="s">
        <v>2</v>
      </c>
      <c r="AB1963" s="54" t="s">
        <v>2</v>
      </c>
      <c r="AC1963" s="54" t="s">
        <v>2</v>
      </c>
      <c r="AD1963" s="54" t="s">
        <v>2</v>
      </c>
      <c r="AE1963" s="54" t="s">
        <v>2</v>
      </c>
      <c r="AF1963" s="54" t="s">
        <v>2</v>
      </c>
      <c r="AG1963" s="54" t="s">
        <v>2</v>
      </c>
    </row>
    <row r="1964" ht="15.75" customHeight="1">
      <c r="B1964" s="56"/>
      <c r="U1964" s="46" t="str">
        <f t="array" ref="U1964">IF($D1964="","",IFERROR(_xlfn.XLOOKUP($D1964,'TIR店舗一覧'!$D:$D,'TIR店舗一覧'!$E:$E,""),""))</f>
        <v/>
      </c>
      <c r="V1964" s="54" t="s">
        <v>2</v>
      </c>
      <c r="W1964" s="54" t="s">
        <v>2</v>
      </c>
      <c r="X1964" s="54" t="s">
        <v>2</v>
      </c>
      <c r="Y1964" s="54" t="s">
        <v>2</v>
      </c>
      <c r="Z1964" s="54" t="s">
        <v>2</v>
      </c>
      <c r="AA1964" s="54" t="s">
        <v>2</v>
      </c>
      <c r="AB1964" s="54" t="s">
        <v>2</v>
      </c>
      <c r="AC1964" s="54" t="s">
        <v>2</v>
      </c>
      <c r="AD1964" s="54" t="s">
        <v>2</v>
      </c>
      <c r="AE1964" s="54" t="s">
        <v>2</v>
      </c>
      <c r="AF1964" s="54" t="s">
        <v>2</v>
      </c>
      <c r="AG1964" s="54" t="s">
        <v>2</v>
      </c>
    </row>
    <row r="1965" ht="15.75" customHeight="1">
      <c r="B1965" s="56"/>
      <c r="U1965" s="46" t="str">
        <f t="array" ref="U1965">IF($D1965="","",IFERROR(_xlfn.XLOOKUP($D1965,'TIR店舗一覧'!$D:$D,'TIR店舗一覧'!$E:$E,""),""))</f>
        <v/>
      </c>
      <c r="V1965" s="54" t="s">
        <v>2</v>
      </c>
      <c r="W1965" s="54" t="s">
        <v>2</v>
      </c>
      <c r="X1965" s="54" t="s">
        <v>2</v>
      </c>
      <c r="Y1965" s="54" t="s">
        <v>2</v>
      </c>
      <c r="Z1965" s="54" t="s">
        <v>2</v>
      </c>
      <c r="AA1965" s="54" t="s">
        <v>2</v>
      </c>
      <c r="AB1965" s="54" t="s">
        <v>2</v>
      </c>
      <c r="AC1965" s="54" t="s">
        <v>2</v>
      </c>
      <c r="AD1965" s="54" t="s">
        <v>2</v>
      </c>
      <c r="AE1965" s="54" t="s">
        <v>2</v>
      </c>
      <c r="AF1965" s="54" t="s">
        <v>2</v>
      </c>
      <c r="AG1965" s="54" t="s">
        <v>2</v>
      </c>
    </row>
    <row r="1966" ht="15.75" customHeight="1">
      <c r="B1966" s="56"/>
      <c r="U1966" s="46" t="str">
        <f t="array" ref="U1966">IF($D1966="","",IFERROR(_xlfn.XLOOKUP($D1966,'TIR店舗一覧'!$D:$D,'TIR店舗一覧'!$E:$E,""),""))</f>
        <v/>
      </c>
      <c r="V1966" s="54" t="s">
        <v>2</v>
      </c>
      <c r="W1966" s="54" t="s">
        <v>2</v>
      </c>
      <c r="X1966" s="54" t="s">
        <v>2</v>
      </c>
      <c r="Y1966" s="54" t="s">
        <v>2</v>
      </c>
      <c r="Z1966" s="54" t="s">
        <v>2</v>
      </c>
      <c r="AA1966" s="54" t="s">
        <v>2</v>
      </c>
      <c r="AB1966" s="54" t="s">
        <v>2</v>
      </c>
      <c r="AC1966" s="54" t="s">
        <v>2</v>
      </c>
      <c r="AD1966" s="54" t="s">
        <v>2</v>
      </c>
      <c r="AE1966" s="54" t="s">
        <v>2</v>
      </c>
      <c r="AF1966" s="54" t="s">
        <v>2</v>
      </c>
      <c r="AG1966" s="54" t="s">
        <v>2</v>
      </c>
    </row>
    <row r="1967" ht="15.75" customHeight="1">
      <c r="B1967" s="56"/>
      <c r="U1967" s="46" t="str">
        <f t="array" ref="U1967">IF($D1967="","",IFERROR(_xlfn.XLOOKUP($D1967,'TIR店舗一覧'!$D:$D,'TIR店舗一覧'!$E:$E,""),""))</f>
        <v/>
      </c>
      <c r="V1967" s="54" t="s">
        <v>2</v>
      </c>
      <c r="W1967" s="54" t="s">
        <v>2</v>
      </c>
      <c r="X1967" s="54" t="s">
        <v>2</v>
      </c>
      <c r="Y1967" s="54" t="s">
        <v>2</v>
      </c>
      <c r="Z1967" s="54" t="s">
        <v>2</v>
      </c>
      <c r="AA1967" s="54" t="s">
        <v>2</v>
      </c>
      <c r="AB1967" s="54" t="s">
        <v>2</v>
      </c>
      <c r="AC1967" s="54" t="s">
        <v>2</v>
      </c>
      <c r="AD1967" s="54" t="s">
        <v>2</v>
      </c>
      <c r="AE1967" s="54" t="s">
        <v>2</v>
      </c>
      <c r="AF1967" s="54" t="s">
        <v>2</v>
      </c>
      <c r="AG1967" s="54" t="s">
        <v>2</v>
      </c>
    </row>
    <row r="1968" ht="15.75" customHeight="1">
      <c r="B1968" s="56"/>
      <c r="U1968" s="46" t="str">
        <f t="array" ref="U1968">IF($D1968="","",IFERROR(_xlfn.XLOOKUP($D1968,'TIR店舗一覧'!$D:$D,'TIR店舗一覧'!$E:$E,""),""))</f>
        <v/>
      </c>
      <c r="V1968" s="54" t="s">
        <v>2</v>
      </c>
      <c r="W1968" s="54" t="s">
        <v>2</v>
      </c>
      <c r="X1968" s="54" t="s">
        <v>2</v>
      </c>
      <c r="Y1968" s="54" t="s">
        <v>2</v>
      </c>
      <c r="Z1968" s="54" t="s">
        <v>2</v>
      </c>
      <c r="AA1968" s="54" t="s">
        <v>2</v>
      </c>
      <c r="AB1968" s="54" t="s">
        <v>2</v>
      </c>
      <c r="AC1968" s="54" t="s">
        <v>2</v>
      </c>
      <c r="AD1968" s="54" t="s">
        <v>2</v>
      </c>
      <c r="AE1968" s="54" t="s">
        <v>2</v>
      </c>
      <c r="AF1968" s="54" t="s">
        <v>2</v>
      </c>
      <c r="AG1968" s="54" t="s">
        <v>2</v>
      </c>
    </row>
    <row r="1969" ht="15.75" customHeight="1">
      <c r="B1969" s="56"/>
      <c r="U1969" s="46" t="str">
        <f t="array" ref="U1969">IF($D1969="","",IFERROR(_xlfn.XLOOKUP($D1969,'TIR店舗一覧'!$D:$D,'TIR店舗一覧'!$E:$E,""),""))</f>
        <v/>
      </c>
      <c r="V1969" s="54" t="s">
        <v>2</v>
      </c>
      <c r="W1969" s="54" t="s">
        <v>2</v>
      </c>
      <c r="X1969" s="54" t="s">
        <v>2</v>
      </c>
      <c r="Y1969" s="54" t="s">
        <v>2</v>
      </c>
      <c r="Z1969" s="54" t="s">
        <v>2</v>
      </c>
      <c r="AA1969" s="54" t="s">
        <v>2</v>
      </c>
      <c r="AB1969" s="54" t="s">
        <v>2</v>
      </c>
      <c r="AC1969" s="54" t="s">
        <v>2</v>
      </c>
      <c r="AD1969" s="54" t="s">
        <v>2</v>
      </c>
      <c r="AE1969" s="54" t="s">
        <v>2</v>
      </c>
      <c r="AF1969" s="54" t="s">
        <v>2</v>
      </c>
      <c r="AG1969" s="54" t="s">
        <v>2</v>
      </c>
    </row>
    <row r="1970" ht="15.75" customHeight="1">
      <c r="B1970" s="56"/>
      <c r="U1970" s="46" t="str">
        <f t="array" ref="U1970">IF($D1970="","",IFERROR(_xlfn.XLOOKUP($D1970,'TIR店舗一覧'!$D:$D,'TIR店舗一覧'!$E:$E,""),""))</f>
        <v/>
      </c>
      <c r="V1970" s="54" t="s">
        <v>2</v>
      </c>
      <c r="W1970" s="54" t="s">
        <v>2</v>
      </c>
      <c r="X1970" s="54" t="s">
        <v>2</v>
      </c>
      <c r="Y1970" s="54" t="s">
        <v>2</v>
      </c>
      <c r="Z1970" s="54" t="s">
        <v>2</v>
      </c>
      <c r="AA1970" s="54" t="s">
        <v>2</v>
      </c>
      <c r="AB1970" s="54" t="s">
        <v>2</v>
      </c>
      <c r="AC1970" s="54" t="s">
        <v>2</v>
      </c>
      <c r="AD1970" s="54" t="s">
        <v>2</v>
      </c>
      <c r="AE1970" s="54" t="s">
        <v>2</v>
      </c>
      <c r="AF1970" s="54" t="s">
        <v>2</v>
      </c>
      <c r="AG1970" s="54" t="s">
        <v>2</v>
      </c>
    </row>
    <row r="1971" ht="15.75" customHeight="1">
      <c r="B1971" s="56"/>
      <c r="U1971" s="46" t="str">
        <f t="array" ref="U1971">IF($D1971="","",IFERROR(_xlfn.XLOOKUP($D1971,'TIR店舗一覧'!$D:$D,'TIR店舗一覧'!$E:$E,""),""))</f>
        <v/>
      </c>
      <c r="V1971" s="54" t="s">
        <v>2</v>
      </c>
      <c r="W1971" s="54" t="s">
        <v>2</v>
      </c>
      <c r="X1971" s="54" t="s">
        <v>2</v>
      </c>
      <c r="Y1971" s="54" t="s">
        <v>2</v>
      </c>
      <c r="Z1971" s="54" t="s">
        <v>2</v>
      </c>
      <c r="AA1971" s="54" t="s">
        <v>2</v>
      </c>
      <c r="AB1971" s="54" t="s">
        <v>2</v>
      </c>
      <c r="AC1971" s="54" t="s">
        <v>2</v>
      </c>
      <c r="AD1971" s="54" t="s">
        <v>2</v>
      </c>
      <c r="AE1971" s="54" t="s">
        <v>2</v>
      </c>
      <c r="AF1971" s="54" t="s">
        <v>2</v>
      </c>
      <c r="AG1971" s="54" t="s">
        <v>2</v>
      </c>
    </row>
    <row r="1972" ht="15.75" customHeight="1">
      <c r="B1972" s="56"/>
      <c r="U1972" s="46" t="str">
        <f t="array" ref="U1972">IF($D1972="","",IFERROR(_xlfn.XLOOKUP($D1972,'TIR店舗一覧'!$D:$D,'TIR店舗一覧'!$E:$E,""),""))</f>
        <v/>
      </c>
      <c r="V1972" s="54" t="s">
        <v>2</v>
      </c>
      <c r="W1972" s="54" t="s">
        <v>2</v>
      </c>
      <c r="X1972" s="54" t="s">
        <v>2</v>
      </c>
      <c r="Y1972" s="54" t="s">
        <v>2</v>
      </c>
      <c r="Z1972" s="54" t="s">
        <v>2</v>
      </c>
      <c r="AA1972" s="54" t="s">
        <v>2</v>
      </c>
      <c r="AB1972" s="54" t="s">
        <v>2</v>
      </c>
      <c r="AC1972" s="54" t="s">
        <v>2</v>
      </c>
      <c r="AD1972" s="54" t="s">
        <v>2</v>
      </c>
      <c r="AE1972" s="54" t="s">
        <v>2</v>
      </c>
      <c r="AF1972" s="54" t="s">
        <v>2</v>
      </c>
      <c r="AG1972" s="54" t="s">
        <v>2</v>
      </c>
    </row>
    <row r="1973" ht="15.75" customHeight="1">
      <c r="B1973" s="56"/>
      <c r="U1973" s="46" t="str">
        <f t="array" ref="U1973">IF($D1973="","",IFERROR(_xlfn.XLOOKUP($D1973,'TIR店舗一覧'!$D:$D,'TIR店舗一覧'!$E:$E,""),""))</f>
        <v/>
      </c>
      <c r="V1973" s="54" t="s">
        <v>2</v>
      </c>
      <c r="W1973" s="54" t="s">
        <v>2</v>
      </c>
      <c r="X1973" s="54" t="s">
        <v>2</v>
      </c>
      <c r="Y1973" s="54" t="s">
        <v>2</v>
      </c>
      <c r="Z1973" s="54" t="s">
        <v>2</v>
      </c>
      <c r="AA1973" s="54" t="s">
        <v>2</v>
      </c>
      <c r="AB1973" s="54" t="s">
        <v>2</v>
      </c>
      <c r="AC1973" s="54" t="s">
        <v>2</v>
      </c>
      <c r="AD1973" s="54" t="s">
        <v>2</v>
      </c>
      <c r="AE1973" s="54" t="s">
        <v>2</v>
      </c>
      <c r="AF1973" s="54" t="s">
        <v>2</v>
      </c>
      <c r="AG1973" s="54" t="s">
        <v>2</v>
      </c>
    </row>
    <row r="1974" ht="15.75" customHeight="1">
      <c r="B1974" s="56"/>
      <c r="U1974" s="46" t="str">
        <f t="array" ref="U1974">IF($D1974="","",IFERROR(_xlfn.XLOOKUP($D1974,'TIR店舗一覧'!$D:$D,'TIR店舗一覧'!$E:$E,""),""))</f>
        <v/>
      </c>
      <c r="V1974" s="54" t="s">
        <v>2</v>
      </c>
      <c r="W1974" s="54" t="s">
        <v>2</v>
      </c>
      <c r="X1974" s="54" t="s">
        <v>2</v>
      </c>
      <c r="Y1974" s="54" t="s">
        <v>2</v>
      </c>
      <c r="Z1974" s="54" t="s">
        <v>2</v>
      </c>
      <c r="AA1974" s="54" t="s">
        <v>2</v>
      </c>
      <c r="AB1974" s="54" t="s">
        <v>2</v>
      </c>
      <c r="AC1974" s="54" t="s">
        <v>2</v>
      </c>
      <c r="AD1974" s="54" t="s">
        <v>2</v>
      </c>
      <c r="AE1974" s="54" t="s">
        <v>2</v>
      </c>
      <c r="AF1974" s="54" t="s">
        <v>2</v>
      </c>
      <c r="AG1974" s="54" t="s">
        <v>2</v>
      </c>
    </row>
    <row r="1975" ht="15.75" customHeight="1">
      <c r="B1975" s="56"/>
      <c r="U1975" s="46" t="str">
        <f t="array" ref="U1975">IF($D1975="","",IFERROR(_xlfn.XLOOKUP($D1975,'TIR店舗一覧'!$D:$D,'TIR店舗一覧'!$E:$E,""),""))</f>
        <v/>
      </c>
      <c r="V1975" s="54" t="s">
        <v>2</v>
      </c>
      <c r="W1975" s="54" t="s">
        <v>2</v>
      </c>
      <c r="X1975" s="54" t="s">
        <v>2</v>
      </c>
      <c r="Y1975" s="54" t="s">
        <v>2</v>
      </c>
      <c r="Z1975" s="54" t="s">
        <v>2</v>
      </c>
      <c r="AA1975" s="54" t="s">
        <v>2</v>
      </c>
      <c r="AB1975" s="54" t="s">
        <v>2</v>
      </c>
      <c r="AC1975" s="54" t="s">
        <v>2</v>
      </c>
      <c r="AD1975" s="54" t="s">
        <v>2</v>
      </c>
      <c r="AE1975" s="54" t="s">
        <v>2</v>
      </c>
      <c r="AF1975" s="54" t="s">
        <v>2</v>
      </c>
      <c r="AG1975" s="54" t="s">
        <v>2</v>
      </c>
    </row>
    <row r="1976" ht="15.75" customHeight="1">
      <c r="B1976" s="56"/>
      <c r="U1976" s="46" t="str">
        <f t="array" ref="U1976">IF($D1976="","",IFERROR(_xlfn.XLOOKUP($D1976,'TIR店舗一覧'!$D:$D,'TIR店舗一覧'!$E:$E,""),""))</f>
        <v/>
      </c>
      <c r="V1976" s="54" t="s">
        <v>2</v>
      </c>
      <c r="W1976" s="54" t="s">
        <v>2</v>
      </c>
      <c r="X1976" s="54" t="s">
        <v>2</v>
      </c>
      <c r="Y1976" s="54" t="s">
        <v>2</v>
      </c>
      <c r="Z1976" s="54" t="s">
        <v>2</v>
      </c>
      <c r="AA1976" s="54" t="s">
        <v>2</v>
      </c>
      <c r="AB1976" s="54" t="s">
        <v>2</v>
      </c>
      <c r="AC1976" s="54" t="s">
        <v>2</v>
      </c>
      <c r="AD1976" s="54" t="s">
        <v>2</v>
      </c>
      <c r="AE1976" s="54" t="s">
        <v>2</v>
      </c>
      <c r="AF1976" s="54" t="s">
        <v>2</v>
      </c>
      <c r="AG1976" s="54" t="s">
        <v>2</v>
      </c>
    </row>
    <row r="1977" ht="15.75" customHeight="1">
      <c r="B1977" s="56"/>
      <c r="U1977" s="46" t="str">
        <f t="array" ref="U1977">IF($D1977="","",IFERROR(_xlfn.XLOOKUP($D1977,'TIR店舗一覧'!$D:$D,'TIR店舗一覧'!$E:$E,""),""))</f>
        <v/>
      </c>
      <c r="V1977" s="54" t="s">
        <v>2</v>
      </c>
      <c r="W1977" s="54" t="s">
        <v>2</v>
      </c>
      <c r="X1977" s="54" t="s">
        <v>2</v>
      </c>
      <c r="Y1977" s="54" t="s">
        <v>2</v>
      </c>
      <c r="Z1977" s="54" t="s">
        <v>2</v>
      </c>
      <c r="AA1977" s="54" t="s">
        <v>2</v>
      </c>
      <c r="AB1977" s="54" t="s">
        <v>2</v>
      </c>
      <c r="AC1977" s="54" t="s">
        <v>2</v>
      </c>
      <c r="AD1977" s="54" t="s">
        <v>2</v>
      </c>
      <c r="AE1977" s="54" t="s">
        <v>2</v>
      </c>
      <c r="AF1977" s="54" t="s">
        <v>2</v>
      </c>
      <c r="AG1977" s="54" t="s">
        <v>2</v>
      </c>
    </row>
    <row r="1978" ht="15.75" customHeight="1">
      <c r="B1978" s="56"/>
      <c r="U1978" s="46" t="str">
        <f t="array" ref="U1978">IF($D1978="","",IFERROR(_xlfn.XLOOKUP($D1978,'TIR店舗一覧'!$D:$D,'TIR店舗一覧'!$E:$E,""),""))</f>
        <v/>
      </c>
      <c r="V1978" s="54" t="s">
        <v>2</v>
      </c>
      <c r="W1978" s="54" t="s">
        <v>2</v>
      </c>
      <c r="X1978" s="54" t="s">
        <v>2</v>
      </c>
      <c r="Y1978" s="54" t="s">
        <v>2</v>
      </c>
      <c r="Z1978" s="54" t="s">
        <v>2</v>
      </c>
      <c r="AA1978" s="54" t="s">
        <v>2</v>
      </c>
      <c r="AB1978" s="54" t="s">
        <v>2</v>
      </c>
      <c r="AC1978" s="54" t="s">
        <v>2</v>
      </c>
      <c r="AD1978" s="54" t="s">
        <v>2</v>
      </c>
      <c r="AE1978" s="54" t="s">
        <v>2</v>
      </c>
      <c r="AF1978" s="54" t="s">
        <v>2</v>
      </c>
      <c r="AG1978" s="54" t="s">
        <v>2</v>
      </c>
    </row>
    <row r="1979" ht="15.75" customHeight="1">
      <c r="B1979" s="56"/>
      <c r="U1979" s="46" t="str">
        <f t="array" ref="U1979">IF($D1979="","",IFERROR(_xlfn.XLOOKUP($D1979,'TIR店舗一覧'!$D:$D,'TIR店舗一覧'!$E:$E,""),""))</f>
        <v/>
      </c>
      <c r="V1979" s="54" t="s">
        <v>2</v>
      </c>
      <c r="W1979" s="54" t="s">
        <v>2</v>
      </c>
      <c r="X1979" s="54" t="s">
        <v>2</v>
      </c>
      <c r="Y1979" s="54" t="s">
        <v>2</v>
      </c>
      <c r="Z1979" s="54" t="s">
        <v>2</v>
      </c>
      <c r="AA1979" s="54" t="s">
        <v>2</v>
      </c>
      <c r="AB1979" s="54" t="s">
        <v>2</v>
      </c>
      <c r="AC1979" s="54" t="s">
        <v>2</v>
      </c>
      <c r="AD1979" s="54" t="s">
        <v>2</v>
      </c>
      <c r="AE1979" s="54" t="s">
        <v>2</v>
      </c>
      <c r="AF1979" s="54" t="s">
        <v>2</v>
      </c>
      <c r="AG1979" s="54" t="s">
        <v>2</v>
      </c>
    </row>
    <row r="1980" ht="15.75" customHeight="1">
      <c r="B1980" s="56"/>
      <c r="U1980" s="46" t="str">
        <f t="array" ref="U1980">IF($D1980="","",IFERROR(_xlfn.XLOOKUP($D1980,'TIR店舗一覧'!$D:$D,'TIR店舗一覧'!$E:$E,""),""))</f>
        <v/>
      </c>
      <c r="V1980" s="54" t="s">
        <v>2</v>
      </c>
      <c r="W1980" s="54" t="s">
        <v>2</v>
      </c>
      <c r="X1980" s="54" t="s">
        <v>2</v>
      </c>
      <c r="Y1980" s="54" t="s">
        <v>2</v>
      </c>
      <c r="Z1980" s="54" t="s">
        <v>2</v>
      </c>
      <c r="AA1980" s="54" t="s">
        <v>2</v>
      </c>
      <c r="AB1980" s="54" t="s">
        <v>2</v>
      </c>
      <c r="AC1980" s="54" t="s">
        <v>2</v>
      </c>
      <c r="AD1980" s="54" t="s">
        <v>2</v>
      </c>
      <c r="AE1980" s="54" t="s">
        <v>2</v>
      </c>
      <c r="AF1980" s="54" t="s">
        <v>2</v>
      </c>
      <c r="AG1980" s="54" t="s">
        <v>2</v>
      </c>
    </row>
    <row r="1981" ht="15.75" customHeight="1">
      <c r="B1981" s="56"/>
      <c r="U1981" s="46" t="str">
        <f t="array" ref="U1981">IF($D1981="","",IFERROR(_xlfn.XLOOKUP($D1981,'TIR店舗一覧'!$D:$D,'TIR店舗一覧'!$E:$E,""),""))</f>
        <v/>
      </c>
      <c r="V1981" s="54" t="s">
        <v>2</v>
      </c>
      <c r="W1981" s="54" t="s">
        <v>2</v>
      </c>
      <c r="X1981" s="54" t="s">
        <v>2</v>
      </c>
      <c r="Y1981" s="54" t="s">
        <v>2</v>
      </c>
      <c r="Z1981" s="54" t="s">
        <v>2</v>
      </c>
      <c r="AA1981" s="54" t="s">
        <v>2</v>
      </c>
      <c r="AB1981" s="54" t="s">
        <v>2</v>
      </c>
      <c r="AC1981" s="54" t="s">
        <v>2</v>
      </c>
      <c r="AD1981" s="54" t="s">
        <v>2</v>
      </c>
      <c r="AE1981" s="54" t="s">
        <v>2</v>
      </c>
      <c r="AF1981" s="54" t="s">
        <v>2</v>
      </c>
      <c r="AG1981" s="54" t="s">
        <v>2</v>
      </c>
    </row>
    <row r="1982" ht="15.75" customHeight="1">
      <c r="B1982" s="56"/>
      <c r="U1982" s="46" t="str">
        <f t="array" ref="U1982">IF($D1982="","",IFERROR(_xlfn.XLOOKUP($D1982,'TIR店舗一覧'!$D:$D,'TIR店舗一覧'!$E:$E,""),""))</f>
        <v/>
      </c>
      <c r="V1982" s="54" t="s">
        <v>2</v>
      </c>
      <c r="W1982" s="54" t="s">
        <v>2</v>
      </c>
      <c r="X1982" s="54" t="s">
        <v>2</v>
      </c>
      <c r="Y1982" s="54" t="s">
        <v>2</v>
      </c>
      <c r="Z1982" s="54" t="s">
        <v>2</v>
      </c>
      <c r="AA1982" s="54" t="s">
        <v>2</v>
      </c>
      <c r="AB1982" s="54" t="s">
        <v>2</v>
      </c>
      <c r="AC1982" s="54" t="s">
        <v>2</v>
      </c>
      <c r="AD1982" s="54" t="s">
        <v>2</v>
      </c>
      <c r="AE1982" s="54" t="s">
        <v>2</v>
      </c>
      <c r="AF1982" s="54" t="s">
        <v>2</v>
      </c>
      <c r="AG1982" s="54" t="s">
        <v>2</v>
      </c>
    </row>
    <row r="1983" ht="15.75" customHeight="1">
      <c r="B1983" s="56"/>
      <c r="U1983" s="46" t="str">
        <f t="array" ref="U1983">IF($D1983="","",IFERROR(_xlfn.XLOOKUP($D1983,'TIR店舗一覧'!$D:$D,'TIR店舗一覧'!$E:$E,""),""))</f>
        <v/>
      </c>
      <c r="V1983" s="54" t="s">
        <v>2</v>
      </c>
      <c r="W1983" s="54" t="s">
        <v>2</v>
      </c>
      <c r="X1983" s="54" t="s">
        <v>2</v>
      </c>
      <c r="Y1983" s="54" t="s">
        <v>2</v>
      </c>
      <c r="Z1983" s="54" t="s">
        <v>2</v>
      </c>
      <c r="AA1983" s="54" t="s">
        <v>2</v>
      </c>
      <c r="AB1983" s="54" t="s">
        <v>2</v>
      </c>
      <c r="AC1983" s="54" t="s">
        <v>2</v>
      </c>
      <c r="AD1983" s="54" t="s">
        <v>2</v>
      </c>
      <c r="AE1983" s="54" t="s">
        <v>2</v>
      </c>
      <c r="AF1983" s="54" t="s">
        <v>2</v>
      </c>
      <c r="AG1983" s="54" t="s">
        <v>2</v>
      </c>
    </row>
    <row r="1984" ht="15.75" customHeight="1">
      <c r="B1984" s="56"/>
      <c r="U1984" s="46" t="str">
        <f t="array" ref="U1984">IF($D1984="","",IFERROR(_xlfn.XLOOKUP($D1984,'TIR店舗一覧'!$D:$D,'TIR店舗一覧'!$E:$E,""),""))</f>
        <v/>
      </c>
      <c r="V1984" s="54" t="s">
        <v>2</v>
      </c>
      <c r="W1984" s="54" t="s">
        <v>2</v>
      </c>
      <c r="X1984" s="54" t="s">
        <v>2</v>
      </c>
      <c r="Y1984" s="54" t="s">
        <v>2</v>
      </c>
      <c r="Z1984" s="54" t="s">
        <v>2</v>
      </c>
      <c r="AA1984" s="54" t="s">
        <v>2</v>
      </c>
      <c r="AB1984" s="54" t="s">
        <v>2</v>
      </c>
      <c r="AC1984" s="54" t="s">
        <v>2</v>
      </c>
      <c r="AD1984" s="54" t="s">
        <v>2</v>
      </c>
      <c r="AE1984" s="54" t="s">
        <v>2</v>
      </c>
      <c r="AF1984" s="54" t="s">
        <v>2</v>
      </c>
      <c r="AG1984" s="54" t="s">
        <v>2</v>
      </c>
    </row>
    <row r="1985" ht="15.75" customHeight="1">
      <c r="B1985" s="56"/>
      <c r="U1985" s="46" t="str">
        <f t="array" ref="U1985">IF($D1985="","",IFERROR(_xlfn.XLOOKUP($D1985,'TIR店舗一覧'!$D:$D,'TIR店舗一覧'!$E:$E,""),""))</f>
        <v/>
      </c>
      <c r="V1985" s="54" t="s">
        <v>2</v>
      </c>
      <c r="W1985" s="54" t="s">
        <v>2</v>
      </c>
      <c r="X1985" s="54" t="s">
        <v>2</v>
      </c>
      <c r="Y1985" s="54" t="s">
        <v>2</v>
      </c>
      <c r="Z1985" s="54" t="s">
        <v>2</v>
      </c>
      <c r="AA1985" s="54" t="s">
        <v>2</v>
      </c>
      <c r="AB1985" s="54" t="s">
        <v>2</v>
      </c>
      <c r="AC1985" s="54" t="s">
        <v>2</v>
      </c>
      <c r="AD1985" s="54" t="s">
        <v>2</v>
      </c>
      <c r="AE1985" s="54" t="s">
        <v>2</v>
      </c>
      <c r="AF1985" s="54" t="s">
        <v>2</v>
      </c>
      <c r="AG1985" s="54" t="s">
        <v>2</v>
      </c>
    </row>
    <row r="1986" ht="15.75" customHeight="1">
      <c r="B1986" s="56"/>
      <c r="U1986" s="46" t="str">
        <f t="array" ref="U1986">IF($D1986="","",IFERROR(_xlfn.XLOOKUP($D1986,'TIR店舗一覧'!$D:$D,'TIR店舗一覧'!$E:$E,""),""))</f>
        <v/>
      </c>
      <c r="V1986" s="54" t="s">
        <v>2</v>
      </c>
      <c r="W1986" s="54" t="s">
        <v>2</v>
      </c>
      <c r="X1986" s="54" t="s">
        <v>2</v>
      </c>
      <c r="Y1986" s="54" t="s">
        <v>2</v>
      </c>
      <c r="Z1986" s="54" t="s">
        <v>2</v>
      </c>
      <c r="AA1986" s="54" t="s">
        <v>2</v>
      </c>
      <c r="AB1986" s="54" t="s">
        <v>2</v>
      </c>
      <c r="AC1986" s="54" t="s">
        <v>2</v>
      </c>
      <c r="AD1986" s="54" t="s">
        <v>2</v>
      </c>
      <c r="AE1986" s="54" t="s">
        <v>2</v>
      </c>
      <c r="AF1986" s="54" t="s">
        <v>2</v>
      </c>
      <c r="AG1986" s="54" t="s">
        <v>2</v>
      </c>
    </row>
    <row r="1987" ht="15.75" customHeight="1">
      <c r="B1987" s="56"/>
      <c r="U1987" s="46" t="str">
        <f t="array" ref="U1987">IF($D1987="","",IFERROR(_xlfn.XLOOKUP($D1987,'TIR店舗一覧'!$D:$D,'TIR店舗一覧'!$E:$E,""),""))</f>
        <v/>
      </c>
      <c r="V1987" s="54" t="s">
        <v>2</v>
      </c>
      <c r="W1987" s="54" t="s">
        <v>2</v>
      </c>
      <c r="X1987" s="54" t="s">
        <v>2</v>
      </c>
      <c r="Y1987" s="54" t="s">
        <v>2</v>
      </c>
      <c r="Z1987" s="54" t="s">
        <v>2</v>
      </c>
      <c r="AA1987" s="54" t="s">
        <v>2</v>
      </c>
      <c r="AB1987" s="54" t="s">
        <v>2</v>
      </c>
      <c r="AC1987" s="54" t="s">
        <v>2</v>
      </c>
      <c r="AD1987" s="54" t="s">
        <v>2</v>
      </c>
      <c r="AE1987" s="54" t="s">
        <v>2</v>
      </c>
      <c r="AF1987" s="54" t="s">
        <v>2</v>
      </c>
      <c r="AG1987" s="54" t="s">
        <v>2</v>
      </c>
    </row>
    <row r="1988" ht="15.75" customHeight="1">
      <c r="B1988" s="56"/>
      <c r="U1988" s="46" t="str">
        <f t="array" ref="U1988">IF($D1988="","",IFERROR(_xlfn.XLOOKUP($D1988,'TIR店舗一覧'!$D:$D,'TIR店舗一覧'!$E:$E,""),""))</f>
        <v/>
      </c>
      <c r="V1988" s="54" t="s">
        <v>2</v>
      </c>
      <c r="W1988" s="54" t="s">
        <v>2</v>
      </c>
      <c r="X1988" s="54" t="s">
        <v>2</v>
      </c>
      <c r="Y1988" s="54" t="s">
        <v>2</v>
      </c>
      <c r="Z1988" s="54" t="s">
        <v>2</v>
      </c>
      <c r="AA1988" s="54" t="s">
        <v>2</v>
      </c>
      <c r="AB1988" s="54" t="s">
        <v>2</v>
      </c>
      <c r="AC1988" s="54" t="s">
        <v>2</v>
      </c>
      <c r="AD1988" s="54" t="s">
        <v>2</v>
      </c>
      <c r="AE1988" s="54" t="s">
        <v>2</v>
      </c>
      <c r="AF1988" s="54" t="s">
        <v>2</v>
      </c>
      <c r="AG1988" s="54" t="s">
        <v>2</v>
      </c>
    </row>
    <row r="1989" ht="15.75" customHeight="1">
      <c r="B1989" s="56"/>
      <c r="U1989" s="46" t="str">
        <f t="array" ref="U1989">IF($D1989="","",IFERROR(_xlfn.XLOOKUP($D1989,'TIR店舗一覧'!$D:$D,'TIR店舗一覧'!$E:$E,""),""))</f>
        <v/>
      </c>
      <c r="V1989" s="54" t="s">
        <v>2</v>
      </c>
      <c r="W1989" s="54" t="s">
        <v>2</v>
      </c>
      <c r="X1989" s="54" t="s">
        <v>2</v>
      </c>
      <c r="Y1989" s="54" t="s">
        <v>2</v>
      </c>
      <c r="Z1989" s="54" t="s">
        <v>2</v>
      </c>
      <c r="AA1989" s="54" t="s">
        <v>2</v>
      </c>
      <c r="AB1989" s="54" t="s">
        <v>2</v>
      </c>
      <c r="AC1989" s="54" t="s">
        <v>2</v>
      </c>
      <c r="AD1989" s="54" t="s">
        <v>2</v>
      </c>
      <c r="AE1989" s="54" t="s">
        <v>2</v>
      </c>
      <c r="AF1989" s="54" t="s">
        <v>2</v>
      </c>
      <c r="AG1989" s="54" t="s">
        <v>2</v>
      </c>
    </row>
    <row r="1990" ht="15.75" customHeight="1">
      <c r="B1990" s="56"/>
      <c r="U1990" s="46" t="str">
        <f t="array" ref="U1990">IF($D1990="","",IFERROR(_xlfn.XLOOKUP($D1990,'TIR店舗一覧'!$D:$D,'TIR店舗一覧'!$E:$E,""),""))</f>
        <v/>
      </c>
      <c r="V1990" s="54" t="s">
        <v>2</v>
      </c>
      <c r="W1990" s="54" t="s">
        <v>2</v>
      </c>
      <c r="X1990" s="54" t="s">
        <v>2</v>
      </c>
      <c r="Y1990" s="54" t="s">
        <v>2</v>
      </c>
      <c r="Z1990" s="54" t="s">
        <v>2</v>
      </c>
      <c r="AA1990" s="54" t="s">
        <v>2</v>
      </c>
      <c r="AB1990" s="54" t="s">
        <v>2</v>
      </c>
      <c r="AC1990" s="54" t="s">
        <v>2</v>
      </c>
      <c r="AD1990" s="54" t="s">
        <v>2</v>
      </c>
      <c r="AE1990" s="54" t="s">
        <v>2</v>
      </c>
      <c r="AF1990" s="54" t="s">
        <v>2</v>
      </c>
      <c r="AG1990" s="54" t="s">
        <v>2</v>
      </c>
    </row>
    <row r="1991" ht="15.75" customHeight="1">
      <c r="B1991" s="56"/>
      <c r="U1991" s="46" t="str">
        <f t="array" ref="U1991">IF($D1991="","",IFERROR(_xlfn.XLOOKUP($D1991,'TIR店舗一覧'!$D:$D,'TIR店舗一覧'!$E:$E,""),""))</f>
        <v/>
      </c>
      <c r="V1991" s="54" t="s">
        <v>2</v>
      </c>
      <c r="W1991" s="54" t="s">
        <v>2</v>
      </c>
      <c r="X1991" s="54" t="s">
        <v>2</v>
      </c>
      <c r="Y1991" s="54" t="s">
        <v>2</v>
      </c>
      <c r="Z1991" s="54" t="s">
        <v>2</v>
      </c>
      <c r="AA1991" s="54" t="s">
        <v>2</v>
      </c>
      <c r="AB1991" s="54" t="s">
        <v>2</v>
      </c>
      <c r="AC1991" s="54" t="s">
        <v>2</v>
      </c>
      <c r="AD1991" s="54" t="s">
        <v>2</v>
      </c>
      <c r="AE1991" s="54" t="s">
        <v>2</v>
      </c>
      <c r="AF1991" s="54" t="s">
        <v>2</v>
      </c>
      <c r="AG1991" s="54" t="s">
        <v>2</v>
      </c>
    </row>
    <row r="1992" ht="15.75" customHeight="1">
      <c r="B1992" s="56"/>
      <c r="U1992" s="46" t="str">
        <f t="array" ref="U1992">IF($D1992="","",IFERROR(_xlfn.XLOOKUP($D1992,'TIR店舗一覧'!$D:$D,'TIR店舗一覧'!$E:$E,""),""))</f>
        <v/>
      </c>
      <c r="V1992" s="54" t="s">
        <v>2</v>
      </c>
      <c r="W1992" s="54" t="s">
        <v>2</v>
      </c>
      <c r="X1992" s="54" t="s">
        <v>2</v>
      </c>
      <c r="Y1992" s="54" t="s">
        <v>2</v>
      </c>
      <c r="Z1992" s="54" t="s">
        <v>2</v>
      </c>
      <c r="AA1992" s="54" t="s">
        <v>2</v>
      </c>
      <c r="AB1992" s="54" t="s">
        <v>2</v>
      </c>
      <c r="AC1992" s="54" t="s">
        <v>2</v>
      </c>
      <c r="AD1992" s="54" t="s">
        <v>2</v>
      </c>
      <c r="AE1992" s="54" t="s">
        <v>2</v>
      </c>
      <c r="AF1992" s="54" t="s">
        <v>2</v>
      </c>
      <c r="AG1992" s="54" t="s">
        <v>2</v>
      </c>
    </row>
    <row r="1993" ht="15.75" customHeight="1">
      <c r="B1993" s="56"/>
      <c r="U1993" s="46" t="str">
        <f t="array" ref="U1993">IF($D1993="","",IFERROR(_xlfn.XLOOKUP($D1993,'TIR店舗一覧'!$D:$D,'TIR店舗一覧'!$E:$E,""),""))</f>
        <v/>
      </c>
      <c r="V1993" s="54" t="s">
        <v>2</v>
      </c>
      <c r="W1993" s="54" t="s">
        <v>2</v>
      </c>
      <c r="X1993" s="54" t="s">
        <v>2</v>
      </c>
      <c r="Y1993" s="54" t="s">
        <v>2</v>
      </c>
      <c r="Z1993" s="54" t="s">
        <v>2</v>
      </c>
      <c r="AA1993" s="54" t="s">
        <v>2</v>
      </c>
      <c r="AB1993" s="54" t="s">
        <v>2</v>
      </c>
      <c r="AC1993" s="54" t="s">
        <v>2</v>
      </c>
      <c r="AD1993" s="54" t="s">
        <v>2</v>
      </c>
      <c r="AE1993" s="54" t="s">
        <v>2</v>
      </c>
      <c r="AF1993" s="54" t="s">
        <v>2</v>
      </c>
      <c r="AG1993" s="54" t="s">
        <v>2</v>
      </c>
    </row>
    <row r="1994" ht="15.75" customHeight="1">
      <c r="B1994" s="56"/>
      <c r="U1994" s="46" t="str">
        <f t="array" ref="U1994">IF($D1994="","",IFERROR(_xlfn.XLOOKUP($D1994,'TIR店舗一覧'!$D:$D,'TIR店舗一覧'!$E:$E,""),""))</f>
        <v/>
      </c>
      <c r="V1994" s="54" t="s">
        <v>2</v>
      </c>
      <c r="W1994" s="54" t="s">
        <v>2</v>
      </c>
      <c r="X1994" s="54" t="s">
        <v>2</v>
      </c>
      <c r="Y1994" s="54" t="s">
        <v>2</v>
      </c>
      <c r="Z1994" s="54" t="s">
        <v>2</v>
      </c>
      <c r="AA1994" s="54" t="s">
        <v>2</v>
      </c>
      <c r="AB1994" s="54" t="s">
        <v>2</v>
      </c>
      <c r="AC1994" s="54" t="s">
        <v>2</v>
      </c>
      <c r="AD1994" s="54" t="s">
        <v>2</v>
      </c>
      <c r="AE1994" s="54" t="s">
        <v>2</v>
      </c>
      <c r="AF1994" s="54" t="s">
        <v>2</v>
      </c>
      <c r="AG1994" s="54" t="s">
        <v>2</v>
      </c>
    </row>
    <row r="1995" ht="15.75" customHeight="1">
      <c r="B1995" s="56"/>
      <c r="U1995" s="46" t="str">
        <f t="array" ref="U1995">IF($D1995="","",IFERROR(_xlfn.XLOOKUP($D1995,'TIR店舗一覧'!$D:$D,'TIR店舗一覧'!$E:$E,""),""))</f>
        <v/>
      </c>
      <c r="V1995" s="54" t="s">
        <v>2</v>
      </c>
      <c r="W1995" s="54" t="s">
        <v>2</v>
      </c>
      <c r="X1995" s="54" t="s">
        <v>2</v>
      </c>
      <c r="Y1995" s="54" t="s">
        <v>2</v>
      </c>
      <c r="Z1995" s="54" t="s">
        <v>2</v>
      </c>
      <c r="AA1995" s="54" t="s">
        <v>2</v>
      </c>
      <c r="AB1995" s="54" t="s">
        <v>2</v>
      </c>
      <c r="AC1995" s="54" t="s">
        <v>2</v>
      </c>
      <c r="AD1995" s="54" t="s">
        <v>2</v>
      </c>
      <c r="AE1995" s="54" t="s">
        <v>2</v>
      </c>
      <c r="AF1995" s="54" t="s">
        <v>2</v>
      </c>
      <c r="AG1995" s="54" t="s">
        <v>2</v>
      </c>
    </row>
    <row r="1996" ht="15.75" customHeight="1">
      <c r="B1996" s="56"/>
      <c r="U1996" s="46" t="str">
        <f t="array" ref="U1996">IF($D1996="","",IFERROR(_xlfn.XLOOKUP($D1996,'TIR店舗一覧'!$D:$D,'TIR店舗一覧'!$E:$E,""),""))</f>
        <v/>
      </c>
      <c r="V1996" s="54" t="s">
        <v>2</v>
      </c>
      <c r="W1996" s="54" t="s">
        <v>2</v>
      </c>
      <c r="X1996" s="54" t="s">
        <v>2</v>
      </c>
      <c r="Y1996" s="54" t="s">
        <v>2</v>
      </c>
      <c r="Z1996" s="54" t="s">
        <v>2</v>
      </c>
      <c r="AA1996" s="54" t="s">
        <v>2</v>
      </c>
      <c r="AB1996" s="54" t="s">
        <v>2</v>
      </c>
      <c r="AC1996" s="54" t="s">
        <v>2</v>
      </c>
      <c r="AD1996" s="54" t="s">
        <v>2</v>
      </c>
      <c r="AE1996" s="54" t="s">
        <v>2</v>
      </c>
      <c r="AF1996" s="54" t="s">
        <v>2</v>
      </c>
      <c r="AG1996" s="54" t="s">
        <v>2</v>
      </c>
    </row>
    <row r="1997" ht="15.75" customHeight="1">
      <c r="B1997" s="56"/>
      <c r="U1997" s="46" t="str">
        <f t="array" ref="U1997">IF($D1997="","",IFERROR(_xlfn.XLOOKUP($D1997,'TIR店舗一覧'!$D:$D,'TIR店舗一覧'!$E:$E,""),""))</f>
        <v/>
      </c>
      <c r="V1997" s="54" t="s">
        <v>2</v>
      </c>
      <c r="W1997" s="54" t="s">
        <v>2</v>
      </c>
      <c r="X1997" s="54" t="s">
        <v>2</v>
      </c>
      <c r="Y1997" s="54" t="s">
        <v>2</v>
      </c>
      <c r="Z1997" s="54" t="s">
        <v>2</v>
      </c>
      <c r="AA1997" s="54" t="s">
        <v>2</v>
      </c>
      <c r="AB1997" s="54" t="s">
        <v>2</v>
      </c>
      <c r="AC1997" s="54" t="s">
        <v>2</v>
      </c>
      <c r="AD1997" s="54" t="s">
        <v>2</v>
      </c>
      <c r="AE1997" s="54" t="s">
        <v>2</v>
      </c>
      <c r="AF1997" s="54" t="s">
        <v>2</v>
      </c>
      <c r="AG1997" s="54" t="s">
        <v>2</v>
      </c>
    </row>
    <row r="1998" ht="15.75" customHeight="1">
      <c r="B1998" s="56"/>
      <c r="U1998" s="46" t="str">
        <f t="array" ref="U1998">IF($D1998="","",IFERROR(_xlfn.XLOOKUP($D1998,'TIR店舗一覧'!$D:$D,'TIR店舗一覧'!$E:$E,""),""))</f>
        <v/>
      </c>
      <c r="V1998" s="54" t="s">
        <v>2</v>
      </c>
      <c r="W1998" s="54" t="s">
        <v>2</v>
      </c>
      <c r="X1998" s="54" t="s">
        <v>2</v>
      </c>
      <c r="Y1998" s="54" t="s">
        <v>2</v>
      </c>
      <c r="Z1998" s="54" t="s">
        <v>2</v>
      </c>
      <c r="AA1998" s="54" t="s">
        <v>2</v>
      </c>
      <c r="AB1998" s="54" t="s">
        <v>2</v>
      </c>
      <c r="AC1998" s="54" t="s">
        <v>2</v>
      </c>
      <c r="AD1998" s="54" t="s">
        <v>2</v>
      </c>
      <c r="AE1998" s="54" t="s">
        <v>2</v>
      </c>
      <c r="AF1998" s="54" t="s">
        <v>2</v>
      </c>
      <c r="AG1998" s="54" t="s">
        <v>2</v>
      </c>
    </row>
    <row r="1999" ht="15.75" customHeight="1">
      <c r="B1999" s="56"/>
      <c r="U1999" s="46" t="str">
        <f t="array" ref="U1999">IF($D1999="","",IFERROR(_xlfn.XLOOKUP($D1999,'TIR店舗一覧'!$D:$D,'TIR店舗一覧'!$E:$E,""),""))</f>
        <v/>
      </c>
      <c r="V1999" s="54" t="s">
        <v>2</v>
      </c>
      <c r="W1999" s="54" t="s">
        <v>2</v>
      </c>
      <c r="X1999" s="54" t="s">
        <v>2</v>
      </c>
      <c r="Y1999" s="54" t="s">
        <v>2</v>
      </c>
      <c r="Z1999" s="54" t="s">
        <v>2</v>
      </c>
      <c r="AA1999" s="54" t="s">
        <v>2</v>
      </c>
      <c r="AB1999" s="54" t="s">
        <v>2</v>
      </c>
      <c r="AC1999" s="54" t="s">
        <v>2</v>
      </c>
      <c r="AD1999" s="54" t="s">
        <v>2</v>
      </c>
      <c r="AE1999" s="54" t="s">
        <v>2</v>
      </c>
      <c r="AF1999" s="54" t="s">
        <v>2</v>
      </c>
      <c r="AG1999" s="54" t="s">
        <v>2</v>
      </c>
    </row>
    <row r="2000" ht="15.75" customHeight="1">
      <c r="B2000" s="56"/>
      <c r="U2000" s="46" t="str">
        <f t="array" ref="U2000">IF($D2000="","",IFERROR(_xlfn.XLOOKUP($D2000,'TIR店舗一覧'!$D:$D,'TIR店舗一覧'!$E:$E,""),""))</f>
        <v/>
      </c>
      <c r="V2000" s="54" t="s">
        <v>2</v>
      </c>
      <c r="W2000" s="54" t="s">
        <v>2</v>
      </c>
      <c r="X2000" s="54" t="s">
        <v>2</v>
      </c>
      <c r="Y2000" s="54" t="s">
        <v>2</v>
      </c>
      <c r="Z2000" s="54" t="s">
        <v>2</v>
      </c>
      <c r="AA2000" s="54" t="s">
        <v>2</v>
      </c>
      <c r="AB2000" s="54" t="s">
        <v>2</v>
      </c>
      <c r="AC2000" s="54" t="s">
        <v>2</v>
      </c>
      <c r="AD2000" s="54" t="s">
        <v>2</v>
      </c>
      <c r="AE2000" s="54" t="s">
        <v>2</v>
      </c>
      <c r="AF2000" s="54" t="s">
        <v>2</v>
      </c>
      <c r="AG2000" s="54" t="s">
        <v>2</v>
      </c>
    </row>
    <row r="2001" ht="15.75" customHeight="1">
      <c r="B2001" s="56"/>
      <c r="U2001" s="46" t="str">
        <f t="array" ref="U2001">IF($D2001="","",IFERROR(_xlfn.XLOOKUP($D2001,'TIR店舗一覧'!$D:$D,'TIR店舗一覧'!$E:$E,""),""))</f>
        <v/>
      </c>
      <c r="V2001" s="54" t="s">
        <v>2</v>
      </c>
      <c r="W2001" s="54" t="s">
        <v>2</v>
      </c>
      <c r="X2001" s="54" t="s">
        <v>2</v>
      </c>
      <c r="Y2001" s="54" t="s">
        <v>2</v>
      </c>
      <c r="Z2001" s="54" t="s">
        <v>2</v>
      </c>
      <c r="AA2001" s="54" t="s">
        <v>2</v>
      </c>
      <c r="AB2001" s="54" t="s">
        <v>2</v>
      </c>
      <c r="AC2001" s="54" t="s">
        <v>2</v>
      </c>
      <c r="AD2001" s="54" t="s">
        <v>2</v>
      </c>
      <c r="AE2001" s="54" t="s">
        <v>2</v>
      </c>
      <c r="AF2001" s="54" t="s">
        <v>2</v>
      </c>
      <c r="AG2001" s="54" t="s">
        <v>2</v>
      </c>
    </row>
    <row r="2002" ht="15.75" customHeight="1">
      <c r="B2002" s="56"/>
      <c r="U2002" s="46" t="str">
        <f t="array" ref="U2002">IF($D2002="","",IFERROR(_xlfn.XLOOKUP($D2002,'TIR店舗一覧'!$D:$D,'TIR店舗一覧'!$E:$E,""),""))</f>
        <v/>
      </c>
      <c r="V2002" s="54" t="s">
        <v>2</v>
      </c>
      <c r="W2002" s="54" t="s">
        <v>2</v>
      </c>
      <c r="X2002" s="54" t="s">
        <v>2</v>
      </c>
      <c r="Y2002" s="54" t="s">
        <v>2</v>
      </c>
      <c r="Z2002" s="54" t="s">
        <v>2</v>
      </c>
      <c r="AA2002" s="54" t="s">
        <v>2</v>
      </c>
      <c r="AB2002" s="54" t="s">
        <v>2</v>
      </c>
      <c r="AC2002" s="54" t="s">
        <v>2</v>
      </c>
      <c r="AD2002" s="54" t="s">
        <v>2</v>
      </c>
      <c r="AE2002" s="54" t="s">
        <v>2</v>
      </c>
      <c r="AF2002" s="54" t="s">
        <v>2</v>
      </c>
      <c r="AG2002" s="54" t="s">
        <v>2</v>
      </c>
    </row>
    <row r="2003" ht="15.75" customHeight="1">
      <c r="B2003" s="56"/>
      <c r="U2003" s="46" t="str">
        <f t="array" ref="U2003">IF($D2003="","",IFERROR(_xlfn.XLOOKUP($D2003,'TIR店舗一覧'!$D:$D,'TIR店舗一覧'!$E:$E,""),""))</f>
        <v/>
      </c>
      <c r="V2003" s="54" t="s">
        <v>2</v>
      </c>
      <c r="W2003" s="54" t="s">
        <v>2</v>
      </c>
      <c r="X2003" s="54" t="s">
        <v>2</v>
      </c>
      <c r="Y2003" s="54" t="s">
        <v>2</v>
      </c>
      <c r="Z2003" s="54" t="s">
        <v>2</v>
      </c>
      <c r="AA2003" s="54" t="s">
        <v>2</v>
      </c>
      <c r="AB2003" s="54" t="s">
        <v>2</v>
      </c>
      <c r="AC2003" s="54" t="s">
        <v>2</v>
      </c>
      <c r="AD2003" s="54" t="s">
        <v>2</v>
      </c>
      <c r="AE2003" s="54" t="s">
        <v>2</v>
      </c>
      <c r="AF2003" s="54" t="s">
        <v>2</v>
      </c>
      <c r="AG2003" s="54" t="s">
        <v>2</v>
      </c>
    </row>
    <row r="2004" ht="15.75" customHeight="1">
      <c r="B2004" s="56"/>
      <c r="U2004" s="46" t="str">
        <f t="array" ref="U2004">IF($D2004="","",IFERROR(_xlfn.XLOOKUP($D2004,'TIR店舗一覧'!$D:$D,'TIR店舗一覧'!$E:$E,""),""))</f>
        <v/>
      </c>
      <c r="V2004" s="54" t="s">
        <v>2</v>
      </c>
      <c r="W2004" s="54" t="s">
        <v>2</v>
      </c>
      <c r="X2004" s="54" t="s">
        <v>2</v>
      </c>
      <c r="Y2004" s="54" t="s">
        <v>2</v>
      </c>
      <c r="Z2004" s="54" t="s">
        <v>2</v>
      </c>
      <c r="AA2004" s="54" t="s">
        <v>2</v>
      </c>
      <c r="AB2004" s="54" t="s">
        <v>2</v>
      </c>
      <c r="AC2004" s="54" t="s">
        <v>2</v>
      </c>
      <c r="AD2004" s="54" t="s">
        <v>2</v>
      </c>
      <c r="AE2004" s="54" t="s">
        <v>2</v>
      </c>
      <c r="AF2004" s="54" t="s">
        <v>2</v>
      </c>
      <c r="AG2004" s="54" t="s">
        <v>2</v>
      </c>
    </row>
    <row r="2005" ht="15.75" customHeight="1">
      <c r="B2005" s="56"/>
      <c r="U2005" s="46" t="str">
        <f t="array" ref="U2005">IF($D2005="","",IFERROR(_xlfn.XLOOKUP($D2005,'TIR店舗一覧'!$D:$D,'TIR店舗一覧'!$E:$E,""),""))</f>
        <v/>
      </c>
      <c r="V2005" s="54" t="s">
        <v>2</v>
      </c>
      <c r="W2005" s="54" t="s">
        <v>2</v>
      </c>
      <c r="X2005" s="54" t="s">
        <v>2</v>
      </c>
      <c r="Y2005" s="54" t="s">
        <v>2</v>
      </c>
      <c r="Z2005" s="54" t="s">
        <v>2</v>
      </c>
      <c r="AA2005" s="54" t="s">
        <v>2</v>
      </c>
      <c r="AB2005" s="54" t="s">
        <v>2</v>
      </c>
      <c r="AC2005" s="54" t="s">
        <v>2</v>
      </c>
      <c r="AD2005" s="54" t="s">
        <v>2</v>
      </c>
      <c r="AE2005" s="54" t="s">
        <v>2</v>
      </c>
      <c r="AF2005" s="54" t="s">
        <v>2</v>
      </c>
      <c r="AG2005" s="54" t="s">
        <v>2</v>
      </c>
    </row>
    <row r="2006" ht="15.75" customHeight="1">
      <c r="B2006" s="56"/>
      <c r="U2006" s="46" t="str">
        <f t="array" ref="U2006">IF($D2006="","",IFERROR(_xlfn.XLOOKUP($D2006,'TIR店舗一覧'!$D:$D,'TIR店舗一覧'!$E:$E,""),""))</f>
        <v/>
      </c>
      <c r="V2006" s="54" t="s">
        <v>2</v>
      </c>
      <c r="W2006" s="54" t="s">
        <v>2</v>
      </c>
      <c r="X2006" s="54" t="s">
        <v>2</v>
      </c>
      <c r="Y2006" s="54" t="s">
        <v>2</v>
      </c>
      <c r="Z2006" s="54" t="s">
        <v>2</v>
      </c>
      <c r="AA2006" s="54" t="s">
        <v>2</v>
      </c>
      <c r="AB2006" s="54" t="s">
        <v>2</v>
      </c>
      <c r="AC2006" s="54" t="s">
        <v>2</v>
      </c>
      <c r="AD2006" s="54" t="s">
        <v>2</v>
      </c>
      <c r="AE2006" s="54" t="s">
        <v>2</v>
      </c>
      <c r="AF2006" s="54" t="s">
        <v>2</v>
      </c>
      <c r="AG2006" s="54" t="s">
        <v>2</v>
      </c>
    </row>
    <row r="2007" ht="15.75" customHeight="1">
      <c r="B2007" s="56"/>
      <c r="U2007" s="46" t="str">
        <f t="array" ref="U2007">IF($D2007="","",IFERROR(_xlfn.XLOOKUP($D2007,'TIR店舗一覧'!$D:$D,'TIR店舗一覧'!$E:$E,""),""))</f>
        <v/>
      </c>
      <c r="V2007" s="54" t="s">
        <v>2</v>
      </c>
      <c r="W2007" s="54" t="s">
        <v>2</v>
      </c>
      <c r="X2007" s="54" t="s">
        <v>2</v>
      </c>
      <c r="Y2007" s="54" t="s">
        <v>2</v>
      </c>
      <c r="Z2007" s="54" t="s">
        <v>2</v>
      </c>
      <c r="AA2007" s="54" t="s">
        <v>2</v>
      </c>
      <c r="AB2007" s="54" t="s">
        <v>2</v>
      </c>
      <c r="AC2007" s="54" t="s">
        <v>2</v>
      </c>
      <c r="AD2007" s="54" t="s">
        <v>2</v>
      </c>
      <c r="AE2007" s="54" t="s">
        <v>2</v>
      </c>
      <c r="AF2007" s="54" t="s">
        <v>2</v>
      </c>
      <c r="AG2007" s="54" t="s">
        <v>2</v>
      </c>
    </row>
    <row r="2008" ht="15.75" customHeight="1">
      <c r="B2008" s="56"/>
      <c r="U2008" s="46" t="str">
        <f t="array" ref="U2008">IF($D2008="","",IFERROR(_xlfn.XLOOKUP($D2008,'TIR店舗一覧'!$D:$D,'TIR店舗一覧'!$E:$E,""),""))</f>
        <v/>
      </c>
      <c r="V2008" s="54" t="s">
        <v>2</v>
      </c>
      <c r="W2008" s="54" t="s">
        <v>2</v>
      </c>
      <c r="X2008" s="54" t="s">
        <v>2</v>
      </c>
      <c r="Y2008" s="54" t="s">
        <v>2</v>
      </c>
      <c r="Z2008" s="54" t="s">
        <v>2</v>
      </c>
      <c r="AA2008" s="54" t="s">
        <v>2</v>
      </c>
      <c r="AB2008" s="54" t="s">
        <v>2</v>
      </c>
      <c r="AC2008" s="54" t="s">
        <v>2</v>
      </c>
      <c r="AD2008" s="54" t="s">
        <v>2</v>
      </c>
      <c r="AE2008" s="54" t="s">
        <v>2</v>
      </c>
      <c r="AF2008" s="54" t="s">
        <v>2</v>
      </c>
      <c r="AG2008" s="54" t="s">
        <v>2</v>
      </c>
    </row>
    <row r="2009" ht="15.75" customHeight="1">
      <c r="B2009" s="56"/>
      <c r="U2009" s="46" t="str">
        <f t="array" ref="U2009">IF($D2009="","",IFERROR(_xlfn.XLOOKUP($D2009,'TIR店舗一覧'!$D:$D,'TIR店舗一覧'!$E:$E,""),""))</f>
        <v/>
      </c>
      <c r="V2009" s="54" t="s">
        <v>2</v>
      </c>
      <c r="W2009" s="54" t="s">
        <v>2</v>
      </c>
      <c r="X2009" s="54" t="s">
        <v>2</v>
      </c>
      <c r="Y2009" s="54" t="s">
        <v>2</v>
      </c>
      <c r="Z2009" s="54" t="s">
        <v>2</v>
      </c>
      <c r="AA2009" s="54" t="s">
        <v>2</v>
      </c>
      <c r="AB2009" s="54" t="s">
        <v>2</v>
      </c>
      <c r="AC2009" s="54" t="s">
        <v>2</v>
      </c>
      <c r="AD2009" s="54" t="s">
        <v>2</v>
      </c>
      <c r="AE2009" s="54" t="s">
        <v>2</v>
      </c>
      <c r="AF2009" s="54" t="s">
        <v>2</v>
      </c>
      <c r="AG2009" s="54" t="s">
        <v>2</v>
      </c>
    </row>
    <row r="2010" ht="15.75" customHeight="1">
      <c r="B2010" s="56"/>
      <c r="U2010" s="46" t="str">
        <f t="array" ref="U2010">IF($D2010="","",IFERROR(_xlfn.XLOOKUP($D2010,'TIR店舗一覧'!$D:$D,'TIR店舗一覧'!$E:$E,""),""))</f>
        <v/>
      </c>
      <c r="V2010" s="54" t="s">
        <v>2</v>
      </c>
      <c r="W2010" s="54" t="s">
        <v>2</v>
      </c>
      <c r="X2010" s="54" t="s">
        <v>2</v>
      </c>
      <c r="Y2010" s="54" t="s">
        <v>2</v>
      </c>
      <c r="Z2010" s="54" t="s">
        <v>2</v>
      </c>
      <c r="AA2010" s="54" t="s">
        <v>2</v>
      </c>
      <c r="AB2010" s="54" t="s">
        <v>2</v>
      </c>
      <c r="AC2010" s="54" t="s">
        <v>2</v>
      </c>
      <c r="AD2010" s="54" t="s">
        <v>2</v>
      </c>
      <c r="AE2010" s="54" t="s">
        <v>2</v>
      </c>
      <c r="AF2010" s="54" t="s">
        <v>2</v>
      </c>
      <c r="AG2010" s="54" t="s">
        <v>2</v>
      </c>
    </row>
    <row r="2011" ht="15.75" customHeight="1">
      <c r="B2011" s="56"/>
      <c r="U2011" s="46" t="str">
        <f t="array" ref="U2011">IF($D2011="","",IFERROR(_xlfn.XLOOKUP($D2011,'TIR店舗一覧'!$D:$D,'TIR店舗一覧'!$E:$E,""),""))</f>
        <v/>
      </c>
      <c r="V2011" s="54" t="s">
        <v>2</v>
      </c>
      <c r="W2011" s="54" t="s">
        <v>2</v>
      </c>
      <c r="X2011" s="54" t="s">
        <v>2</v>
      </c>
      <c r="Y2011" s="54" t="s">
        <v>2</v>
      </c>
      <c r="Z2011" s="54" t="s">
        <v>2</v>
      </c>
      <c r="AA2011" s="54" t="s">
        <v>2</v>
      </c>
      <c r="AB2011" s="54" t="s">
        <v>2</v>
      </c>
      <c r="AC2011" s="54" t="s">
        <v>2</v>
      </c>
      <c r="AD2011" s="54" t="s">
        <v>2</v>
      </c>
      <c r="AE2011" s="54" t="s">
        <v>2</v>
      </c>
      <c r="AF2011" s="54" t="s">
        <v>2</v>
      </c>
      <c r="AG2011" s="54" t="s">
        <v>2</v>
      </c>
    </row>
    <row r="2012" ht="15.75" customHeight="1">
      <c r="B2012" s="56"/>
      <c r="U2012" s="46" t="str">
        <f t="array" ref="U2012">IF($D2012="","",IFERROR(_xlfn.XLOOKUP($D2012,'TIR店舗一覧'!$D:$D,'TIR店舗一覧'!$E:$E,""),""))</f>
        <v/>
      </c>
      <c r="V2012" s="54" t="s">
        <v>2</v>
      </c>
      <c r="W2012" s="54" t="s">
        <v>2</v>
      </c>
      <c r="X2012" s="54" t="s">
        <v>2</v>
      </c>
      <c r="Y2012" s="54" t="s">
        <v>2</v>
      </c>
      <c r="Z2012" s="54" t="s">
        <v>2</v>
      </c>
      <c r="AA2012" s="54" t="s">
        <v>2</v>
      </c>
      <c r="AB2012" s="54" t="s">
        <v>2</v>
      </c>
      <c r="AC2012" s="54" t="s">
        <v>2</v>
      </c>
      <c r="AD2012" s="54" t="s">
        <v>2</v>
      </c>
      <c r="AE2012" s="54" t="s">
        <v>2</v>
      </c>
      <c r="AF2012" s="54" t="s">
        <v>2</v>
      </c>
      <c r="AG2012" s="54" t="s">
        <v>2</v>
      </c>
    </row>
    <row r="2013" ht="15.75" customHeight="1">
      <c r="B2013" s="56"/>
      <c r="U2013" s="46" t="str">
        <f t="array" ref="U2013">IF($D2013="","",IFERROR(_xlfn.XLOOKUP($D2013,'TIR店舗一覧'!$D:$D,'TIR店舗一覧'!$E:$E,""),""))</f>
        <v/>
      </c>
      <c r="V2013" s="54" t="s">
        <v>2</v>
      </c>
      <c r="W2013" s="54" t="s">
        <v>2</v>
      </c>
      <c r="X2013" s="54" t="s">
        <v>2</v>
      </c>
      <c r="Y2013" s="54" t="s">
        <v>2</v>
      </c>
      <c r="Z2013" s="54" t="s">
        <v>2</v>
      </c>
      <c r="AA2013" s="54" t="s">
        <v>2</v>
      </c>
      <c r="AB2013" s="54" t="s">
        <v>2</v>
      </c>
      <c r="AC2013" s="54" t="s">
        <v>2</v>
      </c>
      <c r="AD2013" s="54" t="s">
        <v>2</v>
      </c>
      <c r="AE2013" s="54" t="s">
        <v>2</v>
      </c>
      <c r="AF2013" s="54" t="s">
        <v>2</v>
      </c>
      <c r="AG2013" s="54" t="s">
        <v>2</v>
      </c>
    </row>
    <row r="2014" ht="15.75" customHeight="1">
      <c r="B2014" s="56"/>
      <c r="U2014" s="46" t="str">
        <f t="array" ref="U2014">IF($D2014="","",IFERROR(_xlfn.XLOOKUP($D2014,'TIR店舗一覧'!$D:$D,'TIR店舗一覧'!$E:$E,""),""))</f>
        <v/>
      </c>
      <c r="V2014" s="54" t="s">
        <v>2</v>
      </c>
      <c r="W2014" s="54" t="s">
        <v>2</v>
      </c>
      <c r="X2014" s="54" t="s">
        <v>2</v>
      </c>
      <c r="Y2014" s="54" t="s">
        <v>2</v>
      </c>
      <c r="Z2014" s="54" t="s">
        <v>2</v>
      </c>
      <c r="AA2014" s="54" t="s">
        <v>2</v>
      </c>
      <c r="AB2014" s="54" t="s">
        <v>2</v>
      </c>
      <c r="AC2014" s="54" t="s">
        <v>2</v>
      </c>
      <c r="AD2014" s="54" t="s">
        <v>2</v>
      </c>
      <c r="AE2014" s="54" t="s">
        <v>2</v>
      </c>
      <c r="AF2014" s="54" t="s">
        <v>2</v>
      </c>
      <c r="AG2014" s="54" t="s">
        <v>2</v>
      </c>
    </row>
    <row r="2015" ht="15.75" customHeight="1">
      <c r="B2015" s="56"/>
      <c r="U2015" s="46" t="str">
        <f t="array" ref="U2015">IF($D2015="","",IFERROR(_xlfn.XLOOKUP($D2015,'TIR店舗一覧'!$D:$D,'TIR店舗一覧'!$E:$E,""),""))</f>
        <v/>
      </c>
      <c r="V2015" s="54" t="s">
        <v>2</v>
      </c>
      <c r="W2015" s="54" t="s">
        <v>2</v>
      </c>
      <c r="X2015" s="54" t="s">
        <v>2</v>
      </c>
      <c r="Y2015" s="54" t="s">
        <v>2</v>
      </c>
      <c r="Z2015" s="54" t="s">
        <v>2</v>
      </c>
      <c r="AA2015" s="54" t="s">
        <v>2</v>
      </c>
      <c r="AB2015" s="54" t="s">
        <v>2</v>
      </c>
      <c r="AC2015" s="54" t="s">
        <v>2</v>
      </c>
      <c r="AD2015" s="54" t="s">
        <v>2</v>
      </c>
      <c r="AE2015" s="54" t="s">
        <v>2</v>
      </c>
      <c r="AF2015" s="54" t="s">
        <v>2</v>
      </c>
      <c r="AG2015" s="54" t="s">
        <v>2</v>
      </c>
    </row>
    <row r="2016" ht="15.75" customHeight="1">
      <c r="B2016" s="56"/>
      <c r="U2016" s="46" t="str">
        <f t="array" ref="U2016">IF($D2016="","",IFERROR(_xlfn.XLOOKUP($D2016,'TIR店舗一覧'!$D:$D,'TIR店舗一覧'!$E:$E,""),""))</f>
        <v/>
      </c>
      <c r="V2016" s="54" t="s">
        <v>2</v>
      </c>
      <c r="W2016" s="54" t="s">
        <v>2</v>
      </c>
      <c r="X2016" s="54" t="s">
        <v>2</v>
      </c>
      <c r="Y2016" s="54" t="s">
        <v>2</v>
      </c>
      <c r="Z2016" s="54" t="s">
        <v>2</v>
      </c>
      <c r="AA2016" s="54" t="s">
        <v>2</v>
      </c>
      <c r="AB2016" s="54" t="s">
        <v>2</v>
      </c>
      <c r="AC2016" s="54" t="s">
        <v>2</v>
      </c>
      <c r="AD2016" s="54" t="s">
        <v>2</v>
      </c>
      <c r="AE2016" s="54" t="s">
        <v>2</v>
      </c>
      <c r="AF2016" s="54" t="s">
        <v>2</v>
      </c>
      <c r="AG2016" s="54" t="s">
        <v>2</v>
      </c>
    </row>
    <row r="2017" ht="15.75" customHeight="1">
      <c r="B2017" s="56"/>
      <c r="U2017" s="46" t="str">
        <f t="array" ref="U2017">IF($D2017="","",IFERROR(_xlfn.XLOOKUP($D2017,'TIR店舗一覧'!$D:$D,'TIR店舗一覧'!$E:$E,""),""))</f>
        <v/>
      </c>
      <c r="V2017" s="54" t="s">
        <v>2</v>
      </c>
      <c r="W2017" s="54" t="s">
        <v>2</v>
      </c>
      <c r="X2017" s="54" t="s">
        <v>2</v>
      </c>
      <c r="Y2017" s="54" t="s">
        <v>2</v>
      </c>
      <c r="Z2017" s="54" t="s">
        <v>2</v>
      </c>
      <c r="AA2017" s="54" t="s">
        <v>2</v>
      </c>
      <c r="AB2017" s="54" t="s">
        <v>2</v>
      </c>
      <c r="AC2017" s="54" t="s">
        <v>2</v>
      </c>
      <c r="AD2017" s="54" t="s">
        <v>2</v>
      </c>
      <c r="AE2017" s="54" t="s">
        <v>2</v>
      </c>
      <c r="AF2017" s="54" t="s">
        <v>2</v>
      </c>
      <c r="AG2017" s="54" t="s">
        <v>2</v>
      </c>
    </row>
    <row r="2018" ht="15.75" customHeight="1">
      <c r="B2018" s="56"/>
      <c r="U2018" s="46" t="str">
        <f t="array" ref="U2018">IF($D2018="","",IFERROR(_xlfn.XLOOKUP($D2018,'TIR店舗一覧'!$D:$D,'TIR店舗一覧'!$E:$E,""),""))</f>
        <v/>
      </c>
      <c r="V2018" s="54" t="s">
        <v>2</v>
      </c>
      <c r="W2018" s="54" t="s">
        <v>2</v>
      </c>
      <c r="X2018" s="54" t="s">
        <v>2</v>
      </c>
      <c r="Y2018" s="54" t="s">
        <v>2</v>
      </c>
      <c r="Z2018" s="54" t="s">
        <v>2</v>
      </c>
      <c r="AA2018" s="54" t="s">
        <v>2</v>
      </c>
      <c r="AB2018" s="54" t="s">
        <v>2</v>
      </c>
      <c r="AC2018" s="54" t="s">
        <v>2</v>
      </c>
      <c r="AD2018" s="54" t="s">
        <v>2</v>
      </c>
      <c r="AE2018" s="54" t="s">
        <v>2</v>
      </c>
      <c r="AF2018" s="54" t="s">
        <v>2</v>
      </c>
      <c r="AG2018" s="54" t="s">
        <v>2</v>
      </c>
    </row>
    <row r="2019" ht="15.75" customHeight="1">
      <c r="B2019" s="56"/>
      <c r="U2019" s="46" t="str">
        <f t="array" ref="U2019">IF($D2019="","",IFERROR(_xlfn.XLOOKUP($D2019,'TIR店舗一覧'!$D:$D,'TIR店舗一覧'!$E:$E,""),""))</f>
        <v/>
      </c>
      <c r="V2019" s="54" t="s">
        <v>2</v>
      </c>
      <c r="W2019" s="54" t="s">
        <v>2</v>
      </c>
      <c r="X2019" s="54" t="s">
        <v>2</v>
      </c>
      <c r="Y2019" s="54" t="s">
        <v>2</v>
      </c>
      <c r="Z2019" s="54" t="s">
        <v>2</v>
      </c>
      <c r="AA2019" s="54" t="s">
        <v>2</v>
      </c>
      <c r="AB2019" s="54" t="s">
        <v>2</v>
      </c>
      <c r="AC2019" s="54" t="s">
        <v>2</v>
      </c>
      <c r="AD2019" s="54" t="s">
        <v>2</v>
      </c>
      <c r="AE2019" s="54" t="s">
        <v>2</v>
      </c>
      <c r="AF2019" s="54" t="s">
        <v>2</v>
      </c>
      <c r="AG2019" s="54" t="s">
        <v>2</v>
      </c>
    </row>
    <row r="2020" ht="15.75" customHeight="1">
      <c r="B2020" s="56"/>
      <c r="U2020" s="46" t="str">
        <f t="array" ref="U2020">IF($D2020="","",IFERROR(_xlfn.XLOOKUP($D2020,'TIR店舗一覧'!$D:$D,'TIR店舗一覧'!$E:$E,""),""))</f>
        <v/>
      </c>
      <c r="V2020" s="54" t="s">
        <v>2</v>
      </c>
      <c r="W2020" s="54" t="s">
        <v>2</v>
      </c>
      <c r="X2020" s="54" t="s">
        <v>2</v>
      </c>
      <c r="Y2020" s="54" t="s">
        <v>2</v>
      </c>
      <c r="Z2020" s="54" t="s">
        <v>2</v>
      </c>
      <c r="AA2020" s="54" t="s">
        <v>2</v>
      </c>
      <c r="AB2020" s="54" t="s">
        <v>2</v>
      </c>
      <c r="AC2020" s="54" t="s">
        <v>2</v>
      </c>
      <c r="AD2020" s="54" t="s">
        <v>2</v>
      </c>
      <c r="AE2020" s="54" t="s">
        <v>2</v>
      </c>
      <c r="AF2020" s="54" t="s">
        <v>2</v>
      </c>
      <c r="AG2020" s="54" t="s">
        <v>2</v>
      </c>
    </row>
    <row r="2021" ht="15.75" customHeight="1">
      <c r="B2021" s="56"/>
      <c r="U2021" s="46" t="str">
        <f t="array" ref="U2021">IF($D2021="","",IFERROR(_xlfn.XLOOKUP($D2021,'TIR店舗一覧'!$D:$D,'TIR店舗一覧'!$E:$E,""),""))</f>
        <v/>
      </c>
      <c r="V2021" s="54" t="s">
        <v>2</v>
      </c>
      <c r="W2021" s="54" t="s">
        <v>2</v>
      </c>
      <c r="X2021" s="54" t="s">
        <v>2</v>
      </c>
      <c r="Y2021" s="54" t="s">
        <v>2</v>
      </c>
      <c r="Z2021" s="54" t="s">
        <v>2</v>
      </c>
      <c r="AA2021" s="54" t="s">
        <v>2</v>
      </c>
      <c r="AB2021" s="54" t="s">
        <v>2</v>
      </c>
      <c r="AC2021" s="54" t="s">
        <v>2</v>
      </c>
      <c r="AD2021" s="54" t="s">
        <v>2</v>
      </c>
      <c r="AE2021" s="54" t="s">
        <v>2</v>
      </c>
      <c r="AF2021" s="54" t="s">
        <v>2</v>
      </c>
      <c r="AG2021" s="54" t="s">
        <v>2</v>
      </c>
    </row>
    <row r="2022" ht="15.75" customHeight="1">
      <c r="B2022" s="56"/>
      <c r="U2022" s="46" t="str">
        <f t="array" ref="U2022">IF($D2022="","",IFERROR(_xlfn.XLOOKUP($D2022,'TIR店舗一覧'!$D:$D,'TIR店舗一覧'!$E:$E,""),""))</f>
        <v/>
      </c>
      <c r="V2022" s="54" t="s">
        <v>2</v>
      </c>
      <c r="W2022" s="54" t="s">
        <v>2</v>
      </c>
      <c r="X2022" s="54" t="s">
        <v>2</v>
      </c>
      <c r="Y2022" s="54" t="s">
        <v>2</v>
      </c>
      <c r="Z2022" s="54" t="s">
        <v>2</v>
      </c>
      <c r="AA2022" s="54" t="s">
        <v>2</v>
      </c>
      <c r="AB2022" s="54" t="s">
        <v>2</v>
      </c>
      <c r="AC2022" s="54" t="s">
        <v>2</v>
      </c>
      <c r="AD2022" s="54" t="s">
        <v>2</v>
      </c>
      <c r="AE2022" s="54" t="s">
        <v>2</v>
      </c>
      <c r="AF2022" s="54" t="s">
        <v>2</v>
      </c>
      <c r="AG2022" s="54" t="s">
        <v>2</v>
      </c>
    </row>
    <row r="2023" ht="15.75" customHeight="1">
      <c r="B2023" s="56"/>
      <c r="U2023" s="46" t="str">
        <f t="array" ref="U2023">IF($D2023="","",IFERROR(_xlfn.XLOOKUP($D2023,'TIR店舗一覧'!$D:$D,'TIR店舗一覧'!$E:$E,""),""))</f>
        <v/>
      </c>
      <c r="V2023" s="54" t="s">
        <v>2</v>
      </c>
      <c r="W2023" s="54" t="s">
        <v>2</v>
      </c>
      <c r="X2023" s="54" t="s">
        <v>2</v>
      </c>
      <c r="Y2023" s="54" t="s">
        <v>2</v>
      </c>
      <c r="Z2023" s="54" t="s">
        <v>2</v>
      </c>
      <c r="AA2023" s="54" t="s">
        <v>2</v>
      </c>
      <c r="AB2023" s="54" t="s">
        <v>2</v>
      </c>
      <c r="AC2023" s="54" t="s">
        <v>2</v>
      </c>
      <c r="AD2023" s="54" t="s">
        <v>2</v>
      </c>
      <c r="AE2023" s="54" t="s">
        <v>2</v>
      </c>
      <c r="AF2023" s="54" t="s">
        <v>2</v>
      </c>
      <c r="AG2023" s="54" t="s">
        <v>2</v>
      </c>
    </row>
    <row r="2024" ht="15.75" customHeight="1">
      <c r="B2024" s="56"/>
      <c r="U2024" s="46" t="str">
        <f t="array" ref="U2024">IF($D2024="","",IFERROR(_xlfn.XLOOKUP($D2024,'TIR店舗一覧'!$D:$D,'TIR店舗一覧'!$E:$E,""),""))</f>
        <v/>
      </c>
      <c r="V2024" s="54" t="s">
        <v>2</v>
      </c>
      <c r="W2024" s="54" t="s">
        <v>2</v>
      </c>
      <c r="X2024" s="54" t="s">
        <v>2</v>
      </c>
      <c r="Y2024" s="54" t="s">
        <v>2</v>
      </c>
      <c r="Z2024" s="54" t="s">
        <v>2</v>
      </c>
      <c r="AA2024" s="54" t="s">
        <v>2</v>
      </c>
      <c r="AB2024" s="54" t="s">
        <v>2</v>
      </c>
      <c r="AC2024" s="54" t="s">
        <v>2</v>
      </c>
      <c r="AD2024" s="54" t="s">
        <v>2</v>
      </c>
      <c r="AE2024" s="54" t="s">
        <v>2</v>
      </c>
      <c r="AF2024" s="54" t="s">
        <v>2</v>
      </c>
      <c r="AG2024" s="54" t="s">
        <v>2</v>
      </c>
    </row>
    <row r="2025" ht="15.75" customHeight="1">
      <c r="B2025" s="56"/>
      <c r="U2025" s="46" t="str">
        <f t="array" ref="U2025">IF($D2025="","",IFERROR(_xlfn.XLOOKUP($D2025,'TIR店舗一覧'!$D:$D,'TIR店舗一覧'!$E:$E,""),""))</f>
        <v/>
      </c>
      <c r="V2025" s="54" t="s">
        <v>2</v>
      </c>
      <c r="W2025" s="54" t="s">
        <v>2</v>
      </c>
      <c r="X2025" s="54" t="s">
        <v>2</v>
      </c>
      <c r="Y2025" s="54" t="s">
        <v>2</v>
      </c>
      <c r="Z2025" s="54" t="s">
        <v>2</v>
      </c>
      <c r="AA2025" s="54" t="s">
        <v>2</v>
      </c>
      <c r="AB2025" s="54" t="s">
        <v>2</v>
      </c>
      <c r="AC2025" s="54" t="s">
        <v>2</v>
      </c>
      <c r="AD2025" s="54" t="s">
        <v>2</v>
      </c>
      <c r="AE2025" s="54" t="s">
        <v>2</v>
      </c>
      <c r="AF2025" s="54" t="s">
        <v>2</v>
      </c>
      <c r="AG2025" s="54" t="s">
        <v>2</v>
      </c>
    </row>
    <row r="2026" ht="15.75" customHeight="1">
      <c r="B2026" s="56"/>
      <c r="U2026" s="46" t="str">
        <f t="array" ref="U2026">IF($D2026="","",IFERROR(_xlfn.XLOOKUP($D2026,'TIR店舗一覧'!$D:$D,'TIR店舗一覧'!$E:$E,""),""))</f>
        <v/>
      </c>
      <c r="V2026" s="54" t="s">
        <v>2</v>
      </c>
      <c r="W2026" s="54" t="s">
        <v>2</v>
      </c>
      <c r="X2026" s="54" t="s">
        <v>2</v>
      </c>
      <c r="Y2026" s="54" t="s">
        <v>2</v>
      </c>
      <c r="Z2026" s="54" t="s">
        <v>2</v>
      </c>
      <c r="AA2026" s="54" t="s">
        <v>2</v>
      </c>
      <c r="AB2026" s="54" t="s">
        <v>2</v>
      </c>
      <c r="AC2026" s="54" t="s">
        <v>2</v>
      </c>
      <c r="AD2026" s="54" t="s">
        <v>2</v>
      </c>
      <c r="AE2026" s="54" t="s">
        <v>2</v>
      </c>
      <c r="AF2026" s="54" t="s">
        <v>2</v>
      </c>
      <c r="AG2026" s="54" t="s">
        <v>2</v>
      </c>
    </row>
    <row r="2027" ht="15.75" customHeight="1">
      <c r="B2027" s="56"/>
      <c r="U2027" s="46" t="str">
        <f t="array" ref="U2027">IF($D2027="","",IFERROR(_xlfn.XLOOKUP($D2027,'TIR店舗一覧'!$D:$D,'TIR店舗一覧'!$E:$E,""),""))</f>
        <v/>
      </c>
      <c r="V2027" s="54" t="s">
        <v>2</v>
      </c>
      <c r="W2027" s="54" t="s">
        <v>2</v>
      </c>
      <c r="X2027" s="54" t="s">
        <v>2</v>
      </c>
      <c r="Y2027" s="54" t="s">
        <v>2</v>
      </c>
      <c r="Z2027" s="54" t="s">
        <v>2</v>
      </c>
      <c r="AA2027" s="54" t="s">
        <v>2</v>
      </c>
      <c r="AB2027" s="54" t="s">
        <v>2</v>
      </c>
      <c r="AC2027" s="54" t="s">
        <v>2</v>
      </c>
      <c r="AD2027" s="54" t="s">
        <v>2</v>
      </c>
      <c r="AE2027" s="54" t="s">
        <v>2</v>
      </c>
      <c r="AF2027" s="54" t="s">
        <v>2</v>
      </c>
      <c r="AG2027" s="54" t="s">
        <v>2</v>
      </c>
    </row>
    <row r="2028" ht="15.75" customHeight="1">
      <c r="B2028" s="56"/>
      <c r="U2028" s="46" t="str">
        <f t="array" ref="U2028">IF($D2028="","",IFERROR(_xlfn.XLOOKUP($D2028,'TIR店舗一覧'!$D:$D,'TIR店舗一覧'!$E:$E,""),""))</f>
        <v/>
      </c>
      <c r="V2028" s="54" t="s">
        <v>2</v>
      </c>
      <c r="W2028" s="54" t="s">
        <v>2</v>
      </c>
      <c r="X2028" s="54" t="s">
        <v>2</v>
      </c>
      <c r="Y2028" s="54" t="s">
        <v>2</v>
      </c>
      <c r="Z2028" s="54" t="s">
        <v>2</v>
      </c>
      <c r="AA2028" s="54" t="s">
        <v>2</v>
      </c>
      <c r="AB2028" s="54" t="s">
        <v>2</v>
      </c>
      <c r="AC2028" s="54" t="s">
        <v>2</v>
      </c>
      <c r="AD2028" s="54" t="s">
        <v>2</v>
      </c>
      <c r="AE2028" s="54" t="s">
        <v>2</v>
      </c>
      <c r="AF2028" s="54" t="s">
        <v>2</v>
      </c>
      <c r="AG2028" s="54" t="s">
        <v>2</v>
      </c>
    </row>
    <row r="2029" ht="15.75" customHeight="1">
      <c r="B2029" s="56"/>
      <c r="U2029" s="46" t="str">
        <f t="array" ref="U2029">IF($D2029="","",IFERROR(_xlfn.XLOOKUP($D2029,'TIR店舗一覧'!$D:$D,'TIR店舗一覧'!$E:$E,""),""))</f>
        <v/>
      </c>
      <c r="V2029" s="54" t="s">
        <v>2</v>
      </c>
      <c r="W2029" s="54" t="s">
        <v>2</v>
      </c>
      <c r="X2029" s="54" t="s">
        <v>2</v>
      </c>
      <c r="Y2029" s="54" t="s">
        <v>2</v>
      </c>
      <c r="Z2029" s="54" t="s">
        <v>2</v>
      </c>
      <c r="AA2029" s="54" t="s">
        <v>2</v>
      </c>
      <c r="AB2029" s="54" t="s">
        <v>2</v>
      </c>
      <c r="AC2029" s="54" t="s">
        <v>2</v>
      </c>
      <c r="AD2029" s="54" t="s">
        <v>2</v>
      </c>
      <c r="AE2029" s="54" t="s">
        <v>2</v>
      </c>
      <c r="AF2029" s="54" t="s">
        <v>2</v>
      </c>
      <c r="AG2029" s="54" t="s">
        <v>2</v>
      </c>
    </row>
    <row r="2030" ht="15.75" customHeight="1">
      <c r="B2030" s="56"/>
      <c r="U2030" s="46" t="str">
        <f t="array" ref="U2030">IF($D2030="","",IFERROR(_xlfn.XLOOKUP($D2030,'TIR店舗一覧'!$D:$D,'TIR店舗一覧'!$E:$E,""),""))</f>
        <v/>
      </c>
      <c r="V2030" s="54" t="s">
        <v>2</v>
      </c>
      <c r="W2030" s="54" t="s">
        <v>2</v>
      </c>
      <c r="X2030" s="54" t="s">
        <v>2</v>
      </c>
      <c r="Y2030" s="54" t="s">
        <v>2</v>
      </c>
      <c r="Z2030" s="54" t="s">
        <v>2</v>
      </c>
      <c r="AA2030" s="54" t="s">
        <v>2</v>
      </c>
      <c r="AB2030" s="54" t="s">
        <v>2</v>
      </c>
      <c r="AC2030" s="54" t="s">
        <v>2</v>
      </c>
      <c r="AD2030" s="54" t="s">
        <v>2</v>
      </c>
      <c r="AE2030" s="54" t="s">
        <v>2</v>
      </c>
      <c r="AF2030" s="54" t="s">
        <v>2</v>
      </c>
      <c r="AG2030" s="54" t="s">
        <v>2</v>
      </c>
    </row>
    <row r="2031" ht="15.75" customHeight="1">
      <c r="B2031" s="56"/>
      <c r="U2031" s="46" t="str">
        <f t="array" ref="U2031">IF($D2031="","",IFERROR(_xlfn.XLOOKUP($D2031,'TIR店舗一覧'!$D:$D,'TIR店舗一覧'!$E:$E,""),""))</f>
        <v/>
      </c>
      <c r="V2031" s="54" t="s">
        <v>2</v>
      </c>
      <c r="W2031" s="54" t="s">
        <v>2</v>
      </c>
      <c r="X2031" s="54" t="s">
        <v>2</v>
      </c>
      <c r="Y2031" s="54" t="s">
        <v>2</v>
      </c>
      <c r="Z2031" s="54" t="s">
        <v>2</v>
      </c>
      <c r="AA2031" s="54" t="s">
        <v>2</v>
      </c>
      <c r="AB2031" s="54" t="s">
        <v>2</v>
      </c>
      <c r="AC2031" s="54" t="s">
        <v>2</v>
      </c>
      <c r="AD2031" s="54" t="s">
        <v>2</v>
      </c>
      <c r="AE2031" s="54" t="s">
        <v>2</v>
      </c>
      <c r="AF2031" s="54" t="s">
        <v>2</v>
      </c>
      <c r="AG2031" s="54" t="s">
        <v>2</v>
      </c>
    </row>
    <row r="2032" ht="15.75" customHeight="1">
      <c r="B2032" s="56"/>
      <c r="U2032" s="46" t="str">
        <f t="array" ref="U2032">IF($D2032="","",IFERROR(_xlfn.XLOOKUP($D2032,'TIR店舗一覧'!$D:$D,'TIR店舗一覧'!$E:$E,""),""))</f>
        <v/>
      </c>
      <c r="V2032" s="54" t="s">
        <v>2</v>
      </c>
      <c r="W2032" s="54" t="s">
        <v>2</v>
      </c>
      <c r="X2032" s="54" t="s">
        <v>2</v>
      </c>
      <c r="Y2032" s="54" t="s">
        <v>2</v>
      </c>
      <c r="Z2032" s="54" t="s">
        <v>2</v>
      </c>
      <c r="AA2032" s="54" t="s">
        <v>2</v>
      </c>
      <c r="AB2032" s="54" t="s">
        <v>2</v>
      </c>
      <c r="AC2032" s="54" t="s">
        <v>2</v>
      </c>
      <c r="AD2032" s="54" t="s">
        <v>2</v>
      </c>
      <c r="AE2032" s="54" t="s">
        <v>2</v>
      </c>
      <c r="AF2032" s="54" t="s">
        <v>2</v>
      </c>
      <c r="AG2032" s="54" t="s">
        <v>2</v>
      </c>
    </row>
    <row r="2033" ht="15.75" customHeight="1">
      <c r="B2033" s="56"/>
      <c r="U2033" s="46" t="str">
        <f t="array" ref="U2033">IF($D2033="","",IFERROR(_xlfn.XLOOKUP($D2033,'TIR店舗一覧'!$D:$D,'TIR店舗一覧'!$E:$E,""),""))</f>
        <v/>
      </c>
      <c r="V2033" s="54" t="s">
        <v>2</v>
      </c>
      <c r="W2033" s="54" t="s">
        <v>2</v>
      </c>
      <c r="X2033" s="54" t="s">
        <v>2</v>
      </c>
      <c r="Y2033" s="54" t="s">
        <v>2</v>
      </c>
      <c r="Z2033" s="54" t="s">
        <v>2</v>
      </c>
      <c r="AA2033" s="54" t="s">
        <v>2</v>
      </c>
      <c r="AB2033" s="54" t="s">
        <v>2</v>
      </c>
      <c r="AC2033" s="54" t="s">
        <v>2</v>
      </c>
      <c r="AD2033" s="54" t="s">
        <v>2</v>
      </c>
      <c r="AE2033" s="54" t="s">
        <v>2</v>
      </c>
      <c r="AF2033" s="54" t="s">
        <v>2</v>
      </c>
      <c r="AG2033" s="54" t="s">
        <v>2</v>
      </c>
    </row>
    <row r="2034" ht="15.75" customHeight="1">
      <c r="B2034" s="56"/>
      <c r="U2034" s="46" t="str">
        <f t="array" ref="U2034">IF($D2034="","",IFERROR(_xlfn.XLOOKUP($D2034,'TIR店舗一覧'!$D:$D,'TIR店舗一覧'!$E:$E,""),""))</f>
        <v/>
      </c>
      <c r="V2034" s="54" t="s">
        <v>2</v>
      </c>
      <c r="W2034" s="54" t="s">
        <v>2</v>
      </c>
      <c r="X2034" s="54" t="s">
        <v>2</v>
      </c>
      <c r="Y2034" s="54" t="s">
        <v>2</v>
      </c>
      <c r="Z2034" s="54" t="s">
        <v>2</v>
      </c>
      <c r="AA2034" s="54" t="s">
        <v>2</v>
      </c>
      <c r="AB2034" s="54" t="s">
        <v>2</v>
      </c>
      <c r="AC2034" s="54" t="s">
        <v>2</v>
      </c>
      <c r="AD2034" s="54" t="s">
        <v>2</v>
      </c>
      <c r="AE2034" s="54" t="s">
        <v>2</v>
      </c>
      <c r="AF2034" s="54" t="s">
        <v>2</v>
      </c>
      <c r="AG2034" s="54" t="s">
        <v>2</v>
      </c>
    </row>
    <row r="2035" ht="15.75" customHeight="1">
      <c r="B2035" s="56"/>
      <c r="U2035" s="46" t="str">
        <f t="array" ref="U2035">IF($D2035="","",IFERROR(_xlfn.XLOOKUP($D2035,'TIR店舗一覧'!$D:$D,'TIR店舗一覧'!$E:$E,""),""))</f>
        <v/>
      </c>
      <c r="V2035" s="54" t="s">
        <v>2</v>
      </c>
      <c r="W2035" s="54" t="s">
        <v>2</v>
      </c>
      <c r="X2035" s="54" t="s">
        <v>2</v>
      </c>
      <c r="Y2035" s="54" t="s">
        <v>2</v>
      </c>
      <c r="Z2035" s="54" t="s">
        <v>2</v>
      </c>
      <c r="AA2035" s="54" t="s">
        <v>2</v>
      </c>
      <c r="AB2035" s="54" t="s">
        <v>2</v>
      </c>
      <c r="AC2035" s="54" t="s">
        <v>2</v>
      </c>
      <c r="AD2035" s="54" t="s">
        <v>2</v>
      </c>
      <c r="AE2035" s="54" t="s">
        <v>2</v>
      </c>
      <c r="AF2035" s="54" t="s">
        <v>2</v>
      </c>
      <c r="AG2035" s="54" t="s">
        <v>2</v>
      </c>
    </row>
    <row r="2036" ht="15.75" customHeight="1">
      <c r="B2036" s="56"/>
      <c r="U2036" s="46" t="str">
        <f t="array" ref="U2036">IF($D2036="","",IFERROR(_xlfn.XLOOKUP($D2036,'TIR店舗一覧'!$D:$D,'TIR店舗一覧'!$E:$E,""),""))</f>
        <v/>
      </c>
      <c r="V2036" s="54" t="s">
        <v>2</v>
      </c>
      <c r="W2036" s="54" t="s">
        <v>2</v>
      </c>
      <c r="X2036" s="54" t="s">
        <v>2</v>
      </c>
      <c r="Y2036" s="54" t="s">
        <v>2</v>
      </c>
      <c r="Z2036" s="54" t="s">
        <v>2</v>
      </c>
      <c r="AA2036" s="54" t="s">
        <v>2</v>
      </c>
      <c r="AB2036" s="54" t="s">
        <v>2</v>
      </c>
      <c r="AC2036" s="54" t="s">
        <v>2</v>
      </c>
      <c r="AD2036" s="54" t="s">
        <v>2</v>
      </c>
      <c r="AE2036" s="54" t="s">
        <v>2</v>
      </c>
      <c r="AF2036" s="54" t="s">
        <v>2</v>
      </c>
      <c r="AG2036" s="54" t="s">
        <v>2</v>
      </c>
    </row>
    <row r="2037" ht="15.75" customHeight="1">
      <c r="B2037" s="56"/>
      <c r="U2037" s="46" t="str">
        <f t="array" ref="U2037">IF($D2037="","",IFERROR(_xlfn.XLOOKUP($D2037,'TIR店舗一覧'!$D:$D,'TIR店舗一覧'!$E:$E,""),""))</f>
        <v/>
      </c>
      <c r="V2037" s="54" t="s">
        <v>2</v>
      </c>
      <c r="W2037" s="54" t="s">
        <v>2</v>
      </c>
      <c r="X2037" s="54" t="s">
        <v>2</v>
      </c>
      <c r="Y2037" s="54" t="s">
        <v>2</v>
      </c>
      <c r="Z2037" s="54" t="s">
        <v>2</v>
      </c>
      <c r="AA2037" s="54" t="s">
        <v>2</v>
      </c>
      <c r="AB2037" s="54" t="s">
        <v>2</v>
      </c>
      <c r="AC2037" s="54" t="s">
        <v>2</v>
      </c>
      <c r="AD2037" s="54" t="s">
        <v>2</v>
      </c>
      <c r="AE2037" s="54" t="s">
        <v>2</v>
      </c>
      <c r="AF2037" s="54" t="s">
        <v>2</v>
      </c>
      <c r="AG2037" s="54" t="s">
        <v>2</v>
      </c>
    </row>
    <row r="2038" ht="15.75" customHeight="1">
      <c r="B2038" s="56"/>
      <c r="U2038" s="46" t="str">
        <f t="array" ref="U2038">IF($D2038="","",IFERROR(_xlfn.XLOOKUP($D2038,'TIR店舗一覧'!$D:$D,'TIR店舗一覧'!$E:$E,""),""))</f>
        <v/>
      </c>
      <c r="V2038" s="54" t="s">
        <v>2</v>
      </c>
      <c r="W2038" s="54" t="s">
        <v>2</v>
      </c>
      <c r="X2038" s="54" t="s">
        <v>2</v>
      </c>
      <c r="Y2038" s="54" t="s">
        <v>2</v>
      </c>
      <c r="Z2038" s="54" t="s">
        <v>2</v>
      </c>
      <c r="AA2038" s="54" t="s">
        <v>2</v>
      </c>
      <c r="AB2038" s="54" t="s">
        <v>2</v>
      </c>
      <c r="AC2038" s="54" t="s">
        <v>2</v>
      </c>
      <c r="AD2038" s="54" t="s">
        <v>2</v>
      </c>
      <c r="AE2038" s="54" t="s">
        <v>2</v>
      </c>
      <c r="AF2038" s="54" t="s">
        <v>2</v>
      </c>
      <c r="AG2038" s="54" t="s">
        <v>2</v>
      </c>
    </row>
    <row r="2039" ht="15.75" customHeight="1">
      <c r="B2039" s="56"/>
      <c r="U2039" s="46" t="str">
        <f t="array" ref="U2039">IF($D2039="","",IFERROR(_xlfn.XLOOKUP($D2039,'TIR店舗一覧'!$D:$D,'TIR店舗一覧'!$E:$E,""),""))</f>
        <v/>
      </c>
      <c r="V2039" s="54" t="s">
        <v>2</v>
      </c>
      <c r="W2039" s="54" t="s">
        <v>2</v>
      </c>
      <c r="X2039" s="54" t="s">
        <v>2</v>
      </c>
      <c r="Y2039" s="54" t="s">
        <v>2</v>
      </c>
      <c r="Z2039" s="54" t="s">
        <v>2</v>
      </c>
      <c r="AA2039" s="54" t="s">
        <v>2</v>
      </c>
      <c r="AB2039" s="54" t="s">
        <v>2</v>
      </c>
      <c r="AC2039" s="54" t="s">
        <v>2</v>
      </c>
      <c r="AD2039" s="54" t="s">
        <v>2</v>
      </c>
      <c r="AE2039" s="54" t="s">
        <v>2</v>
      </c>
      <c r="AF2039" s="54" t="s">
        <v>2</v>
      </c>
      <c r="AG2039" s="54" t="s">
        <v>2</v>
      </c>
    </row>
    <row r="2040" ht="15.75" customHeight="1">
      <c r="B2040" s="56"/>
      <c r="U2040" s="46" t="str">
        <f t="array" ref="U2040">IF($D2040="","",IFERROR(_xlfn.XLOOKUP($D2040,'TIR店舗一覧'!$D:$D,'TIR店舗一覧'!$E:$E,""),""))</f>
        <v/>
      </c>
      <c r="V2040" s="54" t="s">
        <v>2</v>
      </c>
      <c r="W2040" s="54" t="s">
        <v>2</v>
      </c>
      <c r="X2040" s="54" t="s">
        <v>2</v>
      </c>
      <c r="Y2040" s="54" t="s">
        <v>2</v>
      </c>
      <c r="Z2040" s="54" t="s">
        <v>2</v>
      </c>
      <c r="AA2040" s="54" t="s">
        <v>2</v>
      </c>
      <c r="AB2040" s="54" t="s">
        <v>2</v>
      </c>
      <c r="AC2040" s="54" t="s">
        <v>2</v>
      </c>
      <c r="AD2040" s="54" t="s">
        <v>2</v>
      </c>
      <c r="AE2040" s="54" t="s">
        <v>2</v>
      </c>
      <c r="AF2040" s="54" t="s">
        <v>2</v>
      </c>
      <c r="AG2040" s="54" t="s">
        <v>2</v>
      </c>
    </row>
    <row r="2041" ht="15.75" customHeight="1">
      <c r="B2041" s="56"/>
      <c r="U2041" s="46" t="str">
        <f t="array" ref="U2041">IF($D2041="","",IFERROR(_xlfn.XLOOKUP($D2041,'TIR店舗一覧'!$D:$D,'TIR店舗一覧'!$E:$E,""),""))</f>
        <v/>
      </c>
      <c r="V2041" s="54" t="s">
        <v>2</v>
      </c>
      <c r="W2041" s="54" t="s">
        <v>2</v>
      </c>
      <c r="X2041" s="54" t="s">
        <v>2</v>
      </c>
      <c r="Y2041" s="54" t="s">
        <v>2</v>
      </c>
      <c r="Z2041" s="54" t="s">
        <v>2</v>
      </c>
      <c r="AA2041" s="54" t="s">
        <v>2</v>
      </c>
      <c r="AB2041" s="54" t="s">
        <v>2</v>
      </c>
      <c r="AC2041" s="54" t="s">
        <v>2</v>
      </c>
      <c r="AD2041" s="54" t="s">
        <v>2</v>
      </c>
      <c r="AE2041" s="54" t="s">
        <v>2</v>
      </c>
      <c r="AF2041" s="54" t="s">
        <v>2</v>
      </c>
      <c r="AG2041" s="54" t="s">
        <v>2</v>
      </c>
    </row>
    <row r="2042" ht="15.75" customHeight="1">
      <c r="B2042" s="56"/>
      <c r="U2042" s="46" t="str">
        <f t="array" ref="U2042">IF($D2042="","",IFERROR(_xlfn.XLOOKUP($D2042,'TIR店舗一覧'!$D:$D,'TIR店舗一覧'!$E:$E,""),""))</f>
        <v/>
      </c>
      <c r="V2042" s="54" t="s">
        <v>2</v>
      </c>
      <c r="W2042" s="54" t="s">
        <v>2</v>
      </c>
      <c r="X2042" s="54" t="s">
        <v>2</v>
      </c>
      <c r="Y2042" s="54" t="s">
        <v>2</v>
      </c>
      <c r="Z2042" s="54" t="s">
        <v>2</v>
      </c>
      <c r="AA2042" s="54" t="s">
        <v>2</v>
      </c>
      <c r="AB2042" s="54" t="s">
        <v>2</v>
      </c>
      <c r="AC2042" s="54" t="s">
        <v>2</v>
      </c>
      <c r="AD2042" s="54" t="s">
        <v>2</v>
      </c>
      <c r="AE2042" s="54" t="s">
        <v>2</v>
      </c>
      <c r="AF2042" s="54" t="s">
        <v>2</v>
      </c>
      <c r="AG2042" s="54" t="s">
        <v>2</v>
      </c>
    </row>
    <row r="2043" ht="15.75" customHeight="1">
      <c r="B2043" s="56"/>
      <c r="U2043" s="46" t="str">
        <f t="array" ref="U2043">IF($D2043="","",IFERROR(_xlfn.XLOOKUP($D2043,'TIR店舗一覧'!$D:$D,'TIR店舗一覧'!$E:$E,""),""))</f>
        <v/>
      </c>
      <c r="V2043" s="54" t="s">
        <v>2</v>
      </c>
      <c r="W2043" s="54" t="s">
        <v>2</v>
      </c>
      <c r="X2043" s="54" t="s">
        <v>2</v>
      </c>
      <c r="Y2043" s="54" t="s">
        <v>2</v>
      </c>
      <c r="Z2043" s="54" t="s">
        <v>2</v>
      </c>
      <c r="AA2043" s="54" t="s">
        <v>2</v>
      </c>
      <c r="AB2043" s="54" t="s">
        <v>2</v>
      </c>
      <c r="AC2043" s="54" t="s">
        <v>2</v>
      </c>
      <c r="AD2043" s="54" t="s">
        <v>2</v>
      </c>
      <c r="AE2043" s="54" t="s">
        <v>2</v>
      </c>
      <c r="AF2043" s="54" t="s">
        <v>2</v>
      </c>
      <c r="AG2043" s="54" t="s">
        <v>2</v>
      </c>
    </row>
    <row r="2044" ht="15.75" customHeight="1">
      <c r="B2044" s="56"/>
      <c r="U2044" s="46" t="str">
        <f t="array" ref="U2044">IF($D2044="","",IFERROR(_xlfn.XLOOKUP($D2044,'TIR店舗一覧'!$D:$D,'TIR店舗一覧'!$E:$E,""),""))</f>
        <v/>
      </c>
      <c r="V2044" s="54" t="s">
        <v>2</v>
      </c>
      <c r="W2044" s="54" t="s">
        <v>2</v>
      </c>
      <c r="X2044" s="54" t="s">
        <v>2</v>
      </c>
      <c r="Y2044" s="54" t="s">
        <v>2</v>
      </c>
      <c r="Z2044" s="54" t="s">
        <v>2</v>
      </c>
      <c r="AA2044" s="54" t="s">
        <v>2</v>
      </c>
      <c r="AB2044" s="54" t="s">
        <v>2</v>
      </c>
      <c r="AC2044" s="54" t="s">
        <v>2</v>
      </c>
      <c r="AD2044" s="54" t="s">
        <v>2</v>
      </c>
      <c r="AE2044" s="54" t="s">
        <v>2</v>
      </c>
      <c r="AF2044" s="54" t="s">
        <v>2</v>
      </c>
      <c r="AG2044" s="54" t="s">
        <v>2</v>
      </c>
    </row>
    <row r="2045" ht="15.75" customHeight="1">
      <c r="B2045" s="56"/>
      <c r="U2045" s="46" t="str">
        <f t="array" ref="U2045">IF($D2045="","",IFERROR(_xlfn.XLOOKUP($D2045,'TIR店舗一覧'!$D:$D,'TIR店舗一覧'!$E:$E,""),""))</f>
        <v/>
      </c>
      <c r="V2045" s="54" t="s">
        <v>2</v>
      </c>
      <c r="W2045" s="54" t="s">
        <v>2</v>
      </c>
      <c r="X2045" s="54" t="s">
        <v>2</v>
      </c>
      <c r="Y2045" s="54" t="s">
        <v>2</v>
      </c>
      <c r="Z2045" s="54" t="s">
        <v>2</v>
      </c>
      <c r="AA2045" s="54" t="s">
        <v>2</v>
      </c>
      <c r="AB2045" s="54" t="s">
        <v>2</v>
      </c>
      <c r="AC2045" s="54" t="s">
        <v>2</v>
      </c>
      <c r="AD2045" s="54" t="s">
        <v>2</v>
      </c>
      <c r="AE2045" s="54" t="s">
        <v>2</v>
      </c>
      <c r="AF2045" s="54" t="s">
        <v>2</v>
      </c>
      <c r="AG2045" s="54" t="s">
        <v>2</v>
      </c>
    </row>
    <row r="2046" ht="15.75" customHeight="1">
      <c r="B2046" s="56"/>
      <c r="U2046" s="46" t="str">
        <f t="array" ref="U2046">IF($D2046="","",IFERROR(_xlfn.XLOOKUP($D2046,'TIR店舗一覧'!$D:$D,'TIR店舗一覧'!$E:$E,""),""))</f>
        <v/>
      </c>
      <c r="V2046" s="54" t="s">
        <v>2</v>
      </c>
      <c r="W2046" s="54" t="s">
        <v>2</v>
      </c>
      <c r="X2046" s="54" t="s">
        <v>2</v>
      </c>
      <c r="Y2046" s="54" t="s">
        <v>2</v>
      </c>
      <c r="Z2046" s="54" t="s">
        <v>2</v>
      </c>
      <c r="AA2046" s="54" t="s">
        <v>2</v>
      </c>
      <c r="AB2046" s="54" t="s">
        <v>2</v>
      </c>
      <c r="AC2046" s="54" t="s">
        <v>2</v>
      </c>
      <c r="AD2046" s="54" t="s">
        <v>2</v>
      </c>
      <c r="AE2046" s="54" t="s">
        <v>2</v>
      </c>
      <c r="AF2046" s="54" t="s">
        <v>2</v>
      </c>
      <c r="AG2046" s="54" t="s">
        <v>2</v>
      </c>
    </row>
    <row r="2047" ht="15.75" customHeight="1">
      <c r="B2047" s="56"/>
      <c r="U2047" s="46" t="str">
        <f t="array" ref="U2047">IF($D2047="","",IFERROR(_xlfn.XLOOKUP($D2047,'TIR店舗一覧'!$D:$D,'TIR店舗一覧'!$E:$E,""),""))</f>
        <v/>
      </c>
      <c r="V2047" s="54" t="s">
        <v>2</v>
      </c>
      <c r="W2047" s="54" t="s">
        <v>2</v>
      </c>
      <c r="X2047" s="54" t="s">
        <v>2</v>
      </c>
      <c r="Y2047" s="54" t="s">
        <v>2</v>
      </c>
      <c r="Z2047" s="54" t="s">
        <v>2</v>
      </c>
      <c r="AA2047" s="54" t="s">
        <v>2</v>
      </c>
      <c r="AB2047" s="54" t="s">
        <v>2</v>
      </c>
      <c r="AC2047" s="54" t="s">
        <v>2</v>
      </c>
      <c r="AD2047" s="54" t="s">
        <v>2</v>
      </c>
      <c r="AE2047" s="54" t="s">
        <v>2</v>
      </c>
      <c r="AF2047" s="54" t="s">
        <v>2</v>
      </c>
      <c r="AG2047" s="54" t="s">
        <v>2</v>
      </c>
    </row>
    <row r="2048" ht="15.75" customHeight="1">
      <c r="B2048" s="56"/>
      <c r="U2048" s="46" t="str">
        <f t="array" ref="U2048">IF($D2048="","",IFERROR(_xlfn.XLOOKUP($D2048,'TIR店舗一覧'!$D:$D,'TIR店舗一覧'!$E:$E,""),""))</f>
        <v/>
      </c>
      <c r="V2048" s="54" t="s">
        <v>2</v>
      </c>
      <c r="W2048" s="54" t="s">
        <v>2</v>
      </c>
      <c r="X2048" s="54" t="s">
        <v>2</v>
      </c>
      <c r="Y2048" s="54" t="s">
        <v>2</v>
      </c>
      <c r="Z2048" s="54" t="s">
        <v>2</v>
      </c>
      <c r="AA2048" s="54" t="s">
        <v>2</v>
      </c>
      <c r="AB2048" s="54" t="s">
        <v>2</v>
      </c>
      <c r="AC2048" s="54" t="s">
        <v>2</v>
      </c>
      <c r="AD2048" s="54" t="s">
        <v>2</v>
      </c>
      <c r="AE2048" s="54" t="s">
        <v>2</v>
      </c>
      <c r="AF2048" s="54" t="s">
        <v>2</v>
      </c>
      <c r="AG2048" s="54" t="s">
        <v>2</v>
      </c>
    </row>
    <row r="2049" ht="15.75" customHeight="1">
      <c r="B2049" s="56"/>
      <c r="U2049" s="46" t="str">
        <f t="array" ref="U2049">IF($D2049="","",IFERROR(_xlfn.XLOOKUP($D2049,'TIR店舗一覧'!$D:$D,'TIR店舗一覧'!$E:$E,""),""))</f>
        <v/>
      </c>
      <c r="V2049" s="54" t="s">
        <v>2</v>
      </c>
      <c r="W2049" s="54" t="s">
        <v>2</v>
      </c>
      <c r="X2049" s="54" t="s">
        <v>2</v>
      </c>
      <c r="Y2049" s="54" t="s">
        <v>2</v>
      </c>
      <c r="Z2049" s="54" t="s">
        <v>2</v>
      </c>
      <c r="AA2049" s="54" t="s">
        <v>2</v>
      </c>
      <c r="AB2049" s="54" t="s">
        <v>2</v>
      </c>
      <c r="AC2049" s="54" t="s">
        <v>2</v>
      </c>
      <c r="AD2049" s="54" t="s">
        <v>2</v>
      </c>
      <c r="AE2049" s="54" t="s">
        <v>2</v>
      </c>
      <c r="AF2049" s="54" t="s">
        <v>2</v>
      </c>
      <c r="AG2049" s="54" t="s">
        <v>2</v>
      </c>
    </row>
    <row r="2050" ht="15.75" customHeight="1">
      <c r="B2050" s="56"/>
      <c r="U2050" s="46" t="str">
        <f t="array" ref="U2050">IF($D2050="","",IFERROR(_xlfn.XLOOKUP($D2050,'TIR店舗一覧'!$D:$D,'TIR店舗一覧'!$E:$E,""),""))</f>
        <v/>
      </c>
      <c r="V2050" s="54" t="s">
        <v>2</v>
      </c>
      <c r="W2050" s="54" t="s">
        <v>2</v>
      </c>
      <c r="X2050" s="54" t="s">
        <v>2</v>
      </c>
      <c r="Y2050" s="54" t="s">
        <v>2</v>
      </c>
      <c r="Z2050" s="54" t="s">
        <v>2</v>
      </c>
      <c r="AA2050" s="54" t="s">
        <v>2</v>
      </c>
      <c r="AB2050" s="54" t="s">
        <v>2</v>
      </c>
      <c r="AC2050" s="54" t="s">
        <v>2</v>
      </c>
      <c r="AD2050" s="54" t="s">
        <v>2</v>
      </c>
      <c r="AE2050" s="54" t="s">
        <v>2</v>
      </c>
      <c r="AF2050" s="54" t="s">
        <v>2</v>
      </c>
      <c r="AG2050" s="54" t="s">
        <v>2</v>
      </c>
    </row>
    <row r="2051" ht="15.75" customHeight="1">
      <c r="B2051" s="56"/>
      <c r="U2051" s="46" t="str">
        <f t="array" ref="U2051">IF($D2051="","",IFERROR(_xlfn.XLOOKUP($D2051,'TIR店舗一覧'!$D:$D,'TIR店舗一覧'!$E:$E,""),""))</f>
        <v/>
      </c>
      <c r="V2051" s="54" t="s">
        <v>2</v>
      </c>
      <c r="W2051" s="54" t="s">
        <v>2</v>
      </c>
      <c r="X2051" s="54" t="s">
        <v>2</v>
      </c>
      <c r="Y2051" s="54" t="s">
        <v>2</v>
      </c>
      <c r="Z2051" s="54" t="s">
        <v>2</v>
      </c>
      <c r="AA2051" s="54" t="s">
        <v>2</v>
      </c>
      <c r="AB2051" s="54" t="s">
        <v>2</v>
      </c>
      <c r="AC2051" s="54" t="s">
        <v>2</v>
      </c>
      <c r="AD2051" s="54" t="s">
        <v>2</v>
      </c>
      <c r="AE2051" s="54" t="s">
        <v>2</v>
      </c>
      <c r="AF2051" s="54" t="s">
        <v>2</v>
      </c>
      <c r="AG2051" s="54" t="s">
        <v>2</v>
      </c>
    </row>
    <row r="2052" ht="15.75" customHeight="1">
      <c r="B2052" s="56"/>
      <c r="U2052" s="46" t="str">
        <f t="array" ref="U2052">IF($D2052="","",IFERROR(_xlfn.XLOOKUP($D2052,'TIR店舗一覧'!$D:$D,'TIR店舗一覧'!$E:$E,""),""))</f>
        <v/>
      </c>
      <c r="V2052" s="54" t="s">
        <v>2</v>
      </c>
      <c r="W2052" s="54" t="s">
        <v>2</v>
      </c>
      <c r="X2052" s="54" t="s">
        <v>2</v>
      </c>
      <c r="Y2052" s="54" t="s">
        <v>2</v>
      </c>
      <c r="Z2052" s="54" t="s">
        <v>2</v>
      </c>
      <c r="AA2052" s="54" t="s">
        <v>2</v>
      </c>
      <c r="AB2052" s="54" t="s">
        <v>2</v>
      </c>
      <c r="AC2052" s="54" t="s">
        <v>2</v>
      </c>
      <c r="AD2052" s="54" t="s">
        <v>2</v>
      </c>
      <c r="AE2052" s="54" t="s">
        <v>2</v>
      </c>
      <c r="AF2052" s="54" t="s">
        <v>2</v>
      </c>
      <c r="AG2052" s="54" t="s">
        <v>2</v>
      </c>
    </row>
    <row r="2053" ht="15.75" customHeight="1">
      <c r="B2053" s="56"/>
      <c r="U2053" s="46" t="str">
        <f t="array" ref="U2053">IF($D2053="","",IFERROR(_xlfn.XLOOKUP($D2053,'TIR店舗一覧'!$D:$D,'TIR店舗一覧'!$E:$E,""),""))</f>
        <v/>
      </c>
      <c r="V2053" s="54" t="s">
        <v>2</v>
      </c>
      <c r="W2053" s="54" t="s">
        <v>2</v>
      </c>
      <c r="X2053" s="54" t="s">
        <v>2</v>
      </c>
      <c r="Y2053" s="54" t="s">
        <v>2</v>
      </c>
      <c r="Z2053" s="54" t="s">
        <v>2</v>
      </c>
      <c r="AA2053" s="54" t="s">
        <v>2</v>
      </c>
      <c r="AB2053" s="54" t="s">
        <v>2</v>
      </c>
      <c r="AC2053" s="54" t="s">
        <v>2</v>
      </c>
      <c r="AD2053" s="54" t="s">
        <v>2</v>
      </c>
      <c r="AE2053" s="54" t="s">
        <v>2</v>
      </c>
      <c r="AF2053" s="54" t="s">
        <v>2</v>
      </c>
      <c r="AG2053" s="54" t="s">
        <v>2</v>
      </c>
    </row>
    <row r="2054" ht="15.75" customHeight="1">
      <c r="B2054" s="56"/>
      <c r="U2054" s="46" t="str">
        <f t="array" ref="U2054">IF($D2054="","",IFERROR(_xlfn.XLOOKUP($D2054,'TIR店舗一覧'!$D:$D,'TIR店舗一覧'!$E:$E,""),""))</f>
        <v/>
      </c>
      <c r="V2054" s="54" t="s">
        <v>2</v>
      </c>
      <c r="W2054" s="54" t="s">
        <v>2</v>
      </c>
      <c r="X2054" s="54" t="s">
        <v>2</v>
      </c>
      <c r="Y2054" s="54" t="s">
        <v>2</v>
      </c>
      <c r="Z2054" s="54" t="s">
        <v>2</v>
      </c>
      <c r="AA2054" s="54" t="s">
        <v>2</v>
      </c>
      <c r="AB2054" s="54" t="s">
        <v>2</v>
      </c>
      <c r="AC2054" s="54" t="s">
        <v>2</v>
      </c>
      <c r="AD2054" s="54" t="s">
        <v>2</v>
      </c>
      <c r="AE2054" s="54" t="s">
        <v>2</v>
      </c>
      <c r="AF2054" s="54" t="s">
        <v>2</v>
      </c>
      <c r="AG2054" s="54" t="s">
        <v>2</v>
      </c>
    </row>
    <row r="2055" ht="15.75" customHeight="1">
      <c r="B2055" s="56"/>
      <c r="U2055" s="46" t="str">
        <f t="array" ref="U2055">IF($D2055="","",IFERROR(_xlfn.XLOOKUP($D2055,'TIR店舗一覧'!$D:$D,'TIR店舗一覧'!$E:$E,""),""))</f>
        <v/>
      </c>
      <c r="V2055" s="54" t="s">
        <v>2</v>
      </c>
      <c r="W2055" s="54" t="s">
        <v>2</v>
      </c>
      <c r="X2055" s="54" t="s">
        <v>2</v>
      </c>
      <c r="Y2055" s="54" t="s">
        <v>2</v>
      </c>
      <c r="Z2055" s="54" t="s">
        <v>2</v>
      </c>
      <c r="AA2055" s="54" t="s">
        <v>2</v>
      </c>
      <c r="AB2055" s="54" t="s">
        <v>2</v>
      </c>
      <c r="AC2055" s="54" t="s">
        <v>2</v>
      </c>
      <c r="AD2055" s="54" t="s">
        <v>2</v>
      </c>
      <c r="AE2055" s="54" t="s">
        <v>2</v>
      </c>
      <c r="AF2055" s="54" t="s">
        <v>2</v>
      </c>
      <c r="AG2055" s="54" t="s">
        <v>2</v>
      </c>
    </row>
    <row r="2056" ht="15.75" customHeight="1">
      <c r="B2056" s="56"/>
      <c r="U2056" s="46" t="str">
        <f t="array" ref="U2056">IF($D2056="","",IFERROR(_xlfn.XLOOKUP($D2056,'TIR店舗一覧'!$D:$D,'TIR店舗一覧'!$E:$E,""),""))</f>
        <v/>
      </c>
      <c r="V2056" s="54" t="s">
        <v>2</v>
      </c>
      <c r="W2056" s="54" t="s">
        <v>2</v>
      </c>
      <c r="X2056" s="54" t="s">
        <v>2</v>
      </c>
      <c r="Y2056" s="54" t="s">
        <v>2</v>
      </c>
      <c r="Z2056" s="54" t="s">
        <v>2</v>
      </c>
      <c r="AA2056" s="54" t="s">
        <v>2</v>
      </c>
      <c r="AB2056" s="54" t="s">
        <v>2</v>
      </c>
      <c r="AC2056" s="54" t="s">
        <v>2</v>
      </c>
      <c r="AD2056" s="54" t="s">
        <v>2</v>
      </c>
      <c r="AE2056" s="54" t="s">
        <v>2</v>
      </c>
      <c r="AF2056" s="54" t="s">
        <v>2</v>
      </c>
      <c r="AG2056" s="54" t="s">
        <v>2</v>
      </c>
    </row>
    <row r="2057" ht="15.75" customHeight="1">
      <c r="B2057" s="56"/>
      <c r="U2057" s="46" t="str">
        <f t="array" ref="U2057">IF($D2057="","",IFERROR(_xlfn.XLOOKUP($D2057,'TIR店舗一覧'!$D:$D,'TIR店舗一覧'!$E:$E,""),""))</f>
        <v/>
      </c>
      <c r="V2057" s="54" t="s">
        <v>2</v>
      </c>
      <c r="W2057" s="54" t="s">
        <v>2</v>
      </c>
      <c r="X2057" s="54" t="s">
        <v>2</v>
      </c>
      <c r="Y2057" s="54" t="s">
        <v>2</v>
      </c>
      <c r="Z2057" s="54" t="s">
        <v>2</v>
      </c>
      <c r="AA2057" s="54" t="s">
        <v>2</v>
      </c>
      <c r="AB2057" s="54" t="s">
        <v>2</v>
      </c>
      <c r="AC2057" s="54" t="s">
        <v>2</v>
      </c>
      <c r="AD2057" s="54" t="s">
        <v>2</v>
      </c>
      <c r="AE2057" s="54" t="s">
        <v>2</v>
      </c>
      <c r="AF2057" s="54" t="s">
        <v>2</v>
      </c>
      <c r="AG2057" s="54" t="s">
        <v>2</v>
      </c>
    </row>
    <row r="2058" ht="15.75" customHeight="1">
      <c r="B2058" s="56"/>
      <c r="U2058" s="46" t="str">
        <f t="array" ref="U2058">IF($D2058="","",IFERROR(_xlfn.XLOOKUP($D2058,'TIR店舗一覧'!$D:$D,'TIR店舗一覧'!$E:$E,""),""))</f>
        <v/>
      </c>
      <c r="V2058" s="54" t="s">
        <v>2</v>
      </c>
      <c r="W2058" s="54" t="s">
        <v>2</v>
      </c>
      <c r="X2058" s="54" t="s">
        <v>2</v>
      </c>
      <c r="Y2058" s="54" t="s">
        <v>2</v>
      </c>
      <c r="Z2058" s="54" t="s">
        <v>2</v>
      </c>
      <c r="AA2058" s="54" t="s">
        <v>2</v>
      </c>
      <c r="AB2058" s="54" t="s">
        <v>2</v>
      </c>
      <c r="AC2058" s="54" t="s">
        <v>2</v>
      </c>
      <c r="AD2058" s="54" t="s">
        <v>2</v>
      </c>
      <c r="AE2058" s="54" t="s">
        <v>2</v>
      </c>
      <c r="AF2058" s="54" t="s">
        <v>2</v>
      </c>
      <c r="AG2058" s="54" t="s">
        <v>2</v>
      </c>
    </row>
    <row r="2059" ht="15.75" customHeight="1">
      <c r="B2059" s="56"/>
      <c r="U2059" s="46" t="str">
        <f t="array" ref="U2059">IF($D2059="","",IFERROR(_xlfn.XLOOKUP($D2059,'TIR店舗一覧'!$D:$D,'TIR店舗一覧'!$E:$E,""),""))</f>
        <v/>
      </c>
      <c r="V2059" s="54" t="s">
        <v>2</v>
      </c>
      <c r="W2059" s="54" t="s">
        <v>2</v>
      </c>
      <c r="X2059" s="54" t="s">
        <v>2</v>
      </c>
      <c r="Y2059" s="54" t="s">
        <v>2</v>
      </c>
      <c r="Z2059" s="54" t="s">
        <v>2</v>
      </c>
      <c r="AA2059" s="54" t="s">
        <v>2</v>
      </c>
      <c r="AB2059" s="54" t="s">
        <v>2</v>
      </c>
      <c r="AC2059" s="54" t="s">
        <v>2</v>
      </c>
      <c r="AD2059" s="54" t="s">
        <v>2</v>
      </c>
      <c r="AE2059" s="54" t="s">
        <v>2</v>
      </c>
      <c r="AF2059" s="54" t="s">
        <v>2</v>
      </c>
      <c r="AG2059" s="54" t="s">
        <v>2</v>
      </c>
    </row>
    <row r="2060" ht="15.75" customHeight="1">
      <c r="B2060" s="56"/>
      <c r="U2060" s="46" t="str">
        <f t="array" ref="U2060">IF($D2060="","",IFERROR(_xlfn.XLOOKUP($D2060,'TIR店舗一覧'!$D:$D,'TIR店舗一覧'!$E:$E,""),""))</f>
        <v/>
      </c>
      <c r="V2060" s="54" t="s">
        <v>2</v>
      </c>
      <c r="W2060" s="54" t="s">
        <v>2</v>
      </c>
      <c r="X2060" s="54" t="s">
        <v>2</v>
      </c>
      <c r="Y2060" s="54" t="s">
        <v>2</v>
      </c>
      <c r="Z2060" s="54" t="s">
        <v>2</v>
      </c>
      <c r="AA2060" s="54" t="s">
        <v>2</v>
      </c>
      <c r="AB2060" s="54" t="s">
        <v>2</v>
      </c>
      <c r="AC2060" s="54" t="s">
        <v>2</v>
      </c>
      <c r="AD2060" s="54" t="s">
        <v>2</v>
      </c>
      <c r="AE2060" s="54" t="s">
        <v>2</v>
      </c>
      <c r="AF2060" s="54" t="s">
        <v>2</v>
      </c>
      <c r="AG2060" s="54" t="s">
        <v>2</v>
      </c>
    </row>
    <row r="2061" ht="15.75" customHeight="1">
      <c r="B2061" s="56"/>
      <c r="U2061" s="46" t="str">
        <f t="array" ref="U2061">IF($D2061="","",IFERROR(_xlfn.XLOOKUP($D2061,'TIR店舗一覧'!$D:$D,'TIR店舗一覧'!$E:$E,""),""))</f>
        <v/>
      </c>
      <c r="V2061" s="54" t="s">
        <v>2</v>
      </c>
      <c r="W2061" s="54" t="s">
        <v>2</v>
      </c>
      <c r="X2061" s="54" t="s">
        <v>2</v>
      </c>
      <c r="Y2061" s="54" t="s">
        <v>2</v>
      </c>
      <c r="Z2061" s="54" t="s">
        <v>2</v>
      </c>
      <c r="AA2061" s="54" t="s">
        <v>2</v>
      </c>
      <c r="AB2061" s="54" t="s">
        <v>2</v>
      </c>
      <c r="AC2061" s="54" t="s">
        <v>2</v>
      </c>
      <c r="AD2061" s="54" t="s">
        <v>2</v>
      </c>
      <c r="AE2061" s="54" t="s">
        <v>2</v>
      </c>
      <c r="AF2061" s="54" t="s">
        <v>2</v>
      </c>
      <c r="AG2061" s="54" t="s">
        <v>2</v>
      </c>
    </row>
    <row r="2062" ht="15.75" customHeight="1">
      <c r="B2062" s="56"/>
      <c r="U2062" s="46" t="str">
        <f t="array" ref="U2062">IF($D2062="","",IFERROR(_xlfn.XLOOKUP($D2062,'TIR店舗一覧'!$D:$D,'TIR店舗一覧'!$E:$E,""),""))</f>
        <v/>
      </c>
      <c r="V2062" s="54" t="s">
        <v>2</v>
      </c>
      <c r="W2062" s="54" t="s">
        <v>2</v>
      </c>
      <c r="X2062" s="54" t="s">
        <v>2</v>
      </c>
      <c r="Y2062" s="54" t="s">
        <v>2</v>
      </c>
      <c r="Z2062" s="54" t="s">
        <v>2</v>
      </c>
      <c r="AA2062" s="54" t="s">
        <v>2</v>
      </c>
      <c r="AB2062" s="54" t="s">
        <v>2</v>
      </c>
      <c r="AC2062" s="54" t="s">
        <v>2</v>
      </c>
      <c r="AD2062" s="54" t="s">
        <v>2</v>
      </c>
      <c r="AE2062" s="54" t="s">
        <v>2</v>
      </c>
      <c r="AF2062" s="54" t="s">
        <v>2</v>
      </c>
      <c r="AG2062" s="54" t="s">
        <v>2</v>
      </c>
    </row>
    <row r="2063" ht="15.75" customHeight="1">
      <c r="B2063" s="56"/>
      <c r="U2063" s="46" t="str">
        <f t="array" ref="U2063">IF($D2063="","",IFERROR(_xlfn.XLOOKUP($D2063,'TIR店舗一覧'!$D:$D,'TIR店舗一覧'!$E:$E,""),""))</f>
        <v/>
      </c>
      <c r="V2063" s="54" t="s">
        <v>2</v>
      </c>
      <c r="W2063" s="54" t="s">
        <v>2</v>
      </c>
      <c r="X2063" s="54" t="s">
        <v>2</v>
      </c>
      <c r="Y2063" s="54" t="s">
        <v>2</v>
      </c>
      <c r="Z2063" s="54" t="s">
        <v>2</v>
      </c>
      <c r="AA2063" s="54" t="s">
        <v>2</v>
      </c>
      <c r="AB2063" s="54" t="s">
        <v>2</v>
      </c>
      <c r="AC2063" s="54" t="s">
        <v>2</v>
      </c>
      <c r="AD2063" s="54" t="s">
        <v>2</v>
      </c>
      <c r="AE2063" s="54" t="s">
        <v>2</v>
      </c>
      <c r="AF2063" s="54" t="s">
        <v>2</v>
      </c>
      <c r="AG2063" s="54" t="s">
        <v>2</v>
      </c>
    </row>
    <row r="2064" ht="15.75" customHeight="1">
      <c r="B2064" s="56"/>
      <c r="U2064" s="46" t="str">
        <f t="array" ref="U2064">IF($D2064="","",IFERROR(_xlfn.XLOOKUP($D2064,'TIR店舗一覧'!$D:$D,'TIR店舗一覧'!$E:$E,""),""))</f>
        <v/>
      </c>
      <c r="V2064" s="54" t="s">
        <v>2</v>
      </c>
      <c r="W2064" s="54" t="s">
        <v>2</v>
      </c>
      <c r="X2064" s="54" t="s">
        <v>2</v>
      </c>
      <c r="Y2064" s="54" t="s">
        <v>2</v>
      </c>
      <c r="Z2064" s="54" t="s">
        <v>2</v>
      </c>
      <c r="AA2064" s="54" t="s">
        <v>2</v>
      </c>
      <c r="AB2064" s="54" t="s">
        <v>2</v>
      </c>
      <c r="AC2064" s="54" t="s">
        <v>2</v>
      </c>
      <c r="AD2064" s="54" t="s">
        <v>2</v>
      </c>
      <c r="AE2064" s="54" t="s">
        <v>2</v>
      </c>
      <c r="AF2064" s="54" t="s">
        <v>2</v>
      </c>
      <c r="AG2064" s="54" t="s">
        <v>2</v>
      </c>
    </row>
    <row r="2065" ht="15.75" customHeight="1">
      <c r="B2065" s="56"/>
      <c r="U2065" s="46" t="str">
        <f t="array" ref="U2065">IF($D2065="","",IFERROR(_xlfn.XLOOKUP($D2065,'TIR店舗一覧'!$D:$D,'TIR店舗一覧'!$E:$E,""),""))</f>
        <v/>
      </c>
      <c r="V2065" s="54" t="s">
        <v>2</v>
      </c>
      <c r="W2065" s="54" t="s">
        <v>2</v>
      </c>
      <c r="X2065" s="54" t="s">
        <v>2</v>
      </c>
      <c r="Y2065" s="54" t="s">
        <v>2</v>
      </c>
      <c r="Z2065" s="54" t="s">
        <v>2</v>
      </c>
      <c r="AA2065" s="54" t="s">
        <v>2</v>
      </c>
      <c r="AB2065" s="54" t="s">
        <v>2</v>
      </c>
      <c r="AC2065" s="54" t="s">
        <v>2</v>
      </c>
      <c r="AD2065" s="54" t="s">
        <v>2</v>
      </c>
      <c r="AE2065" s="54" t="s">
        <v>2</v>
      </c>
      <c r="AF2065" s="54" t="s">
        <v>2</v>
      </c>
      <c r="AG2065" s="54" t="s">
        <v>2</v>
      </c>
    </row>
    <row r="2066" ht="15.75" customHeight="1">
      <c r="B2066" s="56"/>
      <c r="U2066" s="46" t="str">
        <f t="array" ref="U2066">IF($D2066="","",IFERROR(_xlfn.XLOOKUP($D2066,'TIR店舗一覧'!$D:$D,'TIR店舗一覧'!$E:$E,""),""))</f>
        <v/>
      </c>
      <c r="V2066" s="54" t="s">
        <v>2</v>
      </c>
      <c r="W2066" s="54" t="s">
        <v>2</v>
      </c>
      <c r="X2066" s="54" t="s">
        <v>2</v>
      </c>
      <c r="Y2066" s="54" t="s">
        <v>2</v>
      </c>
      <c r="Z2066" s="54" t="s">
        <v>2</v>
      </c>
      <c r="AA2066" s="54" t="s">
        <v>2</v>
      </c>
      <c r="AB2066" s="54" t="s">
        <v>2</v>
      </c>
      <c r="AC2066" s="54" t="s">
        <v>2</v>
      </c>
      <c r="AD2066" s="54" t="s">
        <v>2</v>
      </c>
      <c r="AE2066" s="54" t="s">
        <v>2</v>
      </c>
      <c r="AF2066" s="54" t="s">
        <v>2</v>
      </c>
      <c r="AG2066" s="54" t="s">
        <v>2</v>
      </c>
    </row>
    <row r="2067" ht="15.75" customHeight="1">
      <c r="B2067" s="56"/>
      <c r="U2067" s="46" t="str">
        <f t="array" ref="U2067">IF($D2067="","",IFERROR(_xlfn.XLOOKUP($D2067,'TIR店舗一覧'!$D:$D,'TIR店舗一覧'!$E:$E,""),""))</f>
        <v/>
      </c>
      <c r="V2067" s="54" t="s">
        <v>2</v>
      </c>
      <c r="W2067" s="54" t="s">
        <v>2</v>
      </c>
      <c r="X2067" s="54" t="s">
        <v>2</v>
      </c>
      <c r="Y2067" s="54" t="s">
        <v>2</v>
      </c>
      <c r="Z2067" s="54" t="s">
        <v>2</v>
      </c>
      <c r="AA2067" s="54" t="s">
        <v>2</v>
      </c>
      <c r="AB2067" s="54" t="s">
        <v>2</v>
      </c>
      <c r="AC2067" s="54" t="s">
        <v>2</v>
      </c>
      <c r="AD2067" s="54" t="s">
        <v>2</v>
      </c>
      <c r="AE2067" s="54" t="s">
        <v>2</v>
      </c>
      <c r="AF2067" s="54" t="s">
        <v>2</v>
      </c>
      <c r="AG2067" s="54" t="s">
        <v>2</v>
      </c>
    </row>
    <row r="2068" ht="15.75" customHeight="1">
      <c r="B2068" s="56"/>
      <c r="U2068" s="46" t="str">
        <f t="array" ref="U2068">IF($D2068="","",IFERROR(_xlfn.XLOOKUP($D2068,'TIR店舗一覧'!$D:$D,'TIR店舗一覧'!$E:$E,""),""))</f>
        <v/>
      </c>
      <c r="V2068" s="54" t="s">
        <v>2</v>
      </c>
      <c r="W2068" s="54" t="s">
        <v>2</v>
      </c>
      <c r="X2068" s="54" t="s">
        <v>2</v>
      </c>
      <c r="Y2068" s="54" t="s">
        <v>2</v>
      </c>
      <c r="Z2068" s="54" t="s">
        <v>2</v>
      </c>
      <c r="AA2068" s="54" t="s">
        <v>2</v>
      </c>
      <c r="AB2068" s="54" t="s">
        <v>2</v>
      </c>
      <c r="AC2068" s="54" t="s">
        <v>2</v>
      </c>
      <c r="AD2068" s="54" t="s">
        <v>2</v>
      </c>
      <c r="AE2068" s="54" t="s">
        <v>2</v>
      </c>
      <c r="AF2068" s="54" t="s">
        <v>2</v>
      </c>
      <c r="AG2068" s="54" t="s">
        <v>2</v>
      </c>
    </row>
    <row r="2069" ht="15.75" customHeight="1">
      <c r="B2069" s="56"/>
      <c r="U2069" s="46" t="str">
        <f t="array" ref="U2069">IF($D2069="","",IFERROR(_xlfn.XLOOKUP($D2069,'TIR店舗一覧'!$D:$D,'TIR店舗一覧'!$E:$E,""),""))</f>
        <v/>
      </c>
      <c r="V2069" s="54" t="s">
        <v>2</v>
      </c>
      <c r="W2069" s="54" t="s">
        <v>2</v>
      </c>
      <c r="X2069" s="54" t="s">
        <v>2</v>
      </c>
      <c r="Y2069" s="54" t="s">
        <v>2</v>
      </c>
      <c r="Z2069" s="54" t="s">
        <v>2</v>
      </c>
      <c r="AA2069" s="54" t="s">
        <v>2</v>
      </c>
      <c r="AB2069" s="54" t="s">
        <v>2</v>
      </c>
      <c r="AC2069" s="54" t="s">
        <v>2</v>
      </c>
      <c r="AD2069" s="54" t="s">
        <v>2</v>
      </c>
      <c r="AE2069" s="54" t="s">
        <v>2</v>
      </c>
      <c r="AF2069" s="54" t="s">
        <v>2</v>
      </c>
      <c r="AG2069" s="54" t="s">
        <v>2</v>
      </c>
    </row>
    <row r="2070" ht="15.75" customHeight="1">
      <c r="B2070" s="56"/>
      <c r="U2070" s="46" t="str">
        <f t="array" ref="U2070">IF($D2070="","",IFERROR(_xlfn.XLOOKUP($D2070,'TIR店舗一覧'!$D:$D,'TIR店舗一覧'!$E:$E,""),""))</f>
        <v/>
      </c>
      <c r="V2070" s="54" t="s">
        <v>2</v>
      </c>
      <c r="W2070" s="54" t="s">
        <v>2</v>
      </c>
      <c r="X2070" s="54" t="s">
        <v>2</v>
      </c>
      <c r="Y2070" s="54" t="s">
        <v>2</v>
      </c>
      <c r="Z2070" s="54" t="s">
        <v>2</v>
      </c>
      <c r="AA2070" s="54" t="s">
        <v>2</v>
      </c>
      <c r="AB2070" s="54" t="s">
        <v>2</v>
      </c>
      <c r="AC2070" s="54" t="s">
        <v>2</v>
      </c>
      <c r="AD2070" s="54" t="s">
        <v>2</v>
      </c>
      <c r="AE2070" s="54" t="s">
        <v>2</v>
      </c>
      <c r="AF2070" s="54" t="s">
        <v>2</v>
      </c>
      <c r="AG2070" s="54" t="s">
        <v>2</v>
      </c>
    </row>
    <row r="2071" ht="15.75" customHeight="1">
      <c r="B2071" s="56"/>
      <c r="U2071" s="46" t="str">
        <f t="array" ref="U2071">IF($D2071="","",IFERROR(_xlfn.XLOOKUP($D2071,'TIR店舗一覧'!$D:$D,'TIR店舗一覧'!$E:$E,""),""))</f>
        <v/>
      </c>
      <c r="V2071" s="54" t="s">
        <v>2</v>
      </c>
      <c r="W2071" s="54" t="s">
        <v>2</v>
      </c>
      <c r="X2071" s="54" t="s">
        <v>2</v>
      </c>
      <c r="Y2071" s="54" t="s">
        <v>2</v>
      </c>
      <c r="Z2071" s="54" t="s">
        <v>2</v>
      </c>
      <c r="AA2071" s="54" t="s">
        <v>2</v>
      </c>
      <c r="AB2071" s="54" t="s">
        <v>2</v>
      </c>
      <c r="AC2071" s="54" t="s">
        <v>2</v>
      </c>
      <c r="AD2071" s="54" t="s">
        <v>2</v>
      </c>
      <c r="AE2071" s="54" t="s">
        <v>2</v>
      </c>
      <c r="AF2071" s="54" t="s">
        <v>2</v>
      </c>
      <c r="AG2071" s="54" t="s">
        <v>2</v>
      </c>
    </row>
    <row r="2072" ht="15.75" customHeight="1">
      <c r="B2072" s="56"/>
      <c r="U2072" s="46" t="str">
        <f t="array" ref="U2072">IF($D2072="","",IFERROR(_xlfn.XLOOKUP($D2072,'TIR店舗一覧'!$D:$D,'TIR店舗一覧'!$E:$E,""),""))</f>
        <v/>
      </c>
      <c r="V2072" s="54" t="s">
        <v>2</v>
      </c>
      <c r="W2072" s="54" t="s">
        <v>2</v>
      </c>
      <c r="X2072" s="54" t="s">
        <v>2</v>
      </c>
      <c r="Y2072" s="54" t="s">
        <v>2</v>
      </c>
      <c r="Z2072" s="54" t="s">
        <v>2</v>
      </c>
      <c r="AA2072" s="54" t="s">
        <v>2</v>
      </c>
      <c r="AB2072" s="54" t="s">
        <v>2</v>
      </c>
      <c r="AC2072" s="54" t="s">
        <v>2</v>
      </c>
      <c r="AD2072" s="54" t="s">
        <v>2</v>
      </c>
      <c r="AE2072" s="54" t="s">
        <v>2</v>
      </c>
      <c r="AF2072" s="54" t="s">
        <v>2</v>
      </c>
      <c r="AG2072" s="54" t="s">
        <v>2</v>
      </c>
    </row>
    <row r="2073" ht="15.75" customHeight="1">
      <c r="B2073" s="56"/>
      <c r="U2073" s="46" t="str">
        <f t="array" ref="U2073">IF($D2073="","",IFERROR(_xlfn.XLOOKUP($D2073,'TIR店舗一覧'!$D:$D,'TIR店舗一覧'!$E:$E,""),""))</f>
        <v/>
      </c>
      <c r="V2073" s="54" t="s">
        <v>2</v>
      </c>
      <c r="W2073" s="54" t="s">
        <v>2</v>
      </c>
      <c r="X2073" s="54" t="s">
        <v>2</v>
      </c>
      <c r="Y2073" s="54" t="s">
        <v>2</v>
      </c>
      <c r="Z2073" s="54" t="s">
        <v>2</v>
      </c>
      <c r="AA2073" s="54" t="s">
        <v>2</v>
      </c>
      <c r="AB2073" s="54" t="s">
        <v>2</v>
      </c>
      <c r="AC2073" s="54" t="s">
        <v>2</v>
      </c>
      <c r="AD2073" s="54" t="s">
        <v>2</v>
      </c>
      <c r="AE2073" s="54" t="s">
        <v>2</v>
      </c>
      <c r="AF2073" s="54" t="s">
        <v>2</v>
      </c>
      <c r="AG2073" s="54" t="s">
        <v>2</v>
      </c>
    </row>
    <row r="2074" ht="15.75" customHeight="1">
      <c r="B2074" s="56"/>
      <c r="U2074" s="46" t="str">
        <f t="array" ref="U2074">IF($D2074="","",IFERROR(_xlfn.XLOOKUP($D2074,'TIR店舗一覧'!$D:$D,'TIR店舗一覧'!$E:$E,""),""))</f>
        <v/>
      </c>
      <c r="V2074" s="54" t="s">
        <v>2</v>
      </c>
      <c r="W2074" s="54" t="s">
        <v>2</v>
      </c>
      <c r="X2074" s="54" t="s">
        <v>2</v>
      </c>
      <c r="Y2074" s="54" t="s">
        <v>2</v>
      </c>
      <c r="Z2074" s="54" t="s">
        <v>2</v>
      </c>
      <c r="AA2074" s="54" t="s">
        <v>2</v>
      </c>
      <c r="AB2074" s="54" t="s">
        <v>2</v>
      </c>
      <c r="AC2074" s="54" t="s">
        <v>2</v>
      </c>
      <c r="AD2074" s="54" t="s">
        <v>2</v>
      </c>
      <c r="AE2074" s="54" t="s">
        <v>2</v>
      </c>
      <c r="AF2074" s="54" t="s">
        <v>2</v>
      </c>
      <c r="AG2074" s="54" t="s">
        <v>2</v>
      </c>
    </row>
    <row r="2075" ht="15.75" customHeight="1">
      <c r="B2075" s="56"/>
      <c r="U2075" s="46" t="str">
        <f t="array" ref="U2075">IF($D2075="","",IFERROR(_xlfn.XLOOKUP($D2075,'TIR店舗一覧'!$D:$D,'TIR店舗一覧'!$E:$E,""),""))</f>
        <v/>
      </c>
      <c r="V2075" s="54" t="s">
        <v>2</v>
      </c>
      <c r="W2075" s="54" t="s">
        <v>2</v>
      </c>
      <c r="X2075" s="54" t="s">
        <v>2</v>
      </c>
      <c r="Y2075" s="54" t="s">
        <v>2</v>
      </c>
      <c r="Z2075" s="54" t="s">
        <v>2</v>
      </c>
      <c r="AA2075" s="54" t="s">
        <v>2</v>
      </c>
      <c r="AB2075" s="54" t="s">
        <v>2</v>
      </c>
      <c r="AC2075" s="54" t="s">
        <v>2</v>
      </c>
      <c r="AD2075" s="54" t="s">
        <v>2</v>
      </c>
      <c r="AE2075" s="54" t="s">
        <v>2</v>
      </c>
      <c r="AF2075" s="54" t="s">
        <v>2</v>
      </c>
      <c r="AG2075" s="54" t="s">
        <v>2</v>
      </c>
    </row>
    <row r="2076" ht="15.75" customHeight="1">
      <c r="B2076" s="56"/>
      <c r="U2076" s="46" t="str">
        <f t="array" ref="U2076">IF($D2076="","",IFERROR(_xlfn.XLOOKUP($D2076,'TIR店舗一覧'!$D:$D,'TIR店舗一覧'!$E:$E,""),""))</f>
        <v/>
      </c>
      <c r="V2076" s="54" t="s">
        <v>2</v>
      </c>
      <c r="W2076" s="54" t="s">
        <v>2</v>
      </c>
      <c r="X2076" s="54" t="s">
        <v>2</v>
      </c>
      <c r="Y2076" s="54" t="s">
        <v>2</v>
      </c>
      <c r="Z2076" s="54" t="s">
        <v>2</v>
      </c>
      <c r="AA2076" s="54" t="s">
        <v>2</v>
      </c>
      <c r="AB2076" s="54" t="s">
        <v>2</v>
      </c>
      <c r="AC2076" s="54" t="s">
        <v>2</v>
      </c>
      <c r="AD2076" s="54" t="s">
        <v>2</v>
      </c>
      <c r="AE2076" s="54" t="s">
        <v>2</v>
      </c>
      <c r="AF2076" s="54" t="s">
        <v>2</v>
      </c>
      <c r="AG2076" s="54" t="s">
        <v>2</v>
      </c>
    </row>
    <row r="2077" ht="15.75" customHeight="1">
      <c r="B2077" s="56"/>
      <c r="U2077" s="46" t="str">
        <f t="array" ref="U2077">IF($D2077="","",IFERROR(_xlfn.XLOOKUP($D2077,'TIR店舗一覧'!$D:$D,'TIR店舗一覧'!$E:$E,""),""))</f>
        <v/>
      </c>
      <c r="V2077" s="54" t="s">
        <v>2</v>
      </c>
      <c r="W2077" s="54" t="s">
        <v>2</v>
      </c>
      <c r="X2077" s="54" t="s">
        <v>2</v>
      </c>
      <c r="Y2077" s="54" t="s">
        <v>2</v>
      </c>
      <c r="Z2077" s="54" t="s">
        <v>2</v>
      </c>
      <c r="AA2077" s="54" t="s">
        <v>2</v>
      </c>
      <c r="AB2077" s="54" t="s">
        <v>2</v>
      </c>
      <c r="AC2077" s="54" t="s">
        <v>2</v>
      </c>
      <c r="AD2077" s="54" t="s">
        <v>2</v>
      </c>
      <c r="AE2077" s="54" t="s">
        <v>2</v>
      </c>
      <c r="AF2077" s="54" t="s">
        <v>2</v>
      </c>
      <c r="AG2077" s="54" t="s">
        <v>2</v>
      </c>
    </row>
    <row r="2078" ht="15.75" customHeight="1">
      <c r="B2078" s="56"/>
      <c r="U2078" s="46" t="str">
        <f t="array" ref="U2078">IF($D2078="","",IFERROR(_xlfn.XLOOKUP($D2078,'TIR店舗一覧'!$D:$D,'TIR店舗一覧'!$E:$E,""),""))</f>
        <v/>
      </c>
      <c r="V2078" s="54" t="s">
        <v>2</v>
      </c>
      <c r="W2078" s="54" t="s">
        <v>2</v>
      </c>
      <c r="X2078" s="54" t="s">
        <v>2</v>
      </c>
      <c r="Y2078" s="54" t="s">
        <v>2</v>
      </c>
      <c r="Z2078" s="54" t="s">
        <v>2</v>
      </c>
      <c r="AA2078" s="54" t="s">
        <v>2</v>
      </c>
      <c r="AB2078" s="54" t="s">
        <v>2</v>
      </c>
      <c r="AC2078" s="54" t="s">
        <v>2</v>
      </c>
      <c r="AD2078" s="54" t="s">
        <v>2</v>
      </c>
      <c r="AE2078" s="54" t="s">
        <v>2</v>
      </c>
      <c r="AF2078" s="54" t="s">
        <v>2</v>
      </c>
      <c r="AG2078" s="54" t="s">
        <v>2</v>
      </c>
    </row>
    <row r="2079" ht="15.75" customHeight="1">
      <c r="B2079" s="56"/>
      <c r="U2079" s="46" t="str">
        <f t="array" ref="U2079">IF($D2079="","",IFERROR(_xlfn.XLOOKUP($D2079,'TIR店舗一覧'!$D:$D,'TIR店舗一覧'!$E:$E,""),""))</f>
        <v/>
      </c>
      <c r="V2079" s="54" t="s">
        <v>2</v>
      </c>
      <c r="W2079" s="54" t="s">
        <v>2</v>
      </c>
      <c r="X2079" s="54" t="s">
        <v>2</v>
      </c>
      <c r="Y2079" s="54" t="s">
        <v>2</v>
      </c>
      <c r="Z2079" s="54" t="s">
        <v>2</v>
      </c>
      <c r="AA2079" s="54" t="s">
        <v>2</v>
      </c>
      <c r="AB2079" s="54" t="s">
        <v>2</v>
      </c>
      <c r="AC2079" s="54" t="s">
        <v>2</v>
      </c>
      <c r="AD2079" s="54" t="s">
        <v>2</v>
      </c>
      <c r="AE2079" s="54" t="s">
        <v>2</v>
      </c>
      <c r="AF2079" s="54" t="s">
        <v>2</v>
      </c>
      <c r="AG2079" s="54" t="s">
        <v>2</v>
      </c>
    </row>
    <row r="2080" ht="15.75" customHeight="1">
      <c r="B2080" s="56"/>
      <c r="U2080" s="46" t="str">
        <f t="array" ref="U2080">IF($D2080="","",IFERROR(_xlfn.XLOOKUP($D2080,'TIR店舗一覧'!$D:$D,'TIR店舗一覧'!$E:$E,""),""))</f>
        <v/>
      </c>
      <c r="V2080" s="54" t="s">
        <v>2</v>
      </c>
      <c r="W2080" s="54" t="s">
        <v>2</v>
      </c>
      <c r="X2080" s="54" t="s">
        <v>2</v>
      </c>
      <c r="Y2080" s="54" t="s">
        <v>2</v>
      </c>
      <c r="Z2080" s="54" t="s">
        <v>2</v>
      </c>
      <c r="AA2080" s="54" t="s">
        <v>2</v>
      </c>
      <c r="AB2080" s="54" t="s">
        <v>2</v>
      </c>
      <c r="AC2080" s="54" t="s">
        <v>2</v>
      </c>
      <c r="AD2080" s="54" t="s">
        <v>2</v>
      </c>
      <c r="AE2080" s="54" t="s">
        <v>2</v>
      </c>
      <c r="AF2080" s="54" t="s">
        <v>2</v>
      </c>
      <c r="AG2080" s="54" t="s">
        <v>2</v>
      </c>
    </row>
    <row r="2081" ht="15.75" customHeight="1">
      <c r="B2081" s="56"/>
      <c r="U2081" s="46" t="str">
        <f t="array" ref="U2081">IF($D2081="","",IFERROR(_xlfn.XLOOKUP($D2081,'TIR店舗一覧'!$D:$D,'TIR店舗一覧'!$E:$E,""),""))</f>
        <v/>
      </c>
      <c r="V2081" s="54" t="s">
        <v>2</v>
      </c>
      <c r="W2081" s="54" t="s">
        <v>2</v>
      </c>
      <c r="X2081" s="54" t="s">
        <v>2</v>
      </c>
      <c r="Y2081" s="54" t="s">
        <v>2</v>
      </c>
      <c r="Z2081" s="54" t="s">
        <v>2</v>
      </c>
      <c r="AA2081" s="54" t="s">
        <v>2</v>
      </c>
      <c r="AB2081" s="54" t="s">
        <v>2</v>
      </c>
      <c r="AC2081" s="54" t="s">
        <v>2</v>
      </c>
      <c r="AD2081" s="54" t="s">
        <v>2</v>
      </c>
      <c r="AE2081" s="54" t="s">
        <v>2</v>
      </c>
      <c r="AF2081" s="54" t="s">
        <v>2</v>
      </c>
      <c r="AG2081" s="54" t="s">
        <v>2</v>
      </c>
    </row>
    <row r="2082" ht="15.75" customHeight="1">
      <c r="B2082" s="56"/>
      <c r="U2082" s="46" t="str">
        <f t="array" ref="U2082">IF($D2082="","",IFERROR(_xlfn.XLOOKUP($D2082,'TIR店舗一覧'!$D:$D,'TIR店舗一覧'!$E:$E,""),""))</f>
        <v/>
      </c>
      <c r="V2082" s="54" t="s">
        <v>2</v>
      </c>
      <c r="W2082" s="54" t="s">
        <v>2</v>
      </c>
      <c r="X2082" s="54" t="s">
        <v>2</v>
      </c>
      <c r="Y2082" s="54" t="s">
        <v>2</v>
      </c>
      <c r="Z2082" s="54" t="s">
        <v>2</v>
      </c>
      <c r="AA2082" s="54" t="s">
        <v>2</v>
      </c>
      <c r="AB2082" s="54" t="s">
        <v>2</v>
      </c>
      <c r="AC2082" s="54" t="s">
        <v>2</v>
      </c>
      <c r="AD2082" s="54" t="s">
        <v>2</v>
      </c>
      <c r="AE2082" s="54" t="s">
        <v>2</v>
      </c>
      <c r="AF2082" s="54" t="s">
        <v>2</v>
      </c>
      <c r="AG2082" s="54" t="s">
        <v>2</v>
      </c>
    </row>
    <row r="2083" ht="15.75" customHeight="1">
      <c r="B2083" s="56"/>
      <c r="U2083" s="46" t="str">
        <f t="array" ref="U2083">IF($D2083="","",IFERROR(_xlfn.XLOOKUP($D2083,'TIR店舗一覧'!$D:$D,'TIR店舗一覧'!$E:$E,""),""))</f>
        <v/>
      </c>
      <c r="V2083" s="54" t="s">
        <v>2</v>
      </c>
      <c r="W2083" s="54" t="s">
        <v>2</v>
      </c>
      <c r="X2083" s="54" t="s">
        <v>2</v>
      </c>
      <c r="Y2083" s="54" t="s">
        <v>2</v>
      </c>
      <c r="Z2083" s="54" t="s">
        <v>2</v>
      </c>
      <c r="AA2083" s="54" t="s">
        <v>2</v>
      </c>
      <c r="AB2083" s="54" t="s">
        <v>2</v>
      </c>
      <c r="AC2083" s="54" t="s">
        <v>2</v>
      </c>
      <c r="AD2083" s="54" t="s">
        <v>2</v>
      </c>
      <c r="AE2083" s="54" t="s">
        <v>2</v>
      </c>
      <c r="AF2083" s="54" t="s">
        <v>2</v>
      </c>
      <c r="AG2083" s="54" t="s">
        <v>2</v>
      </c>
    </row>
    <row r="2084" ht="15.75" customHeight="1">
      <c r="B2084" s="56"/>
      <c r="U2084" s="46" t="str">
        <f t="array" ref="U2084">IF($D2084="","",IFERROR(_xlfn.XLOOKUP($D2084,'TIR店舗一覧'!$D:$D,'TIR店舗一覧'!$E:$E,""),""))</f>
        <v/>
      </c>
      <c r="V2084" s="54" t="s">
        <v>2</v>
      </c>
      <c r="W2084" s="54" t="s">
        <v>2</v>
      </c>
      <c r="X2084" s="54" t="s">
        <v>2</v>
      </c>
      <c r="Y2084" s="54" t="s">
        <v>2</v>
      </c>
      <c r="Z2084" s="54" t="s">
        <v>2</v>
      </c>
      <c r="AA2084" s="54" t="s">
        <v>2</v>
      </c>
      <c r="AB2084" s="54" t="s">
        <v>2</v>
      </c>
      <c r="AC2084" s="54" t="s">
        <v>2</v>
      </c>
      <c r="AD2084" s="54" t="s">
        <v>2</v>
      </c>
      <c r="AE2084" s="54" t="s">
        <v>2</v>
      </c>
      <c r="AF2084" s="54" t="s">
        <v>2</v>
      </c>
      <c r="AG2084" s="54" t="s">
        <v>2</v>
      </c>
    </row>
    <row r="2085" ht="15.75" customHeight="1">
      <c r="B2085" s="56"/>
      <c r="U2085" s="46" t="str">
        <f t="array" ref="U2085">IF($D2085="","",IFERROR(_xlfn.XLOOKUP($D2085,'TIR店舗一覧'!$D:$D,'TIR店舗一覧'!$E:$E,""),""))</f>
        <v/>
      </c>
      <c r="V2085" s="54" t="s">
        <v>2</v>
      </c>
      <c r="W2085" s="54" t="s">
        <v>2</v>
      </c>
      <c r="X2085" s="54" t="s">
        <v>2</v>
      </c>
      <c r="Y2085" s="54" t="s">
        <v>2</v>
      </c>
      <c r="Z2085" s="54" t="s">
        <v>2</v>
      </c>
      <c r="AA2085" s="54" t="s">
        <v>2</v>
      </c>
      <c r="AB2085" s="54" t="s">
        <v>2</v>
      </c>
      <c r="AC2085" s="54" t="s">
        <v>2</v>
      </c>
      <c r="AD2085" s="54" t="s">
        <v>2</v>
      </c>
      <c r="AE2085" s="54" t="s">
        <v>2</v>
      </c>
      <c r="AF2085" s="54" t="s">
        <v>2</v>
      </c>
      <c r="AG2085" s="54" t="s">
        <v>2</v>
      </c>
    </row>
    <row r="2086" ht="15.75" customHeight="1">
      <c r="B2086" s="56"/>
      <c r="U2086" s="46" t="str">
        <f t="array" ref="U2086">IF($D2086="","",IFERROR(_xlfn.XLOOKUP($D2086,'TIR店舗一覧'!$D:$D,'TIR店舗一覧'!$E:$E,""),""))</f>
        <v/>
      </c>
      <c r="V2086" s="54" t="s">
        <v>2</v>
      </c>
      <c r="W2086" s="54" t="s">
        <v>2</v>
      </c>
      <c r="X2086" s="54" t="s">
        <v>2</v>
      </c>
      <c r="Y2086" s="54" t="s">
        <v>2</v>
      </c>
      <c r="Z2086" s="54" t="s">
        <v>2</v>
      </c>
      <c r="AA2086" s="54" t="s">
        <v>2</v>
      </c>
      <c r="AB2086" s="54" t="s">
        <v>2</v>
      </c>
      <c r="AC2086" s="54" t="s">
        <v>2</v>
      </c>
      <c r="AD2086" s="54" t="s">
        <v>2</v>
      </c>
      <c r="AE2086" s="54" t="s">
        <v>2</v>
      </c>
      <c r="AF2086" s="54" t="s">
        <v>2</v>
      </c>
      <c r="AG2086" s="54" t="s">
        <v>2</v>
      </c>
    </row>
    <row r="2087" ht="15.75" customHeight="1">
      <c r="B2087" s="56"/>
      <c r="U2087" s="46" t="str">
        <f t="array" ref="U2087">IF($D2087="","",IFERROR(_xlfn.XLOOKUP($D2087,'TIR店舗一覧'!$D:$D,'TIR店舗一覧'!$E:$E,""),""))</f>
        <v/>
      </c>
      <c r="V2087" s="54" t="s">
        <v>2</v>
      </c>
      <c r="W2087" s="54" t="s">
        <v>2</v>
      </c>
      <c r="X2087" s="54" t="s">
        <v>2</v>
      </c>
      <c r="Y2087" s="54" t="s">
        <v>2</v>
      </c>
      <c r="Z2087" s="54" t="s">
        <v>2</v>
      </c>
      <c r="AA2087" s="54" t="s">
        <v>2</v>
      </c>
      <c r="AB2087" s="54" t="s">
        <v>2</v>
      </c>
      <c r="AC2087" s="54" t="s">
        <v>2</v>
      </c>
      <c r="AD2087" s="54" t="s">
        <v>2</v>
      </c>
      <c r="AE2087" s="54" t="s">
        <v>2</v>
      </c>
      <c r="AF2087" s="54" t="s">
        <v>2</v>
      </c>
      <c r="AG2087" s="54" t="s">
        <v>2</v>
      </c>
    </row>
    <row r="2088" ht="15.75" customHeight="1">
      <c r="B2088" s="56"/>
      <c r="U2088" s="46" t="str">
        <f t="array" ref="U2088">IF($D2088="","",IFERROR(_xlfn.XLOOKUP($D2088,'TIR店舗一覧'!$D:$D,'TIR店舗一覧'!$E:$E,""),""))</f>
        <v/>
      </c>
      <c r="V2088" s="54" t="s">
        <v>2</v>
      </c>
      <c r="W2088" s="54" t="s">
        <v>2</v>
      </c>
      <c r="X2088" s="54" t="s">
        <v>2</v>
      </c>
      <c r="Y2088" s="54" t="s">
        <v>2</v>
      </c>
      <c r="Z2088" s="54" t="s">
        <v>2</v>
      </c>
      <c r="AA2088" s="54" t="s">
        <v>2</v>
      </c>
      <c r="AB2088" s="54" t="s">
        <v>2</v>
      </c>
      <c r="AC2088" s="54" t="s">
        <v>2</v>
      </c>
      <c r="AD2088" s="54" t="s">
        <v>2</v>
      </c>
      <c r="AE2088" s="54" t="s">
        <v>2</v>
      </c>
      <c r="AF2088" s="54" t="s">
        <v>2</v>
      </c>
      <c r="AG2088" s="54" t="s">
        <v>2</v>
      </c>
    </row>
    <row r="2089" ht="15.75" customHeight="1">
      <c r="B2089" s="56"/>
      <c r="U2089" s="46" t="str">
        <f t="array" ref="U2089">IF($D2089="","",IFERROR(_xlfn.XLOOKUP($D2089,'TIR店舗一覧'!$D:$D,'TIR店舗一覧'!$E:$E,""),""))</f>
        <v/>
      </c>
      <c r="V2089" s="54" t="s">
        <v>2</v>
      </c>
      <c r="W2089" s="54" t="s">
        <v>2</v>
      </c>
      <c r="X2089" s="54" t="s">
        <v>2</v>
      </c>
      <c r="Y2089" s="54" t="s">
        <v>2</v>
      </c>
      <c r="Z2089" s="54" t="s">
        <v>2</v>
      </c>
      <c r="AA2089" s="54" t="s">
        <v>2</v>
      </c>
      <c r="AB2089" s="54" t="s">
        <v>2</v>
      </c>
      <c r="AC2089" s="54" t="s">
        <v>2</v>
      </c>
      <c r="AD2089" s="54" t="s">
        <v>2</v>
      </c>
      <c r="AE2089" s="54" t="s">
        <v>2</v>
      </c>
      <c r="AF2089" s="54" t="s">
        <v>2</v>
      </c>
      <c r="AG2089" s="54" t="s">
        <v>2</v>
      </c>
    </row>
    <row r="2090" ht="15.75" customHeight="1">
      <c r="B2090" s="56"/>
      <c r="U2090" s="46" t="str">
        <f t="array" ref="U2090">IF($D2090="","",IFERROR(_xlfn.XLOOKUP($D2090,'TIR店舗一覧'!$D:$D,'TIR店舗一覧'!$E:$E,""),""))</f>
        <v/>
      </c>
      <c r="V2090" s="54" t="s">
        <v>2</v>
      </c>
      <c r="W2090" s="54" t="s">
        <v>2</v>
      </c>
      <c r="X2090" s="54" t="s">
        <v>2</v>
      </c>
      <c r="Y2090" s="54" t="s">
        <v>2</v>
      </c>
      <c r="Z2090" s="54" t="s">
        <v>2</v>
      </c>
      <c r="AA2090" s="54" t="s">
        <v>2</v>
      </c>
      <c r="AB2090" s="54" t="s">
        <v>2</v>
      </c>
      <c r="AC2090" s="54" t="s">
        <v>2</v>
      </c>
      <c r="AD2090" s="54" t="s">
        <v>2</v>
      </c>
      <c r="AE2090" s="54" t="s">
        <v>2</v>
      </c>
      <c r="AF2090" s="54" t="s">
        <v>2</v>
      </c>
      <c r="AG2090" s="54" t="s">
        <v>2</v>
      </c>
    </row>
    <row r="2091" ht="15.75" customHeight="1">
      <c r="B2091" s="56"/>
      <c r="U2091" s="46" t="str">
        <f t="array" ref="U2091">IF($D2091="","",IFERROR(_xlfn.XLOOKUP($D2091,'TIR店舗一覧'!$D:$D,'TIR店舗一覧'!$E:$E,""),""))</f>
        <v/>
      </c>
      <c r="V2091" s="54" t="s">
        <v>2</v>
      </c>
      <c r="W2091" s="54" t="s">
        <v>2</v>
      </c>
      <c r="X2091" s="54" t="s">
        <v>2</v>
      </c>
      <c r="Y2091" s="54" t="s">
        <v>2</v>
      </c>
      <c r="Z2091" s="54" t="s">
        <v>2</v>
      </c>
      <c r="AA2091" s="54" t="s">
        <v>2</v>
      </c>
      <c r="AB2091" s="54" t="s">
        <v>2</v>
      </c>
      <c r="AC2091" s="54" t="s">
        <v>2</v>
      </c>
      <c r="AD2091" s="54" t="s">
        <v>2</v>
      </c>
      <c r="AE2091" s="54" t="s">
        <v>2</v>
      </c>
      <c r="AF2091" s="54" t="s">
        <v>2</v>
      </c>
      <c r="AG2091" s="54" t="s">
        <v>2</v>
      </c>
    </row>
    <row r="2092" ht="15.75" customHeight="1">
      <c r="B2092" s="56"/>
      <c r="U2092" s="46" t="str">
        <f t="array" ref="U2092">IF($D2092="","",IFERROR(_xlfn.XLOOKUP($D2092,'TIR店舗一覧'!$D:$D,'TIR店舗一覧'!$E:$E,""),""))</f>
        <v/>
      </c>
      <c r="V2092" s="54" t="s">
        <v>2</v>
      </c>
      <c r="W2092" s="54" t="s">
        <v>2</v>
      </c>
      <c r="X2092" s="54" t="s">
        <v>2</v>
      </c>
      <c r="Y2092" s="54" t="s">
        <v>2</v>
      </c>
      <c r="Z2092" s="54" t="s">
        <v>2</v>
      </c>
      <c r="AA2092" s="54" t="s">
        <v>2</v>
      </c>
      <c r="AB2092" s="54" t="s">
        <v>2</v>
      </c>
      <c r="AC2092" s="54" t="s">
        <v>2</v>
      </c>
      <c r="AD2092" s="54" t="s">
        <v>2</v>
      </c>
      <c r="AE2092" s="54" t="s">
        <v>2</v>
      </c>
      <c r="AF2092" s="54" t="s">
        <v>2</v>
      </c>
      <c r="AG2092" s="54" t="s">
        <v>2</v>
      </c>
    </row>
    <row r="2093" ht="15.75" customHeight="1">
      <c r="B2093" s="56"/>
      <c r="U2093" s="46" t="str">
        <f t="array" ref="U2093">IF($D2093="","",IFERROR(_xlfn.XLOOKUP($D2093,'TIR店舗一覧'!$D:$D,'TIR店舗一覧'!$E:$E,""),""))</f>
        <v/>
      </c>
      <c r="V2093" s="54" t="s">
        <v>2</v>
      </c>
      <c r="W2093" s="54" t="s">
        <v>2</v>
      </c>
      <c r="X2093" s="54" t="s">
        <v>2</v>
      </c>
      <c r="Y2093" s="54" t="s">
        <v>2</v>
      </c>
      <c r="Z2093" s="54" t="s">
        <v>2</v>
      </c>
      <c r="AA2093" s="54" t="s">
        <v>2</v>
      </c>
      <c r="AB2093" s="54" t="s">
        <v>2</v>
      </c>
      <c r="AC2093" s="54" t="s">
        <v>2</v>
      </c>
      <c r="AD2093" s="54" t="s">
        <v>2</v>
      </c>
      <c r="AE2093" s="54" t="s">
        <v>2</v>
      </c>
      <c r="AF2093" s="54" t="s">
        <v>2</v>
      </c>
      <c r="AG2093" s="54" t="s">
        <v>2</v>
      </c>
    </row>
    <row r="2094" ht="15.75" customHeight="1">
      <c r="B2094" s="56"/>
      <c r="U2094" s="46" t="str">
        <f t="array" ref="U2094">IF($D2094="","",IFERROR(_xlfn.XLOOKUP($D2094,'TIR店舗一覧'!$D:$D,'TIR店舗一覧'!$E:$E,""),""))</f>
        <v/>
      </c>
      <c r="V2094" s="54" t="s">
        <v>2</v>
      </c>
      <c r="W2094" s="54" t="s">
        <v>2</v>
      </c>
      <c r="X2094" s="54" t="s">
        <v>2</v>
      </c>
      <c r="Y2094" s="54" t="s">
        <v>2</v>
      </c>
      <c r="Z2094" s="54" t="s">
        <v>2</v>
      </c>
      <c r="AA2094" s="54" t="s">
        <v>2</v>
      </c>
      <c r="AB2094" s="54" t="s">
        <v>2</v>
      </c>
      <c r="AC2094" s="54" t="s">
        <v>2</v>
      </c>
      <c r="AD2094" s="54" t="s">
        <v>2</v>
      </c>
      <c r="AE2094" s="54" t="s">
        <v>2</v>
      </c>
      <c r="AF2094" s="54" t="s">
        <v>2</v>
      </c>
      <c r="AG2094" s="54" t="s">
        <v>2</v>
      </c>
    </row>
    <row r="2095" ht="15.75" customHeight="1">
      <c r="B2095" s="56"/>
      <c r="U2095" s="46" t="str">
        <f t="array" ref="U2095">IF($D2095="","",IFERROR(_xlfn.XLOOKUP($D2095,'TIR店舗一覧'!$D:$D,'TIR店舗一覧'!$E:$E,""),""))</f>
        <v/>
      </c>
      <c r="V2095" s="54" t="s">
        <v>2</v>
      </c>
      <c r="W2095" s="54" t="s">
        <v>2</v>
      </c>
      <c r="X2095" s="54" t="s">
        <v>2</v>
      </c>
      <c r="Y2095" s="54" t="s">
        <v>2</v>
      </c>
      <c r="Z2095" s="54" t="s">
        <v>2</v>
      </c>
      <c r="AA2095" s="54" t="s">
        <v>2</v>
      </c>
      <c r="AB2095" s="54" t="s">
        <v>2</v>
      </c>
      <c r="AC2095" s="54" t="s">
        <v>2</v>
      </c>
      <c r="AD2095" s="54" t="s">
        <v>2</v>
      </c>
      <c r="AE2095" s="54" t="s">
        <v>2</v>
      </c>
      <c r="AF2095" s="54" t="s">
        <v>2</v>
      </c>
      <c r="AG2095" s="54" t="s">
        <v>2</v>
      </c>
    </row>
    <row r="2096" ht="15.75" customHeight="1">
      <c r="B2096" s="56"/>
      <c r="U2096" s="46" t="str">
        <f t="array" ref="U2096">IF($D2096="","",IFERROR(_xlfn.XLOOKUP($D2096,'TIR店舗一覧'!$D:$D,'TIR店舗一覧'!$E:$E,""),""))</f>
        <v/>
      </c>
      <c r="V2096" s="54" t="s">
        <v>2</v>
      </c>
      <c r="W2096" s="54" t="s">
        <v>2</v>
      </c>
      <c r="X2096" s="54" t="s">
        <v>2</v>
      </c>
      <c r="Y2096" s="54" t="s">
        <v>2</v>
      </c>
      <c r="Z2096" s="54" t="s">
        <v>2</v>
      </c>
      <c r="AA2096" s="54" t="s">
        <v>2</v>
      </c>
      <c r="AB2096" s="54" t="s">
        <v>2</v>
      </c>
      <c r="AC2096" s="54" t="s">
        <v>2</v>
      </c>
      <c r="AD2096" s="54" t="s">
        <v>2</v>
      </c>
      <c r="AE2096" s="54" t="s">
        <v>2</v>
      </c>
      <c r="AF2096" s="54" t="s">
        <v>2</v>
      </c>
      <c r="AG2096" s="54" t="s">
        <v>2</v>
      </c>
    </row>
    <row r="2097" ht="15.75" customHeight="1">
      <c r="B2097" s="56"/>
      <c r="U2097" s="46" t="str">
        <f t="array" ref="U2097">IF($D2097="","",IFERROR(_xlfn.XLOOKUP($D2097,'TIR店舗一覧'!$D:$D,'TIR店舗一覧'!$E:$E,""),""))</f>
        <v/>
      </c>
      <c r="V2097" s="54" t="s">
        <v>2</v>
      </c>
      <c r="W2097" s="54" t="s">
        <v>2</v>
      </c>
      <c r="X2097" s="54" t="s">
        <v>2</v>
      </c>
      <c r="Y2097" s="54" t="s">
        <v>2</v>
      </c>
      <c r="Z2097" s="54" t="s">
        <v>2</v>
      </c>
      <c r="AA2097" s="54" t="s">
        <v>2</v>
      </c>
      <c r="AB2097" s="54" t="s">
        <v>2</v>
      </c>
      <c r="AC2097" s="54" t="s">
        <v>2</v>
      </c>
      <c r="AD2097" s="54" t="s">
        <v>2</v>
      </c>
      <c r="AE2097" s="54" t="s">
        <v>2</v>
      </c>
      <c r="AF2097" s="54" t="s">
        <v>2</v>
      </c>
      <c r="AG2097" s="54" t="s">
        <v>2</v>
      </c>
    </row>
    <row r="2098" ht="15.75" customHeight="1">
      <c r="B2098" s="56"/>
      <c r="U2098" s="46" t="str">
        <f t="array" ref="U2098">IF($D2098="","",IFERROR(_xlfn.XLOOKUP($D2098,'TIR店舗一覧'!$D:$D,'TIR店舗一覧'!$E:$E,""),""))</f>
        <v/>
      </c>
      <c r="V2098" s="54" t="s">
        <v>2</v>
      </c>
      <c r="W2098" s="54" t="s">
        <v>2</v>
      </c>
      <c r="X2098" s="54" t="s">
        <v>2</v>
      </c>
      <c r="Y2098" s="54" t="s">
        <v>2</v>
      </c>
      <c r="Z2098" s="54" t="s">
        <v>2</v>
      </c>
      <c r="AA2098" s="54" t="s">
        <v>2</v>
      </c>
      <c r="AB2098" s="54" t="s">
        <v>2</v>
      </c>
      <c r="AC2098" s="54" t="s">
        <v>2</v>
      </c>
      <c r="AD2098" s="54" t="s">
        <v>2</v>
      </c>
      <c r="AE2098" s="54" t="s">
        <v>2</v>
      </c>
      <c r="AF2098" s="54" t="s">
        <v>2</v>
      </c>
      <c r="AG2098" s="54" t="s">
        <v>2</v>
      </c>
    </row>
    <row r="2099" ht="15.75" customHeight="1">
      <c r="B2099" s="56"/>
      <c r="U2099" s="46" t="str">
        <f t="array" ref="U2099">IF($D2099="","",IFERROR(_xlfn.XLOOKUP($D2099,'TIR店舗一覧'!$D:$D,'TIR店舗一覧'!$E:$E,""),""))</f>
        <v/>
      </c>
      <c r="V2099" s="54" t="s">
        <v>2</v>
      </c>
      <c r="W2099" s="54" t="s">
        <v>2</v>
      </c>
      <c r="X2099" s="54" t="s">
        <v>2</v>
      </c>
      <c r="Y2099" s="54" t="s">
        <v>2</v>
      </c>
      <c r="Z2099" s="54" t="s">
        <v>2</v>
      </c>
      <c r="AA2099" s="54" t="s">
        <v>2</v>
      </c>
      <c r="AB2099" s="54" t="s">
        <v>2</v>
      </c>
      <c r="AC2099" s="54" t="s">
        <v>2</v>
      </c>
      <c r="AD2099" s="54" t="s">
        <v>2</v>
      </c>
      <c r="AE2099" s="54" t="s">
        <v>2</v>
      </c>
      <c r="AF2099" s="54" t="s">
        <v>2</v>
      </c>
      <c r="AG2099" s="54" t="s">
        <v>2</v>
      </c>
    </row>
    <row r="2100" ht="15.75" customHeight="1">
      <c r="B2100" s="56"/>
      <c r="U2100" s="46" t="str">
        <f t="array" ref="U2100">IF($D2100="","",IFERROR(_xlfn.XLOOKUP($D2100,'TIR店舗一覧'!$D:$D,'TIR店舗一覧'!$E:$E,""),""))</f>
        <v/>
      </c>
      <c r="V2100" s="54" t="s">
        <v>2</v>
      </c>
      <c r="W2100" s="54" t="s">
        <v>2</v>
      </c>
      <c r="X2100" s="54" t="s">
        <v>2</v>
      </c>
      <c r="Y2100" s="54" t="s">
        <v>2</v>
      </c>
      <c r="Z2100" s="54" t="s">
        <v>2</v>
      </c>
      <c r="AA2100" s="54" t="s">
        <v>2</v>
      </c>
      <c r="AB2100" s="54" t="s">
        <v>2</v>
      </c>
      <c r="AC2100" s="54" t="s">
        <v>2</v>
      </c>
      <c r="AD2100" s="54" t="s">
        <v>2</v>
      </c>
      <c r="AE2100" s="54" t="s">
        <v>2</v>
      </c>
      <c r="AF2100" s="54" t="s">
        <v>2</v>
      </c>
      <c r="AG2100" s="54" t="s">
        <v>2</v>
      </c>
    </row>
    <row r="2101" ht="15.75" customHeight="1">
      <c r="B2101" s="56"/>
      <c r="U2101" s="46" t="str">
        <f t="array" ref="U2101">IF($D2101="","",IFERROR(_xlfn.XLOOKUP($D2101,'TIR店舗一覧'!$D:$D,'TIR店舗一覧'!$E:$E,""),""))</f>
        <v/>
      </c>
      <c r="V2101" s="54" t="s">
        <v>2</v>
      </c>
      <c r="W2101" s="54" t="s">
        <v>2</v>
      </c>
      <c r="X2101" s="54" t="s">
        <v>2</v>
      </c>
      <c r="Y2101" s="54" t="s">
        <v>2</v>
      </c>
      <c r="Z2101" s="54" t="s">
        <v>2</v>
      </c>
      <c r="AA2101" s="54" t="s">
        <v>2</v>
      </c>
      <c r="AB2101" s="54" t="s">
        <v>2</v>
      </c>
      <c r="AC2101" s="54" t="s">
        <v>2</v>
      </c>
      <c r="AD2101" s="54" t="s">
        <v>2</v>
      </c>
      <c r="AE2101" s="54" t="s">
        <v>2</v>
      </c>
      <c r="AF2101" s="54" t="s">
        <v>2</v>
      </c>
      <c r="AG2101" s="54" t="s">
        <v>2</v>
      </c>
    </row>
    <row r="2102" ht="15.75" customHeight="1">
      <c r="B2102" s="56"/>
      <c r="U2102" s="46" t="str">
        <f t="array" ref="U2102">IF($D2102="","",IFERROR(_xlfn.XLOOKUP($D2102,'TIR店舗一覧'!$D:$D,'TIR店舗一覧'!$E:$E,""),""))</f>
        <v/>
      </c>
      <c r="V2102" s="54" t="s">
        <v>2</v>
      </c>
      <c r="W2102" s="54" t="s">
        <v>2</v>
      </c>
      <c r="X2102" s="54" t="s">
        <v>2</v>
      </c>
      <c r="Y2102" s="54" t="s">
        <v>2</v>
      </c>
      <c r="Z2102" s="54" t="s">
        <v>2</v>
      </c>
      <c r="AA2102" s="54" t="s">
        <v>2</v>
      </c>
      <c r="AB2102" s="54" t="s">
        <v>2</v>
      </c>
      <c r="AC2102" s="54" t="s">
        <v>2</v>
      </c>
      <c r="AD2102" s="54" t="s">
        <v>2</v>
      </c>
      <c r="AE2102" s="54" t="s">
        <v>2</v>
      </c>
      <c r="AF2102" s="54" t="s">
        <v>2</v>
      </c>
      <c r="AG2102" s="54" t="s">
        <v>2</v>
      </c>
    </row>
    <row r="2103" ht="15.75" customHeight="1">
      <c r="B2103" s="56"/>
      <c r="U2103" s="46" t="str">
        <f t="array" ref="U2103">IF($D2103="","",IFERROR(_xlfn.XLOOKUP($D2103,'TIR店舗一覧'!$D:$D,'TIR店舗一覧'!$E:$E,""),""))</f>
        <v/>
      </c>
      <c r="V2103" s="54" t="s">
        <v>2</v>
      </c>
      <c r="W2103" s="54" t="s">
        <v>2</v>
      </c>
      <c r="X2103" s="54" t="s">
        <v>2</v>
      </c>
      <c r="Y2103" s="54" t="s">
        <v>2</v>
      </c>
      <c r="Z2103" s="54" t="s">
        <v>2</v>
      </c>
      <c r="AA2103" s="54" t="s">
        <v>2</v>
      </c>
      <c r="AB2103" s="54" t="s">
        <v>2</v>
      </c>
      <c r="AC2103" s="54" t="s">
        <v>2</v>
      </c>
      <c r="AD2103" s="54" t="s">
        <v>2</v>
      </c>
      <c r="AE2103" s="54" t="s">
        <v>2</v>
      </c>
      <c r="AF2103" s="54" t="s">
        <v>2</v>
      </c>
      <c r="AG2103" s="54" t="s">
        <v>2</v>
      </c>
    </row>
    <row r="2104" ht="15.75" customHeight="1">
      <c r="B2104" s="56"/>
      <c r="U2104" s="46" t="str">
        <f t="array" ref="U2104">IF($D2104="","",IFERROR(_xlfn.XLOOKUP($D2104,'TIR店舗一覧'!$D:$D,'TIR店舗一覧'!$E:$E,""),""))</f>
        <v/>
      </c>
      <c r="V2104" s="54" t="s">
        <v>2</v>
      </c>
      <c r="W2104" s="54" t="s">
        <v>2</v>
      </c>
      <c r="X2104" s="54" t="s">
        <v>2</v>
      </c>
      <c r="Y2104" s="54" t="s">
        <v>2</v>
      </c>
      <c r="Z2104" s="54" t="s">
        <v>2</v>
      </c>
      <c r="AA2104" s="54" t="s">
        <v>2</v>
      </c>
      <c r="AB2104" s="54" t="s">
        <v>2</v>
      </c>
      <c r="AC2104" s="54" t="s">
        <v>2</v>
      </c>
      <c r="AD2104" s="54" t="s">
        <v>2</v>
      </c>
      <c r="AE2104" s="54" t="s">
        <v>2</v>
      </c>
      <c r="AF2104" s="54" t="s">
        <v>2</v>
      </c>
      <c r="AG2104" s="54" t="s">
        <v>2</v>
      </c>
    </row>
    <row r="2105" ht="15.75" customHeight="1">
      <c r="B2105" s="56"/>
      <c r="U2105" s="46" t="str">
        <f t="array" ref="U2105">IF($D2105="","",IFERROR(_xlfn.XLOOKUP($D2105,'TIR店舗一覧'!$D:$D,'TIR店舗一覧'!$E:$E,""),""))</f>
        <v/>
      </c>
      <c r="V2105" s="54" t="s">
        <v>2</v>
      </c>
      <c r="W2105" s="54" t="s">
        <v>2</v>
      </c>
      <c r="X2105" s="54" t="s">
        <v>2</v>
      </c>
      <c r="Y2105" s="54" t="s">
        <v>2</v>
      </c>
      <c r="Z2105" s="54" t="s">
        <v>2</v>
      </c>
      <c r="AA2105" s="54" t="s">
        <v>2</v>
      </c>
      <c r="AB2105" s="54" t="s">
        <v>2</v>
      </c>
      <c r="AC2105" s="54" t="s">
        <v>2</v>
      </c>
      <c r="AD2105" s="54" t="s">
        <v>2</v>
      </c>
      <c r="AE2105" s="54" t="s">
        <v>2</v>
      </c>
      <c r="AF2105" s="54" t="s">
        <v>2</v>
      </c>
      <c r="AG2105" s="54" t="s">
        <v>2</v>
      </c>
    </row>
    <row r="2106" ht="15.75" customHeight="1">
      <c r="B2106" s="56"/>
      <c r="U2106" s="46" t="str">
        <f t="array" ref="U2106">IF($D2106="","",IFERROR(_xlfn.XLOOKUP($D2106,'TIR店舗一覧'!$D:$D,'TIR店舗一覧'!$E:$E,""),""))</f>
        <v/>
      </c>
      <c r="V2106" s="54" t="s">
        <v>2</v>
      </c>
      <c r="W2106" s="54" t="s">
        <v>2</v>
      </c>
      <c r="X2106" s="54" t="s">
        <v>2</v>
      </c>
      <c r="Y2106" s="54" t="s">
        <v>2</v>
      </c>
      <c r="Z2106" s="54" t="s">
        <v>2</v>
      </c>
      <c r="AA2106" s="54" t="s">
        <v>2</v>
      </c>
      <c r="AB2106" s="54" t="s">
        <v>2</v>
      </c>
      <c r="AC2106" s="54" t="s">
        <v>2</v>
      </c>
      <c r="AD2106" s="54" t="s">
        <v>2</v>
      </c>
      <c r="AE2106" s="54" t="s">
        <v>2</v>
      </c>
      <c r="AF2106" s="54" t="s">
        <v>2</v>
      </c>
      <c r="AG2106" s="54" t="s">
        <v>2</v>
      </c>
    </row>
    <row r="2107" ht="15.75" customHeight="1">
      <c r="B2107" s="56"/>
      <c r="U2107" s="46" t="str">
        <f t="array" ref="U2107">IF($D2107="","",IFERROR(_xlfn.XLOOKUP($D2107,'TIR店舗一覧'!$D:$D,'TIR店舗一覧'!$E:$E,""),""))</f>
        <v/>
      </c>
      <c r="V2107" s="54" t="s">
        <v>2</v>
      </c>
      <c r="W2107" s="54" t="s">
        <v>2</v>
      </c>
      <c r="X2107" s="54" t="s">
        <v>2</v>
      </c>
      <c r="Y2107" s="54" t="s">
        <v>2</v>
      </c>
      <c r="Z2107" s="54" t="s">
        <v>2</v>
      </c>
      <c r="AA2107" s="54" t="s">
        <v>2</v>
      </c>
      <c r="AB2107" s="54" t="s">
        <v>2</v>
      </c>
      <c r="AC2107" s="54" t="s">
        <v>2</v>
      </c>
      <c r="AD2107" s="54" t="s">
        <v>2</v>
      </c>
      <c r="AE2107" s="54" t="s">
        <v>2</v>
      </c>
      <c r="AF2107" s="54" t="s">
        <v>2</v>
      </c>
      <c r="AG2107" s="54" t="s">
        <v>2</v>
      </c>
    </row>
    <row r="2108" ht="15.75" customHeight="1">
      <c r="B2108" s="56"/>
      <c r="U2108" s="46" t="str">
        <f t="array" ref="U2108">IF($D2108="","",IFERROR(_xlfn.XLOOKUP($D2108,'TIR店舗一覧'!$D:$D,'TIR店舗一覧'!$E:$E,""),""))</f>
        <v/>
      </c>
      <c r="V2108" s="54" t="s">
        <v>2</v>
      </c>
      <c r="W2108" s="54" t="s">
        <v>2</v>
      </c>
      <c r="X2108" s="54" t="s">
        <v>2</v>
      </c>
      <c r="Y2108" s="54" t="s">
        <v>2</v>
      </c>
      <c r="Z2108" s="54" t="s">
        <v>2</v>
      </c>
      <c r="AA2108" s="54" t="s">
        <v>2</v>
      </c>
      <c r="AB2108" s="54" t="s">
        <v>2</v>
      </c>
      <c r="AC2108" s="54" t="s">
        <v>2</v>
      </c>
      <c r="AD2108" s="54" t="s">
        <v>2</v>
      </c>
      <c r="AE2108" s="54" t="s">
        <v>2</v>
      </c>
      <c r="AF2108" s="54" t="s">
        <v>2</v>
      </c>
      <c r="AG2108" s="54" t="s">
        <v>2</v>
      </c>
    </row>
    <row r="2109" ht="15.75" customHeight="1">
      <c r="B2109" s="56"/>
      <c r="U2109" s="46" t="str">
        <f t="array" ref="U2109">IF($D2109="","",IFERROR(_xlfn.XLOOKUP($D2109,'TIR店舗一覧'!$D:$D,'TIR店舗一覧'!$E:$E,""),""))</f>
        <v/>
      </c>
      <c r="V2109" s="54" t="s">
        <v>2</v>
      </c>
      <c r="W2109" s="54" t="s">
        <v>2</v>
      </c>
      <c r="X2109" s="54" t="s">
        <v>2</v>
      </c>
      <c r="Y2109" s="54" t="s">
        <v>2</v>
      </c>
      <c r="Z2109" s="54" t="s">
        <v>2</v>
      </c>
      <c r="AA2109" s="54" t="s">
        <v>2</v>
      </c>
      <c r="AB2109" s="54" t="s">
        <v>2</v>
      </c>
      <c r="AC2109" s="54" t="s">
        <v>2</v>
      </c>
      <c r="AD2109" s="54" t="s">
        <v>2</v>
      </c>
      <c r="AE2109" s="54" t="s">
        <v>2</v>
      </c>
      <c r="AF2109" s="54" t="s">
        <v>2</v>
      </c>
      <c r="AG2109" s="54" t="s">
        <v>2</v>
      </c>
    </row>
    <row r="2110" ht="15.75" customHeight="1">
      <c r="B2110" s="56"/>
      <c r="U2110" s="46" t="str">
        <f t="array" ref="U2110">IF($D2110="","",IFERROR(_xlfn.XLOOKUP($D2110,'TIR店舗一覧'!$D:$D,'TIR店舗一覧'!$E:$E,""),""))</f>
        <v/>
      </c>
      <c r="V2110" s="54" t="s">
        <v>2</v>
      </c>
      <c r="W2110" s="54" t="s">
        <v>2</v>
      </c>
      <c r="X2110" s="54" t="s">
        <v>2</v>
      </c>
      <c r="Y2110" s="54" t="s">
        <v>2</v>
      </c>
      <c r="Z2110" s="54" t="s">
        <v>2</v>
      </c>
      <c r="AA2110" s="54" t="s">
        <v>2</v>
      </c>
      <c r="AB2110" s="54" t="s">
        <v>2</v>
      </c>
      <c r="AC2110" s="54" t="s">
        <v>2</v>
      </c>
      <c r="AD2110" s="54" t="s">
        <v>2</v>
      </c>
      <c r="AE2110" s="54" t="s">
        <v>2</v>
      </c>
      <c r="AF2110" s="54" t="s">
        <v>2</v>
      </c>
      <c r="AG2110" s="54" t="s">
        <v>2</v>
      </c>
    </row>
    <row r="2111" ht="15.75" customHeight="1">
      <c r="B2111" s="56"/>
      <c r="U2111" s="46" t="str">
        <f t="array" ref="U2111">IF($D2111="","",IFERROR(_xlfn.XLOOKUP($D2111,'TIR店舗一覧'!$D:$D,'TIR店舗一覧'!$E:$E,""),""))</f>
        <v/>
      </c>
      <c r="V2111" s="54" t="s">
        <v>2</v>
      </c>
      <c r="W2111" s="54" t="s">
        <v>2</v>
      </c>
      <c r="X2111" s="54" t="s">
        <v>2</v>
      </c>
      <c r="Y2111" s="54" t="s">
        <v>2</v>
      </c>
      <c r="Z2111" s="54" t="s">
        <v>2</v>
      </c>
      <c r="AA2111" s="54" t="s">
        <v>2</v>
      </c>
      <c r="AB2111" s="54" t="s">
        <v>2</v>
      </c>
      <c r="AC2111" s="54" t="s">
        <v>2</v>
      </c>
      <c r="AD2111" s="54" t="s">
        <v>2</v>
      </c>
      <c r="AE2111" s="54" t="s">
        <v>2</v>
      </c>
      <c r="AF2111" s="54" t="s">
        <v>2</v>
      </c>
      <c r="AG2111" s="54" t="s">
        <v>2</v>
      </c>
    </row>
    <row r="2112" ht="15.75" customHeight="1">
      <c r="B2112" s="56"/>
      <c r="U2112" s="46" t="str">
        <f t="array" ref="U2112">IF($D2112="","",IFERROR(_xlfn.XLOOKUP($D2112,'TIR店舗一覧'!$D:$D,'TIR店舗一覧'!$E:$E,""),""))</f>
        <v/>
      </c>
      <c r="V2112" s="54" t="s">
        <v>2</v>
      </c>
      <c r="W2112" s="54" t="s">
        <v>2</v>
      </c>
      <c r="X2112" s="54" t="s">
        <v>2</v>
      </c>
      <c r="Y2112" s="54" t="s">
        <v>2</v>
      </c>
      <c r="Z2112" s="54" t="s">
        <v>2</v>
      </c>
      <c r="AA2112" s="54" t="s">
        <v>2</v>
      </c>
      <c r="AB2112" s="54" t="s">
        <v>2</v>
      </c>
      <c r="AC2112" s="54" t="s">
        <v>2</v>
      </c>
      <c r="AD2112" s="54" t="s">
        <v>2</v>
      </c>
      <c r="AE2112" s="54" t="s">
        <v>2</v>
      </c>
      <c r="AF2112" s="54" t="s">
        <v>2</v>
      </c>
      <c r="AG2112" s="54" t="s">
        <v>2</v>
      </c>
    </row>
    <row r="2113" ht="15.75" customHeight="1">
      <c r="B2113" s="56"/>
      <c r="U2113" s="46" t="str">
        <f t="array" ref="U2113">IF($D2113="","",IFERROR(_xlfn.XLOOKUP($D2113,'TIR店舗一覧'!$D:$D,'TIR店舗一覧'!$E:$E,""),""))</f>
        <v/>
      </c>
      <c r="V2113" s="54" t="s">
        <v>2</v>
      </c>
      <c r="W2113" s="54" t="s">
        <v>2</v>
      </c>
      <c r="X2113" s="54" t="s">
        <v>2</v>
      </c>
      <c r="Y2113" s="54" t="s">
        <v>2</v>
      </c>
      <c r="Z2113" s="54" t="s">
        <v>2</v>
      </c>
      <c r="AA2113" s="54" t="s">
        <v>2</v>
      </c>
      <c r="AB2113" s="54" t="s">
        <v>2</v>
      </c>
      <c r="AC2113" s="54" t="s">
        <v>2</v>
      </c>
      <c r="AD2113" s="54" t="s">
        <v>2</v>
      </c>
      <c r="AE2113" s="54" t="s">
        <v>2</v>
      </c>
      <c r="AF2113" s="54" t="s">
        <v>2</v>
      </c>
      <c r="AG2113" s="54" t="s">
        <v>2</v>
      </c>
    </row>
    <row r="2114" ht="15.75" customHeight="1">
      <c r="B2114" s="56"/>
      <c r="U2114" s="46" t="str">
        <f t="array" ref="U2114">IF($D2114="","",IFERROR(_xlfn.XLOOKUP($D2114,'TIR店舗一覧'!$D:$D,'TIR店舗一覧'!$E:$E,""),""))</f>
        <v/>
      </c>
      <c r="V2114" s="54" t="s">
        <v>2</v>
      </c>
      <c r="W2114" s="54" t="s">
        <v>2</v>
      </c>
      <c r="X2114" s="54" t="s">
        <v>2</v>
      </c>
      <c r="Y2114" s="54" t="s">
        <v>2</v>
      </c>
      <c r="Z2114" s="54" t="s">
        <v>2</v>
      </c>
      <c r="AA2114" s="54" t="s">
        <v>2</v>
      </c>
      <c r="AB2114" s="54" t="s">
        <v>2</v>
      </c>
      <c r="AC2114" s="54" t="s">
        <v>2</v>
      </c>
      <c r="AD2114" s="54" t="s">
        <v>2</v>
      </c>
      <c r="AE2114" s="54" t="s">
        <v>2</v>
      </c>
      <c r="AF2114" s="54" t="s">
        <v>2</v>
      </c>
      <c r="AG2114" s="54" t="s">
        <v>2</v>
      </c>
    </row>
    <row r="2115" ht="15.75" customHeight="1">
      <c r="B2115" s="56"/>
      <c r="U2115" s="46" t="str">
        <f t="array" ref="U2115">IF($D2115="","",IFERROR(_xlfn.XLOOKUP($D2115,'TIR店舗一覧'!$D:$D,'TIR店舗一覧'!$E:$E,""),""))</f>
        <v/>
      </c>
      <c r="V2115" s="54" t="s">
        <v>2</v>
      </c>
      <c r="W2115" s="54" t="s">
        <v>2</v>
      </c>
      <c r="X2115" s="54" t="s">
        <v>2</v>
      </c>
      <c r="Y2115" s="54" t="s">
        <v>2</v>
      </c>
      <c r="Z2115" s="54" t="s">
        <v>2</v>
      </c>
      <c r="AA2115" s="54" t="s">
        <v>2</v>
      </c>
      <c r="AB2115" s="54" t="s">
        <v>2</v>
      </c>
      <c r="AC2115" s="54" t="s">
        <v>2</v>
      </c>
      <c r="AD2115" s="54" t="s">
        <v>2</v>
      </c>
      <c r="AE2115" s="54" t="s">
        <v>2</v>
      </c>
      <c r="AF2115" s="54" t="s">
        <v>2</v>
      </c>
      <c r="AG2115" s="54" t="s">
        <v>2</v>
      </c>
    </row>
    <row r="2116" ht="15.75" customHeight="1">
      <c r="B2116" s="56"/>
      <c r="U2116" s="46" t="str">
        <f t="array" ref="U2116">IF($D2116="","",IFERROR(_xlfn.XLOOKUP($D2116,'TIR店舗一覧'!$D:$D,'TIR店舗一覧'!$E:$E,""),""))</f>
        <v/>
      </c>
      <c r="V2116" s="54" t="s">
        <v>2</v>
      </c>
      <c r="W2116" s="54" t="s">
        <v>2</v>
      </c>
      <c r="X2116" s="54" t="s">
        <v>2</v>
      </c>
      <c r="Y2116" s="54" t="s">
        <v>2</v>
      </c>
      <c r="Z2116" s="54" t="s">
        <v>2</v>
      </c>
      <c r="AA2116" s="54" t="s">
        <v>2</v>
      </c>
      <c r="AB2116" s="54" t="s">
        <v>2</v>
      </c>
      <c r="AC2116" s="54" t="s">
        <v>2</v>
      </c>
      <c r="AD2116" s="54" t="s">
        <v>2</v>
      </c>
      <c r="AE2116" s="54" t="s">
        <v>2</v>
      </c>
      <c r="AF2116" s="54" t="s">
        <v>2</v>
      </c>
      <c r="AG2116" s="54" t="s">
        <v>2</v>
      </c>
    </row>
    <row r="2117" ht="15.75" customHeight="1">
      <c r="B2117" s="56"/>
      <c r="U2117" s="46" t="str">
        <f t="array" ref="U2117">IF($D2117="","",IFERROR(_xlfn.XLOOKUP($D2117,'TIR店舗一覧'!$D:$D,'TIR店舗一覧'!$E:$E,""),""))</f>
        <v/>
      </c>
      <c r="V2117" s="54" t="s">
        <v>2</v>
      </c>
      <c r="W2117" s="54" t="s">
        <v>2</v>
      </c>
      <c r="X2117" s="54" t="s">
        <v>2</v>
      </c>
      <c r="Y2117" s="54" t="s">
        <v>2</v>
      </c>
      <c r="Z2117" s="54" t="s">
        <v>2</v>
      </c>
      <c r="AA2117" s="54" t="s">
        <v>2</v>
      </c>
      <c r="AB2117" s="54" t="s">
        <v>2</v>
      </c>
      <c r="AC2117" s="54" t="s">
        <v>2</v>
      </c>
      <c r="AD2117" s="54" t="s">
        <v>2</v>
      </c>
      <c r="AE2117" s="54" t="s">
        <v>2</v>
      </c>
      <c r="AF2117" s="54" t="s">
        <v>2</v>
      </c>
      <c r="AG2117" s="54" t="s">
        <v>2</v>
      </c>
    </row>
    <row r="2118" ht="15.75" customHeight="1">
      <c r="B2118" s="56"/>
      <c r="U2118" s="46" t="str">
        <f t="array" ref="U2118">IF($D2118="","",IFERROR(_xlfn.XLOOKUP($D2118,'TIR店舗一覧'!$D:$D,'TIR店舗一覧'!$E:$E,""),""))</f>
        <v/>
      </c>
      <c r="V2118" s="54" t="s">
        <v>2</v>
      </c>
      <c r="W2118" s="54" t="s">
        <v>2</v>
      </c>
      <c r="X2118" s="54" t="s">
        <v>2</v>
      </c>
      <c r="Y2118" s="54" t="s">
        <v>2</v>
      </c>
      <c r="Z2118" s="54" t="s">
        <v>2</v>
      </c>
      <c r="AA2118" s="54" t="s">
        <v>2</v>
      </c>
      <c r="AB2118" s="54" t="s">
        <v>2</v>
      </c>
      <c r="AC2118" s="54" t="s">
        <v>2</v>
      </c>
      <c r="AD2118" s="54" t="s">
        <v>2</v>
      </c>
      <c r="AE2118" s="54" t="s">
        <v>2</v>
      </c>
      <c r="AF2118" s="54" t="s">
        <v>2</v>
      </c>
      <c r="AG2118" s="54" t="s">
        <v>2</v>
      </c>
    </row>
    <row r="2119" ht="15.75" customHeight="1">
      <c r="B2119" s="56"/>
      <c r="U2119" s="46" t="str">
        <f t="array" ref="U2119">IF($D2119="","",IFERROR(_xlfn.XLOOKUP($D2119,'TIR店舗一覧'!$D:$D,'TIR店舗一覧'!$E:$E,""),""))</f>
        <v/>
      </c>
      <c r="V2119" s="54" t="s">
        <v>2</v>
      </c>
      <c r="W2119" s="54" t="s">
        <v>2</v>
      </c>
      <c r="X2119" s="54" t="s">
        <v>2</v>
      </c>
      <c r="Y2119" s="54" t="s">
        <v>2</v>
      </c>
      <c r="Z2119" s="54" t="s">
        <v>2</v>
      </c>
      <c r="AA2119" s="54" t="s">
        <v>2</v>
      </c>
      <c r="AB2119" s="54" t="s">
        <v>2</v>
      </c>
      <c r="AC2119" s="54" t="s">
        <v>2</v>
      </c>
      <c r="AD2119" s="54" t="s">
        <v>2</v>
      </c>
      <c r="AE2119" s="54" t="s">
        <v>2</v>
      </c>
      <c r="AF2119" s="54" t="s">
        <v>2</v>
      </c>
      <c r="AG2119" s="54" t="s">
        <v>2</v>
      </c>
    </row>
    <row r="2120" ht="15.75" customHeight="1">
      <c r="B2120" s="56"/>
      <c r="U2120" s="46" t="str">
        <f t="array" ref="U2120">IF($D2120="","",IFERROR(_xlfn.XLOOKUP($D2120,'TIR店舗一覧'!$D:$D,'TIR店舗一覧'!$E:$E,""),""))</f>
        <v/>
      </c>
      <c r="V2120" s="54" t="s">
        <v>2</v>
      </c>
      <c r="W2120" s="54" t="s">
        <v>2</v>
      </c>
      <c r="X2120" s="54" t="s">
        <v>2</v>
      </c>
      <c r="Y2120" s="54" t="s">
        <v>2</v>
      </c>
      <c r="Z2120" s="54" t="s">
        <v>2</v>
      </c>
      <c r="AA2120" s="54" t="s">
        <v>2</v>
      </c>
      <c r="AB2120" s="54" t="s">
        <v>2</v>
      </c>
      <c r="AC2120" s="54" t="s">
        <v>2</v>
      </c>
      <c r="AD2120" s="54" t="s">
        <v>2</v>
      </c>
      <c r="AE2120" s="54" t="s">
        <v>2</v>
      </c>
      <c r="AF2120" s="54" t="s">
        <v>2</v>
      </c>
      <c r="AG2120" s="54" t="s">
        <v>2</v>
      </c>
    </row>
    <row r="2121" ht="15.75" customHeight="1">
      <c r="B2121" s="56"/>
      <c r="U2121" s="46" t="str">
        <f t="array" ref="U2121">IF($D2121="","",IFERROR(_xlfn.XLOOKUP($D2121,'TIR店舗一覧'!$D:$D,'TIR店舗一覧'!$E:$E,""),""))</f>
        <v/>
      </c>
      <c r="V2121" s="54" t="s">
        <v>2</v>
      </c>
      <c r="W2121" s="54" t="s">
        <v>2</v>
      </c>
      <c r="X2121" s="54" t="s">
        <v>2</v>
      </c>
      <c r="Y2121" s="54" t="s">
        <v>2</v>
      </c>
      <c r="Z2121" s="54" t="s">
        <v>2</v>
      </c>
      <c r="AA2121" s="54" t="s">
        <v>2</v>
      </c>
      <c r="AB2121" s="54" t="s">
        <v>2</v>
      </c>
      <c r="AC2121" s="54" t="s">
        <v>2</v>
      </c>
      <c r="AD2121" s="54" t="s">
        <v>2</v>
      </c>
      <c r="AE2121" s="54" t="s">
        <v>2</v>
      </c>
      <c r="AF2121" s="54" t="s">
        <v>2</v>
      </c>
      <c r="AG2121" s="54" t="s">
        <v>2</v>
      </c>
    </row>
    <row r="2122" ht="15.75" customHeight="1">
      <c r="B2122" s="56"/>
      <c r="U2122" s="46" t="str">
        <f t="array" ref="U2122">IF($D2122="","",IFERROR(_xlfn.XLOOKUP($D2122,'TIR店舗一覧'!$D:$D,'TIR店舗一覧'!$E:$E,""),""))</f>
        <v/>
      </c>
      <c r="V2122" s="54" t="s">
        <v>2</v>
      </c>
      <c r="W2122" s="54" t="s">
        <v>2</v>
      </c>
      <c r="X2122" s="54" t="s">
        <v>2</v>
      </c>
      <c r="Y2122" s="54" t="s">
        <v>2</v>
      </c>
      <c r="Z2122" s="54" t="s">
        <v>2</v>
      </c>
      <c r="AA2122" s="54" t="s">
        <v>2</v>
      </c>
      <c r="AB2122" s="54" t="s">
        <v>2</v>
      </c>
      <c r="AC2122" s="54" t="s">
        <v>2</v>
      </c>
      <c r="AD2122" s="54" t="s">
        <v>2</v>
      </c>
      <c r="AE2122" s="54" t="s">
        <v>2</v>
      </c>
      <c r="AF2122" s="54" t="s">
        <v>2</v>
      </c>
      <c r="AG2122" s="54" t="s">
        <v>2</v>
      </c>
    </row>
    <row r="2123" ht="15.75" customHeight="1">
      <c r="B2123" s="56"/>
      <c r="U2123" s="46" t="str">
        <f t="array" ref="U2123">IF($D2123="","",IFERROR(_xlfn.XLOOKUP($D2123,'TIR店舗一覧'!$D:$D,'TIR店舗一覧'!$E:$E,""),""))</f>
        <v/>
      </c>
      <c r="V2123" s="54" t="s">
        <v>2</v>
      </c>
      <c r="W2123" s="54" t="s">
        <v>2</v>
      </c>
      <c r="X2123" s="54" t="s">
        <v>2</v>
      </c>
      <c r="Y2123" s="54" t="s">
        <v>2</v>
      </c>
      <c r="Z2123" s="54" t="s">
        <v>2</v>
      </c>
      <c r="AA2123" s="54" t="s">
        <v>2</v>
      </c>
      <c r="AB2123" s="54" t="s">
        <v>2</v>
      </c>
      <c r="AC2123" s="54" t="s">
        <v>2</v>
      </c>
      <c r="AD2123" s="54" t="s">
        <v>2</v>
      </c>
      <c r="AE2123" s="54" t="s">
        <v>2</v>
      </c>
      <c r="AF2123" s="54" t="s">
        <v>2</v>
      </c>
      <c r="AG2123" s="54" t="s">
        <v>2</v>
      </c>
    </row>
    <row r="2124" ht="15.75" customHeight="1">
      <c r="B2124" s="56"/>
      <c r="U2124" s="46" t="str">
        <f t="array" ref="U2124">IF($D2124="","",IFERROR(_xlfn.XLOOKUP($D2124,'TIR店舗一覧'!$D:$D,'TIR店舗一覧'!$E:$E,""),""))</f>
        <v/>
      </c>
      <c r="V2124" s="54" t="s">
        <v>2</v>
      </c>
      <c r="W2124" s="54" t="s">
        <v>2</v>
      </c>
      <c r="X2124" s="54" t="s">
        <v>2</v>
      </c>
      <c r="Y2124" s="54" t="s">
        <v>2</v>
      </c>
      <c r="Z2124" s="54" t="s">
        <v>2</v>
      </c>
      <c r="AA2124" s="54" t="s">
        <v>2</v>
      </c>
      <c r="AB2124" s="54" t="s">
        <v>2</v>
      </c>
      <c r="AC2124" s="54" t="s">
        <v>2</v>
      </c>
      <c r="AD2124" s="54" t="s">
        <v>2</v>
      </c>
      <c r="AE2124" s="54" t="s">
        <v>2</v>
      </c>
      <c r="AF2124" s="54" t="s">
        <v>2</v>
      </c>
      <c r="AG2124" s="54" t="s">
        <v>2</v>
      </c>
    </row>
    <row r="2125" ht="15.75" customHeight="1">
      <c r="B2125" s="56"/>
      <c r="U2125" s="46" t="str">
        <f t="array" ref="U2125">IF($D2125="","",IFERROR(_xlfn.XLOOKUP($D2125,'TIR店舗一覧'!$D:$D,'TIR店舗一覧'!$E:$E,""),""))</f>
        <v/>
      </c>
      <c r="V2125" s="54" t="s">
        <v>2</v>
      </c>
      <c r="W2125" s="54" t="s">
        <v>2</v>
      </c>
      <c r="X2125" s="54" t="s">
        <v>2</v>
      </c>
      <c r="Y2125" s="54" t="s">
        <v>2</v>
      </c>
      <c r="Z2125" s="54" t="s">
        <v>2</v>
      </c>
      <c r="AA2125" s="54" t="s">
        <v>2</v>
      </c>
      <c r="AB2125" s="54" t="s">
        <v>2</v>
      </c>
      <c r="AC2125" s="54" t="s">
        <v>2</v>
      </c>
      <c r="AD2125" s="54" t="s">
        <v>2</v>
      </c>
      <c r="AE2125" s="54" t="s">
        <v>2</v>
      </c>
      <c r="AF2125" s="54" t="s">
        <v>2</v>
      </c>
      <c r="AG2125" s="54" t="s">
        <v>2</v>
      </c>
    </row>
    <row r="2126" ht="15.75" customHeight="1">
      <c r="B2126" s="56"/>
      <c r="U2126" s="46" t="str">
        <f t="array" ref="U2126">IF($D2126="","",IFERROR(_xlfn.XLOOKUP($D2126,'TIR店舗一覧'!$D:$D,'TIR店舗一覧'!$E:$E,""),""))</f>
        <v/>
      </c>
      <c r="V2126" s="54" t="s">
        <v>2</v>
      </c>
      <c r="W2126" s="54" t="s">
        <v>2</v>
      </c>
      <c r="X2126" s="54" t="s">
        <v>2</v>
      </c>
      <c r="Y2126" s="54" t="s">
        <v>2</v>
      </c>
      <c r="Z2126" s="54" t="s">
        <v>2</v>
      </c>
      <c r="AA2126" s="54" t="s">
        <v>2</v>
      </c>
      <c r="AB2126" s="54" t="s">
        <v>2</v>
      </c>
      <c r="AC2126" s="54" t="s">
        <v>2</v>
      </c>
      <c r="AD2126" s="54" t="s">
        <v>2</v>
      </c>
      <c r="AE2126" s="54" t="s">
        <v>2</v>
      </c>
      <c r="AF2126" s="54" t="s">
        <v>2</v>
      </c>
      <c r="AG2126" s="54" t="s">
        <v>2</v>
      </c>
    </row>
    <row r="2127" ht="15.75" customHeight="1">
      <c r="B2127" s="56"/>
      <c r="U2127" s="46" t="str">
        <f t="array" ref="U2127">IF($D2127="","",IFERROR(_xlfn.XLOOKUP($D2127,'TIR店舗一覧'!$D:$D,'TIR店舗一覧'!$E:$E,""),""))</f>
        <v/>
      </c>
      <c r="V2127" s="54" t="s">
        <v>2</v>
      </c>
      <c r="W2127" s="54" t="s">
        <v>2</v>
      </c>
      <c r="X2127" s="54" t="s">
        <v>2</v>
      </c>
      <c r="Y2127" s="54" t="s">
        <v>2</v>
      </c>
      <c r="Z2127" s="54" t="s">
        <v>2</v>
      </c>
      <c r="AA2127" s="54" t="s">
        <v>2</v>
      </c>
      <c r="AB2127" s="54" t="s">
        <v>2</v>
      </c>
      <c r="AC2127" s="54" t="s">
        <v>2</v>
      </c>
      <c r="AD2127" s="54" t="s">
        <v>2</v>
      </c>
      <c r="AE2127" s="54" t="s">
        <v>2</v>
      </c>
      <c r="AF2127" s="54" t="s">
        <v>2</v>
      </c>
      <c r="AG2127" s="54" t="s">
        <v>2</v>
      </c>
    </row>
    <row r="2128" ht="15.75" customHeight="1">
      <c r="B2128" s="56"/>
      <c r="U2128" s="46" t="str">
        <f t="array" ref="U2128">IF($D2128="","",IFERROR(_xlfn.XLOOKUP($D2128,'TIR店舗一覧'!$D:$D,'TIR店舗一覧'!$E:$E,""),""))</f>
        <v/>
      </c>
      <c r="V2128" s="54" t="s">
        <v>2</v>
      </c>
      <c r="W2128" s="54" t="s">
        <v>2</v>
      </c>
      <c r="X2128" s="54" t="s">
        <v>2</v>
      </c>
      <c r="Y2128" s="54" t="s">
        <v>2</v>
      </c>
      <c r="Z2128" s="54" t="s">
        <v>2</v>
      </c>
      <c r="AA2128" s="54" t="s">
        <v>2</v>
      </c>
      <c r="AB2128" s="54" t="s">
        <v>2</v>
      </c>
      <c r="AC2128" s="54" t="s">
        <v>2</v>
      </c>
      <c r="AD2128" s="54" t="s">
        <v>2</v>
      </c>
      <c r="AE2128" s="54" t="s">
        <v>2</v>
      </c>
      <c r="AF2128" s="54" t="s">
        <v>2</v>
      </c>
      <c r="AG2128" s="54" t="s">
        <v>2</v>
      </c>
    </row>
    <row r="2129" ht="15.75" customHeight="1">
      <c r="B2129" s="56"/>
      <c r="U2129" s="46" t="str">
        <f t="array" ref="U2129">IF($D2129="","",IFERROR(_xlfn.XLOOKUP($D2129,'TIR店舗一覧'!$D:$D,'TIR店舗一覧'!$E:$E,""),""))</f>
        <v/>
      </c>
      <c r="V2129" s="54" t="s">
        <v>2</v>
      </c>
      <c r="W2129" s="54" t="s">
        <v>2</v>
      </c>
      <c r="X2129" s="54" t="s">
        <v>2</v>
      </c>
      <c r="Y2129" s="54" t="s">
        <v>2</v>
      </c>
      <c r="Z2129" s="54" t="s">
        <v>2</v>
      </c>
      <c r="AA2129" s="54" t="s">
        <v>2</v>
      </c>
      <c r="AB2129" s="54" t="s">
        <v>2</v>
      </c>
      <c r="AC2129" s="54" t="s">
        <v>2</v>
      </c>
      <c r="AD2129" s="54" t="s">
        <v>2</v>
      </c>
      <c r="AE2129" s="54" t="s">
        <v>2</v>
      </c>
      <c r="AF2129" s="54" t="s">
        <v>2</v>
      </c>
      <c r="AG2129" s="54" t="s">
        <v>2</v>
      </c>
    </row>
    <row r="2130" ht="15.75" customHeight="1">
      <c r="B2130" s="56"/>
      <c r="U2130" s="46" t="str">
        <f t="array" ref="U2130">IF($D2130="","",IFERROR(_xlfn.XLOOKUP($D2130,'TIR店舗一覧'!$D:$D,'TIR店舗一覧'!$E:$E,""),""))</f>
        <v/>
      </c>
      <c r="V2130" s="54" t="s">
        <v>2</v>
      </c>
      <c r="W2130" s="54" t="s">
        <v>2</v>
      </c>
      <c r="X2130" s="54" t="s">
        <v>2</v>
      </c>
      <c r="Y2130" s="54" t="s">
        <v>2</v>
      </c>
      <c r="Z2130" s="54" t="s">
        <v>2</v>
      </c>
      <c r="AA2130" s="54" t="s">
        <v>2</v>
      </c>
      <c r="AB2130" s="54" t="s">
        <v>2</v>
      </c>
      <c r="AC2130" s="54" t="s">
        <v>2</v>
      </c>
      <c r="AD2130" s="54" t="s">
        <v>2</v>
      </c>
      <c r="AE2130" s="54" t="s">
        <v>2</v>
      </c>
      <c r="AF2130" s="54" t="s">
        <v>2</v>
      </c>
      <c r="AG2130" s="54" t="s">
        <v>2</v>
      </c>
    </row>
    <row r="2131" ht="15.75" customHeight="1">
      <c r="B2131" s="56"/>
      <c r="U2131" s="46" t="str">
        <f t="array" ref="U2131">IF($D2131="","",IFERROR(_xlfn.XLOOKUP($D2131,'TIR店舗一覧'!$D:$D,'TIR店舗一覧'!$E:$E,""),""))</f>
        <v/>
      </c>
      <c r="V2131" s="54" t="s">
        <v>2</v>
      </c>
      <c r="W2131" s="54" t="s">
        <v>2</v>
      </c>
      <c r="X2131" s="54" t="s">
        <v>2</v>
      </c>
      <c r="Y2131" s="54" t="s">
        <v>2</v>
      </c>
      <c r="Z2131" s="54" t="s">
        <v>2</v>
      </c>
      <c r="AA2131" s="54" t="s">
        <v>2</v>
      </c>
      <c r="AB2131" s="54" t="s">
        <v>2</v>
      </c>
      <c r="AC2131" s="54" t="s">
        <v>2</v>
      </c>
      <c r="AD2131" s="54" t="s">
        <v>2</v>
      </c>
      <c r="AE2131" s="54" t="s">
        <v>2</v>
      </c>
      <c r="AF2131" s="54" t="s">
        <v>2</v>
      </c>
      <c r="AG2131" s="54" t="s">
        <v>2</v>
      </c>
    </row>
    <row r="2132" ht="15.75" customHeight="1">
      <c r="B2132" s="56"/>
      <c r="U2132" s="46" t="str">
        <f t="array" ref="U2132">IF($D2132="","",IFERROR(_xlfn.XLOOKUP($D2132,'TIR店舗一覧'!$D:$D,'TIR店舗一覧'!$E:$E,""),""))</f>
        <v/>
      </c>
      <c r="V2132" s="54" t="s">
        <v>2</v>
      </c>
      <c r="W2132" s="54" t="s">
        <v>2</v>
      </c>
      <c r="X2132" s="54" t="s">
        <v>2</v>
      </c>
      <c r="Y2132" s="54" t="s">
        <v>2</v>
      </c>
      <c r="Z2132" s="54" t="s">
        <v>2</v>
      </c>
      <c r="AA2132" s="54" t="s">
        <v>2</v>
      </c>
      <c r="AB2132" s="54" t="s">
        <v>2</v>
      </c>
      <c r="AC2132" s="54" t="s">
        <v>2</v>
      </c>
      <c r="AD2132" s="54" t="s">
        <v>2</v>
      </c>
      <c r="AE2132" s="54" t="s">
        <v>2</v>
      </c>
      <c r="AF2132" s="54" t="s">
        <v>2</v>
      </c>
      <c r="AG2132" s="54" t="s">
        <v>2</v>
      </c>
    </row>
    <row r="2133" ht="15.75" customHeight="1">
      <c r="B2133" s="56"/>
      <c r="U2133" s="46" t="str">
        <f t="array" ref="U2133">IF($D2133="","",IFERROR(_xlfn.XLOOKUP($D2133,'TIR店舗一覧'!$D:$D,'TIR店舗一覧'!$E:$E,""),""))</f>
        <v/>
      </c>
      <c r="V2133" s="54" t="s">
        <v>2</v>
      </c>
      <c r="W2133" s="54" t="s">
        <v>2</v>
      </c>
      <c r="X2133" s="54" t="s">
        <v>2</v>
      </c>
      <c r="Y2133" s="54" t="s">
        <v>2</v>
      </c>
      <c r="Z2133" s="54" t="s">
        <v>2</v>
      </c>
      <c r="AA2133" s="54" t="s">
        <v>2</v>
      </c>
      <c r="AB2133" s="54" t="s">
        <v>2</v>
      </c>
      <c r="AC2133" s="54" t="s">
        <v>2</v>
      </c>
      <c r="AD2133" s="54" t="s">
        <v>2</v>
      </c>
      <c r="AE2133" s="54" t="s">
        <v>2</v>
      </c>
      <c r="AF2133" s="54" t="s">
        <v>2</v>
      </c>
      <c r="AG2133" s="54" t="s">
        <v>2</v>
      </c>
    </row>
    <row r="2134" ht="15.75" customHeight="1">
      <c r="B2134" s="56"/>
      <c r="U2134" s="46" t="str">
        <f t="array" ref="U2134">IF($D2134="","",IFERROR(_xlfn.XLOOKUP($D2134,'TIR店舗一覧'!$D:$D,'TIR店舗一覧'!$E:$E,""),""))</f>
        <v/>
      </c>
      <c r="V2134" s="54" t="s">
        <v>2</v>
      </c>
      <c r="W2134" s="54" t="s">
        <v>2</v>
      </c>
      <c r="X2134" s="54" t="s">
        <v>2</v>
      </c>
      <c r="Y2134" s="54" t="s">
        <v>2</v>
      </c>
      <c r="Z2134" s="54" t="s">
        <v>2</v>
      </c>
      <c r="AA2134" s="54" t="s">
        <v>2</v>
      </c>
      <c r="AB2134" s="54" t="s">
        <v>2</v>
      </c>
      <c r="AC2134" s="54" t="s">
        <v>2</v>
      </c>
      <c r="AD2134" s="54" t="s">
        <v>2</v>
      </c>
      <c r="AE2134" s="54" t="s">
        <v>2</v>
      </c>
      <c r="AF2134" s="54" t="s">
        <v>2</v>
      </c>
      <c r="AG2134" s="54" t="s">
        <v>2</v>
      </c>
    </row>
    <row r="2135" ht="15.75" customHeight="1">
      <c r="B2135" s="56"/>
      <c r="U2135" s="46" t="str">
        <f t="array" ref="U2135">IF($D2135="","",IFERROR(_xlfn.XLOOKUP($D2135,'TIR店舗一覧'!$D:$D,'TIR店舗一覧'!$E:$E,""),""))</f>
        <v/>
      </c>
      <c r="V2135" s="54" t="s">
        <v>2</v>
      </c>
      <c r="W2135" s="54" t="s">
        <v>2</v>
      </c>
      <c r="X2135" s="54" t="s">
        <v>2</v>
      </c>
      <c r="Y2135" s="54" t="s">
        <v>2</v>
      </c>
      <c r="Z2135" s="54" t="s">
        <v>2</v>
      </c>
      <c r="AA2135" s="54" t="s">
        <v>2</v>
      </c>
      <c r="AB2135" s="54" t="s">
        <v>2</v>
      </c>
      <c r="AC2135" s="54" t="s">
        <v>2</v>
      </c>
      <c r="AD2135" s="54" t="s">
        <v>2</v>
      </c>
      <c r="AE2135" s="54" t="s">
        <v>2</v>
      </c>
      <c r="AF2135" s="54" t="s">
        <v>2</v>
      </c>
      <c r="AG2135" s="54" t="s">
        <v>2</v>
      </c>
    </row>
    <row r="2136" ht="15.75" customHeight="1">
      <c r="B2136" s="56"/>
      <c r="U2136" s="46" t="str">
        <f t="array" ref="U2136">IF($D2136="","",IFERROR(_xlfn.XLOOKUP($D2136,'TIR店舗一覧'!$D:$D,'TIR店舗一覧'!$E:$E,""),""))</f>
        <v/>
      </c>
      <c r="V2136" s="54" t="s">
        <v>2</v>
      </c>
      <c r="W2136" s="54" t="s">
        <v>2</v>
      </c>
      <c r="X2136" s="54" t="s">
        <v>2</v>
      </c>
      <c r="Y2136" s="54" t="s">
        <v>2</v>
      </c>
      <c r="Z2136" s="54" t="s">
        <v>2</v>
      </c>
      <c r="AA2136" s="54" t="s">
        <v>2</v>
      </c>
      <c r="AB2136" s="54" t="s">
        <v>2</v>
      </c>
      <c r="AC2136" s="54" t="s">
        <v>2</v>
      </c>
      <c r="AD2136" s="54" t="s">
        <v>2</v>
      </c>
      <c r="AE2136" s="54" t="s">
        <v>2</v>
      </c>
      <c r="AF2136" s="54" t="s">
        <v>2</v>
      </c>
      <c r="AG2136" s="54" t="s">
        <v>2</v>
      </c>
    </row>
    <row r="2137" ht="15.75" customHeight="1">
      <c r="B2137" s="56"/>
      <c r="U2137" s="46" t="str">
        <f t="array" ref="U2137">IF($D2137="","",IFERROR(_xlfn.XLOOKUP($D2137,'TIR店舗一覧'!$D:$D,'TIR店舗一覧'!$E:$E,""),""))</f>
        <v/>
      </c>
      <c r="V2137" s="54" t="s">
        <v>2</v>
      </c>
      <c r="W2137" s="54" t="s">
        <v>2</v>
      </c>
      <c r="X2137" s="54" t="s">
        <v>2</v>
      </c>
      <c r="Y2137" s="54" t="s">
        <v>2</v>
      </c>
      <c r="Z2137" s="54" t="s">
        <v>2</v>
      </c>
      <c r="AA2137" s="54" t="s">
        <v>2</v>
      </c>
      <c r="AB2137" s="54" t="s">
        <v>2</v>
      </c>
      <c r="AC2137" s="54" t="s">
        <v>2</v>
      </c>
      <c r="AD2137" s="54" t="s">
        <v>2</v>
      </c>
      <c r="AE2137" s="54" t="s">
        <v>2</v>
      </c>
      <c r="AF2137" s="54" t="s">
        <v>2</v>
      </c>
      <c r="AG2137" s="54" t="s">
        <v>2</v>
      </c>
    </row>
    <row r="2138" ht="15.75" customHeight="1">
      <c r="B2138" s="56"/>
      <c r="U2138" s="46" t="str">
        <f t="array" ref="U2138">IF($D2138="","",IFERROR(_xlfn.XLOOKUP($D2138,'TIR店舗一覧'!$D:$D,'TIR店舗一覧'!$E:$E,""),""))</f>
        <v/>
      </c>
      <c r="V2138" s="54" t="s">
        <v>2</v>
      </c>
      <c r="W2138" s="54" t="s">
        <v>2</v>
      </c>
      <c r="X2138" s="54" t="s">
        <v>2</v>
      </c>
      <c r="Y2138" s="54" t="s">
        <v>2</v>
      </c>
      <c r="Z2138" s="54" t="s">
        <v>2</v>
      </c>
      <c r="AA2138" s="54" t="s">
        <v>2</v>
      </c>
      <c r="AB2138" s="54" t="s">
        <v>2</v>
      </c>
      <c r="AC2138" s="54" t="s">
        <v>2</v>
      </c>
      <c r="AD2138" s="54" t="s">
        <v>2</v>
      </c>
      <c r="AE2138" s="54" t="s">
        <v>2</v>
      </c>
      <c r="AF2138" s="54" t="s">
        <v>2</v>
      </c>
      <c r="AG2138" s="54" t="s">
        <v>2</v>
      </c>
    </row>
    <row r="2139" ht="15.75" customHeight="1">
      <c r="B2139" s="56"/>
      <c r="U2139" s="46" t="str">
        <f t="array" ref="U2139">IF($D2139="","",IFERROR(_xlfn.XLOOKUP($D2139,'TIR店舗一覧'!$D:$D,'TIR店舗一覧'!$E:$E,""),""))</f>
        <v/>
      </c>
      <c r="V2139" s="54" t="s">
        <v>2</v>
      </c>
      <c r="W2139" s="54" t="s">
        <v>2</v>
      </c>
      <c r="X2139" s="54" t="s">
        <v>2</v>
      </c>
      <c r="Y2139" s="54" t="s">
        <v>2</v>
      </c>
      <c r="Z2139" s="54" t="s">
        <v>2</v>
      </c>
      <c r="AA2139" s="54" t="s">
        <v>2</v>
      </c>
      <c r="AB2139" s="54" t="s">
        <v>2</v>
      </c>
      <c r="AC2139" s="54" t="s">
        <v>2</v>
      </c>
      <c r="AD2139" s="54" t="s">
        <v>2</v>
      </c>
      <c r="AE2139" s="54" t="s">
        <v>2</v>
      </c>
      <c r="AF2139" s="54" t="s">
        <v>2</v>
      </c>
      <c r="AG2139" s="54" t="s">
        <v>2</v>
      </c>
    </row>
    <row r="2140" ht="15.75" customHeight="1">
      <c r="B2140" s="56"/>
      <c r="U2140" s="46" t="str">
        <f t="array" ref="U2140">IF($D2140="","",IFERROR(_xlfn.XLOOKUP($D2140,'TIR店舗一覧'!$D:$D,'TIR店舗一覧'!$E:$E,""),""))</f>
        <v/>
      </c>
      <c r="V2140" s="54" t="s">
        <v>2</v>
      </c>
      <c r="W2140" s="54" t="s">
        <v>2</v>
      </c>
      <c r="X2140" s="54" t="s">
        <v>2</v>
      </c>
      <c r="Y2140" s="54" t="s">
        <v>2</v>
      </c>
      <c r="Z2140" s="54" t="s">
        <v>2</v>
      </c>
      <c r="AA2140" s="54" t="s">
        <v>2</v>
      </c>
      <c r="AB2140" s="54" t="s">
        <v>2</v>
      </c>
      <c r="AC2140" s="54" t="s">
        <v>2</v>
      </c>
      <c r="AD2140" s="54" t="s">
        <v>2</v>
      </c>
      <c r="AE2140" s="54" t="s">
        <v>2</v>
      </c>
      <c r="AF2140" s="54" t="s">
        <v>2</v>
      </c>
      <c r="AG2140" s="54" t="s">
        <v>2</v>
      </c>
    </row>
    <row r="2141" ht="15.75" customHeight="1">
      <c r="B2141" s="56"/>
      <c r="U2141" s="46" t="str">
        <f t="array" ref="U2141">IF($D2141="","",IFERROR(_xlfn.XLOOKUP($D2141,'TIR店舗一覧'!$D:$D,'TIR店舗一覧'!$E:$E,""),""))</f>
        <v/>
      </c>
      <c r="V2141" s="54" t="s">
        <v>2</v>
      </c>
      <c r="W2141" s="54" t="s">
        <v>2</v>
      </c>
      <c r="X2141" s="54" t="s">
        <v>2</v>
      </c>
      <c r="Y2141" s="54" t="s">
        <v>2</v>
      </c>
      <c r="Z2141" s="54" t="s">
        <v>2</v>
      </c>
      <c r="AA2141" s="54" t="s">
        <v>2</v>
      </c>
      <c r="AB2141" s="54" t="s">
        <v>2</v>
      </c>
      <c r="AC2141" s="54" t="s">
        <v>2</v>
      </c>
      <c r="AD2141" s="54" t="s">
        <v>2</v>
      </c>
      <c r="AE2141" s="54" t="s">
        <v>2</v>
      </c>
      <c r="AF2141" s="54" t="s">
        <v>2</v>
      </c>
      <c r="AG2141" s="54" t="s">
        <v>2</v>
      </c>
    </row>
    <row r="2142" ht="15.75" customHeight="1">
      <c r="B2142" s="56"/>
      <c r="U2142" s="46" t="str">
        <f t="array" ref="U2142">IF($D2142="","",IFERROR(_xlfn.XLOOKUP($D2142,'TIR店舗一覧'!$D:$D,'TIR店舗一覧'!$E:$E,""),""))</f>
        <v/>
      </c>
      <c r="V2142" s="54" t="s">
        <v>2</v>
      </c>
      <c r="W2142" s="54" t="s">
        <v>2</v>
      </c>
      <c r="X2142" s="54" t="s">
        <v>2</v>
      </c>
      <c r="Y2142" s="54" t="s">
        <v>2</v>
      </c>
      <c r="Z2142" s="54" t="s">
        <v>2</v>
      </c>
      <c r="AA2142" s="54" t="s">
        <v>2</v>
      </c>
      <c r="AB2142" s="54" t="s">
        <v>2</v>
      </c>
      <c r="AC2142" s="54" t="s">
        <v>2</v>
      </c>
      <c r="AD2142" s="54" t="s">
        <v>2</v>
      </c>
      <c r="AE2142" s="54" t="s">
        <v>2</v>
      </c>
      <c r="AF2142" s="54" t="s">
        <v>2</v>
      </c>
      <c r="AG2142" s="54" t="s">
        <v>2</v>
      </c>
    </row>
    <row r="2143" ht="15.75" customHeight="1">
      <c r="B2143" s="56"/>
      <c r="U2143" s="46" t="str">
        <f t="array" ref="U2143">IF($D2143="","",IFERROR(_xlfn.XLOOKUP($D2143,'TIR店舗一覧'!$D:$D,'TIR店舗一覧'!$E:$E,""),""))</f>
        <v/>
      </c>
      <c r="V2143" s="54" t="s">
        <v>2</v>
      </c>
      <c r="W2143" s="54" t="s">
        <v>2</v>
      </c>
      <c r="X2143" s="54" t="s">
        <v>2</v>
      </c>
      <c r="Y2143" s="54" t="s">
        <v>2</v>
      </c>
      <c r="Z2143" s="54" t="s">
        <v>2</v>
      </c>
      <c r="AA2143" s="54" t="s">
        <v>2</v>
      </c>
      <c r="AB2143" s="54" t="s">
        <v>2</v>
      </c>
      <c r="AC2143" s="54" t="s">
        <v>2</v>
      </c>
      <c r="AD2143" s="54" t="s">
        <v>2</v>
      </c>
      <c r="AE2143" s="54" t="s">
        <v>2</v>
      </c>
      <c r="AF2143" s="54" t="s">
        <v>2</v>
      </c>
      <c r="AG2143" s="54" t="s">
        <v>2</v>
      </c>
    </row>
    <row r="2144" ht="15.75" customHeight="1">
      <c r="B2144" s="56"/>
      <c r="U2144" s="46" t="str">
        <f t="array" ref="U2144">IF($D2144="","",IFERROR(_xlfn.XLOOKUP($D2144,'TIR店舗一覧'!$D:$D,'TIR店舗一覧'!$E:$E,""),""))</f>
        <v/>
      </c>
      <c r="V2144" s="54" t="s">
        <v>2</v>
      </c>
      <c r="W2144" s="54" t="s">
        <v>2</v>
      </c>
      <c r="X2144" s="54" t="s">
        <v>2</v>
      </c>
      <c r="Y2144" s="54" t="s">
        <v>2</v>
      </c>
      <c r="Z2144" s="54" t="s">
        <v>2</v>
      </c>
      <c r="AA2144" s="54" t="s">
        <v>2</v>
      </c>
      <c r="AB2144" s="54" t="s">
        <v>2</v>
      </c>
      <c r="AC2144" s="54" t="s">
        <v>2</v>
      </c>
      <c r="AD2144" s="54" t="s">
        <v>2</v>
      </c>
      <c r="AE2144" s="54" t="s">
        <v>2</v>
      </c>
      <c r="AF2144" s="54" t="s">
        <v>2</v>
      </c>
      <c r="AG2144" s="54" t="s">
        <v>2</v>
      </c>
    </row>
    <row r="2145" ht="15.75" customHeight="1">
      <c r="B2145" s="56"/>
      <c r="U2145" s="46" t="str">
        <f t="array" ref="U2145">IF($D2145="","",IFERROR(_xlfn.XLOOKUP($D2145,'TIR店舗一覧'!$D:$D,'TIR店舗一覧'!$E:$E,""),""))</f>
        <v/>
      </c>
      <c r="V2145" s="54" t="s">
        <v>2</v>
      </c>
      <c r="W2145" s="54" t="s">
        <v>2</v>
      </c>
      <c r="X2145" s="54" t="s">
        <v>2</v>
      </c>
      <c r="Y2145" s="54" t="s">
        <v>2</v>
      </c>
      <c r="Z2145" s="54" t="s">
        <v>2</v>
      </c>
      <c r="AA2145" s="54" t="s">
        <v>2</v>
      </c>
      <c r="AB2145" s="54" t="s">
        <v>2</v>
      </c>
      <c r="AC2145" s="54" t="s">
        <v>2</v>
      </c>
      <c r="AD2145" s="54" t="s">
        <v>2</v>
      </c>
      <c r="AE2145" s="54" t="s">
        <v>2</v>
      </c>
      <c r="AF2145" s="54" t="s">
        <v>2</v>
      </c>
      <c r="AG2145" s="54" t="s">
        <v>2</v>
      </c>
    </row>
    <row r="2146" ht="15.75" customHeight="1">
      <c r="B2146" s="56"/>
      <c r="U2146" s="46" t="str">
        <f t="array" ref="U2146">IF($D2146="","",IFERROR(_xlfn.XLOOKUP($D2146,'TIR店舗一覧'!$D:$D,'TIR店舗一覧'!$E:$E,""),""))</f>
        <v/>
      </c>
      <c r="V2146" s="54" t="s">
        <v>2</v>
      </c>
      <c r="W2146" s="54" t="s">
        <v>2</v>
      </c>
      <c r="X2146" s="54" t="s">
        <v>2</v>
      </c>
      <c r="Y2146" s="54" t="s">
        <v>2</v>
      </c>
      <c r="Z2146" s="54" t="s">
        <v>2</v>
      </c>
      <c r="AA2146" s="54" t="s">
        <v>2</v>
      </c>
      <c r="AB2146" s="54" t="s">
        <v>2</v>
      </c>
      <c r="AC2146" s="54" t="s">
        <v>2</v>
      </c>
      <c r="AD2146" s="54" t="s">
        <v>2</v>
      </c>
      <c r="AE2146" s="54" t="s">
        <v>2</v>
      </c>
      <c r="AF2146" s="54" t="s">
        <v>2</v>
      </c>
      <c r="AG2146" s="54" t="s">
        <v>2</v>
      </c>
    </row>
    <row r="2147" ht="15.75" customHeight="1">
      <c r="B2147" s="56"/>
      <c r="U2147" s="46" t="str">
        <f t="array" ref="U2147">IF($D2147="","",IFERROR(_xlfn.XLOOKUP($D2147,'TIR店舗一覧'!$D:$D,'TIR店舗一覧'!$E:$E,""),""))</f>
        <v/>
      </c>
      <c r="V2147" s="54" t="s">
        <v>2</v>
      </c>
      <c r="W2147" s="54" t="s">
        <v>2</v>
      </c>
      <c r="X2147" s="54" t="s">
        <v>2</v>
      </c>
      <c r="Y2147" s="54" t="s">
        <v>2</v>
      </c>
      <c r="Z2147" s="54" t="s">
        <v>2</v>
      </c>
      <c r="AA2147" s="54" t="s">
        <v>2</v>
      </c>
      <c r="AB2147" s="54" t="s">
        <v>2</v>
      </c>
      <c r="AC2147" s="54" t="s">
        <v>2</v>
      </c>
      <c r="AD2147" s="54" t="s">
        <v>2</v>
      </c>
      <c r="AE2147" s="54" t="s">
        <v>2</v>
      </c>
      <c r="AF2147" s="54" t="s">
        <v>2</v>
      </c>
      <c r="AG2147" s="54" t="s">
        <v>2</v>
      </c>
    </row>
    <row r="2148" ht="15.75" customHeight="1">
      <c r="B2148" s="56"/>
      <c r="U2148" s="46" t="str">
        <f t="array" ref="U2148">IF($D2148="","",IFERROR(_xlfn.XLOOKUP($D2148,'TIR店舗一覧'!$D:$D,'TIR店舗一覧'!$E:$E,""),""))</f>
        <v/>
      </c>
      <c r="V2148" s="54" t="s">
        <v>2</v>
      </c>
      <c r="W2148" s="54" t="s">
        <v>2</v>
      </c>
      <c r="X2148" s="54" t="s">
        <v>2</v>
      </c>
      <c r="Y2148" s="54" t="s">
        <v>2</v>
      </c>
      <c r="Z2148" s="54" t="s">
        <v>2</v>
      </c>
      <c r="AA2148" s="54" t="s">
        <v>2</v>
      </c>
      <c r="AB2148" s="54" t="s">
        <v>2</v>
      </c>
      <c r="AC2148" s="54" t="s">
        <v>2</v>
      </c>
      <c r="AD2148" s="54" t="s">
        <v>2</v>
      </c>
      <c r="AE2148" s="54" t="s">
        <v>2</v>
      </c>
      <c r="AF2148" s="54" t="s">
        <v>2</v>
      </c>
      <c r="AG2148" s="54" t="s">
        <v>2</v>
      </c>
    </row>
    <row r="2149" ht="15.75" customHeight="1">
      <c r="B2149" s="56"/>
      <c r="U2149" s="46" t="str">
        <f t="array" ref="U2149">IF($D2149="","",IFERROR(_xlfn.XLOOKUP($D2149,'TIR店舗一覧'!$D:$D,'TIR店舗一覧'!$E:$E,""),""))</f>
        <v/>
      </c>
      <c r="V2149" s="54" t="s">
        <v>2</v>
      </c>
      <c r="W2149" s="54" t="s">
        <v>2</v>
      </c>
      <c r="X2149" s="54" t="s">
        <v>2</v>
      </c>
      <c r="Y2149" s="54" t="s">
        <v>2</v>
      </c>
      <c r="Z2149" s="54" t="s">
        <v>2</v>
      </c>
      <c r="AA2149" s="54" t="s">
        <v>2</v>
      </c>
      <c r="AB2149" s="54" t="s">
        <v>2</v>
      </c>
      <c r="AC2149" s="54" t="s">
        <v>2</v>
      </c>
      <c r="AD2149" s="54" t="s">
        <v>2</v>
      </c>
      <c r="AE2149" s="54" t="s">
        <v>2</v>
      </c>
      <c r="AF2149" s="54" t="s">
        <v>2</v>
      </c>
      <c r="AG2149" s="54" t="s">
        <v>2</v>
      </c>
    </row>
    <row r="2150" ht="15.75" customHeight="1">
      <c r="B2150" s="56"/>
      <c r="U2150" s="46" t="str">
        <f t="array" ref="U2150">IF($D2150="","",IFERROR(_xlfn.XLOOKUP($D2150,'TIR店舗一覧'!$D:$D,'TIR店舗一覧'!$E:$E,""),""))</f>
        <v/>
      </c>
      <c r="V2150" s="54" t="s">
        <v>2</v>
      </c>
      <c r="W2150" s="54" t="s">
        <v>2</v>
      </c>
      <c r="X2150" s="54" t="s">
        <v>2</v>
      </c>
      <c r="Y2150" s="54" t="s">
        <v>2</v>
      </c>
      <c r="Z2150" s="54" t="s">
        <v>2</v>
      </c>
      <c r="AA2150" s="54" t="s">
        <v>2</v>
      </c>
      <c r="AB2150" s="54" t="s">
        <v>2</v>
      </c>
      <c r="AC2150" s="54" t="s">
        <v>2</v>
      </c>
      <c r="AD2150" s="54" t="s">
        <v>2</v>
      </c>
      <c r="AE2150" s="54" t="s">
        <v>2</v>
      </c>
      <c r="AF2150" s="54" t="s">
        <v>2</v>
      </c>
      <c r="AG2150" s="54" t="s">
        <v>2</v>
      </c>
    </row>
    <row r="2151" ht="15.75" customHeight="1">
      <c r="B2151" s="56"/>
      <c r="U2151" s="46" t="str">
        <f t="array" ref="U2151">IF($D2151="","",IFERROR(_xlfn.XLOOKUP($D2151,'TIR店舗一覧'!$D:$D,'TIR店舗一覧'!$E:$E,""),""))</f>
        <v/>
      </c>
      <c r="V2151" s="54" t="s">
        <v>2</v>
      </c>
      <c r="W2151" s="54" t="s">
        <v>2</v>
      </c>
      <c r="X2151" s="54" t="s">
        <v>2</v>
      </c>
      <c r="Y2151" s="54" t="s">
        <v>2</v>
      </c>
      <c r="Z2151" s="54" t="s">
        <v>2</v>
      </c>
      <c r="AA2151" s="54" t="s">
        <v>2</v>
      </c>
      <c r="AB2151" s="54" t="s">
        <v>2</v>
      </c>
      <c r="AC2151" s="54" t="s">
        <v>2</v>
      </c>
      <c r="AD2151" s="54" t="s">
        <v>2</v>
      </c>
      <c r="AE2151" s="54" t="s">
        <v>2</v>
      </c>
      <c r="AF2151" s="54" t="s">
        <v>2</v>
      </c>
      <c r="AG2151" s="54" t="s">
        <v>2</v>
      </c>
    </row>
    <row r="2152" ht="15.75" customHeight="1">
      <c r="B2152" s="56"/>
      <c r="U2152" s="46" t="str">
        <f t="array" ref="U2152">IF($D2152="","",IFERROR(_xlfn.XLOOKUP($D2152,'TIR店舗一覧'!$D:$D,'TIR店舗一覧'!$E:$E,""),""))</f>
        <v/>
      </c>
      <c r="V2152" s="54" t="s">
        <v>2</v>
      </c>
      <c r="W2152" s="54" t="s">
        <v>2</v>
      </c>
      <c r="X2152" s="54" t="s">
        <v>2</v>
      </c>
      <c r="Y2152" s="54" t="s">
        <v>2</v>
      </c>
      <c r="Z2152" s="54" t="s">
        <v>2</v>
      </c>
      <c r="AA2152" s="54" t="s">
        <v>2</v>
      </c>
      <c r="AB2152" s="54" t="s">
        <v>2</v>
      </c>
      <c r="AC2152" s="54" t="s">
        <v>2</v>
      </c>
      <c r="AD2152" s="54" t="s">
        <v>2</v>
      </c>
      <c r="AE2152" s="54" t="s">
        <v>2</v>
      </c>
      <c r="AF2152" s="54" t="s">
        <v>2</v>
      </c>
      <c r="AG2152" s="54" t="s">
        <v>2</v>
      </c>
    </row>
    <row r="2153" ht="15.75" customHeight="1">
      <c r="B2153" s="56"/>
      <c r="U2153" s="46" t="str">
        <f t="array" ref="U2153">IF($D2153="","",IFERROR(_xlfn.XLOOKUP($D2153,'TIR店舗一覧'!$D:$D,'TIR店舗一覧'!$E:$E,""),""))</f>
        <v/>
      </c>
      <c r="V2153" s="54" t="s">
        <v>2</v>
      </c>
      <c r="W2153" s="54" t="s">
        <v>2</v>
      </c>
      <c r="X2153" s="54" t="s">
        <v>2</v>
      </c>
      <c r="Y2153" s="54" t="s">
        <v>2</v>
      </c>
      <c r="Z2153" s="54" t="s">
        <v>2</v>
      </c>
      <c r="AA2153" s="54" t="s">
        <v>2</v>
      </c>
      <c r="AB2153" s="54" t="s">
        <v>2</v>
      </c>
      <c r="AC2153" s="54" t="s">
        <v>2</v>
      </c>
      <c r="AD2153" s="54" t="s">
        <v>2</v>
      </c>
      <c r="AE2153" s="54" t="s">
        <v>2</v>
      </c>
      <c r="AF2153" s="54" t="s">
        <v>2</v>
      </c>
      <c r="AG2153" s="54" t="s">
        <v>2</v>
      </c>
    </row>
    <row r="2154" ht="15.75" customHeight="1">
      <c r="B2154" s="56"/>
      <c r="U2154" s="46" t="str">
        <f t="array" ref="U2154">IF($D2154="","",IFERROR(_xlfn.XLOOKUP($D2154,'TIR店舗一覧'!$D:$D,'TIR店舗一覧'!$E:$E,""),""))</f>
        <v/>
      </c>
      <c r="V2154" s="54" t="s">
        <v>2</v>
      </c>
      <c r="W2154" s="54" t="s">
        <v>2</v>
      </c>
      <c r="X2154" s="54" t="s">
        <v>2</v>
      </c>
      <c r="Y2154" s="54" t="s">
        <v>2</v>
      </c>
      <c r="Z2154" s="54" t="s">
        <v>2</v>
      </c>
      <c r="AA2154" s="54" t="s">
        <v>2</v>
      </c>
      <c r="AB2154" s="54" t="s">
        <v>2</v>
      </c>
      <c r="AC2154" s="54" t="s">
        <v>2</v>
      </c>
      <c r="AD2154" s="54" t="s">
        <v>2</v>
      </c>
      <c r="AE2154" s="54" t="s">
        <v>2</v>
      </c>
      <c r="AF2154" s="54" t="s">
        <v>2</v>
      </c>
      <c r="AG2154" s="54" t="s">
        <v>2</v>
      </c>
    </row>
    <row r="2155" ht="15.75" customHeight="1">
      <c r="B2155" s="56"/>
      <c r="U2155" s="46" t="str">
        <f t="array" ref="U2155">IF($D2155="","",IFERROR(_xlfn.XLOOKUP($D2155,'TIR店舗一覧'!$D:$D,'TIR店舗一覧'!$E:$E,""),""))</f>
        <v/>
      </c>
      <c r="V2155" s="54" t="s">
        <v>2</v>
      </c>
      <c r="W2155" s="54" t="s">
        <v>2</v>
      </c>
      <c r="X2155" s="54" t="s">
        <v>2</v>
      </c>
      <c r="Y2155" s="54" t="s">
        <v>2</v>
      </c>
      <c r="Z2155" s="54" t="s">
        <v>2</v>
      </c>
      <c r="AA2155" s="54" t="s">
        <v>2</v>
      </c>
      <c r="AB2155" s="54" t="s">
        <v>2</v>
      </c>
      <c r="AC2155" s="54" t="s">
        <v>2</v>
      </c>
      <c r="AD2155" s="54" t="s">
        <v>2</v>
      </c>
      <c r="AE2155" s="54" t="s">
        <v>2</v>
      </c>
      <c r="AF2155" s="54" t="s">
        <v>2</v>
      </c>
      <c r="AG2155" s="54" t="s">
        <v>2</v>
      </c>
    </row>
    <row r="2156" ht="15.75" customHeight="1">
      <c r="B2156" s="56"/>
      <c r="U2156" s="46" t="str">
        <f t="array" ref="U2156">IF($D2156="","",IFERROR(_xlfn.XLOOKUP($D2156,'TIR店舗一覧'!$D:$D,'TIR店舗一覧'!$E:$E,""),""))</f>
        <v/>
      </c>
      <c r="V2156" s="54" t="s">
        <v>2</v>
      </c>
      <c r="W2156" s="54" t="s">
        <v>2</v>
      </c>
      <c r="X2156" s="54" t="s">
        <v>2</v>
      </c>
      <c r="Y2156" s="54" t="s">
        <v>2</v>
      </c>
      <c r="Z2156" s="54" t="s">
        <v>2</v>
      </c>
      <c r="AA2156" s="54" t="s">
        <v>2</v>
      </c>
      <c r="AB2156" s="54" t="s">
        <v>2</v>
      </c>
      <c r="AC2156" s="54" t="s">
        <v>2</v>
      </c>
      <c r="AD2156" s="54" t="s">
        <v>2</v>
      </c>
      <c r="AE2156" s="54" t="s">
        <v>2</v>
      </c>
      <c r="AF2156" s="54" t="s">
        <v>2</v>
      </c>
      <c r="AG2156" s="54" t="s">
        <v>2</v>
      </c>
    </row>
    <row r="2157" ht="15.75" customHeight="1">
      <c r="B2157" s="56"/>
      <c r="U2157" s="46" t="str">
        <f t="array" ref="U2157">IF($D2157="","",IFERROR(_xlfn.XLOOKUP($D2157,'TIR店舗一覧'!$D:$D,'TIR店舗一覧'!$E:$E,""),""))</f>
        <v/>
      </c>
      <c r="V2157" s="54" t="s">
        <v>2</v>
      </c>
      <c r="W2157" s="54" t="s">
        <v>2</v>
      </c>
      <c r="X2157" s="54" t="s">
        <v>2</v>
      </c>
      <c r="Y2157" s="54" t="s">
        <v>2</v>
      </c>
      <c r="Z2157" s="54" t="s">
        <v>2</v>
      </c>
      <c r="AA2157" s="54" t="s">
        <v>2</v>
      </c>
      <c r="AB2157" s="54" t="s">
        <v>2</v>
      </c>
      <c r="AC2157" s="54" t="s">
        <v>2</v>
      </c>
      <c r="AD2157" s="54" t="s">
        <v>2</v>
      </c>
      <c r="AE2157" s="54" t="s">
        <v>2</v>
      </c>
      <c r="AF2157" s="54" t="s">
        <v>2</v>
      </c>
      <c r="AG2157" s="54" t="s">
        <v>2</v>
      </c>
    </row>
    <row r="2158" ht="15.75" customHeight="1">
      <c r="B2158" s="56"/>
      <c r="U2158" s="46" t="str">
        <f t="array" ref="U2158">IF($D2158="","",IFERROR(_xlfn.XLOOKUP($D2158,'TIR店舗一覧'!$D:$D,'TIR店舗一覧'!$E:$E,""),""))</f>
        <v/>
      </c>
      <c r="V2158" s="54" t="s">
        <v>2</v>
      </c>
      <c r="W2158" s="54" t="s">
        <v>2</v>
      </c>
      <c r="X2158" s="54" t="s">
        <v>2</v>
      </c>
      <c r="Y2158" s="54" t="s">
        <v>2</v>
      </c>
      <c r="Z2158" s="54" t="s">
        <v>2</v>
      </c>
      <c r="AA2158" s="54" t="s">
        <v>2</v>
      </c>
      <c r="AB2158" s="54" t="s">
        <v>2</v>
      </c>
      <c r="AC2158" s="54" t="s">
        <v>2</v>
      </c>
      <c r="AD2158" s="54" t="s">
        <v>2</v>
      </c>
      <c r="AE2158" s="54" t="s">
        <v>2</v>
      </c>
      <c r="AF2158" s="54" t="s">
        <v>2</v>
      </c>
      <c r="AG2158" s="54" t="s">
        <v>2</v>
      </c>
    </row>
    <row r="2159" ht="15.75" customHeight="1">
      <c r="B2159" s="56"/>
      <c r="U2159" s="46" t="str">
        <f t="array" ref="U2159">IF($D2159="","",IFERROR(_xlfn.XLOOKUP($D2159,'TIR店舗一覧'!$D:$D,'TIR店舗一覧'!$E:$E,""),""))</f>
        <v/>
      </c>
      <c r="V2159" s="54" t="s">
        <v>2</v>
      </c>
      <c r="W2159" s="54" t="s">
        <v>2</v>
      </c>
      <c r="X2159" s="54" t="s">
        <v>2</v>
      </c>
      <c r="Y2159" s="54" t="s">
        <v>2</v>
      </c>
      <c r="Z2159" s="54" t="s">
        <v>2</v>
      </c>
      <c r="AA2159" s="54" t="s">
        <v>2</v>
      </c>
      <c r="AB2159" s="54" t="s">
        <v>2</v>
      </c>
      <c r="AC2159" s="54" t="s">
        <v>2</v>
      </c>
      <c r="AD2159" s="54" t="s">
        <v>2</v>
      </c>
      <c r="AE2159" s="54" t="s">
        <v>2</v>
      </c>
      <c r="AF2159" s="54" t="s">
        <v>2</v>
      </c>
      <c r="AG2159" s="54" t="s">
        <v>2</v>
      </c>
    </row>
    <row r="2160" ht="15.75" customHeight="1">
      <c r="B2160" s="56"/>
      <c r="U2160" s="46" t="str">
        <f t="array" ref="U2160">IF($D2160="","",IFERROR(_xlfn.XLOOKUP($D2160,'TIR店舗一覧'!$D:$D,'TIR店舗一覧'!$E:$E,""),""))</f>
        <v/>
      </c>
      <c r="V2160" s="54" t="s">
        <v>2</v>
      </c>
      <c r="W2160" s="54" t="s">
        <v>2</v>
      </c>
      <c r="X2160" s="54" t="s">
        <v>2</v>
      </c>
      <c r="Y2160" s="54" t="s">
        <v>2</v>
      </c>
      <c r="Z2160" s="54" t="s">
        <v>2</v>
      </c>
      <c r="AA2160" s="54" t="s">
        <v>2</v>
      </c>
      <c r="AB2160" s="54" t="s">
        <v>2</v>
      </c>
      <c r="AC2160" s="54" t="s">
        <v>2</v>
      </c>
      <c r="AD2160" s="54" t="s">
        <v>2</v>
      </c>
      <c r="AE2160" s="54" t="s">
        <v>2</v>
      </c>
      <c r="AF2160" s="54" t="s">
        <v>2</v>
      </c>
      <c r="AG2160" s="54" t="s">
        <v>2</v>
      </c>
    </row>
    <row r="2161" ht="15.75" customHeight="1">
      <c r="B2161" s="56"/>
      <c r="U2161" s="46" t="str">
        <f t="array" ref="U2161">IF($D2161="","",IFERROR(_xlfn.XLOOKUP($D2161,'TIR店舗一覧'!$D:$D,'TIR店舗一覧'!$E:$E,""),""))</f>
        <v/>
      </c>
      <c r="V2161" s="54" t="s">
        <v>2</v>
      </c>
      <c r="W2161" s="54" t="s">
        <v>2</v>
      </c>
      <c r="X2161" s="54" t="s">
        <v>2</v>
      </c>
      <c r="Y2161" s="54" t="s">
        <v>2</v>
      </c>
      <c r="Z2161" s="54" t="s">
        <v>2</v>
      </c>
      <c r="AA2161" s="54" t="s">
        <v>2</v>
      </c>
      <c r="AB2161" s="54" t="s">
        <v>2</v>
      </c>
      <c r="AC2161" s="54" t="s">
        <v>2</v>
      </c>
      <c r="AD2161" s="54" t="s">
        <v>2</v>
      </c>
      <c r="AE2161" s="54" t="s">
        <v>2</v>
      </c>
      <c r="AF2161" s="54" t="s">
        <v>2</v>
      </c>
      <c r="AG2161" s="54" t="s">
        <v>2</v>
      </c>
    </row>
    <row r="2162" ht="15.75" customHeight="1">
      <c r="B2162" s="56"/>
      <c r="U2162" s="46" t="str">
        <f t="array" ref="U2162">IF($D2162="","",IFERROR(_xlfn.XLOOKUP($D2162,'TIR店舗一覧'!$D:$D,'TIR店舗一覧'!$E:$E,""),""))</f>
        <v/>
      </c>
      <c r="V2162" s="54" t="s">
        <v>2</v>
      </c>
      <c r="W2162" s="54" t="s">
        <v>2</v>
      </c>
      <c r="X2162" s="54" t="s">
        <v>2</v>
      </c>
      <c r="Y2162" s="54" t="s">
        <v>2</v>
      </c>
      <c r="Z2162" s="54" t="s">
        <v>2</v>
      </c>
      <c r="AA2162" s="54" t="s">
        <v>2</v>
      </c>
      <c r="AB2162" s="54" t="s">
        <v>2</v>
      </c>
      <c r="AC2162" s="54" t="s">
        <v>2</v>
      </c>
      <c r="AD2162" s="54" t="s">
        <v>2</v>
      </c>
      <c r="AE2162" s="54" t="s">
        <v>2</v>
      </c>
      <c r="AF2162" s="54" t="s">
        <v>2</v>
      </c>
      <c r="AG2162" s="54" t="s">
        <v>2</v>
      </c>
    </row>
    <row r="2163" ht="15.75" customHeight="1">
      <c r="B2163" s="56"/>
      <c r="U2163" s="46" t="str">
        <f t="array" ref="U2163">IF($D2163="","",IFERROR(_xlfn.XLOOKUP($D2163,'TIR店舗一覧'!$D:$D,'TIR店舗一覧'!$E:$E,""),""))</f>
        <v/>
      </c>
      <c r="V2163" s="54" t="s">
        <v>2</v>
      </c>
      <c r="W2163" s="54" t="s">
        <v>2</v>
      </c>
      <c r="X2163" s="54" t="s">
        <v>2</v>
      </c>
      <c r="Y2163" s="54" t="s">
        <v>2</v>
      </c>
      <c r="Z2163" s="54" t="s">
        <v>2</v>
      </c>
      <c r="AA2163" s="54" t="s">
        <v>2</v>
      </c>
      <c r="AB2163" s="54" t="s">
        <v>2</v>
      </c>
      <c r="AC2163" s="54" t="s">
        <v>2</v>
      </c>
      <c r="AD2163" s="54" t="s">
        <v>2</v>
      </c>
      <c r="AE2163" s="54" t="s">
        <v>2</v>
      </c>
      <c r="AF2163" s="54" t="s">
        <v>2</v>
      </c>
      <c r="AG2163" s="54" t="s">
        <v>2</v>
      </c>
    </row>
    <row r="2164" ht="15.75" customHeight="1">
      <c r="B2164" s="56"/>
      <c r="U2164" s="46" t="str">
        <f t="array" ref="U2164">IF($D2164="","",IFERROR(_xlfn.XLOOKUP($D2164,'TIR店舗一覧'!$D:$D,'TIR店舗一覧'!$E:$E,""),""))</f>
        <v/>
      </c>
      <c r="V2164" s="54" t="s">
        <v>2</v>
      </c>
      <c r="W2164" s="54" t="s">
        <v>2</v>
      </c>
      <c r="X2164" s="54" t="s">
        <v>2</v>
      </c>
      <c r="Y2164" s="54" t="s">
        <v>2</v>
      </c>
      <c r="Z2164" s="54" t="s">
        <v>2</v>
      </c>
      <c r="AA2164" s="54" t="s">
        <v>2</v>
      </c>
      <c r="AB2164" s="54" t="s">
        <v>2</v>
      </c>
      <c r="AC2164" s="54" t="s">
        <v>2</v>
      </c>
      <c r="AD2164" s="54" t="s">
        <v>2</v>
      </c>
      <c r="AE2164" s="54" t="s">
        <v>2</v>
      </c>
      <c r="AF2164" s="54" t="s">
        <v>2</v>
      </c>
      <c r="AG2164" s="54" t="s">
        <v>2</v>
      </c>
    </row>
    <row r="2165" ht="15.75" customHeight="1">
      <c r="B2165" s="56"/>
      <c r="U2165" s="46" t="str">
        <f t="array" ref="U2165">IF($D2165="","",IFERROR(_xlfn.XLOOKUP($D2165,'TIR店舗一覧'!$D:$D,'TIR店舗一覧'!$E:$E,""),""))</f>
        <v/>
      </c>
      <c r="V2165" s="54" t="s">
        <v>2</v>
      </c>
      <c r="W2165" s="54" t="s">
        <v>2</v>
      </c>
      <c r="X2165" s="54" t="s">
        <v>2</v>
      </c>
      <c r="Y2165" s="54" t="s">
        <v>2</v>
      </c>
      <c r="Z2165" s="54" t="s">
        <v>2</v>
      </c>
      <c r="AA2165" s="54" t="s">
        <v>2</v>
      </c>
      <c r="AB2165" s="54" t="s">
        <v>2</v>
      </c>
      <c r="AC2165" s="54" t="s">
        <v>2</v>
      </c>
      <c r="AD2165" s="54" t="s">
        <v>2</v>
      </c>
      <c r="AE2165" s="54" t="s">
        <v>2</v>
      </c>
      <c r="AF2165" s="54" t="s">
        <v>2</v>
      </c>
      <c r="AG2165" s="54" t="s">
        <v>2</v>
      </c>
    </row>
    <row r="2166" ht="15.75" customHeight="1">
      <c r="B2166" s="56"/>
      <c r="U2166" s="46" t="str">
        <f t="array" ref="U2166">IF($D2166="","",IFERROR(_xlfn.XLOOKUP($D2166,'TIR店舗一覧'!$D:$D,'TIR店舗一覧'!$E:$E,""),""))</f>
        <v/>
      </c>
      <c r="V2166" s="54" t="s">
        <v>2</v>
      </c>
      <c r="W2166" s="54" t="s">
        <v>2</v>
      </c>
      <c r="X2166" s="54" t="s">
        <v>2</v>
      </c>
      <c r="Y2166" s="54" t="s">
        <v>2</v>
      </c>
      <c r="Z2166" s="54" t="s">
        <v>2</v>
      </c>
      <c r="AA2166" s="54" t="s">
        <v>2</v>
      </c>
      <c r="AB2166" s="54" t="s">
        <v>2</v>
      </c>
      <c r="AC2166" s="54" t="s">
        <v>2</v>
      </c>
      <c r="AD2166" s="54" t="s">
        <v>2</v>
      </c>
      <c r="AE2166" s="54" t="s">
        <v>2</v>
      </c>
      <c r="AF2166" s="54" t="s">
        <v>2</v>
      </c>
      <c r="AG2166" s="54" t="s">
        <v>2</v>
      </c>
    </row>
    <row r="2167" ht="15.75" customHeight="1">
      <c r="B2167" s="56"/>
      <c r="U2167" s="46" t="str">
        <f t="array" ref="U2167">IF($D2167="","",IFERROR(_xlfn.XLOOKUP($D2167,'TIR店舗一覧'!$D:$D,'TIR店舗一覧'!$E:$E,""),""))</f>
        <v/>
      </c>
      <c r="V2167" s="54" t="s">
        <v>2</v>
      </c>
      <c r="W2167" s="54" t="s">
        <v>2</v>
      </c>
      <c r="X2167" s="54" t="s">
        <v>2</v>
      </c>
      <c r="Y2167" s="54" t="s">
        <v>2</v>
      </c>
      <c r="Z2167" s="54" t="s">
        <v>2</v>
      </c>
      <c r="AA2167" s="54" t="s">
        <v>2</v>
      </c>
      <c r="AB2167" s="54" t="s">
        <v>2</v>
      </c>
      <c r="AC2167" s="54" t="s">
        <v>2</v>
      </c>
      <c r="AD2167" s="54" t="s">
        <v>2</v>
      </c>
      <c r="AE2167" s="54" t="s">
        <v>2</v>
      </c>
      <c r="AF2167" s="54" t="s">
        <v>2</v>
      </c>
      <c r="AG2167" s="54" t="s">
        <v>2</v>
      </c>
    </row>
    <row r="2168" ht="15.75" customHeight="1">
      <c r="B2168" s="56"/>
      <c r="U2168" s="46" t="str">
        <f t="array" ref="U2168">IF($D2168="","",IFERROR(_xlfn.XLOOKUP($D2168,'TIR店舗一覧'!$D:$D,'TIR店舗一覧'!$E:$E,""),""))</f>
        <v/>
      </c>
      <c r="V2168" s="54" t="s">
        <v>2</v>
      </c>
      <c r="W2168" s="54" t="s">
        <v>2</v>
      </c>
      <c r="X2168" s="54" t="s">
        <v>2</v>
      </c>
      <c r="Y2168" s="54" t="s">
        <v>2</v>
      </c>
      <c r="Z2168" s="54" t="s">
        <v>2</v>
      </c>
      <c r="AA2168" s="54" t="s">
        <v>2</v>
      </c>
      <c r="AB2168" s="54" t="s">
        <v>2</v>
      </c>
      <c r="AC2168" s="54" t="s">
        <v>2</v>
      </c>
      <c r="AD2168" s="54" t="s">
        <v>2</v>
      </c>
      <c r="AE2168" s="54" t="s">
        <v>2</v>
      </c>
      <c r="AF2168" s="54" t="s">
        <v>2</v>
      </c>
      <c r="AG2168" s="54" t="s">
        <v>2</v>
      </c>
    </row>
    <row r="2169" ht="15.75" customHeight="1">
      <c r="B2169" s="56"/>
      <c r="U2169" s="46" t="str">
        <f t="array" ref="U2169">IF($D2169="","",IFERROR(_xlfn.XLOOKUP($D2169,'TIR店舗一覧'!$D:$D,'TIR店舗一覧'!$E:$E,""),""))</f>
        <v/>
      </c>
      <c r="V2169" s="54" t="s">
        <v>2</v>
      </c>
      <c r="W2169" s="54" t="s">
        <v>2</v>
      </c>
      <c r="X2169" s="54" t="s">
        <v>2</v>
      </c>
      <c r="Y2169" s="54" t="s">
        <v>2</v>
      </c>
      <c r="Z2169" s="54" t="s">
        <v>2</v>
      </c>
      <c r="AA2169" s="54" t="s">
        <v>2</v>
      </c>
      <c r="AB2169" s="54" t="s">
        <v>2</v>
      </c>
      <c r="AC2169" s="54" t="s">
        <v>2</v>
      </c>
      <c r="AD2169" s="54" t="s">
        <v>2</v>
      </c>
      <c r="AE2169" s="54" t="s">
        <v>2</v>
      </c>
      <c r="AF2169" s="54" t="s">
        <v>2</v>
      </c>
      <c r="AG2169" s="54" t="s">
        <v>2</v>
      </c>
    </row>
    <row r="2170" ht="15.75" customHeight="1">
      <c r="B2170" s="56"/>
      <c r="U2170" s="46" t="str">
        <f t="array" ref="U2170">IF($D2170="","",IFERROR(_xlfn.XLOOKUP($D2170,'TIR店舗一覧'!$D:$D,'TIR店舗一覧'!$E:$E,""),""))</f>
        <v/>
      </c>
      <c r="V2170" s="54" t="s">
        <v>2</v>
      </c>
      <c r="W2170" s="54" t="s">
        <v>2</v>
      </c>
      <c r="X2170" s="54" t="s">
        <v>2</v>
      </c>
      <c r="Y2170" s="54" t="s">
        <v>2</v>
      </c>
      <c r="Z2170" s="54" t="s">
        <v>2</v>
      </c>
      <c r="AA2170" s="54" t="s">
        <v>2</v>
      </c>
      <c r="AB2170" s="54" t="s">
        <v>2</v>
      </c>
      <c r="AC2170" s="54" t="s">
        <v>2</v>
      </c>
      <c r="AD2170" s="54" t="s">
        <v>2</v>
      </c>
      <c r="AE2170" s="54" t="s">
        <v>2</v>
      </c>
      <c r="AF2170" s="54" t="s">
        <v>2</v>
      </c>
      <c r="AG2170" s="54" t="s">
        <v>2</v>
      </c>
    </row>
    <row r="2171" ht="15.75" customHeight="1">
      <c r="B2171" s="56"/>
      <c r="U2171" s="46" t="str">
        <f t="array" ref="U2171">IF($D2171="","",IFERROR(_xlfn.XLOOKUP($D2171,'TIR店舗一覧'!$D:$D,'TIR店舗一覧'!$E:$E,""),""))</f>
        <v/>
      </c>
      <c r="V2171" s="54" t="s">
        <v>2</v>
      </c>
      <c r="W2171" s="54" t="s">
        <v>2</v>
      </c>
      <c r="X2171" s="54" t="s">
        <v>2</v>
      </c>
      <c r="Y2171" s="54" t="s">
        <v>2</v>
      </c>
      <c r="Z2171" s="54" t="s">
        <v>2</v>
      </c>
      <c r="AA2171" s="54" t="s">
        <v>2</v>
      </c>
      <c r="AB2171" s="54" t="s">
        <v>2</v>
      </c>
      <c r="AC2171" s="54" t="s">
        <v>2</v>
      </c>
      <c r="AD2171" s="54" t="s">
        <v>2</v>
      </c>
      <c r="AE2171" s="54" t="s">
        <v>2</v>
      </c>
      <c r="AF2171" s="54" t="s">
        <v>2</v>
      </c>
      <c r="AG2171" s="54" t="s">
        <v>2</v>
      </c>
    </row>
    <row r="2172" ht="15.75" customHeight="1">
      <c r="B2172" s="56"/>
      <c r="U2172" s="46" t="str">
        <f t="array" ref="U2172">IF($D2172="","",IFERROR(_xlfn.XLOOKUP($D2172,'TIR店舗一覧'!$D:$D,'TIR店舗一覧'!$E:$E,""),""))</f>
        <v/>
      </c>
      <c r="V2172" s="54" t="s">
        <v>2</v>
      </c>
      <c r="W2172" s="54" t="s">
        <v>2</v>
      </c>
      <c r="X2172" s="54" t="s">
        <v>2</v>
      </c>
      <c r="Y2172" s="54" t="s">
        <v>2</v>
      </c>
      <c r="Z2172" s="54" t="s">
        <v>2</v>
      </c>
      <c r="AA2172" s="54" t="s">
        <v>2</v>
      </c>
      <c r="AB2172" s="54" t="s">
        <v>2</v>
      </c>
      <c r="AC2172" s="54" t="s">
        <v>2</v>
      </c>
      <c r="AD2172" s="54" t="s">
        <v>2</v>
      </c>
      <c r="AE2172" s="54" t="s">
        <v>2</v>
      </c>
      <c r="AF2172" s="54" t="s">
        <v>2</v>
      </c>
      <c r="AG2172" s="54" t="s">
        <v>2</v>
      </c>
    </row>
    <row r="2173" ht="15.75" customHeight="1">
      <c r="B2173" s="56"/>
      <c r="U2173" s="46" t="str">
        <f t="array" ref="U2173">IF($D2173="","",IFERROR(_xlfn.XLOOKUP($D2173,'TIR店舗一覧'!$D:$D,'TIR店舗一覧'!$E:$E,""),""))</f>
        <v/>
      </c>
      <c r="V2173" s="54" t="s">
        <v>2</v>
      </c>
      <c r="W2173" s="54" t="s">
        <v>2</v>
      </c>
      <c r="X2173" s="54" t="s">
        <v>2</v>
      </c>
      <c r="Y2173" s="54" t="s">
        <v>2</v>
      </c>
      <c r="Z2173" s="54" t="s">
        <v>2</v>
      </c>
      <c r="AA2173" s="54" t="s">
        <v>2</v>
      </c>
      <c r="AB2173" s="54" t="s">
        <v>2</v>
      </c>
      <c r="AC2173" s="54" t="s">
        <v>2</v>
      </c>
      <c r="AD2173" s="54" t="s">
        <v>2</v>
      </c>
      <c r="AE2173" s="54" t="s">
        <v>2</v>
      </c>
      <c r="AF2173" s="54" t="s">
        <v>2</v>
      </c>
      <c r="AG2173" s="54" t="s">
        <v>2</v>
      </c>
    </row>
    <row r="2174" ht="15.75" customHeight="1">
      <c r="B2174" s="56"/>
      <c r="U2174" s="46" t="str">
        <f t="array" ref="U2174">IF($D2174="","",IFERROR(_xlfn.XLOOKUP($D2174,'TIR店舗一覧'!$D:$D,'TIR店舗一覧'!$E:$E,""),""))</f>
        <v/>
      </c>
      <c r="V2174" s="54" t="s">
        <v>2</v>
      </c>
      <c r="W2174" s="54" t="s">
        <v>2</v>
      </c>
      <c r="X2174" s="54" t="s">
        <v>2</v>
      </c>
      <c r="Y2174" s="54" t="s">
        <v>2</v>
      </c>
      <c r="Z2174" s="54" t="s">
        <v>2</v>
      </c>
      <c r="AA2174" s="54" t="s">
        <v>2</v>
      </c>
      <c r="AB2174" s="54" t="s">
        <v>2</v>
      </c>
      <c r="AC2174" s="54" t="s">
        <v>2</v>
      </c>
      <c r="AD2174" s="54" t="s">
        <v>2</v>
      </c>
      <c r="AE2174" s="54" t="s">
        <v>2</v>
      </c>
      <c r="AF2174" s="54" t="s">
        <v>2</v>
      </c>
      <c r="AG2174" s="54" t="s">
        <v>2</v>
      </c>
    </row>
    <row r="2175" ht="15.75" customHeight="1">
      <c r="B2175" s="56"/>
      <c r="U2175" s="46" t="str">
        <f t="array" ref="U2175">IF($D2175="","",IFERROR(_xlfn.XLOOKUP($D2175,'TIR店舗一覧'!$D:$D,'TIR店舗一覧'!$E:$E,""),""))</f>
        <v/>
      </c>
      <c r="V2175" s="54" t="s">
        <v>2</v>
      </c>
      <c r="W2175" s="54" t="s">
        <v>2</v>
      </c>
      <c r="X2175" s="54" t="s">
        <v>2</v>
      </c>
      <c r="Y2175" s="54" t="s">
        <v>2</v>
      </c>
      <c r="Z2175" s="54" t="s">
        <v>2</v>
      </c>
      <c r="AA2175" s="54" t="s">
        <v>2</v>
      </c>
      <c r="AB2175" s="54" t="s">
        <v>2</v>
      </c>
      <c r="AC2175" s="54" t="s">
        <v>2</v>
      </c>
      <c r="AD2175" s="54" t="s">
        <v>2</v>
      </c>
      <c r="AE2175" s="54" t="s">
        <v>2</v>
      </c>
      <c r="AF2175" s="54" t="s">
        <v>2</v>
      </c>
      <c r="AG2175" s="54" t="s">
        <v>2</v>
      </c>
    </row>
    <row r="2176" ht="15.75" customHeight="1">
      <c r="B2176" s="56"/>
      <c r="U2176" s="46" t="str">
        <f t="array" ref="U2176">IF($D2176="","",IFERROR(_xlfn.XLOOKUP($D2176,'TIR店舗一覧'!$D:$D,'TIR店舗一覧'!$E:$E,""),""))</f>
        <v/>
      </c>
      <c r="V2176" s="54" t="s">
        <v>2</v>
      </c>
      <c r="W2176" s="54" t="s">
        <v>2</v>
      </c>
      <c r="X2176" s="54" t="s">
        <v>2</v>
      </c>
      <c r="Y2176" s="54" t="s">
        <v>2</v>
      </c>
      <c r="Z2176" s="54" t="s">
        <v>2</v>
      </c>
      <c r="AA2176" s="54" t="s">
        <v>2</v>
      </c>
      <c r="AB2176" s="54" t="s">
        <v>2</v>
      </c>
      <c r="AC2176" s="54" t="s">
        <v>2</v>
      </c>
      <c r="AD2176" s="54" t="s">
        <v>2</v>
      </c>
      <c r="AE2176" s="54" t="s">
        <v>2</v>
      </c>
      <c r="AF2176" s="54" t="s">
        <v>2</v>
      </c>
      <c r="AG2176" s="54" t="s">
        <v>2</v>
      </c>
    </row>
    <row r="2177" ht="15.75" customHeight="1">
      <c r="B2177" s="56"/>
      <c r="U2177" s="46" t="str">
        <f t="array" ref="U2177">IF($D2177="","",IFERROR(_xlfn.XLOOKUP($D2177,'TIR店舗一覧'!$D:$D,'TIR店舗一覧'!$E:$E,""),""))</f>
        <v/>
      </c>
      <c r="V2177" s="54" t="s">
        <v>2</v>
      </c>
      <c r="W2177" s="54" t="s">
        <v>2</v>
      </c>
      <c r="X2177" s="54" t="s">
        <v>2</v>
      </c>
      <c r="Y2177" s="54" t="s">
        <v>2</v>
      </c>
      <c r="Z2177" s="54" t="s">
        <v>2</v>
      </c>
      <c r="AA2177" s="54" t="s">
        <v>2</v>
      </c>
      <c r="AB2177" s="54" t="s">
        <v>2</v>
      </c>
      <c r="AC2177" s="54" t="s">
        <v>2</v>
      </c>
      <c r="AD2177" s="54" t="s">
        <v>2</v>
      </c>
      <c r="AE2177" s="54" t="s">
        <v>2</v>
      </c>
      <c r="AF2177" s="54" t="s">
        <v>2</v>
      </c>
      <c r="AG2177" s="54" t="s">
        <v>2</v>
      </c>
    </row>
    <row r="2178" ht="15.75" customHeight="1">
      <c r="B2178" s="56"/>
      <c r="U2178" s="46" t="str">
        <f t="array" ref="U2178">IF($D2178="","",IFERROR(_xlfn.XLOOKUP($D2178,'TIR店舗一覧'!$D:$D,'TIR店舗一覧'!$E:$E,""),""))</f>
        <v/>
      </c>
      <c r="V2178" s="54" t="s">
        <v>2</v>
      </c>
      <c r="W2178" s="54" t="s">
        <v>2</v>
      </c>
      <c r="X2178" s="54" t="s">
        <v>2</v>
      </c>
      <c r="Y2178" s="54" t="s">
        <v>2</v>
      </c>
      <c r="Z2178" s="54" t="s">
        <v>2</v>
      </c>
      <c r="AA2178" s="54" t="s">
        <v>2</v>
      </c>
      <c r="AB2178" s="54" t="s">
        <v>2</v>
      </c>
      <c r="AC2178" s="54" t="s">
        <v>2</v>
      </c>
      <c r="AD2178" s="54" t="s">
        <v>2</v>
      </c>
      <c r="AE2178" s="54" t="s">
        <v>2</v>
      </c>
      <c r="AF2178" s="54" t="s">
        <v>2</v>
      </c>
      <c r="AG2178" s="54" t="s">
        <v>2</v>
      </c>
    </row>
    <row r="2179" ht="15.75" customHeight="1">
      <c r="B2179" s="56"/>
      <c r="U2179" s="46" t="str">
        <f t="array" ref="U2179">IF($D2179="","",IFERROR(_xlfn.XLOOKUP($D2179,'TIR店舗一覧'!$D:$D,'TIR店舗一覧'!$E:$E,""),""))</f>
        <v/>
      </c>
      <c r="V2179" s="54" t="s">
        <v>2</v>
      </c>
      <c r="W2179" s="54" t="s">
        <v>2</v>
      </c>
      <c r="X2179" s="54" t="s">
        <v>2</v>
      </c>
      <c r="Y2179" s="54" t="s">
        <v>2</v>
      </c>
      <c r="Z2179" s="54" t="s">
        <v>2</v>
      </c>
      <c r="AA2179" s="54" t="s">
        <v>2</v>
      </c>
      <c r="AB2179" s="54" t="s">
        <v>2</v>
      </c>
      <c r="AC2179" s="54" t="s">
        <v>2</v>
      </c>
      <c r="AD2179" s="54" t="s">
        <v>2</v>
      </c>
      <c r="AE2179" s="54" t="s">
        <v>2</v>
      </c>
      <c r="AF2179" s="54" t="s">
        <v>2</v>
      </c>
      <c r="AG2179" s="54" t="s">
        <v>2</v>
      </c>
    </row>
    <row r="2180" ht="15.75" customHeight="1">
      <c r="B2180" s="56"/>
      <c r="U2180" s="46" t="str">
        <f t="array" ref="U2180">IF($D2180="","",IFERROR(_xlfn.XLOOKUP($D2180,'TIR店舗一覧'!$D:$D,'TIR店舗一覧'!$E:$E,""),""))</f>
        <v/>
      </c>
      <c r="V2180" s="54" t="s">
        <v>2</v>
      </c>
      <c r="W2180" s="54" t="s">
        <v>2</v>
      </c>
      <c r="X2180" s="54" t="s">
        <v>2</v>
      </c>
      <c r="Y2180" s="54" t="s">
        <v>2</v>
      </c>
      <c r="Z2180" s="54" t="s">
        <v>2</v>
      </c>
      <c r="AA2180" s="54" t="s">
        <v>2</v>
      </c>
      <c r="AB2180" s="54" t="s">
        <v>2</v>
      </c>
      <c r="AC2180" s="54" t="s">
        <v>2</v>
      </c>
      <c r="AD2180" s="54" t="s">
        <v>2</v>
      </c>
      <c r="AE2180" s="54" t="s">
        <v>2</v>
      </c>
      <c r="AF2180" s="54" t="s">
        <v>2</v>
      </c>
      <c r="AG2180" s="54" t="s">
        <v>2</v>
      </c>
    </row>
    <row r="2181" ht="15.75" customHeight="1">
      <c r="B2181" s="56"/>
      <c r="U2181" s="46" t="str">
        <f t="array" ref="U2181">IF($D2181="","",IFERROR(_xlfn.XLOOKUP($D2181,'TIR店舗一覧'!$D:$D,'TIR店舗一覧'!$E:$E,""),""))</f>
        <v/>
      </c>
      <c r="V2181" s="54" t="s">
        <v>2</v>
      </c>
      <c r="W2181" s="54" t="s">
        <v>2</v>
      </c>
      <c r="X2181" s="54" t="s">
        <v>2</v>
      </c>
      <c r="Y2181" s="54" t="s">
        <v>2</v>
      </c>
      <c r="Z2181" s="54" t="s">
        <v>2</v>
      </c>
      <c r="AA2181" s="54" t="s">
        <v>2</v>
      </c>
      <c r="AB2181" s="54" t="s">
        <v>2</v>
      </c>
      <c r="AC2181" s="54" t="s">
        <v>2</v>
      </c>
      <c r="AD2181" s="54" t="s">
        <v>2</v>
      </c>
      <c r="AE2181" s="54" t="s">
        <v>2</v>
      </c>
      <c r="AF2181" s="54" t="s">
        <v>2</v>
      </c>
      <c r="AG2181" s="54" t="s">
        <v>2</v>
      </c>
    </row>
    <row r="2182" ht="15.75" customHeight="1">
      <c r="B2182" s="56"/>
      <c r="U2182" s="46" t="str">
        <f t="array" ref="U2182">IF($D2182="","",IFERROR(_xlfn.XLOOKUP($D2182,'TIR店舗一覧'!$D:$D,'TIR店舗一覧'!$E:$E,""),""))</f>
        <v/>
      </c>
      <c r="V2182" s="54" t="s">
        <v>2</v>
      </c>
      <c r="W2182" s="54" t="s">
        <v>2</v>
      </c>
      <c r="X2182" s="54" t="s">
        <v>2</v>
      </c>
      <c r="Y2182" s="54" t="s">
        <v>2</v>
      </c>
      <c r="Z2182" s="54" t="s">
        <v>2</v>
      </c>
      <c r="AA2182" s="54" t="s">
        <v>2</v>
      </c>
      <c r="AB2182" s="54" t="s">
        <v>2</v>
      </c>
      <c r="AC2182" s="54" t="s">
        <v>2</v>
      </c>
      <c r="AD2182" s="54" t="s">
        <v>2</v>
      </c>
      <c r="AE2182" s="54" t="s">
        <v>2</v>
      </c>
      <c r="AF2182" s="54" t="s">
        <v>2</v>
      </c>
      <c r="AG2182" s="54" t="s">
        <v>2</v>
      </c>
    </row>
    <row r="2183" ht="15.75" customHeight="1">
      <c r="B2183" s="56"/>
      <c r="U2183" s="46" t="str">
        <f t="array" ref="U2183">IF($D2183="","",IFERROR(_xlfn.XLOOKUP($D2183,'TIR店舗一覧'!$D:$D,'TIR店舗一覧'!$E:$E,""),""))</f>
        <v/>
      </c>
      <c r="V2183" s="54" t="s">
        <v>2</v>
      </c>
      <c r="W2183" s="54" t="s">
        <v>2</v>
      </c>
      <c r="X2183" s="54" t="s">
        <v>2</v>
      </c>
      <c r="Y2183" s="54" t="s">
        <v>2</v>
      </c>
      <c r="Z2183" s="54" t="s">
        <v>2</v>
      </c>
      <c r="AA2183" s="54" t="s">
        <v>2</v>
      </c>
      <c r="AB2183" s="54" t="s">
        <v>2</v>
      </c>
      <c r="AC2183" s="54" t="s">
        <v>2</v>
      </c>
      <c r="AD2183" s="54" t="s">
        <v>2</v>
      </c>
      <c r="AE2183" s="54" t="s">
        <v>2</v>
      </c>
      <c r="AF2183" s="54" t="s">
        <v>2</v>
      </c>
      <c r="AG2183" s="54" t="s">
        <v>2</v>
      </c>
    </row>
    <row r="2184" ht="15.75" customHeight="1">
      <c r="B2184" s="56"/>
      <c r="U2184" s="46" t="str">
        <f t="array" ref="U2184">IF($D2184="","",IFERROR(_xlfn.XLOOKUP($D2184,'TIR店舗一覧'!$D:$D,'TIR店舗一覧'!$E:$E,""),""))</f>
        <v/>
      </c>
      <c r="V2184" s="54" t="s">
        <v>2</v>
      </c>
      <c r="W2184" s="54" t="s">
        <v>2</v>
      </c>
      <c r="X2184" s="54" t="s">
        <v>2</v>
      </c>
      <c r="Y2184" s="54" t="s">
        <v>2</v>
      </c>
      <c r="Z2184" s="54" t="s">
        <v>2</v>
      </c>
      <c r="AA2184" s="54" t="s">
        <v>2</v>
      </c>
      <c r="AB2184" s="54" t="s">
        <v>2</v>
      </c>
      <c r="AC2184" s="54" t="s">
        <v>2</v>
      </c>
      <c r="AD2184" s="54" t="s">
        <v>2</v>
      </c>
      <c r="AE2184" s="54" t="s">
        <v>2</v>
      </c>
      <c r="AF2184" s="54" t="s">
        <v>2</v>
      </c>
      <c r="AG2184" s="54" t="s">
        <v>2</v>
      </c>
    </row>
    <row r="2185" ht="15.75" customHeight="1">
      <c r="B2185" s="56"/>
      <c r="U2185" s="46" t="str">
        <f t="array" ref="U2185">IF($D2185="","",IFERROR(_xlfn.XLOOKUP($D2185,'TIR店舗一覧'!$D:$D,'TIR店舗一覧'!$E:$E,""),""))</f>
        <v/>
      </c>
      <c r="V2185" s="54" t="s">
        <v>2</v>
      </c>
      <c r="W2185" s="54" t="s">
        <v>2</v>
      </c>
      <c r="X2185" s="54" t="s">
        <v>2</v>
      </c>
      <c r="Y2185" s="54" t="s">
        <v>2</v>
      </c>
      <c r="Z2185" s="54" t="s">
        <v>2</v>
      </c>
      <c r="AA2185" s="54" t="s">
        <v>2</v>
      </c>
      <c r="AB2185" s="54" t="s">
        <v>2</v>
      </c>
      <c r="AC2185" s="54" t="s">
        <v>2</v>
      </c>
      <c r="AD2185" s="54" t="s">
        <v>2</v>
      </c>
      <c r="AE2185" s="54" t="s">
        <v>2</v>
      </c>
      <c r="AF2185" s="54" t="s">
        <v>2</v>
      </c>
      <c r="AG2185" s="54" t="s">
        <v>2</v>
      </c>
    </row>
    <row r="2186" ht="15.75" customHeight="1">
      <c r="B2186" s="56"/>
      <c r="U2186" s="46" t="str">
        <f t="array" ref="U2186">IF($D2186="","",IFERROR(_xlfn.XLOOKUP($D2186,'TIR店舗一覧'!$D:$D,'TIR店舗一覧'!$E:$E,""),""))</f>
        <v/>
      </c>
      <c r="V2186" s="54" t="s">
        <v>2</v>
      </c>
      <c r="W2186" s="54" t="s">
        <v>2</v>
      </c>
      <c r="X2186" s="54" t="s">
        <v>2</v>
      </c>
      <c r="Y2186" s="54" t="s">
        <v>2</v>
      </c>
      <c r="Z2186" s="54" t="s">
        <v>2</v>
      </c>
      <c r="AA2186" s="54" t="s">
        <v>2</v>
      </c>
      <c r="AB2186" s="54" t="s">
        <v>2</v>
      </c>
      <c r="AC2186" s="54" t="s">
        <v>2</v>
      </c>
      <c r="AD2186" s="54" t="s">
        <v>2</v>
      </c>
      <c r="AE2186" s="54" t="s">
        <v>2</v>
      </c>
      <c r="AF2186" s="54" t="s">
        <v>2</v>
      </c>
      <c r="AG2186" s="54" t="s">
        <v>2</v>
      </c>
    </row>
    <row r="2187" ht="15.75" customHeight="1">
      <c r="B2187" s="56"/>
      <c r="U2187" s="46" t="str">
        <f t="array" ref="U2187">IF($D2187="","",IFERROR(_xlfn.XLOOKUP($D2187,'TIR店舗一覧'!$D:$D,'TIR店舗一覧'!$E:$E,""),""))</f>
        <v/>
      </c>
      <c r="V2187" s="54" t="s">
        <v>2</v>
      </c>
      <c r="W2187" s="54" t="s">
        <v>2</v>
      </c>
      <c r="X2187" s="54" t="s">
        <v>2</v>
      </c>
      <c r="Y2187" s="54" t="s">
        <v>2</v>
      </c>
      <c r="Z2187" s="54" t="s">
        <v>2</v>
      </c>
      <c r="AA2187" s="54" t="s">
        <v>2</v>
      </c>
      <c r="AB2187" s="54" t="s">
        <v>2</v>
      </c>
      <c r="AC2187" s="54" t="s">
        <v>2</v>
      </c>
      <c r="AD2187" s="54" t="s">
        <v>2</v>
      </c>
      <c r="AE2187" s="54" t="s">
        <v>2</v>
      </c>
      <c r="AF2187" s="54" t="s">
        <v>2</v>
      </c>
      <c r="AG2187" s="54" t="s">
        <v>2</v>
      </c>
    </row>
    <row r="2188" ht="15.75" customHeight="1">
      <c r="B2188" s="56"/>
      <c r="U2188" s="46" t="str">
        <f t="array" ref="U2188">IF($D2188="","",IFERROR(_xlfn.XLOOKUP($D2188,'TIR店舗一覧'!$D:$D,'TIR店舗一覧'!$E:$E,""),""))</f>
        <v/>
      </c>
      <c r="V2188" s="54" t="s">
        <v>2</v>
      </c>
      <c r="W2188" s="54" t="s">
        <v>2</v>
      </c>
      <c r="X2188" s="54" t="s">
        <v>2</v>
      </c>
      <c r="Y2188" s="54" t="s">
        <v>2</v>
      </c>
      <c r="Z2188" s="54" t="s">
        <v>2</v>
      </c>
      <c r="AA2188" s="54" t="s">
        <v>2</v>
      </c>
      <c r="AB2188" s="54" t="s">
        <v>2</v>
      </c>
      <c r="AC2188" s="54" t="s">
        <v>2</v>
      </c>
      <c r="AD2188" s="54" t="s">
        <v>2</v>
      </c>
      <c r="AE2188" s="54" t="s">
        <v>2</v>
      </c>
      <c r="AF2188" s="54" t="s">
        <v>2</v>
      </c>
      <c r="AG2188" s="54" t="s">
        <v>2</v>
      </c>
    </row>
    <row r="2189" ht="15.75" customHeight="1">
      <c r="B2189" s="56"/>
      <c r="U2189" s="46" t="str">
        <f t="array" ref="U2189">IF($D2189="","",IFERROR(_xlfn.XLOOKUP($D2189,'TIR店舗一覧'!$D:$D,'TIR店舗一覧'!$E:$E,""),""))</f>
        <v/>
      </c>
      <c r="V2189" s="54" t="s">
        <v>2</v>
      </c>
      <c r="W2189" s="54" t="s">
        <v>2</v>
      </c>
      <c r="X2189" s="54" t="s">
        <v>2</v>
      </c>
      <c r="Y2189" s="54" t="s">
        <v>2</v>
      </c>
      <c r="Z2189" s="54" t="s">
        <v>2</v>
      </c>
      <c r="AA2189" s="54" t="s">
        <v>2</v>
      </c>
      <c r="AB2189" s="54" t="s">
        <v>2</v>
      </c>
      <c r="AC2189" s="54" t="s">
        <v>2</v>
      </c>
      <c r="AD2189" s="54" t="s">
        <v>2</v>
      </c>
      <c r="AE2189" s="54" t="s">
        <v>2</v>
      </c>
      <c r="AF2189" s="54" t="s">
        <v>2</v>
      </c>
      <c r="AG2189" s="54" t="s">
        <v>2</v>
      </c>
    </row>
    <row r="2190" ht="15.75" customHeight="1">
      <c r="B2190" s="56"/>
      <c r="U2190" s="46" t="str">
        <f t="array" ref="U2190">IF($D2190="","",IFERROR(_xlfn.XLOOKUP($D2190,'TIR店舗一覧'!$D:$D,'TIR店舗一覧'!$E:$E,""),""))</f>
        <v/>
      </c>
      <c r="V2190" s="54" t="s">
        <v>2</v>
      </c>
      <c r="W2190" s="54" t="s">
        <v>2</v>
      </c>
      <c r="X2190" s="54" t="s">
        <v>2</v>
      </c>
      <c r="Y2190" s="54" t="s">
        <v>2</v>
      </c>
      <c r="Z2190" s="54" t="s">
        <v>2</v>
      </c>
      <c r="AA2190" s="54" t="s">
        <v>2</v>
      </c>
      <c r="AB2190" s="54" t="s">
        <v>2</v>
      </c>
      <c r="AC2190" s="54" t="s">
        <v>2</v>
      </c>
      <c r="AD2190" s="54" t="s">
        <v>2</v>
      </c>
      <c r="AE2190" s="54" t="s">
        <v>2</v>
      </c>
      <c r="AF2190" s="54" t="s">
        <v>2</v>
      </c>
      <c r="AG2190" s="54" t="s">
        <v>2</v>
      </c>
    </row>
    <row r="2191" ht="15.75" customHeight="1">
      <c r="B2191" s="56"/>
      <c r="U2191" s="46" t="str">
        <f t="array" ref="U2191">IF($D2191="","",IFERROR(_xlfn.XLOOKUP($D2191,'TIR店舗一覧'!$D:$D,'TIR店舗一覧'!$E:$E,""),""))</f>
        <v/>
      </c>
      <c r="V2191" s="54" t="s">
        <v>2</v>
      </c>
      <c r="W2191" s="54" t="s">
        <v>2</v>
      </c>
      <c r="X2191" s="54" t="s">
        <v>2</v>
      </c>
      <c r="Y2191" s="54" t="s">
        <v>2</v>
      </c>
      <c r="Z2191" s="54" t="s">
        <v>2</v>
      </c>
      <c r="AA2191" s="54" t="s">
        <v>2</v>
      </c>
      <c r="AB2191" s="54" t="s">
        <v>2</v>
      </c>
      <c r="AC2191" s="54" t="s">
        <v>2</v>
      </c>
      <c r="AD2191" s="54" t="s">
        <v>2</v>
      </c>
      <c r="AE2191" s="54" t="s">
        <v>2</v>
      </c>
      <c r="AF2191" s="54" t="s">
        <v>2</v>
      </c>
      <c r="AG2191" s="54" t="s">
        <v>2</v>
      </c>
    </row>
    <row r="2192" ht="15.75" customHeight="1">
      <c r="B2192" s="56"/>
      <c r="U2192" s="46" t="str">
        <f t="array" ref="U2192">IF($D2192="","",IFERROR(_xlfn.XLOOKUP($D2192,'TIR店舗一覧'!$D:$D,'TIR店舗一覧'!$E:$E,""),""))</f>
        <v/>
      </c>
      <c r="V2192" s="54" t="s">
        <v>2</v>
      </c>
      <c r="W2192" s="54" t="s">
        <v>2</v>
      </c>
      <c r="X2192" s="54" t="s">
        <v>2</v>
      </c>
      <c r="Y2192" s="54" t="s">
        <v>2</v>
      </c>
      <c r="Z2192" s="54" t="s">
        <v>2</v>
      </c>
      <c r="AA2192" s="54" t="s">
        <v>2</v>
      </c>
      <c r="AB2192" s="54" t="s">
        <v>2</v>
      </c>
      <c r="AC2192" s="54" t="s">
        <v>2</v>
      </c>
      <c r="AD2192" s="54" t="s">
        <v>2</v>
      </c>
      <c r="AE2192" s="54" t="s">
        <v>2</v>
      </c>
      <c r="AF2192" s="54" t="s">
        <v>2</v>
      </c>
      <c r="AG2192" s="54" t="s">
        <v>2</v>
      </c>
    </row>
    <row r="2193" ht="15.75" customHeight="1">
      <c r="B2193" s="56"/>
      <c r="U2193" s="46" t="str">
        <f t="array" ref="U2193">IF($D2193="","",IFERROR(_xlfn.XLOOKUP($D2193,'TIR店舗一覧'!$D:$D,'TIR店舗一覧'!$E:$E,""),""))</f>
        <v/>
      </c>
      <c r="V2193" s="54" t="s">
        <v>2</v>
      </c>
      <c r="W2193" s="54" t="s">
        <v>2</v>
      </c>
      <c r="X2193" s="54" t="s">
        <v>2</v>
      </c>
      <c r="Y2193" s="54" t="s">
        <v>2</v>
      </c>
      <c r="Z2193" s="54" t="s">
        <v>2</v>
      </c>
      <c r="AA2193" s="54" t="s">
        <v>2</v>
      </c>
      <c r="AB2193" s="54" t="s">
        <v>2</v>
      </c>
      <c r="AC2193" s="54" t="s">
        <v>2</v>
      </c>
      <c r="AD2193" s="54" t="s">
        <v>2</v>
      </c>
      <c r="AE2193" s="54" t="s">
        <v>2</v>
      </c>
      <c r="AF2193" s="54" t="s">
        <v>2</v>
      </c>
      <c r="AG2193" s="54" t="s">
        <v>2</v>
      </c>
    </row>
    <row r="2194" ht="15.75" customHeight="1">
      <c r="B2194" s="56"/>
      <c r="U2194" s="46" t="str">
        <f t="array" ref="U2194">IF($D2194="","",IFERROR(_xlfn.XLOOKUP($D2194,'TIR店舗一覧'!$D:$D,'TIR店舗一覧'!$E:$E,""),""))</f>
        <v/>
      </c>
      <c r="V2194" s="54" t="s">
        <v>2</v>
      </c>
      <c r="W2194" s="54" t="s">
        <v>2</v>
      </c>
      <c r="X2194" s="54" t="s">
        <v>2</v>
      </c>
      <c r="Y2194" s="54" t="s">
        <v>2</v>
      </c>
      <c r="Z2194" s="54" t="s">
        <v>2</v>
      </c>
      <c r="AA2194" s="54" t="s">
        <v>2</v>
      </c>
      <c r="AB2194" s="54" t="s">
        <v>2</v>
      </c>
      <c r="AC2194" s="54" t="s">
        <v>2</v>
      </c>
      <c r="AD2194" s="54" t="s">
        <v>2</v>
      </c>
      <c r="AE2194" s="54" t="s">
        <v>2</v>
      </c>
      <c r="AF2194" s="54" t="s">
        <v>2</v>
      </c>
      <c r="AG2194" s="54" t="s">
        <v>2</v>
      </c>
    </row>
    <row r="2195" ht="15.75" customHeight="1">
      <c r="B2195" s="56"/>
      <c r="U2195" s="46" t="str">
        <f t="array" ref="U2195">IF($D2195="","",IFERROR(_xlfn.XLOOKUP($D2195,'TIR店舗一覧'!$D:$D,'TIR店舗一覧'!$E:$E,""),""))</f>
        <v/>
      </c>
      <c r="V2195" s="54" t="s">
        <v>2</v>
      </c>
      <c r="W2195" s="54" t="s">
        <v>2</v>
      </c>
      <c r="X2195" s="54" t="s">
        <v>2</v>
      </c>
      <c r="Y2195" s="54" t="s">
        <v>2</v>
      </c>
      <c r="Z2195" s="54" t="s">
        <v>2</v>
      </c>
      <c r="AA2195" s="54" t="s">
        <v>2</v>
      </c>
      <c r="AB2195" s="54" t="s">
        <v>2</v>
      </c>
      <c r="AC2195" s="54" t="s">
        <v>2</v>
      </c>
      <c r="AD2195" s="54" t="s">
        <v>2</v>
      </c>
      <c r="AE2195" s="54" t="s">
        <v>2</v>
      </c>
      <c r="AF2195" s="54" t="s">
        <v>2</v>
      </c>
      <c r="AG2195" s="54" t="s">
        <v>2</v>
      </c>
    </row>
    <row r="2196" ht="15.75" customHeight="1">
      <c r="B2196" s="56"/>
      <c r="U2196" s="46" t="str">
        <f t="array" ref="U2196">IF($D2196="","",IFERROR(_xlfn.XLOOKUP($D2196,'TIR店舗一覧'!$D:$D,'TIR店舗一覧'!$E:$E,""),""))</f>
        <v/>
      </c>
      <c r="V2196" s="54" t="s">
        <v>2</v>
      </c>
      <c r="W2196" s="54" t="s">
        <v>2</v>
      </c>
      <c r="X2196" s="54" t="s">
        <v>2</v>
      </c>
      <c r="Y2196" s="54" t="s">
        <v>2</v>
      </c>
      <c r="Z2196" s="54" t="s">
        <v>2</v>
      </c>
      <c r="AA2196" s="54" t="s">
        <v>2</v>
      </c>
      <c r="AB2196" s="54" t="s">
        <v>2</v>
      </c>
      <c r="AC2196" s="54" t="s">
        <v>2</v>
      </c>
      <c r="AD2196" s="54" t="s">
        <v>2</v>
      </c>
      <c r="AE2196" s="54" t="s">
        <v>2</v>
      </c>
      <c r="AF2196" s="54" t="s">
        <v>2</v>
      </c>
      <c r="AG2196" s="54" t="s">
        <v>2</v>
      </c>
    </row>
    <row r="2197" ht="15.75" customHeight="1">
      <c r="B2197" s="56"/>
      <c r="U2197" s="46" t="str">
        <f t="array" ref="U2197">IF($D2197="","",IFERROR(_xlfn.XLOOKUP($D2197,'TIR店舗一覧'!$D:$D,'TIR店舗一覧'!$E:$E,""),""))</f>
        <v/>
      </c>
      <c r="V2197" s="54" t="s">
        <v>2</v>
      </c>
      <c r="W2197" s="54" t="s">
        <v>2</v>
      </c>
      <c r="X2197" s="54" t="s">
        <v>2</v>
      </c>
      <c r="Y2197" s="54" t="s">
        <v>2</v>
      </c>
      <c r="Z2197" s="54" t="s">
        <v>2</v>
      </c>
      <c r="AA2197" s="54" t="s">
        <v>2</v>
      </c>
      <c r="AB2197" s="54" t="s">
        <v>2</v>
      </c>
      <c r="AC2197" s="54" t="s">
        <v>2</v>
      </c>
      <c r="AD2197" s="54" t="s">
        <v>2</v>
      </c>
      <c r="AE2197" s="54" t="s">
        <v>2</v>
      </c>
      <c r="AF2197" s="54" t="s">
        <v>2</v>
      </c>
      <c r="AG2197" s="54" t="s">
        <v>2</v>
      </c>
    </row>
    <row r="2198" ht="15.75" customHeight="1">
      <c r="B2198" s="56"/>
      <c r="U2198" s="46" t="str">
        <f t="array" ref="U2198">IF($D2198="","",IFERROR(_xlfn.XLOOKUP($D2198,'TIR店舗一覧'!$D:$D,'TIR店舗一覧'!$E:$E,""),""))</f>
        <v/>
      </c>
      <c r="V2198" s="54" t="s">
        <v>2</v>
      </c>
      <c r="W2198" s="54" t="s">
        <v>2</v>
      </c>
      <c r="X2198" s="54" t="s">
        <v>2</v>
      </c>
      <c r="Y2198" s="54" t="s">
        <v>2</v>
      </c>
      <c r="Z2198" s="54" t="s">
        <v>2</v>
      </c>
      <c r="AA2198" s="54" t="s">
        <v>2</v>
      </c>
      <c r="AB2198" s="54" t="s">
        <v>2</v>
      </c>
      <c r="AC2198" s="54" t="s">
        <v>2</v>
      </c>
      <c r="AD2198" s="54" t="s">
        <v>2</v>
      </c>
      <c r="AE2198" s="54" t="s">
        <v>2</v>
      </c>
      <c r="AF2198" s="54" t="s">
        <v>2</v>
      </c>
      <c r="AG2198" s="54" t="s">
        <v>2</v>
      </c>
    </row>
    <row r="2199" ht="15.75" customHeight="1">
      <c r="B2199" s="56"/>
      <c r="U2199" s="46" t="str">
        <f t="array" ref="U2199">IF($D2199="","",IFERROR(_xlfn.XLOOKUP($D2199,'TIR店舗一覧'!$D:$D,'TIR店舗一覧'!$E:$E,""),""))</f>
        <v/>
      </c>
      <c r="V2199" s="54" t="s">
        <v>2</v>
      </c>
      <c r="W2199" s="54" t="s">
        <v>2</v>
      </c>
      <c r="X2199" s="54" t="s">
        <v>2</v>
      </c>
      <c r="Y2199" s="54" t="s">
        <v>2</v>
      </c>
      <c r="Z2199" s="54" t="s">
        <v>2</v>
      </c>
      <c r="AA2199" s="54" t="s">
        <v>2</v>
      </c>
      <c r="AB2199" s="54" t="s">
        <v>2</v>
      </c>
      <c r="AC2199" s="54" t="s">
        <v>2</v>
      </c>
      <c r="AD2199" s="54" t="s">
        <v>2</v>
      </c>
      <c r="AE2199" s="54" t="s">
        <v>2</v>
      </c>
      <c r="AF2199" s="54" t="s">
        <v>2</v>
      </c>
      <c r="AG2199" s="54" t="s">
        <v>2</v>
      </c>
    </row>
    <row r="2200" ht="15.75" customHeight="1">
      <c r="B2200" s="56"/>
      <c r="U2200" s="46" t="str">
        <f t="array" ref="U2200">IF($D2200="","",IFERROR(_xlfn.XLOOKUP($D2200,'TIR店舗一覧'!$D:$D,'TIR店舗一覧'!$E:$E,""),""))</f>
        <v/>
      </c>
      <c r="V2200" s="54" t="s">
        <v>2</v>
      </c>
      <c r="W2200" s="54" t="s">
        <v>2</v>
      </c>
      <c r="X2200" s="54" t="s">
        <v>2</v>
      </c>
      <c r="Y2200" s="54" t="s">
        <v>2</v>
      </c>
      <c r="Z2200" s="54" t="s">
        <v>2</v>
      </c>
      <c r="AA2200" s="54" t="s">
        <v>2</v>
      </c>
      <c r="AB2200" s="54" t="s">
        <v>2</v>
      </c>
      <c r="AC2200" s="54" t="s">
        <v>2</v>
      </c>
      <c r="AD2200" s="54" t="s">
        <v>2</v>
      </c>
      <c r="AE2200" s="54" t="s">
        <v>2</v>
      </c>
      <c r="AF2200" s="54" t="s">
        <v>2</v>
      </c>
      <c r="AG2200" s="54" t="s">
        <v>2</v>
      </c>
    </row>
    <row r="2201" ht="15.75" customHeight="1">
      <c r="B2201" s="56"/>
      <c r="U2201" s="46" t="str">
        <f t="array" ref="U2201">IF($D2201="","",IFERROR(_xlfn.XLOOKUP($D2201,'TIR店舗一覧'!$D:$D,'TIR店舗一覧'!$E:$E,""),""))</f>
        <v/>
      </c>
      <c r="V2201" s="54" t="s">
        <v>2</v>
      </c>
      <c r="W2201" s="54" t="s">
        <v>2</v>
      </c>
      <c r="X2201" s="54" t="s">
        <v>2</v>
      </c>
      <c r="Y2201" s="54" t="s">
        <v>2</v>
      </c>
      <c r="Z2201" s="54" t="s">
        <v>2</v>
      </c>
      <c r="AA2201" s="54" t="s">
        <v>2</v>
      </c>
      <c r="AB2201" s="54" t="s">
        <v>2</v>
      </c>
      <c r="AC2201" s="54" t="s">
        <v>2</v>
      </c>
      <c r="AD2201" s="54" t="s">
        <v>2</v>
      </c>
      <c r="AE2201" s="54" t="s">
        <v>2</v>
      </c>
      <c r="AF2201" s="54" t="s">
        <v>2</v>
      </c>
      <c r="AG2201" s="54" t="s">
        <v>2</v>
      </c>
    </row>
    <row r="2202" ht="15.75" customHeight="1">
      <c r="B2202" s="56"/>
      <c r="U2202" s="46" t="str">
        <f t="array" ref="U2202">IF($D2202="","",IFERROR(_xlfn.XLOOKUP($D2202,'TIR店舗一覧'!$D:$D,'TIR店舗一覧'!$E:$E,""),""))</f>
        <v/>
      </c>
      <c r="V2202" s="54" t="s">
        <v>2</v>
      </c>
      <c r="W2202" s="54" t="s">
        <v>2</v>
      </c>
      <c r="X2202" s="54" t="s">
        <v>2</v>
      </c>
      <c r="Y2202" s="54" t="s">
        <v>2</v>
      </c>
      <c r="Z2202" s="54" t="s">
        <v>2</v>
      </c>
      <c r="AA2202" s="54" t="s">
        <v>2</v>
      </c>
      <c r="AB2202" s="54" t="s">
        <v>2</v>
      </c>
      <c r="AC2202" s="54" t="s">
        <v>2</v>
      </c>
      <c r="AD2202" s="54" t="s">
        <v>2</v>
      </c>
      <c r="AE2202" s="54" t="s">
        <v>2</v>
      </c>
      <c r="AF2202" s="54" t="s">
        <v>2</v>
      </c>
      <c r="AG2202" s="54" t="s">
        <v>2</v>
      </c>
    </row>
    <row r="2203" ht="15.75" customHeight="1">
      <c r="B2203" s="56"/>
      <c r="U2203" s="46" t="str">
        <f t="array" ref="U2203">IF($D2203="","",IFERROR(_xlfn.XLOOKUP($D2203,'TIR店舗一覧'!$D:$D,'TIR店舗一覧'!$E:$E,""),""))</f>
        <v/>
      </c>
      <c r="V2203" s="54" t="s">
        <v>2</v>
      </c>
      <c r="W2203" s="54" t="s">
        <v>2</v>
      </c>
      <c r="X2203" s="54" t="s">
        <v>2</v>
      </c>
      <c r="Y2203" s="54" t="s">
        <v>2</v>
      </c>
      <c r="Z2203" s="54" t="s">
        <v>2</v>
      </c>
      <c r="AA2203" s="54" t="s">
        <v>2</v>
      </c>
      <c r="AB2203" s="54" t="s">
        <v>2</v>
      </c>
      <c r="AC2203" s="54" t="s">
        <v>2</v>
      </c>
      <c r="AD2203" s="54" t="s">
        <v>2</v>
      </c>
      <c r="AE2203" s="54" t="s">
        <v>2</v>
      </c>
      <c r="AF2203" s="54" t="s">
        <v>2</v>
      </c>
      <c r="AG2203" s="54" t="s">
        <v>2</v>
      </c>
    </row>
    <row r="2204" ht="15.75" customHeight="1">
      <c r="B2204" s="56"/>
      <c r="U2204" s="46" t="str">
        <f t="array" ref="U2204">IF($D2204="","",IFERROR(_xlfn.XLOOKUP($D2204,'TIR店舗一覧'!$D:$D,'TIR店舗一覧'!$E:$E,""),""))</f>
        <v/>
      </c>
      <c r="V2204" s="54" t="s">
        <v>2</v>
      </c>
      <c r="W2204" s="54" t="s">
        <v>2</v>
      </c>
      <c r="X2204" s="54" t="s">
        <v>2</v>
      </c>
      <c r="Y2204" s="54" t="s">
        <v>2</v>
      </c>
      <c r="Z2204" s="54" t="s">
        <v>2</v>
      </c>
      <c r="AA2204" s="54" t="s">
        <v>2</v>
      </c>
      <c r="AB2204" s="54" t="s">
        <v>2</v>
      </c>
      <c r="AC2204" s="54" t="s">
        <v>2</v>
      </c>
      <c r="AD2204" s="54" t="s">
        <v>2</v>
      </c>
      <c r="AE2204" s="54" t="s">
        <v>2</v>
      </c>
      <c r="AF2204" s="54" t="s">
        <v>2</v>
      </c>
      <c r="AG2204" s="54" t="s">
        <v>2</v>
      </c>
    </row>
    <row r="2205" ht="15.75" customHeight="1">
      <c r="B2205" s="56"/>
      <c r="U2205" s="46" t="str">
        <f t="array" ref="U2205">IF($D2205="","",IFERROR(_xlfn.XLOOKUP($D2205,'TIR店舗一覧'!$D:$D,'TIR店舗一覧'!$E:$E,""),""))</f>
        <v/>
      </c>
      <c r="V2205" s="54" t="s">
        <v>2</v>
      </c>
      <c r="W2205" s="54" t="s">
        <v>2</v>
      </c>
      <c r="X2205" s="54" t="s">
        <v>2</v>
      </c>
      <c r="Y2205" s="54" t="s">
        <v>2</v>
      </c>
      <c r="Z2205" s="54" t="s">
        <v>2</v>
      </c>
      <c r="AA2205" s="54" t="s">
        <v>2</v>
      </c>
      <c r="AB2205" s="54" t="s">
        <v>2</v>
      </c>
      <c r="AC2205" s="54" t="s">
        <v>2</v>
      </c>
      <c r="AD2205" s="54" t="s">
        <v>2</v>
      </c>
      <c r="AE2205" s="54" t="s">
        <v>2</v>
      </c>
      <c r="AF2205" s="54" t="s">
        <v>2</v>
      </c>
      <c r="AG2205" s="54" t="s">
        <v>2</v>
      </c>
    </row>
    <row r="2206" ht="15.75" customHeight="1">
      <c r="B2206" s="56"/>
      <c r="U2206" s="46" t="str">
        <f t="array" ref="U2206">IF($D2206="","",IFERROR(_xlfn.XLOOKUP($D2206,'TIR店舗一覧'!$D:$D,'TIR店舗一覧'!$E:$E,""),""))</f>
        <v/>
      </c>
      <c r="V2206" s="54" t="s">
        <v>2</v>
      </c>
      <c r="W2206" s="54" t="s">
        <v>2</v>
      </c>
      <c r="X2206" s="54" t="s">
        <v>2</v>
      </c>
      <c r="Y2206" s="54" t="s">
        <v>2</v>
      </c>
      <c r="Z2206" s="54" t="s">
        <v>2</v>
      </c>
      <c r="AA2206" s="54" t="s">
        <v>2</v>
      </c>
      <c r="AB2206" s="54" t="s">
        <v>2</v>
      </c>
      <c r="AC2206" s="54" t="s">
        <v>2</v>
      </c>
      <c r="AD2206" s="54" t="s">
        <v>2</v>
      </c>
      <c r="AE2206" s="54" t="s">
        <v>2</v>
      </c>
      <c r="AF2206" s="54" t="s">
        <v>2</v>
      </c>
      <c r="AG2206" s="54" t="s">
        <v>2</v>
      </c>
    </row>
    <row r="2207" ht="15.75" customHeight="1">
      <c r="B2207" s="56"/>
      <c r="U2207" s="46" t="str">
        <f t="array" ref="U2207">IF($D2207="","",IFERROR(_xlfn.XLOOKUP($D2207,'TIR店舗一覧'!$D:$D,'TIR店舗一覧'!$E:$E,""),""))</f>
        <v/>
      </c>
      <c r="V2207" s="54" t="s">
        <v>2</v>
      </c>
      <c r="W2207" s="54" t="s">
        <v>2</v>
      </c>
      <c r="X2207" s="54" t="s">
        <v>2</v>
      </c>
      <c r="Y2207" s="54" t="s">
        <v>2</v>
      </c>
      <c r="Z2207" s="54" t="s">
        <v>2</v>
      </c>
      <c r="AA2207" s="54" t="s">
        <v>2</v>
      </c>
      <c r="AB2207" s="54" t="s">
        <v>2</v>
      </c>
      <c r="AC2207" s="54" t="s">
        <v>2</v>
      </c>
      <c r="AD2207" s="54" t="s">
        <v>2</v>
      </c>
      <c r="AE2207" s="54" t="s">
        <v>2</v>
      </c>
      <c r="AF2207" s="54" t="s">
        <v>2</v>
      </c>
      <c r="AG2207" s="54" t="s">
        <v>2</v>
      </c>
    </row>
    <row r="2208" ht="15.75" customHeight="1">
      <c r="B2208" s="56"/>
      <c r="U2208" s="46" t="str">
        <f t="array" ref="U2208">IF($D2208="","",IFERROR(_xlfn.XLOOKUP($D2208,'TIR店舗一覧'!$D:$D,'TIR店舗一覧'!$E:$E,""),""))</f>
        <v/>
      </c>
      <c r="V2208" s="54" t="s">
        <v>2</v>
      </c>
      <c r="W2208" s="54" t="s">
        <v>2</v>
      </c>
      <c r="X2208" s="54" t="s">
        <v>2</v>
      </c>
      <c r="Y2208" s="54" t="s">
        <v>2</v>
      </c>
      <c r="Z2208" s="54" t="s">
        <v>2</v>
      </c>
      <c r="AA2208" s="54" t="s">
        <v>2</v>
      </c>
      <c r="AB2208" s="54" t="s">
        <v>2</v>
      </c>
      <c r="AC2208" s="54" t="s">
        <v>2</v>
      </c>
      <c r="AD2208" s="54" t="s">
        <v>2</v>
      </c>
      <c r="AE2208" s="54" t="s">
        <v>2</v>
      </c>
      <c r="AF2208" s="54" t="s">
        <v>2</v>
      </c>
      <c r="AG2208" s="54" t="s">
        <v>2</v>
      </c>
    </row>
    <row r="2209" ht="15.75" customHeight="1">
      <c r="B2209" s="56"/>
      <c r="U2209" s="46" t="str">
        <f t="array" ref="U2209">IF($D2209="","",IFERROR(_xlfn.XLOOKUP($D2209,'TIR店舗一覧'!$D:$D,'TIR店舗一覧'!$E:$E,""),""))</f>
        <v/>
      </c>
      <c r="V2209" s="54" t="s">
        <v>2</v>
      </c>
      <c r="W2209" s="54" t="s">
        <v>2</v>
      </c>
      <c r="X2209" s="54" t="s">
        <v>2</v>
      </c>
      <c r="Y2209" s="54" t="s">
        <v>2</v>
      </c>
      <c r="Z2209" s="54" t="s">
        <v>2</v>
      </c>
      <c r="AA2209" s="54" t="s">
        <v>2</v>
      </c>
      <c r="AB2209" s="54" t="s">
        <v>2</v>
      </c>
      <c r="AC2209" s="54" t="s">
        <v>2</v>
      </c>
      <c r="AD2209" s="54" t="s">
        <v>2</v>
      </c>
      <c r="AE2209" s="54" t="s">
        <v>2</v>
      </c>
      <c r="AF2209" s="54" t="s">
        <v>2</v>
      </c>
      <c r="AG2209" s="54" t="s">
        <v>2</v>
      </c>
    </row>
    <row r="2210" ht="15.75" customHeight="1">
      <c r="B2210" s="56"/>
      <c r="U2210" s="46" t="str">
        <f t="array" ref="U2210">IF($D2210="","",IFERROR(_xlfn.XLOOKUP($D2210,'TIR店舗一覧'!$D:$D,'TIR店舗一覧'!$E:$E,""),""))</f>
        <v/>
      </c>
      <c r="V2210" s="54" t="s">
        <v>2</v>
      </c>
      <c r="W2210" s="54" t="s">
        <v>2</v>
      </c>
      <c r="X2210" s="54" t="s">
        <v>2</v>
      </c>
      <c r="Y2210" s="54" t="s">
        <v>2</v>
      </c>
      <c r="Z2210" s="54" t="s">
        <v>2</v>
      </c>
      <c r="AA2210" s="54" t="s">
        <v>2</v>
      </c>
      <c r="AB2210" s="54" t="s">
        <v>2</v>
      </c>
      <c r="AC2210" s="54" t="s">
        <v>2</v>
      </c>
      <c r="AD2210" s="54" t="s">
        <v>2</v>
      </c>
      <c r="AE2210" s="54" t="s">
        <v>2</v>
      </c>
      <c r="AF2210" s="54" t="s">
        <v>2</v>
      </c>
      <c r="AG2210" s="54" t="s">
        <v>2</v>
      </c>
    </row>
    <row r="2211" ht="15.75" customHeight="1">
      <c r="B2211" s="56"/>
      <c r="U2211" s="46" t="str">
        <f t="array" ref="U2211">IF($D2211="","",IFERROR(_xlfn.XLOOKUP($D2211,'TIR店舗一覧'!$D:$D,'TIR店舗一覧'!$E:$E,""),""))</f>
        <v/>
      </c>
      <c r="V2211" s="54" t="s">
        <v>2</v>
      </c>
      <c r="W2211" s="54" t="s">
        <v>2</v>
      </c>
      <c r="X2211" s="54" t="s">
        <v>2</v>
      </c>
      <c r="Y2211" s="54" t="s">
        <v>2</v>
      </c>
      <c r="Z2211" s="54" t="s">
        <v>2</v>
      </c>
      <c r="AA2211" s="54" t="s">
        <v>2</v>
      </c>
      <c r="AB2211" s="54" t="s">
        <v>2</v>
      </c>
      <c r="AC2211" s="54" t="s">
        <v>2</v>
      </c>
      <c r="AD2211" s="54" t="s">
        <v>2</v>
      </c>
      <c r="AE2211" s="54" t="s">
        <v>2</v>
      </c>
      <c r="AF2211" s="54" t="s">
        <v>2</v>
      </c>
      <c r="AG2211" s="54" t="s">
        <v>2</v>
      </c>
    </row>
    <row r="2212" ht="15.75" customHeight="1">
      <c r="B2212" s="56"/>
      <c r="U2212" s="46" t="str">
        <f t="array" ref="U2212">IF($D2212="","",IFERROR(_xlfn.XLOOKUP($D2212,'TIR店舗一覧'!$D:$D,'TIR店舗一覧'!$E:$E,""),""))</f>
        <v/>
      </c>
      <c r="V2212" s="54" t="s">
        <v>2</v>
      </c>
      <c r="W2212" s="54" t="s">
        <v>2</v>
      </c>
      <c r="X2212" s="54" t="s">
        <v>2</v>
      </c>
      <c r="Y2212" s="54" t="s">
        <v>2</v>
      </c>
      <c r="Z2212" s="54" t="s">
        <v>2</v>
      </c>
      <c r="AA2212" s="54" t="s">
        <v>2</v>
      </c>
      <c r="AB2212" s="54" t="s">
        <v>2</v>
      </c>
      <c r="AC2212" s="54" t="s">
        <v>2</v>
      </c>
      <c r="AD2212" s="54" t="s">
        <v>2</v>
      </c>
      <c r="AE2212" s="54" t="s">
        <v>2</v>
      </c>
      <c r="AF2212" s="54" t="s">
        <v>2</v>
      </c>
      <c r="AG2212" s="54" t="s">
        <v>2</v>
      </c>
    </row>
    <row r="2213" ht="15.75" customHeight="1">
      <c r="B2213" s="56"/>
      <c r="U2213" s="46" t="str">
        <f t="array" ref="U2213">IF($D2213="","",IFERROR(_xlfn.XLOOKUP($D2213,'TIR店舗一覧'!$D:$D,'TIR店舗一覧'!$E:$E,""),""))</f>
        <v/>
      </c>
      <c r="V2213" s="54" t="s">
        <v>2</v>
      </c>
      <c r="W2213" s="54" t="s">
        <v>2</v>
      </c>
      <c r="X2213" s="54" t="s">
        <v>2</v>
      </c>
      <c r="Y2213" s="54" t="s">
        <v>2</v>
      </c>
      <c r="Z2213" s="54" t="s">
        <v>2</v>
      </c>
      <c r="AA2213" s="54" t="s">
        <v>2</v>
      </c>
      <c r="AB2213" s="54" t="s">
        <v>2</v>
      </c>
      <c r="AC2213" s="54" t="s">
        <v>2</v>
      </c>
      <c r="AD2213" s="54" t="s">
        <v>2</v>
      </c>
      <c r="AE2213" s="54" t="s">
        <v>2</v>
      </c>
      <c r="AF2213" s="54" t="s">
        <v>2</v>
      </c>
      <c r="AG2213" s="54" t="s">
        <v>2</v>
      </c>
    </row>
    <row r="2214" ht="15.75" customHeight="1">
      <c r="B2214" s="56"/>
      <c r="U2214" s="46" t="str">
        <f t="array" ref="U2214">IF($D2214="","",IFERROR(_xlfn.XLOOKUP($D2214,'TIR店舗一覧'!$D:$D,'TIR店舗一覧'!$E:$E,""),""))</f>
        <v/>
      </c>
      <c r="V2214" s="54" t="s">
        <v>2</v>
      </c>
      <c r="W2214" s="54" t="s">
        <v>2</v>
      </c>
      <c r="X2214" s="54" t="s">
        <v>2</v>
      </c>
      <c r="Y2214" s="54" t="s">
        <v>2</v>
      </c>
      <c r="Z2214" s="54" t="s">
        <v>2</v>
      </c>
      <c r="AA2214" s="54" t="s">
        <v>2</v>
      </c>
      <c r="AB2214" s="54" t="s">
        <v>2</v>
      </c>
      <c r="AC2214" s="54" t="s">
        <v>2</v>
      </c>
      <c r="AD2214" s="54" t="s">
        <v>2</v>
      </c>
      <c r="AE2214" s="54" t="s">
        <v>2</v>
      </c>
      <c r="AF2214" s="54" t="s">
        <v>2</v>
      </c>
      <c r="AG2214" s="54" t="s">
        <v>2</v>
      </c>
    </row>
    <row r="2215" ht="15.75" customHeight="1">
      <c r="B2215" s="56"/>
      <c r="U2215" s="46" t="str">
        <f t="array" ref="U2215">IF($D2215="","",IFERROR(_xlfn.XLOOKUP($D2215,'TIR店舗一覧'!$D:$D,'TIR店舗一覧'!$E:$E,""),""))</f>
        <v/>
      </c>
      <c r="V2215" s="54" t="s">
        <v>2</v>
      </c>
      <c r="W2215" s="54" t="s">
        <v>2</v>
      </c>
      <c r="X2215" s="54" t="s">
        <v>2</v>
      </c>
      <c r="Y2215" s="54" t="s">
        <v>2</v>
      </c>
      <c r="Z2215" s="54" t="s">
        <v>2</v>
      </c>
      <c r="AA2215" s="54" t="s">
        <v>2</v>
      </c>
      <c r="AB2215" s="54" t="s">
        <v>2</v>
      </c>
      <c r="AC2215" s="54" t="s">
        <v>2</v>
      </c>
      <c r="AD2215" s="54" t="s">
        <v>2</v>
      </c>
      <c r="AE2215" s="54" t="s">
        <v>2</v>
      </c>
      <c r="AF2215" s="54" t="s">
        <v>2</v>
      </c>
      <c r="AG2215" s="54" t="s">
        <v>2</v>
      </c>
    </row>
    <row r="2216" ht="15.75" customHeight="1">
      <c r="B2216" s="56"/>
      <c r="U2216" s="46" t="str">
        <f t="array" ref="U2216">IF($D2216="","",IFERROR(_xlfn.XLOOKUP($D2216,'TIR店舗一覧'!$D:$D,'TIR店舗一覧'!$E:$E,""),""))</f>
        <v/>
      </c>
      <c r="V2216" s="54" t="s">
        <v>2</v>
      </c>
      <c r="W2216" s="54" t="s">
        <v>2</v>
      </c>
      <c r="X2216" s="54" t="s">
        <v>2</v>
      </c>
      <c r="Y2216" s="54" t="s">
        <v>2</v>
      </c>
      <c r="Z2216" s="54" t="s">
        <v>2</v>
      </c>
      <c r="AA2216" s="54" t="s">
        <v>2</v>
      </c>
      <c r="AB2216" s="54" t="s">
        <v>2</v>
      </c>
      <c r="AC2216" s="54" t="s">
        <v>2</v>
      </c>
      <c r="AD2216" s="54" t="s">
        <v>2</v>
      </c>
      <c r="AE2216" s="54" t="s">
        <v>2</v>
      </c>
      <c r="AF2216" s="54" t="s">
        <v>2</v>
      </c>
      <c r="AG2216" s="54" t="s">
        <v>2</v>
      </c>
    </row>
    <row r="2217" ht="15.75" customHeight="1">
      <c r="B2217" s="56"/>
      <c r="U2217" s="46" t="str">
        <f t="array" ref="U2217">IF($D2217="","",IFERROR(_xlfn.XLOOKUP($D2217,'TIR店舗一覧'!$D:$D,'TIR店舗一覧'!$E:$E,""),""))</f>
        <v/>
      </c>
      <c r="V2217" s="54" t="s">
        <v>2</v>
      </c>
      <c r="W2217" s="54" t="s">
        <v>2</v>
      </c>
      <c r="X2217" s="54" t="s">
        <v>2</v>
      </c>
      <c r="Y2217" s="54" t="s">
        <v>2</v>
      </c>
      <c r="Z2217" s="54" t="s">
        <v>2</v>
      </c>
      <c r="AA2217" s="54" t="s">
        <v>2</v>
      </c>
      <c r="AB2217" s="54" t="s">
        <v>2</v>
      </c>
      <c r="AC2217" s="54" t="s">
        <v>2</v>
      </c>
      <c r="AD2217" s="54" t="s">
        <v>2</v>
      </c>
      <c r="AE2217" s="54" t="s">
        <v>2</v>
      </c>
      <c r="AF2217" s="54" t="s">
        <v>2</v>
      </c>
      <c r="AG2217" s="54" t="s">
        <v>2</v>
      </c>
    </row>
    <row r="2218" ht="15.75" customHeight="1">
      <c r="B2218" s="56"/>
      <c r="U2218" s="46" t="str">
        <f t="array" ref="U2218">IF($D2218="","",IFERROR(_xlfn.XLOOKUP($D2218,'TIR店舗一覧'!$D:$D,'TIR店舗一覧'!$E:$E,""),""))</f>
        <v/>
      </c>
      <c r="V2218" s="54" t="s">
        <v>2</v>
      </c>
      <c r="W2218" s="54" t="s">
        <v>2</v>
      </c>
      <c r="X2218" s="54" t="s">
        <v>2</v>
      </c>
      <c r="Y2218" s="54" t="s">
        <v>2</v>
      </c>
      <c r="Z2218" s="54" t="s">
        <v>2</v>
      </c>
      <c r="AA2218" s="54" t="s">
        <v>2</v>
      </c>
      <c r="AB2218" s="54" t="s">
        <v>2</v>
      </c>
      <c r="AC2218" s="54" t="s">
        <v>2</v>
      </c>
      <c r="AD2218" s="54" t="s">
        <v>2</v>
      </c>
      <c r="AE2218" s="54" t="s">
        <v>2</v>
      </c>
      <c r="AF2218" s="54" t="s">
        <v>2</v>
      </c>
      <c r="AG2218" s="54" t="s">
        <v>2</v>
      </c>
    </row>
    <row r="2219" ht="15.75" customHeight="1">
      <c r="B2219" s="56"/>
      <c r="U2219" s="46" t="str">
        <f t="array" ref="U2219">IF($D2219="","",IFERROR(_xlfn.XLOOKUP($D2219,'TIR店舗一覧'!$D:$D,'TIR店舗一覧'!$E:$E,""),""))</f>
        <v/>
      </c>
      <c r="V2219" s="54" t="s">
        <v>2</v>
      </c>
      <c r="W2219" s="54" t="s">
        <v>2</v>
      </c>
      <c r="X2219" s="54" t="s">
        <v>2</v>
      </c>
      <c r="Y2219" s="54" t="s">
        <v>2</v>
      </c>
      <c r="Z2219" s="54" t="s">
        <v>2</v>
      </c>
      <c r="AA2219" s="54" t="s">
        <v>2</v>
      </c>
      <c r="AB2219" s="54" t="s">
        <v>2</v>
      </c>
      <c r="AC2219" s="54" t="s">
        <v>2</v>
      </c>
      <c r="AD2219" s="54" t="s">
        <v>2</v>
      </c>
      <c r="AE2219" s="54" t="s">
        <v>2</v>
      </c>
      <c r="AF2219" s="54" t="s">
        <v>2</v>
      </c>
      <c r="AG2219" s="54" t="s">
        <v>2</v>
      </c>
    </row>
    <row r="2220" ht="15.75" customHeight="1">
      <c r="B2220" s="56"/>
      <c r="U2220" s="46" t="str">
        <f t="array" ref="U2220">IF($D2220="","",IFERROR(_xlfn.XLOOKUP($D2220,'TIR店舗一覧'!$D:$D,'TIR店舗一覧'!$E:$E,""),""))</f>
        <v/>
      </c>
      <c r="V2220" s="54" t="s">
        <v>2</v>
      </c>
      <c r="W2220" s="54" t="s">
        <v>2</v>
      </c>
      <c r="X2220" s="54" t="s">
        <v>2</v>
      </c>
      <c r="Y2220" s="54" t="s">
        <v>2</v>
      </c>
      <c r="Z2220" s="54" t="s">
        <v>2</v>
      </c>
      <c r="AA2220" s="54" t="s">
        <v>2</v>
      </c>
      <c r="AB2220" s="54" t="s">
        <v>2</v>
      </c>
      <c r="AC2220" s="54" t="s">
        <v>2</v>
      </c>
      <c r="AD2220" s="54" t="s">
        <v>2</v>
      </c>
      <c r="AE2220" s="54" t="s">
        <v>2</v>
      </c>
      <c r="AF2220" s="54" t="s">
        <v>2</v>
      </c>
      <c r="AG2220" s="54" t="s">
        <v>2</v>
      </c>
    </row>
    <row r="2221" ht="15.75" customHeight="1">
      <c r="B2221" s="56"/>
      <c r="U2221" s="46" t="str">
        <f t="array" ref="U2221">IF($D2221="","",IFERROR(_xlfn.XLOOKUP($D2221,'TIR店舗一覧'!$D:$D,'TIR店舗一覧'!$E:$E,""),""))</f>
        <v/>
      </c>
      <c r="V2221" s="54" t="s">
        <v>2</v>
      </c>
      <c r="W2221" s="54" t="s">
        <v>2</v>
      </c>
      <c r="X2221" s="54" t="s">
        <v>2</v>
      </c>
      <c r="Y2221" s="54" t="s">
        <v>2</v>
      </c>
      <c r="Z2221" s="54" t="s">
        <v>2</v>
      </c>
      <c r="AA2221" s="54" t="s">
        <v>2</v>
      </c>
      <c r="AB2221" s="54" t="s">
        <v>2</v>
      </c>
      <c r="AC2221" s="54" t="s">
        <v>2</v>
      </c>
      <c r="AD2221" s="54" t="s">
        <v>2</v>
      </c>
      <c r="AE2221" s="54" t="s">
        <v>2</v>
      </c>
      <c r="AF2221" s="54" t="s">
        <v>2</v>
      </c>
      <c r="AG2221" s="54" t="s">
        <v>2</v>
      </c>
    </row>
    <row r="2222" ht="15.75" customHeight="1">
      <c r="B2222" s="56"/>
      <c r="U2222" s="46" t="str">
        <f t="array" ref="U2222">IF($D2222="","",IFERROR(_xlfn.XLOOKUP($D2222,'TIR店舗一覧'!$D:$D,'TIR店舗一覧'!$E:$E,""),""))</f>
        <v/>
      </c>
      <c r="V2222" s="54" t="s">
        <v>2</v>
      </c>
      <c r="W2222" s="54" t="s">
        <v>2</v>
      </c>
      <c r="X2222" s="54" t="s">
        <v>2</v>
      </c>
      <c r="Y2222" s="54" t="s">
        <v>2</v>
      </c>
      <c r="Z2222" s="54" t="s">
        <v>2</v>
      </c>
      <c r="AA2222" s="54" t="s">
        <v>2</v>
      </c>
      <c r="AB2222" s="54" t="s">
        <v>2</v>
      </c>
      <c r="AC2222" s="54" t="s">
        <v>2</v>
      </c>
      <c r="AD2222" s="54" t="s">
        <v>2</v>
      </c>
      <c r="AE2222" s="54" t="s">
        <v>2</v>
      </c>
      <c r="AF2222" s="54" t="s">
        <v>2</v>
      </c>
      <c r="AG2222" s="54" t="s">
        <v>2</v>
      </c>
    </row>
    <row r="2223" ht="15.75" customHeight="1">
      <c r="B2223" s="56"/>
      <c r="U2223" s="46" t="str">
        <f t="array" ref="U2223">IF($D2223="","",IFERROR(_xlfn.XLOOKUP($D2223,'TIR店舗一覧'!$D:$D,'TIR店舗一覧'!$E:$E,""),""))</f>
        <v/>
      </c>
      <c r="V2223" s="54" t="s">
        <v>2</v>
      </c>
      <c r="W2223" s="54" t="s">
        <v>2</v>
      </c>
      <c r="X2223" s="54" t="s">
        <v>2</v>
      </c>
      <c r="Y2223" s="54" t="s">
        <v>2</v>
      </c>
      <c r="Z2223" s="54" t="s">
        <v>2</v>
      </c>
      <c r="AA2223" s="54" t="s">
        <v>2</v>
      </c>
      <c r="AB2223" s="54" t="s">
        <v>2</v>
      </c>
      <c r="AC2223" s="54" t="s">
        <v>2</v>
      </c>
      <c r="AD2223" s="54" t="s">
        <v>2</v>
      </c>
      <c r="AE2223" s="54" t="s">
        <v>2</v>
      </c>
      <c r="AF2223" s="54" t="s">
        <v>2</v>
      </c>
      <c r="AG2223" s="54" t="s">
        <v>2</v>
      </c>
    </row>
    <row r="2224" ht="15.75" customHeight="1">
      <c r="B2224" s="56"/>
      <c r="U2224" s="46" t="str">
        <f t="array" ref="U2224">IF($D2224="","",IFERROR(_xlfn.XLOOKUP($D2224,'TIR店舗一覧'!$D:$D,'TIR店舗一覧'!$E:$E,""),""))</f>
        <v/>
      </c>
      <c r="V2224" s="54" t="s">
        <v>2</v>
      </c>
      <c r="W2224" s="54" t="s">
        <v>2</v>
      </c>
      <c r="X2224" s="54" t="s">
        <v>2</v>
      </c>
      <c r="Y2224" s="54" t="s">
        <v>2</v>
      </c>
      <c r="Z2224" s="54" t="s">
        <v>2</v>
      </c>
      <c r="AA2224" s="54" t="s">
        <v>2</v>
      </c>
      <c r="AB2224" s="54" t="s">
        <v>2</v>
      </c>
      <c r="AC2224" s="54" t="s">
        <v>2</v>
      </c>
      <c r="AD2224" s="54" t="s">
        <v>2</v>
      </c>
      <c r="AE2224" s="54" t="s">
        <v>2</v>
      </c>
      <c r="AF2224" s="54" t="s">
        <v>2</v>
      </c>
      <c r="AG2224" s="54" t="s">
        <v>2</v>
      </c>
    </row>
    <row r="2225" ht="15.75" customHeight="1">
      <c r="B2225" s="56"/>
      <c r="U2225" s="46" t="str">
        <f t="array" ref="U2225">IF($D2225="","",IFERROR(_xlfn.XLOOKUP($D2225,'TIR店舗一覧'!$D:$D,'TIR店舗一覧'!$E:$E,""),""))</f>
        <v/>
      </c>
      <c r="V2225" s="54" t="s">
        <v>2</v>
      </c>
      <c r="W2225" s="54" t="s">
        <v>2</v>
      </c>
      <c r="X2225" s="54" t="s">
        <v>2</v>
      </c>
      <c r="Y2225" s="54" t="s">
        <v>2</v>
      </c>
      <c r="Z2225" s="54" t="s">
        <v>2</v>
      </c>
      <c r="AA2225" s="54" t="s">
        <v>2</v>
      </c>
      <c r="AB2225" s="54" t="s">
        <v>2</v>
      </c>
      <c r="AC2225" s="54" t="s">
        <v>2</v>
      </c>
      <c r="AD2225" s="54" t="s">
        <v>2</v>
      </c>
      <c r="AE2225" s="54" t="s">
        <v>2</v>
      </c>
      <c r="AF2225" s="54" t="s">
        <v>2</v>
      </c>
      <c r="AG2225" s="54" t="s">
        <v>2</v>
      </c>
    </row>
    <row r="2226" ht="15.75" customHeight="1">
      <c r="B2226" s="56"/>
      <c r="U2226" s="46" t="str">
        <f t="array" ref="U2226">IF($D2226="","",IFERROR(_xlfn.XLOOKUP($D2226,'TIR店舗一覧'!$D:$D,'TIR店舗一覧'!$E:$E,""),""))</f>
        <v/>
      </c>
      <c r="V2226" s="54" t="s">
        <v>2</v>
      </c>
      <c r="W2226" s="54" t="s">
        <v>2</v>
      </c>
      <c r="X2226" s="54" t="s">
        <v>2</v>
      </c>
      <c r="Y2226" s="54" t="s">
        <v>2</v>
      </c>
      <c r="Z2226" s="54" t="s">
        <v>2</v>
      </c>
      <c r="AA2226" s="54" t="s">
        <v>2</v>
      </c>
      <c r="AB2226" s="54" t="s">
        <v>2</v>
      </c>
      <c r="AC2226" s="54" t="s">
        <v>2</v>
      </c>
      <c r="AD2226" s="54" t="s">
        <v>2</v>
      </c>
      <c r="AE2226" s="54" t="s">
        <v>2</v>
      </c>
      <c r="AF2226" s="54" t="s">
        <v>2</v>
      </c>
      <c r="AG2226" s="54" t="s">
        <v>2</v>
      </c>
    </row>
    <row r="2227" ht="15.75" customHeight="1">
      <c r="B2227" s="56"/>
      <c r="U2227" s="46" t="str">
        <f t="array" ref="U2227">IF($D2227="","",IFERROR(_xlfn.XLOOKUP($D2227,'TIR店舗一覧'!$D:$D,'TIR店舗一覧'!$E:$E,""),""))</f>
        <v/>
      </c>
      <c r="V2227" s="54" t="s">
        <v>2</v>
      </c>
      <c r="W2227" s="54" t="s">
        <v>2</v>
      </c>
      <c r="X2227" s="54" t="s">
        <v>2</v>
      </c>
      <c r="Y2227" s="54" t="s">
        <v>2</v>
      </c>
      <c r="Z2227" s="54" t="s">
        <v>2</v>
      </c>
      <c r="AA2227" s="54" t="s">
        <v>2</v>
      </c>
      <c r="AB2227" s="54" t="s">
        <v>2</v>
      </c>
      <c r="AC2227" s="54" t="s">
        <v>2</v>
      </c>
      <c r="AD2227" s="54" t="s">
        <v>2</v>
      </c>
      <c r="AE2227" s="54" t="s">
        <v>2</v>
      </c>
      <c r="AF2227" s="54" t="s">
        <v>2</v>
      </c>
      <c r="AG2227" s="54" t="s">
        <v>2</v>
      </c>
    </row>
    <row r="2228" ht="15.75" customHeight="1">
      <c r="B2228" s="56"/>
      <c r="U2228" s="46" t="str">
        <f t="array" ref="U2228">IF($D2228="","",IFERROR(_xlfn.XLOOKUP($D2228,'TIR店舗一覧'!$D:$D,'TIR店舗一覧'!$E:$E,""),""))</f>
        <v/>
      </c>
      <c r="V2228" s="54" t="s">
        <v>2</v>
      </c>
      <c r="W2228" s="54" t="s">
        <v>2</v>
      </c>
      <c r="X2228" s="54" t="s">
        <v>2</v>
      </c>
      <c r="Y2228" s="54" t="s">
        <v>2</v>
      </c>
      <c r="Z2228" s="54" t="s">
        <v>2</v>
      </c>
      <c r="AA2228" s="54" t="s">
        <v>2</v>
      </c>
      <c r="AB2228" s="54" t="s">
        <v>2</v>
      </c>
      <c r="AC2228" s="54" t="s">
        <v>2</v>
      </c>
      <c r="AD2228" s="54" t="s">
        <v>2</v>
      </c>
      <c r="AE2228" s="54" t="s">
        <v>2</v>
      </c>
      <c r="AF2228" s="54" t="s">
        <v>2</v>
      </c>
      <c r="AG2228" s="54" t="s">
        <v>2</v>
      </c>
    </row>
    <row r="2229" ht="15.75" customHeight="1">
      <c r="B2229" s="56"/>
      <c r="U2229" s="46" t="str">
        <f t="array" ref="U2229">IF($D2229="","",IFERROR(_xlfn.XLOOKUP($D2229,'TIR店舗一覧'!$D:$D,'TIR店舗一覧'!$E:$E,""),""))</f>
        <v/>
      </c>
      <c r="V2229" s="54" t="s">
        <v>2</v>
      </c>
      <c r="W2229" s="54" t="s">
        <v>2</v>
      </c>
      <c r="X2229" s="54" t="s">
        <v>2</v>
      </c>
      <c r="Y2229" s="54" t="s">
        <v>2</v>
      </c>
      <c r="Z2229" s="54" t="s">
        <v>2</v>
      </c>
      <c r="AA2229" s="54" t="s">
        <v>2</v>
      </c>
      <c r="AB2229" s="54" t="s">
        <v>2</v>
      </c>
      <c r="AC2229" s="54" t="s">
        <v>2</v>
      </c>
      <c r="AD2229" s="54" t="s">
        <v>2</v>
      </c>
      <c r="AE2229" s="54" t="s">
        <v>2</v>
      </c>
      <c r="AF2229" s="54" t="s">
        <v>2</v>
      </c>
      <c r="AG2229" s="54" t="s">
        <v>2</v>
      </c>
    </row>
    <row r="2230" ht="15.75" customHeight="1">
      <c r="B2230" s="56"/>
      <c r="U2230" s="46" t="str">
        <f t="array" ref="U2230">IF($D2230="","",IFERROR(_xlfn.XLOOKUP($D2230,'TIR店舗一覧'!$D:$D,'TIR店舗一覧'!$E:$E,""),""))</f>
        <v/>
      </c>
      <c r="V2230" s="54" t="s">
        <v>2</v>
      </c>
      <c r="W2230" s="54" t="s">
        <v>2</v>
      </c>
      <c r="X2230" s="54" t="s">
        <v>2</v>
      </c>
      <c r="Y2230" s="54" t="s">
        <v>2</v>
      </c>
      <c r="Z2230" s="54" t="s">
        <v>2</v>
      </c>
      <c r="AA2230" s="54" t="s">
        <v>2</v>
      </c>
      <c r="AB2230" s="54" t="s">
        <v>2</v>
      </c>
      <c r="AC2230" s="54" t="s">
        <v>2</v>
      </c>
      <c r="AD2230" s="54" t="s">
        <v>2</v>
      </c>
      <c r="AE2230" s="54" t="s">
        <v>2</v>
      </c>
      <c r="AF2230" s="54" t="s">
        <v>2</v>
      </c>
      <c r="AG2230" s="54" t="s">
        <v>2</v>
      </c>
    </row>
    <row r="2231" ht="15.75" customHeight="1">
      <c r="B2231" s="56"/>
      <c r="U2231" s="46" t="str">
        <f t="array" ref="U2231">IF($D2231="","",IFERROR(_xlfn.XLOOKUP($D2231,'TIR店舗一覧'!$D:$D,'TIR店舗一覧'!$E:$E,""),""))</f>
        <v/>
      </c>
      <c r="V2231" s="54" t="s">
        <v>2</v>
      </c>
      <c r="W2231" s="54" t="s">
        <v>2</v>
      </c>
      <c r="X2231" s="54" t="s">
        <v>2</v>
      </c>
      <c r="Y2231" s="54" t="s">
        <v>2</v>
      </c>
      <c r="Z2231" s="54" t="s">
        <v>2</v>
      </c>
      <c r="AA2231" s="54" t="s">
        <v>2</v>
      </c>
      <c r="AB2231" s="54" t="s">
        <v>2</v>
      </c>
      <c r="AC2231" s="54" t="s">
        <v>2</v>
      </c>
      <c r="AD2231" s="54" t="s">
        <v>2</v>
      </c>
      <c r="AE2231" s="54" t="s">
        <v>2</v>
      </c>
      <c r="AF2231" s="54" t="s">
        <v>2</v>
      </c>
      <c r="AG2231" s="54" t="s">
        <v>2</v>
      </c>
    </row>
    <row r="2232" ht="15.75" customHeight="1">
      <c r="B2232" s="56"/>
      <c r="U2232" s="46" t="str">
        <f t="array" ref="U2232">IF($D2232="","",IFERROR(_xlfn.XLOOKUP($D2232,'TIR店舗一覧'!$D:$D,'TIR店舗一覧'!$E:$E,""),""))</f>
        <v/>
      </c>
      <c r="V2232" s="54" t="s">
        <v>2</v>
      </c>
      <c r="W2232" s="54" t="s">
        <v>2</v>
      </c>
      <c r="X2232" s="54" t="s">
        <v>2</v>
      </c>
      <c r="Y2232" s="54" t="s">
        <v>2</v>
      </c>
      <c r="Z2232" s="54" t="s">
        <v>2</v>
      </c>
      <c r="AA2232" s="54" t="s">
        <v>2</v>
      </c>
      <c r="AB2232" s="54" t="s">
        <v>2</v>
      </c>
      <c r="AC2232" s="54" t="s">
        <v>2</v>
      </c>
      <c r="AD2232" s="54" t="s">
        <v>2</v>
      </c>
      <c r="AE2232" s="54" t="s">
        <v>2</v>
      </c>
      <c r="AF2232" s="54" t="s">
        <v>2</v>
      </c>
      <c r="AG2232" s="54" t="s">
        <v>2</v>
      </c>
    </row>
    <row r="2233" ht="15.75" customHeight="1">
      <c r="B2233" s="56"/>
      <c r="U2233" s="46" t="str">
        <f t="array" ref="U2233">IF($D2233="","",IFERROR(_xlfn.XLOOKUP($D2233,'TIR店舗一覧'!$D:$D,'TIR店舗一覧'!$E:$E,""),""))</f>
        <v/>
      </c>
      <c r="V2233" s="54" t="s">
        <v>2</v>
      </c>
      <c r="W2233" s="54" t="s">
        <v>2</v>
      </c>
      <c r="X2233" s="54" t="s">
        <v>2</v>
      </c>
      <c r="Y2233" s="54" t="s">
        <v>2</v>
      </c>
      <c r="Z2233" s="54" t="s">
        <v>2</v>
      </c>
      <c r="AA2233" s="54" t="s">
        <v>2</v>
      </c>
      <c r="AB2233" s="54" t="s">
        <v>2</v>
      </c>
      <c r="AC2233" s="54" t="s">
        <v>2</v>
      </c>
      <c r="AD2233" s="54" t="s">
        <v>2</v>
      </c>
      <c r="AE2233" s="54" t="s">
        <v>2</v>
      </c>
      <c r="AF2233" s="54" t="s">
        <v>2</v>
      </c>
      <c r="AG2233" s="54" t="s">
        <v>2</v>
      </c>
    </row>
    <row r="2234" ht="15.75" customHeight="1">
      <c r="B2234" s="56"/>
      <c r="U2234" s="46" t="str">
        <f t="array" ref="U2234">IF($D2234="","",IFERROR(_xlfn.XLOOKUP($D2234,'TIR店舗一覧'!$D:$D,'TIR店舗一覧'!$E:$E,""),""))</f>
        <v/>
      </c>
      <c r="V2234" s="54" t="s">
        <v>2</v>
      </c>
      <c r="W2234" s="54" t="s">
        <v>2</v>
      </c>
      <c r="X2234" s="54" t="s">
        <v>2</v>
      </c>
      <c r="Y2234" s="54" t="s">
        <v>2</v>
      </c>
      <c r="Z2234" s="54" t="s">
        <v>2</v>
      </c>
      <c r="AA2234" s="54" t="s">
        <v>2</v>
      </c>
      <c r="AB2234" s="54" t="s">
        <v>2</v>
      </c>
      <c r="AC2234" s="54" t="s">
        <v>2</v>
      </c>
      <c r="AD2234" s="54" t="s">
        <v>2</v>
      </c>
      <c r="AE2234" s="54" t="s">
        <v>2</v>
      </c>
      <c r="AF2234" s="54" t="s">
        <v>2</v>
      </c>
      <c r="AG2234" s="54" t="s">
        <v>2</v>
      </c>
    </row>
    <row r="2235" ht="15.75" customHeight="1">
      <c r="B2235" s="56"/>
      <c r="U2235" s="46" t="str">
        <f t="array" ref="U2235">IF($D2235="","",IFERROR(_xlfn.XLOOKUP($D2235,'TIR店舗一覧'!$D:$D,'TIR店舗一覧'!$E:$E,""),""))</f>
        <v/>
      </c>
      <c r="V2235" s="54" t="s">
        <v>2</v>
      </c>
      <c r="W2235" s="54" t="s">
        <v>2</v>
      </c>
      <c r="X2235" s="54" t="s">
        <v>2</v>
      </c>
      <c r="Y2235" s="54" t="s">
        <v>2</v>
      </c>
      <c r="Z2235" s="54" t="s">
        <v>2</v>
      </c>
      <c r="AA2235" s="54" t="s">
        <v>2</v>
      </c>
      <c r="AB2235" s="54" t="s">
        <v>2</v>
      </c>
      <c r="AC2235" s="54" t="s">
        <v>2</v>
      </c>
      <c r="AD2235" s="54" t="s">
        <v>2</v>
      </c>
      <c r="AE2235" s="54" t="s">
        <v>2</v>
      </c>
      <c r="AF2235" s="54" t="s">
        <v>2</v>
      </c>
      <c r="AG2235" s="54" t="s">
        <v>2</v>
      </c>
    </row>
    <row r="2236" ht="15.75" customHeight="1">
      <c r="B2236" s="56"/>
      <c r="U2236" s="46" t="str">
        <f t="array" ref="U2236">IF($D2236="","",IFERROR(_xlfn.XLOOKUP($D2236,'TIR店舗一覧'!$D:$D,'TIR店舗一覧'!$E:$E,""),""))</f>
        <v/>
      </c>
      <c r="V2236" s="54" t="s">
        <v>2</v>
      </c>
      <c r="W2236" s="54" t="s">
        <v>2</v>
      </c>
      <c r="X2236" s="54" t="s">
        <v>2</v>
      </c>
      <c r="Y2236" s="54" t="s">
        <v>2</v>
      </c>
      <c r="Z2236" s="54" t="s">
        <v>2</v>
      </c>
      <c r="AA2236" s="54" t="s">
        <v>2</v>
      </c>
      <c r="AB2236" s="54" t="s">
        <v>2</v>
      </c>
      <c r="AC2236" s="54" t="s">
        <v>2</v>
      </c>
      <c r="AD2236" s="54" t="s">
        <v>2</v>
      </c>
      <c r="AE2236" s="54" t="s">
        <v>2</v>
      </c>
      <c r="AF2236" s="54" t="s">
        <v>2</v>
      </c>
      <c r="AG2236" s="54" t="s">
        <v>2</v>
      </c>
    </row>
    <row r="2237" ht="15.75" customHeight="1">
      <c r="B2237" s="56"/>
      <c r="U2237" s="46" t="str">
        <f t="array" ref="U2237">IF($D2237="","",IFERROR(_xlfn.XLOOKUP($D2237,'TIR店舗一覧'!$D:$D,'TIR店舗一覧'!$E:$E,""),""))</f>
        <v/>
      </c>
      <c r="V2237" s="54" t="s">
        <v>2</v>
      </c>
      <c r="W2237" s="54" t="s">
        <v>2</v>
      </c>
      <c r="X2237" s="54" t="s">
        <v>2</v>
      </c>
      <c r="Y2237" s="54" t="s">
        <v>2</v>
      </c>
      <c r="Z2237" s="54" t="s">
        <v>2</v>
      </c>
      <c r="AA2237" s="54" t="s">
        <v>2</v>
      </c>
      <c r="AB2237" s="54" t="s">
        <v>2</v>
      </c>
      <c r="AC2237" s="54" t="s">
        <v>2</v>
      </c>
      <c r="AD2237" s="54" t="s">
        <v>2</v>
      </c>
      <c r="AE2237" s="54" t="s">
        <v>2</v>
      </c>
      <c r="AF2237" s="54" t="s">
        <v>2</v>
      </c>
      <c r="AG2237" s="54" t="s">
        <v>2</v>
      </c>
    </row>
    <row r="2238" ht="15.75" customHeight="1">
      <c r="B2238" s="56"/>
      <c r="U2238" s="46" t="str">
        <f t="array" ref="U2238">IF($D2238="","",IFERROR(_xlfn.XLOOKUP($D2238,'TIR店舗一覧'!$D:$D,'TIR店舗一覧'!$E:$E,""),""))</f>
        <v/>
      </c>
      <c r="V2238" s="54" t="s">
        <v>2</v>
      </c>
      <c r="W2238" s="54" t="s">
        <v>2</v>
      </c>
      <c r="X2238" s="54" t="s">
        <v>2</v>
      </c>
      <c r="Y2238" s="54" t="s">
        <v>2</v>
      </c>
      <c r="Z2238" s="54" t="s">
        <v>2</v>
      </c>
      <c r="AA2238" s="54" t="s">
        <v>2</v>
      </c>
      <c r="AB2238" s="54" t="s">
        <v>2</v>
      </c>
      <c r="AC2238" s="54" t="s">
        <v>2</v>
      </c>
      <c r="AD2238" s="54" t="s">
        <v>2</v>
      </c>
      <c r="AE2238" s="54" t="s">
        <v>2</v>
      </c>
      <c r="AF2238" s="54" t="s">
        <v>2</v>
      </c>
      <c r="AG2238" s="54" t="s">
        <v>2</v>
      </c>
    </row>
    <row r="2239" ht="15.75" customHeight="1">
      <c r="B2239" s="56"/>
      <c r="U2239" s="46" t="str">
        <f t="array" ref="U2239">IF($D2239="","",IFERROR(_xlfn.XLOOKUP($D2239,'TIR店舗一覧'!$D:$D,'TIR店舗一覧'!$E:$E,""),""))</f>
        <v/>
      </c>
      <c r="V2239" s="54" t="s">
        <v>2</v>
      </c>
      <c r="W2239" s="54" t="s">
        <v>2</v>
      </c>
      <c r="X2239" s="54" t="s">
        <v>2</v>
      </c>
      <c r="Y2239" s="54" t="s">
        <v>2</v>
      </c>
      <c r="Z2239" s="54" t="s">
        <v>2</v>
      </c>
      <c r="AA2239" s="54" t="s">
        <v>2</v>
      </c>
      <c r="AB2239" s="54" t="s">
        <v>2</v>
      </c>
      <c r="AC2239" s="54" t="s">
        <v>2</v>
      </c>
      <c r="AD2239" s="54" t="s">
        <v>2</v>
      </c>
      <c r="AE2239" s="54" t="s">
        <v>2</v>
      </c>
      <c r="AF2239" s="54" t="s">
        <v>2</v>
      </c>
      <c r="AG2239" s="54" t="s">
        <v>2</v>
      </c>
    </row>
    <row r="2240" ht="15.75" customHeight="1">
      <c r="B2240" s="56"/>
      <c r="U2240" s="46" t="str">
        <f t="array" ref="U2240">IF($D2240="","",IFERROR(_xlfn.XLOOKUP($D2240,'TIR店舗一覧'!$D:$D,'TIR店舗一覧'!$E:$E,""),""))</f>
        <v/>
      </c>
      <c r="V2240" s="54" t="s">
        <v>2</v>
      </c>
      <c r="W2240" s="54" t="s">
        <v>2</v>
      </c>
      <c r="X2240" s="54" t="s">
        <v>2</v>
      </c>
      <c r="Y2240" s="54" t="s">
        <v>2</v>
      </c>
      <c r="Z2240" s="54" t="s">
        <v>2</v>
      </c>
      <c r="AA2240" s="54" t="s">
        <v>2</v>
      </c>
      <c r="AB2240" s="54" t="s">
        <v>2</v>
      </c>
      <c r="AC2240" s="54" t="s">
        <v>2</v>
      </c>
      <c r="AD2240" s="54" t="s">
        <v>2</v>
      </c>
      <c r="AE2240" s="54" t="s">
        <v>2</v>
      </c>
      <c r="AF2240" s="54" t="s">
        <v>2</v>
      </c>
      <c r="AG2240" s="54" t="s">
        <v>2</v>
      </c>
    </row>
    <row r="2241" ht="15.75" customHeight="1">
      <c r="B2241" s="56"/>
      <c r="U2241" s="46" t="str">
        <f t="array" ref="U2241">IF($D2241="","",IFERROR(_xlfn.XLOOKUP($D2241,'TIR店舗一覧'!$D:$D,'TIR店舗一覧'!$E:$E,""),""))</f>
        <v/>
      </c>
      <c r="V2241" s="54" t="s">
        <v>2</v>
      </c>
      <c r="W2241" s="54" t="s">
        <v>2</v>
      </c>
      <c r="X2241" s="54" t="s">
        <v>2</v>
      </c>
      <c r="Y2241" s="54" t="s">
        <v>2</v>
      </c>
      <c r="Z2241" s="54" t="s">
        <v>2</v>
      </c>
      <c r="AA2241" s="54" t="s">
        <v>2</v>
      </c>
      <c r="AB2241" s="54" t="s">
        <v>2</v>
      </c>
      <c r="AC2241" s="54" t="s">
        <v>2</v>
      </c>
      <c r="AD2241" s="54" t="s">
        <v>2</v>
      </c>
      <c r="AE2241" s="54" t="s">
        <v>2</v>
      </c>
      <c r="AF2241" s="54" t="s">
        <v>2</v>
      </c>
      <c r="AG2241" s="54" t="s">
        <v>2</v>
      </c>
    </row>
    <row r="2242" ht="15.75" customHeight="1">
      <c r="B2242" s="56"/>
      <c r="U2242" s="46" t="str">
        <f t="array" ref="U2242">IF($D2242="","",IFERROR(_xlfn.XLOOKUP($D2242,'TIR店舗一覧'!$D:$D,'TIR店舗一覧'!$E:$E,""),""))</f>
        <v/>
      </c>
      <c r="V2242" s="54" t="s">
        <v>2</v>
      </c>
      <c r="W2242" s="54" t="s">
        <v>2</v>
      </c>
      <c r="X2242" s="54" t="s">
        <v>2</v>
      </c>
      <c r="Y2242" s="54" t="s">
        <v>2</v>
      </c>
      <c r="Z2242" s="54" t="s">
        <v>2</v>
      </c>
      <c r="AA2242" s="54" t="s">
        <v>2</v>
      </c>
      <c r="AB2242" s="54" t="s">
        <v>2</v>
      </c>
      <c r="AC2242" s="54" t="s">
        <v>2</v>
      </c>
      <c r="AD2242" s="54" t="s">
        <v>2</v>
      </c>
      <c r="AE2242" s="54" t="s">
        <v>2</v>
      </c>
      <c r="AF2242" s="54" t="s">
        <v>2</v>
      </c>
      <c r="AG2242" s="54" t="s">
        <v>2</v>
      </c>
    </row>
    <row r="2243" ht="15.75" customHeight="1">
      <c r="B2243" s="56"/>
      <c r="U2243" s="46" t="str">
        <f t="array" ref="U2243">IF($D2243="","",IFERROR(_xlfn.XLOOKUP($D2243,'TIR店舗一覧'!$D:$D,'TIR店舗一覧'!$E:$E,""),""))</f>
        <v/>
      </c>
      <c r="V2243" s="54" t="s">
        <v>2</v>
      </c>
      <c r="W2243" s="54" t="s">
        <v>2</v>
      </c>
      <c r="X2243" s="54" t="s">
        <v>2</v>
      </c>
      <c r="Y2243" s="54" t="s">
        <v>2</v>
      </c>
      <c r="Z2243" s="54" t="s">
        <v>2</v>
      </c>
      <c r="AA2243" s="54" t="s">
        <v>2</v>
      </c>
      <c r="AB2243" s="54" t="s">
        <v>2</v>
      </c>
      <c r="AC2243" s="54" t="s">
        <v>2</v>
      </c>
      <c r="AD2243" s="54" t="s">
        <v>2</v>
      </c>
      <c r="AE2243" s="54" t="s">
        <v>2</v>
      </c>
      <c r="AF2243" s="54" t="s">
        <v>2</v>
      </c>
      <c r="AG2243" s="54" t="s">
        <v>2</v>
      </c>
    </row>
    <row r="2244" ht="15.75" customHeight="1">
      <c r="B2244" s="56"/>
      <c r="U2244" s="46" t="str">
        <f t="array" ref="U2244">IF($D2244="","",IFERROR(_xlfn.XLOOKUP($D2244,'TIR店舗一覧'!$D:$D,'TIR店舗一覧'!$E:$E,""),""))</f>
        <v/>
      </c>
      <c r="V2244" s="54" t="s">
        <v>2</v>
      </c>
      <c r="W2244" s="54" t="s">
        <v>2</v>
      </c>
      <c r="X2244" s="54" t="s">
        <v>2</v>
      </c>
      <c r="Y2244" s="54" t="s">
        <v>2</v>
      </c>
      <c r="Z2244" s="54" t="s">
        <v>2</v>
      </c>
      <c r="AA2244" s="54" t="s">
        <v>2</v>
      </c>
      <c r="AB2244" s="54" t="s">
        <v>2</v>
      </c>
      <c r="AC2244" s="54" t="s">
        <v>2</v>
      </c>
      <c r="AD2244" s="54" t="s">
        <v>2</v>
      </c>
      <c r="AE2244" s="54" t="s">
        <v>2</v>
      </c>
      <c r="AF2244" s="54" t="s">
        <v>2</v>
      </c>
      <c r="AG2244" s="54" t="s">
        <v>2</v>
      </c>
    </row>
    <row r="2245" ht="15.75" customHeight="1">
      <c r="B2245" s="56"/>
      <c r="U2245" s="46" t="str">
        <f t="array" ref="U2245">IF($D2245="","",IFERROR(_xlfn.XLOOKUP($D2245,'TIR店舗一覧'!$D:$D,'TIR店舗一覧'!$E:$E,""),""))</f>
        <v/>
      </c>
      <c r="V2245" s="54" t="s">
        <v>2</v>
      </c>
      <c r="W2245" s="54" t="s">
        <v>2</v>
      </c>
      <c r="X2245" s="54" t="s">
        <v>2</v>
      </c>
      <c r="Y2245" s="54" t="s">
        <v>2</v>
      </c>
      <c r="Z2245" s="54" t="s">
        <v>2</v>
      </c>
      <c r="AA2245" s="54" t="s">
        <v>2</v>
      </c>
      <c r="AB2245" s="54" t="s">
        <v>2</v>
      </c>
      <c r="AC2245" s="54" t="s">
        <v>2</v>
      </c>
      <c r="AD2245" s="54" t="s">
        <v>2</v>
      </c>
      <c r="AE2245" s="54" t="s">
        <v>2</v>
      </c>
      <c r="AF2245" s="54" t="s">
        <v>2</v>
      </c>
      <c r="AG2245" s="54" t="s">
        <v>2</v>
      </c>
    </row>
    <row r="2246" ht="15.75" customHeight="1">
      <c r="B2246" s="56"/>
      <c r="U2246" s="46" t="str">
        <f t="array" ref="U2246">IF($D2246="","",IFERROR(_xlfn.XLOOKUP($D2246,'TIR店舗一覧'!$D:$D,'TIR店舗一覧'!$E:$E,""),""))</f>
        <v/>
      </c>
      <c r="V2246" s="54" t="s">
        <v>2</v>
      </c>
      <c r="W2246" s="54" t="s">
        <v>2</v>
      </c>
      <c r="X2246" s="54" t="s">
        <v>2</v>
      </c>
      <c r="Y2246" s="54" t="s">
        <v>2</v>
      </c>
      <c r="Z2246" s="54" t="s">
        <v>2</v>
      </c>
      <c r="AA2246" s="54" t="s">
        <v>2</v>
      </c>
      <c r="AB2246" s="54" t="s">
        <v>2</v>
      </c>
      <c r="AC2246" s="54" t="s">
        <v>2</v>
      </c>
      <c r="AD2246" s="54" t="s">
        <v>2</v>
      </c>
      <c r="AE2246" s="54" t="s">
        <v>2</v>
      </c>
      <c r="AF2246" s="54" t="s">
        <v>2</v>
      </c>
      <c r="AG2246" s="54" t="s">
        <v>2</v>
      </c>
    </row>
    <row r="2247" ht="15.75" customHeight="1">
      <c r="B2247" s="56"/>
      <c r="U2247" s="46" t="str">
        <f t="array" ref="U2247">IF($D2247="","",IFERROR(_xlfn.XLOOKUP($D2247,'TIR店舗一覧'!$D:$D,'TIR店舗一覧'!$E:$E,""),""))</f>
        <v/>
      </c>
      <c r="V2247" s="54" t="s">
        <v>2</v>
      </c>
      <c r="W2247" s="54" t="s">
        <v>2</v>
      </c>
      <c r="X2247" s="54" t="s">
        <v>2</v>
      </c>
      <c r="Y2247" s="54" t="s">
        <v>2</v>
      </c>
      <c r="Z2247" s="54" t="s">
        <v>2</v>
      </c>
      <c r="AA2247" s="54" t="s">
        <v>2</v>
      </c>
      <c r="AB2247" s="54" t="s">
        <v>2</v>
      </c>
      <c r="AC2247" s="54" t="s">
        <v>2</v>
      </c>
      <c r="AD2247" s="54" t="s">
        <v>2</v>
      </c>
      <c r="AE2247" s="54" t="s">
        <v>2</v>
      </c>
      <c r="AF2247" s="54" t="s">
        <v>2</v>
      </c>
      <c r="AG2247" s="54" t="s">
        <v>2</v>
      </c>
    </row>
    <row r="2248" ht="15.75" customHeight="1">
      <c r="B2248" s="56"/>
      <c r="U2248" s="46" t="str">
        <f t="array" ref="U2248">IF($D2248="","",IFERROR(_xlfn.XLOOKUP($D2248,'TIR店舗一覧'!$D:$D,'TIR店舗一覧'!$E:$E,""),""))</f>
        <v/>
      </c>
      <c r="V2248" s="54" t="s">
        <v>2</v>
      </c>
      <c r="W2248" s="54" t="s">
        <v>2</v>
      </c>
      <c r="X2248" s="54" t="s">
        <v>2</v>
      </c>
      <c r="Y2248" s="54" t="s">
        <v>2</v>
      </c>
      <c r="Z2248" s="54" t="s">
        <v>2</v>
      </c>
      <c r="AA2248" s="54" t="s">
        <v>2</v>
      </c>
      <c r="AB2248" s="54" t="s">
        <v>2</v>
      </c>
      <c r="AC2248" s="54" t="s">
        <v>2</v>
      </c>
      <c r="AD2248" s="54" t="s">
        <v>2</v>
      </c>
      <c r="AE2248" s="54" t="s">
        <v>2</v>
      </c>
      <c r="AF2248" s="54" t="s">
        <v>2</v>
      </c>
      <c r="AG2248" s="54" t="s">
        <v>2</v>
      </c>
    </row>
    <row r="2249" ht="15.75" customHeight="1">
      <c r="B2249" s="56"/>
      <c r="U2249" s="46" t="str">
        <f t="array" ref="U2249">IF($D2249="","",IFERROR(_xlfn.XLOOKUP($D2249,'TIR店舗一覧'!$D:$D,'TIR店舗一覧'!$E:$E,""),""))</f>
        <v/>
      </c>
      <c r="V2249" s="54" t="s">
        <v>2</v>
      </c>
      <c r="W2249" s="54" t="s">
        <v>2</v>
      </c>
      <c r="X2249" s="54" t="s">
        <v>2</v>
      </c>
      <c r="Y2249" s="54" t="s">
        <v>2</v>
      </c>
      <c r="Z2249" s="54" t="s">
        <v>2</v>
      </c>
      <c r="AA2249" s="54" t="s">
        <v>2</v>
      </c>
      <c r="AB2249" s="54" t="s">
        <v>2</v>
      </c>
      <c r="AC2249" s="54" t="s">
        <v>2</v>
      </c>
      <c r="AD2249" s="54" t="s">
        <v>2</v>
      </c>
      <c r="AE2249" s="54" t="s">
        <v>2</v>
      </c>
      <c r="AF2249" s="54" t="s">
        <v>2</v>
      </c>
      <c r="AG2249" s="54" t="s">
        <v>2</v>
      </c>
    </row>
    <row r="2250" ht="15.75" customHeight="1">
      <c r="B2250" s="56"/>
      <c r="U2250" s="46" t="str">
        <f t="array" ref="U2250">IF($D2250="","",IFERROR(_xlfn.XLOOKUP($D2250,'TIR店舗一覧'!$D:$D,'TIR店舗一覧'!$E:$E,""),""))</f>
        <v/>
      </c>
      <c r="V2250" s="54" t="s">
        <v>2</v>
      </c>
      <c r="W2250" s="54" t="s">
        <v>2</v>
      </c>
      <c r="X2250" s="54" t="s">
        <v>2</v>
      </c>
      <c r="Y2250" s="54" t="s">
        <v>2</v>
      </c>
      <c r="Z2250" s="54" t="s">
        <v>2</v>
      </c>
      <c r="AA2250" s="54" t="s">
        <v>2</v>
      </c>
      <c r="AB2250" s="54" t="s">
        <v>2</v>
      </c>
      <c r="AC2250" s="54" t="s">
        <v>2</v>
      </c>
      <c r="AD2250" s="54" t="s">
        <v>2</v>
      </c>
      <c r="AE2250" s="54" t="s">
        <v>2</v>
      </c>
      <c r="AF2250" s="54" t="s">
        <v>2</v>
      </c>
      <c r="AG2250" s="54" t="s">
        <v>2</v>
      </c>
    </row>
    <row r="2251" ht="15.75" customHeight="1">
      <c r="B2251" s="56"/>
      <c r="U2251" s="46" t="str">
        <f t="array" ref="U2251">IF($D2251="","",IFERROR(_xlfn.XLOOKUP($D2251,'TIR店舗一覧'!$D:$D,'TIR店舗一覧'!$E:$E,""),""))</f>
        <v/>
      </c>
      <c r="V2251" s="54" t="s">
        <v>2</v>
      </c>
      <c r="W2251" s="54" t="s">
        <v>2</v>
      </c>
      <c r="X2251" s="54" t="s">
        <v>2</v>
      </c>
      <c r="Y2251" s="54" t="s">
        <v>2</v>
      </c>
      <c r="Z2251" s="54" t="s">
        <v>2</v>
      </c>
      <c r="AA2251" s="54" t="s">
        <v>2</v>
      </c>
      <c r="AB2251" s="54" t="s">
        <v>2</v>
      </c>
      <c r="AC2251" s="54" t="s">
        <v>2</v>
      </c>
      <c r="AD2251" s="54" t="s">
        <v>2</v>
      </c>
      <c r="AE2251" s="54" t="s">
        <v>2</v>
      </c>
      <c r="AF2251" s="54" t="s">
        <v>2</v>
      </c>
      <c r="AG2251" s="54" t="s">
        <v>2</v>
      </c>
    </row>
    <row r="2252" ht="15.75" customHeight="1">
      <c r="B2252" s="56"/>
      <c r="U2252" s="46" t="str">
        <f t="array" ref="U2252">IF($D2252="","",IFERROR(_xlfn.XLOOKUP($D2252,'TIR店舗一覧'!$D:$D,'TIR店舗一覧'!$E:$E,""),""))</f>
        <v/>
      </c>
      <c r="V2252" s="54" t="s">
        <v>2</v>
      </c>
      <c r="W2252" s="54" t="s">
        <v>2</v>
      </c>
      <c r="X2252" s="54" t="s">
        <v>2</v>
      </c>
      <c r="Y2252" s="54" t="s">
        <v>2</v>
      </c>
      <c r="Z2252" s="54" t="s">
        <v>2</v>
      </c>
      <c r="AA2252" s="54" t="s">
        <v>2</v>
      </c>
      <c r="AB2252" s="54" t="s">
        <v>2</v>
      </c>
      <c r="AC2252" s="54" t="s">
        <v>2</v>
      </c>
      <c r="AD2252" s="54" t="s">
        <v>2</v>
      </c>
      <c r="AE2252" s="54" t="s">
        <v>2</v>
      </c>
      <c r="AF2252" s="54" t="s">
        <v>2</v>
      </c>
      <c r="AG2252" s="54" t="s">
        <v>2</v>
      </c>
    </row>
    <row r="2253" ht="15.75" customHeight="1">
      <c r="B2253" s="56"/>
      <c r="U2253" s="46" t="str">
        <f t="array" ref="U2253">IF($D2253="","",IFERROR(_xlfn.XLOOKUP($D2253,'TIR店舗一覧'!$D:$D,'TIR店舗一覧'!$E:$E,""),""))</f>
        <v/>
      </c>
      <c r="V2253" s="54" t="s">
        <v>2</v>
      </c>
      <c r="W2253" s="54" t="s">
        <v>2</v>
      </c>
      <c r="X2253" s="54" t="s">
        <v>2</v>
      </c>
      <c r="Y2253" s="54" t="s">
        <v>2</v>
      </c>
      <c r="Z2253" s="54" t="s">
        <v>2</v>
      </c>
      <c r="AA2253" s="54" t="s">
        <v>2</v>
      </c>
      <c r="AB2253" s="54" t="s">
        <v>2</v>
      </c>
      <c r="AC2253" s="54" t="s">
        <v>2</v>
      </c>
      <c r="AD2253" s="54" t="s">
        <v>2</v>
      </c>
      <c r="AE2253" s="54" t="s">
        <v>2</v>
      </c>
      <c r="AF2253" s="54" t="s">
        <v>2</v>
      </c>
      <c r="AG2253" s="54" t="s">
        <v>2</v>
      </c>
    </row>
    <row r="2254" ht="15.75" customHeight="1">
      <c r="B2254" s="56"/>
      <c r="U2254" s="46" t="str">
        <f t="array" ref="U2254">IF($D2254="","",IFERROR(_xlfn.XLOOKUP($D2254,'TIR店舗一覧'!$D:$D,'TIR店舗一覧'!$E:$E,""),""))</f>
        <v/>
      </c>
      <c r="V2254" s="54" t="s">
        <v>2</v>
      </c>
      <c r="W2254" s="54" t="s">
        <v>2</v>
      </c>
      <c r="X2254" s="54" t="s">
        <v>2</v>
      </c>
      <c r="Y2254" s="54" t="s">
        <v>2</v>
      </c>
      <c r="Z2254" s="54" t="s">
        <v>2</v>
      </c>
      <c r="AA2254" s="54" t="s">
        <v>2</v>
      </c>
      <c r="AB2254" s="54" t="s">
        <v>2</v>
      </c>
      <c r="AC2254" s="54" t="s">
        <v>2</v>
      </c>
      <c r="AD2254" s="54" t="s">
        <v>2</v>
      </c>
      <c r="AE2254" s="54" t="s">
        <v>2</v>
      </c>
      <c r="AF2254" s="54" t="s">
        <v>2</v>
      </c>
      <c r="AG2254" s="54" t="s">
        <v>2</v>
      </c>
    </row>
    <row r="2255" ht="15.75" customHeight="1">
      <c r="B2255" s="56"/>
      <c r="U2255" s="46" t="str">
        <f t="array" ref="U2255">IF($D2255="","",IFERROR(_xlfn.XLOOKUP($D2255,'TIR店舗一覧'!$D:$D,'TIR店舗一覧'!$E:$E,""),""))</f>
        <v/>
      </c>
      <c r="V2255" s="54" t="s">
        <v>2</v>
      </c>
      <c r="W2255" s="54" t="s">
        <v>2</v>
      </c>
      <c r="X2255" s="54" t="s">
        <v>2</v>
      </c>
      <c r="Y2255" s="54" t="s">
        <v>2</v>
      </c>
      <c r="Z2255" s="54" t="s">
        <v>2</v>
      </c>
      <c r="AA2255" s="54" t="s">
        <v>2</v>
      </c>
      <c r="AB2255" s="54" t="s">
        <v>2</v>
      </c>
      <c r="AC2255" s="54" t="s">
        <v>2</v>
      </c>
      <c r="AD2255" s="54" t="s">
        <v>2</v>
      </c>
      <c r="AE2255" s="54" t="s">
        <v>2</v>
      </c>
      <c r="AF2255" s="54" t="s">
        <v>2</v>
      </c>
      <c r="AG2255" s="54" t="s">
        <v>2</v>
      </c>
    </row>
    <row r="2256" ht="15.75" customHeight="1">
      <c r="B2256" s="56"/>
      <c r="U2256" s="46" t="str">
        <f t="array" ref="U2256">IF($D2256="","",IFERROR(_xlfn.XLOOKUP($D2256,'TIR店舗一覧'!$D:$D,'TIR店舗一覧'!$E:$E,""),""))</f>
        <v/>
      </c>
      <c r="V2256" s="54" t="s">
        <v>2</v>
      </c>
      <c r="W2256" s="54" t="s">
        <v>2</v>
      </c>
      <c r="X2256" s="54" t="s">
        <v>2</v>
      </c>
      <c r="Y2256" s="54" t="s">
        <v>2</v>
      </c>
      <c r="Z2256" s="54" t="s">
        <v>2</v>
      </c>
      <c r="AA2256" s="54" t="s">
        <v>2</v>
      </c>
      <c r="AB2256" s="54" t="s">
        <v>2</v>
      </c>
      <c r="AC2256" s="54" t="s">
        <v>2</v>
      </c>
      <c r="AD2256" s="54" t="s">
        <v>2</v>
      </c>
      <c r="AE2256" s="54" t="s">
        <v>2</v>
      </c>
      <c r="AF2256" s="54" t="s">
        <v>2</v>
      </c>
      <c r="AG2256" s="54" t="s">
        <v>2</v>
      </c>
    </row>
    <row r="2257" ht="15.75" customHeight="1">
      <c r="B2257" s="56"/>
      <c r="U2257" s="46" t="str">
        <f t="array" ref="U2257">IF($D2257="","",IFERROR(_xlfn.XLOOKUP($D2257,'TIR店舗一覧'!$D:$D,'TIR店舗一覧'!$E:$E,""),""))</f>
        <v/>
      </c>
      <c r="V2257" s="54" t="s">
        <v>2</v>
      </c>
      <c r="W2257" s="54" t="s">
        <v>2</v>
      </c>
      <c r="X2257" s="54" t="s">
        <v>2</v>
      </c>
      <c r="Y2257" s="54" t="s">
        <v>2</v>
      </c>
      <c r="Z2257" s="54" t="s">
        <v>2</v>
      </c>
      <c r="AA2257" s="54" t="s">
        <v>2</v>
      </c>
      <c r="AB2257" s="54" t="s">
        <v>2</v>
      </c>
      <c r="AC2257" s="54" t="s">
        <v>2</v>
      </c>
      <c r="AD2257" s="54" t="s">
        <v>2</v>
      </c>
      <c r="AE2257" s="54" t="s">
        <v>2</v>
      </c>
      <c r="AF2257" s="54" t="s">
        <v>2</v>
      </c>
      <c r="AG2257" s="54" t="s">
        <v>2</v>
      </c>
    </row>
    <row r="2258" ht="15.75" customHeight="1">
      <c r="B2258" s="56"/>
      <c r="U2258" s="46" t="str">
        <f t="array" ref="U2258">IF($D2258="","",IFERROR(_xlfn.XLOOKUP($D2258,'TIR店舗一覧'!$D:$D,'TIR店舗一覧'!$E:$E,""),""))</f>
        <v/>
      </c>
      <c r="V2258" s="54" t="s">
        <v>2</v>
      </c>
      <c r="W2258" s="54" t="s">
        <v>2</v>
      </c>
      <c r="X2258" s="54" t="s">
        <v>2</v>
      </c>
      <c r="Y2258" s="54" t="s">
        <v>2</v>
      </c>
      <c r="Z2258" s="54" t="s">
        <v>2</v>
      </c>
      <c r="AA2258" s="54" t="s">
        <v>2</v>
      </c>
      <c r="AB2258" s="54" t="s">
        <v>2</v>
      </c>
      <c r="AC2258" s="54" t="s">
        <v>2</v>
      </c>
      <c r="AD2258" s="54" t="s">
        <v>2</v>
      </c>
      <c r="AE2258" s="54" t="s">
        <v>2</v>
      </c>
      <c r="AF2258" s="54" t="s">
        <v>2</v>
      </c>
      <c r="AG2258" s="54" t="s">
        <v>2</v>
      </c>
    </row>
    <row r="2259" ht="15.75" customHeight="1">
      <c r="B2259" s="56"/>
      <c r="U2259" s="46" t="str">
        <f t="array" ref="U2259">IF($D2259="","",IFERROR(_xlfn.XLOOKUP($D2259,'TIR店舗一覧'!$D:$D,'TIR店舗一覧'!$E:$E,""),""))</f>
        <v/>
      </c>
      <c r="V2259" s="54" t="s">
        <v>2</v>
      </c>
      <c r="W2259" s="54" t="s">
        <v>2</v>
      </c>
      <c r="X2259" s="54" t="s">
        <v>2</v>
      </c>
      <c r="Y2259" s="54" t="s">
        <v>2</v>
      </c>
      <c r="Z2259" s="54" t="s">
        <v>2</v>
      </c>
      <c r="AA2259" s="54" t="s">
        <v>2</v>
      </c>
      <c r="AB2259" s="54" t="s">
        <v>2</v>
      </c>
      <c r="AC2259" s="54" t="s">
        <v>2</v>
      </c>
      <c r="AD2259" s="54" t="s">
        <v>2</v>
      </c>
      <c r="AE2259" s="54" t="s">
        <v>2</v>
      </c>
      <c r="AF2259" s="54" t="s">
        <v>2</v>
      </c>
      <c r="AG2259" s="54" t="s">
        <v>2</v>
      </c>
    </row>
    <row r="2260" ht="15.75" customHeight="1">
      <c r="B2260" s="56"/>
      <c r="U2260" s="46" t="str">
        <f t="array" ref="U2260">IF($D2260="","",IFERROR(_xlfn.XLOOKUP($D2260,'TIR店舗一覧'!$D:$D,'TIR店舗一覧'!$E:$E,""),""))</f>
        <v/>
      </c>
      <c r="V2260" s="54" t="s">
        <v>2</v>
      </c>
      <c r="W2260" s="54" t="s">
        <v>2</v>
      </c>
      <c r="X2260" s="54" t="s">
        <v>2</v>
      </c>
      <c r="Y2260" s="54" t="s">
        <v>2</v>
      </c>
      <c r="Z2260" s="54" t="s">
        <v>2</v>
      </c>
      <c r="AA2260" s="54" t="s">
        <v>2</v>
      </c>
      <c r="AB2260" s="54" t="s">
        <v>2</v>
      </c>
      <c r="AC2260" s="54" t="s">
        <v>2</v>
      </c>
      <c r="AD2260" s="54" t="s">
        <v>2</v>
      </c>
      <c r="AE2260" s="54" t="s">
        <v>2</v>
      </c>
      <c r="AF2260" s="54" t="s">
        <v>2</v>
      </c>
      <c r="AG2260" s="54" t="s">
        <v>2</v>
      </c>
    </row>
    <row r="2261" ht="15.75" customHeight="1">
      <c r="B2261" s="56"/>
      <c r="U2261" s="46" t="str">
        <f t="array" ref="U2261">IF($D2261="","",IFERROR(_xlfn.XLOOKUP($D2261,'TIR店舗一覧'!$D:$D,'TIR店舗一覧'!$E:$E,""),""))</f>
        <v/>
      </c>
      <c r="V2261" s="54" t="s">
        <v>2</v>
      </c>
      <c r="W2261" s="54" t="s">
        <v>2</v>
      </c>
      <c r="X2261" s="54" t="s">
        <v>2</v>
      </c>
      <c r="Y2261" s="54" t="s">
        <v>2</v>
      </c>
      <c r="Z2261" s="54" t="s">
        <v>2</v>
      </c>
      <c r="AA2261" s="54" t="s">
        <v>2</v>
      </c>
      <c r="AB2261" s="54" t="s">
        <v>2</v>
      </c>
      <c r="AC2261" s="54" t="s">
        <v>2</v>
      </c>
      <c r="AD2261" s="54" t="s">
        <v>2</v>
      </c>
      <c r="AE2261" s="54" t="s">
        <v>2</v>
      </c>
      <c r="AF2261" s="54" t="s">
        <v>2</v>
      </c>
      <c r="AG2261" s="54" t="s">
        <v>2</v>
      </c>
    </row>
    <row r="2262" ht="15.75" customHeight="1">
      <c r="B2262" s="56"/>
      <c r="U2262" s="46" t="str">
        <f t="array" ref="U2262">IF($D2262="","",IFERROR(_xlfn.XLOOKUP($D2262,'TIR店舗一覧'!$D:$D,'TIR店舗一覧'!$E:$E,""),""))</f>
        <v/>
      </c>
      <c r="V2262" s="54" t="s">
        <v>2</v>
      </c>
      <c r="W2262" s="54" t="s">
        <v>2</v>
      </c>
      <c r="X2262" s="54" t="s">
        <v>2</v>
      </c>
      <c r="Y2262" s="54" t="s">
        <v>2</v>
      </c>
      <c r="Z2262" s="54" t="s">
        <v>2</v>
      </c>
      <c r="AA2262" s="54" t="s">
        <v>2</v>
      </c>
      <c r="AB2262" s="54" t="s">
        <v>2</v>
      </c>
      <c r="AC2262" s="54" t="s">
        <v>2</v>
      </c>
      <c r="AD2262" s="54" t="s">
        <v>2</v>
      </c>
      <c r="AE2262" s="54" t="s">
        <v>2</v>
      </c>
      <c r="AF2262" s="54" t="s">
        <v>2</v>
      </c>
      <c r="AG2262" s="54" t="s">
        <v>2</v>
      </c>
    </row>
    <row r="2263" ht="15.75" customHeight="1">
      <c r="B2263" s="56"/>
      <c r="U2263" s="46" t="str">
        <f t="array" ref="U2263">IF($D2263="","",IFERROR(_xlfn.XLOOKUP($D2263,'TIR店舗一覧'!$D:$D,'TIR店舗一覧'!$E:$E,""),""))</f>
        <v/>
      </c>
      <c r="V2263" s="54" t="s">
        <v>2</v>
      </c>
      <c r="W2263" s="54" t="s">
        <v>2</v>
      </c>
      <c r="X2263" s="54" t="s">
        <v>2</v>
      </c>
      <c r="Y2263" s="54" t="s">
        <v>2</v>
      </c>
      <c r="Z2263" s="54" t="s">
        <v>2</v>
      </c>
      <c r="AA2263" s="54" t="s">
        <v>2</v>
      </c>
      <c r="AB2263" s="54" t="s">
        <v>2</v>
      </c>
      <c r="AC2263" s="54" t="s">
        <v>2</v>
      </c>
      <c r="AD2263" s="54" t="s">
        <v>2</v>
      </c>
      <c r="AE2263" s="54" t="s">
        <v>2</v>
      </c>
      <c r="AF2263" s="54" t="s">
        <v>2</v>
      </c>
      <c r="AG2263" s="54" t="s">
        <v>2</v>
      </c>
    </row>
    <row r="2264" ht="15.75" customHeight="1">
      <c r="B2264" s="56"/>
      <c r="U2264" s="46" t="str">
        <f t="array" ref="U2264">IF($D2264="","",IFERROR(_xlfn.XLOOKUP($D2264,'TIR店舗一覧'!$D:$D,'TIR店舗一覧'!$E:$E,""),""))</f>
        <v/>
      </c>
      <c r="V2264" s="54" t="s">
        <v>2</v>
      </c>
      <c r="W2264" s="54" t="s">
        <v>2</v>
      </c>
      <c r="X2264" s="54" t="s">
        <v>2</v>
      </c>
      <c r="Y2264" s="54" t="s">
        <v>2</v>
      </c>
      <c r="Z2264" s="54" t="s">
        <v>2</v>
      </c>
      <c r="AA2264" s="54" t="s">
        <v>2</v>
      </c>
      <c r="AB2264" s="54" t="s">
        <v>2</v>
      </c>
      <c r="AC2264" s="54" t="s">
        <v>2</v>
      </c>
      <c r="AD2264" s="54" t="s">
        <v>2</v>
      </c>
      <c r="AE2264" s="54" t="s">
        <v>2</v>
      </c>
      <c r="AF2264" s="54" t="s">
        <v>2</v>
      </c>
      <c r="AG2264" s="54" t="s">
        <v>2</v>
      </c>
    </row>
    <row r="2265" ht="15.75" customHeight="1">
      <c r="B2265" s="56"/>
      <c r="U2265" s="46" t="str">
        <f t="array" ref="U2265">IF($D2265="","",IFERROR(_xlfn.XLOOKUP($D2265,'TIR店舗一覧'!$D:$D,'TIR店舗一覧'!$E:$E,""),""))</f>
        <v/>
      </c>
      <c r="V2265" s="54" t="s">
        <v>2</v>
      </c>
      <c r="W2265" s="54" t="s">
        <v>2</v>
      </c>
      <c r="X2265" s="54" t="s">
        <v>2</v>
      </c>
      <c r="Y2265" s="54" t="s">
        <v>2</v>
      </c>
      <c r="Z2265" s="54" t="s">
        <v>2</v>
      </c>
      <c r="AA2265" s="54" t="s">
        <v>2</v>
      </c>
      <c r="AB2265" s="54" t="s">
        <v>2</v>
      </c>
      <c r="AC2265" s="54" t="s">
        <v>2</v>
      </c>
      <c r="AD2265" s="54" t="s">
        <v>2</v>
      </c>
      <c r="AE2265" s="54" t="s">
        <v>2</v>
      </c>
      <c r="AF2265" s="54" t="s">
        <v>2</v>
      </c>
      <c r="AG2265" s="54" t="s">
        <v>2</v>
      </c>
    </row>
    <row r="2266" ht="15.75" customHeight="1">
      <c r="B2266" s="56"/>
      <c r="U2266" s="46" t="str">
        <f t="array" ref="U2266">IF($D2266="","",IFERROR(_xlfn.XLOOKUP($D2266,'TIR店舗一覧'!$D:$D,'TIR店舗一覧'!$E:$E,""),""))</f>
        <v/>
      </c>
      <c r="V2266" s="54" t="s">
        <v>2</v>
      </c>
      <c r="W2266" s="54" t="s">
        <v>2</v>
      </c>
      <c r="X2266" s="54" t="s">
        <v>2</v>
      </c>
      <c r="Y2266" s="54" t="s">
        <v>2</v>
      </c>
      <c r="Z2266" s="54" t="s">
        <v>2</v>
      </c>
      <c r="AA2266" s="54" t="s">
        <v>2</v>
      </c>
      <c r="AB2266" s="54" t="s">
        <v>2</v>
      </c>
      <c r="AC2266" s="54" t="s">
        <v>2</v>
      </c>
      <c r="AD2266" s="54" t="s">
        <v>2</v>
      </c>
      <c r="AE2266" s="54" t="s">
        <v>2</v>
      </c>
      <c r="AF2266" s="54" t="s">
        <v>2</v>
      </c>
      <c r="AG2266" s="54" t="s">
        <v>2</v>
      </c>
    </row>
    <row r="2267" ht="15.75" customHeight="1">
      <c r="B2267" s="56"/>
      <c r="U2267" s="46" t="str">
        <f t="array" ref="U2267">IF($D2267="","",IFERROR(_xlfn.XLOOKUP($D2267,'TIR店舗一覧'!$D:$D,'TIR店舗一覧'!$E:$E,""),""))</f>
        <v/>
      </c>
      <c r="V2267" s="54" t="s">
        <v>2</v>
      </c>
      <c r="W2267" s="54" t="s">
        <v>2</v>
      </c>
      <c r="X2267" s="54" t="s">
        <v>2</v>
      </c>
      <c r="Y2267" s="54" t="s">
        <v>2</v>
      </c>
      <c r="Z2267" s="54" t="s">
        <v>2</v>
      </c>
      <c r="AA2267" s="54" t="s">
        <v>2</v>
      </c>
      <c r="AB2267" s="54" t="s">
        <v>2</v>
      </c>
      <c r="AC2267" s="54" t="s">
        <v>2</v>
      </c>
      <c r="AD2267" s="54" t="s">
        <v>2</v>
      </c>
      <c r="AE2267" s="54" t="s">
        <v>2</v>
      </c>
      <c r="AF2267" s="54" t="s">
        <v>2</v>
      </c>
      <c r="AG2267" s="54" t="s">
        <v>2</v>
      </c>
    </row>
    <row r="2268" ht="15.75" customHeight="1">
      <c r="B2268" s="56"/>
      <c r="U2268" s="46" t="str">
        <f t="array" ref="U2268">IF($D2268="","",IFERROR(_xlfn.XLOOKUP($D2268,'TIR店舗一覧'!$D:$D,'TIR店舗一覧'!$E:$E,""),""))</f>
        <v/>
      </c>
      <c r="V2268" s="54" t="s">
        <v>2</v>
      </c>
      <c r="W2268" s="54" t="s">
        <v>2</v>
      </c>
      <c r="X2268" s="54" t="s">
        <v>2</v>
      </c>
      <c r="Y2268" s="54" t="s">
        <v>2</v>
      </c>
      <c r="Z2268" s="54" t="s">
        <v>2</v>
      </c>
      <c r="AA2268" s="54" t="s">
        <v>2</v>
      </c>
      <c r="AB2268" s="54" t="s">
        <v>2</v>
      </c>
      <c r="AC2268" s="54" t="s">
        <v>2</v>
      </c>
      <c r="AD2268" s="54" t="s">
        <v>2</v>
      </c>
      <c r="AE2268" s="54" t="s">
        <v>2</v>
      </c>
      <c r="AF2268" s="54" t="s">
        <v>2</v>
      </c>
      <c r="AG2268" s="54" t="s">
        <v>2</v>
      </c>
    </row>
    <row r="2269" ht="15.75" customHeight="1">
      <c r="B2269" s="56"/>
      <c r="U2269" s="46" t="str">
        <f t="array" ref="U2269">IF($D2269="","",IFERROR(_xlfn.XLOOKUP($D2269,'TIR店舗一覧'!$D:$D,'TIR店舗一覧'!$E:$E,""),""))</f>
        <v/>
      </c>
      <c r="V2269" s="54" t="s">
        <v>2</v>
      </c>
      <c r="W2269" s="54" t="s">
        <v>2</v>
      </c>
      <c r="X2269" s="54" t="s">
        <v>2</v>
      </c>
      <c r="Y2269" s="54" t="s">
        <v>2</v>
      </c>
      <c r="Z2269" s="54" t="s">
        <v>2</v>
      </c>
      <c r="AA2269" s="54" t="s">
        <v>2</v>
      </c>
      <c r="AB2269" s="54" t="s">
        <v>2</v>
      </c>
      <c r="AC2269" s="54" t="s">
        <v>2</v>
      </c>
      <c r="AD2269" s="54" t="s">
        <v>2</v>
      </c>
      <c r="AE2269" s="54" t="s">
        <v>2</v>
      </c>
      <c r="AF2269" s="54" t="s">
        <v>2</v>
      </c>
      <c r="AG2269" s="54" t="s">
        <v>2</v>
      </c>
    </row>
    <row r="2270" ht="15.75" customHeight="1">
      <c r="B2270" s="56"/>
      <c r="U2270" s="46" t="str">
        <f t="array" ref="U2270">IF($D2270="","",IFERROR(_xlfn.XLOOKUP($D2270,'TIR店舗一覧'!$D:$D,'TIR店舗一覧'!$E:$E,""),""))</f>
        <v/>
      </c>
      <c r="V2270" s="54" t="s">
        <v>2</v>
      </c>
      <c r="W2270" s="54" t="s">
        <v>2</v>
      </c>
      <c r="X2270" s="54" t="s">
        <v>2</v>
      </c>
      <c r="Y2270" s="54" t="s">
        <v>2</v>
      </c>
      <c r="Z2270" s="54" t="s">
        <v>2</v>
      </c>
      <c r="AA2270" s="54" t="s">
        <v>2</v>
      </c>
      <c r="AB2270" s="54" t="s">
        <v>2</v>
      </c>
      <c r="AC2270" s="54" t="s">
        <v>2</v>
      </c>
      <c r="AD2270" s="54" t="s">
        <v>2</v>
      </c>
      <c r="AE2270" s="54" t="s">
        <v>2</v>
      </c>
      <c r="AF2270" s="54" t="s">
        <v>2</v>
      </c>
      <c r="AG2270" s="54" t="s">
        <v>2</v>
      </c>
    </row>
    <row r="2271" ht="15.75" customHeight="1">
      <c r="B2271" s="56"/>
      <c r="U2271" s="46" t="str">
        <f t="array" ref="U2271">IF($D2271="","",IFERROR(_xlfn.XLOOKUP($D2271,'TIR店舗一覧'!$D:$D,'TIR店舗一覧'!$E:$E,""),""))</f>
        <v/>
      </c>
      <c r="V2271" s="54" t="s">
        <v>2</v>
      </c>
      <c r="W2271" s="54" t="s">
        <v>2</v>
      </c>
      <c r="X2271" s="54" t="s">
        <v>2</v>
      </c>
      <c r="Y2271" s="54" t="s">
        <v>2</v>
      </c>
      <c r="Z2271" s="54" t="s">
        <v>2</v>
      </c>
      <c r="AA2271" s="54" t="s">
        <v>2</v>
      </c>
      <c r="AB2271" s="54" t="s">
        <v>2</v>
      </c>
      <c r="AC2271" s="54" t="s">
        <v>2</v>
      </c>
      <c r="AD2271" s="54" t="s">
        <v>2</v>
      </c>
      <c r="AE2271" s="54" t="s">
        <v>2</v>
      </c>
      <c r="AF2271" s="54" t="s">
        <v>2</v>
      </c>
      <c r="AG2271" s="54" t="s">
        <v>2</v>
      </c>
    </row>
    <row r="2272" ht="15.75" customHeight="1">
      <c r="B2272" s="56"/>
      <c r="U2272" s="46" t="str">
        <f t="array" ref="U2272">IF($D2272="","",IFERROR(_xlfn.XLOOKUP($D2272,'TIR店舗一覧'!$D:$D,'TIR店舗一覧'!$E:$E,""),""))</f>
        <v/>
      </c>
      <c r="V2272" s="54" t="s">
        <v>2</v>
      </c>
      <c r="W2272" s="54" t="s">
        <v>2</v>
      </c>
      <c r="X2272" s="54" t="s">
        <v>2</v>
      </c>
      <c r="Y2272" s="54" t="s">
        <v>2</v>
      </c>
      <c r="Z2272" s="54" t="s">
        <v>2</v>
      </c>
      <c r="AA2272" s="54" t="s">
        <v>2</v>
      </c>
      <c r="AB2272" s="54" t="s">
        <v>2</v>
      </c>
      <c r="AC2272" s="54" t="s">
        <v>2</v>
      </c>
      <c r="AD2272" s="54" t="s">
        <v>2</v>
      </c>
      <c r="AE2272" s="54" t="s">
        <v>2</v>
      </c>
      <c r="AF2272" s="54" t="s">
        <v>2</v>
      </c>
      <c r="AG2272" s="54" t="s">
        <v>2</v>
      </c>
    </row>
    <row r="2273" ht="15.75" customHeight="1">
      <c r="B2273" s="56"/>
      <c r="U2273" s="46" t="str">
        <f t="array" ref="U2273">IF($D2273="","",IFERROR(_xlfn.XLOOKUP($D2273,'TIR店舗一覧'!$D:$D,'TIR店舗一覧'!$E:$E,""),""))</f>
        <v/>
      </c>
      <c r="V2273" s="54" t="s">
        <v>2</v>
      </c>
      <c r="W2273" s="54" t="s">
        <v>2</v>
      </c>
      <c r="X2273" s="54" t="s">
        <v>2</v>
      </c>
      <c r="Y2273" s="54" t="s">
        <v>2</v>
      </c>
      <c r="Z2273" s="54" t="s">
        <v>2</v>
      </c>
      <c r="AA2273" s="54" t="s">
        <v>2</v>
      </c>
      <c r="AB2273" s="54" t="s">
        <v>2</v>
      </c>
      <c r="AC2273" s="54" t="s">
        <v>2</v>
      </c>
      <c r="AD2273" s="54" t="s">
        <v>2</v>
      </c>
      <c r="AE2273" s="54" t="s">
        <v>2</v>
      </c>
      <c r="AF2273" s="54" t="s">
        <v>2</v>
      </c>
      <c r="AG2273" s="54" t="s">
        <v>2</v>
      </c>
    </row>
    <row r="2274" ht="15.75" customHeight="1">
      <c r="B2274" s="56"/>
      <c r="U2274" s="46" t="str">
        <f t="array" ref="U2274">IF($D2274="","",IFERROR(_xlfn.XLOOKUP($D2274,'TIR店舗一覧'!$D:$D,'TIR店舗一覧'!$E:$E,""),""))</f>
        <v/>
      </c>
      <c r="V2274" s="54" t="s">
        <v>2</v>
      </c>
      <c r="W2274" s="54" t="s">
        <v>2</v>
      </c>
      <c r="X2274" s="54" t="s">
        <v>2</v>
      </c>
      <c r="Y2274" s="54" t="s">
        <v>2</v>
      </c>
      <c r="Z2274" s="54" t="s">
        <v>2</v>
      </c>
      <c r="AA2274" s="54" t="s">
        <v>2</v>
      </c>
      <c r="AB2274" s="54" t="s">
        <v>2</v>
      </c>
      <c r="AC2274" s="54" t="s">
        <v>2</v>
      </c>
      <c r="AD2274" s="54" t="s">
        <v>2</v>
      </c>
      <c r="AE2274" s="54" t="s">
        <v>2</v>
      </c>
      <c r="AF2274" s="54" t="s">
        <v>2</v>
      </c>
      <c r="AG2274" s="54" t="s">
        <v>2</v>
      </c>
    </row>
    <row r="2275" ht="15.75" customHeight="1">
      <c r="B2275" s="56"/>
      <c r="U2275" s="46" t="str">
        <f t="array" ref="U2275">IF($D2275="","",IFERROR(_xlfn.XLOOKUP($D2275,'TIR店舗一覧'!$D:$D,'TIR店舗一覧'!$E:$E,""),""))</f>
        <v/>
      </c>
      <c r="V2275" s="54" t="s">
        <v>2</v>
      </c>
      <c r="W2275" s="54" t="s">
        <v>2</v>
      </c>
      <c r="X2275" s="54" t="s">
        <v>2</v>
      </c>
      <c r="Y2275" s="54" t="s">
        <v>2</v>
      </c>
      <c r="Z2275" s="54" t="s">
        <v>2</v>
      </c>
      <c r="AA2275" s="54" t="s">
        <v>2</v>
      </c>
      <c r="AB2275" s="54" t="s">
        <v>2</v>
      </c>
      <c r="AC2275" s="54" t="s">
        <v>2</v>
      </c>
      <c r="AD2275" s="54" t="s">
        <v>2</v>
      </c>
      <c r="AE2275" s="54" t="s">
        <v>2</v>
      </c>
      <c r="AF2275" s="54" t="s">
        <v>2</v>
      </c>
      <c r="AG2275" s="54" t="s">
        <v>2</v>
      </c>
    </row>
    <row r="2276" ht="15.75" customHeight="1">
      <c r="B2276" s="56"/>
      <c r="U2276" s="46" t="str">
        <f t="array" ref="U2276">IF($D2276="","",IFERROR(_xlfn.XLOOKUP($D2276,'TIR店舗一覧'!$D:$D,'TIR店舗一覧'!$E:$E,""),""))</f>
        <v/>
      </c>
      <c r="V2276" s="54" t="s">
        <v>2</v>
      </c>
      <c r="W2276" s="54" t="s">
        <v>2</v>
      </c>
      <c r="X2276" s="54" t="s">
        <v>2</v>
      </c>
      <c r="Y2276" s="54" t="s">
        <v>2</v>
      </c>
      <c r="Z2276" s="54" t="s">
        <v>2</v>
      </c>
      <c r="AA2276" s="54" t="s">
        <v>2</v>
      </c>
      <c r="AB2276" s="54" t="s">
        <v>2</v>
      </c>
      <c r="AC2276" s="54" t="s">
        <v>2</v>
      </c>
      <c r="AD2276" s="54" t="s">
        <v>2</v>
      </c>
      <c r="AE2276" s="54" t="s">
        <v>2</v>
      </c>
      <c r="AF2276" s="54" t="s">
        <v>2</v>
      </c>
      <c r="AG2276" s="54" t="s">
        <v>2</v>
      </c>
    </row>
    <row r="2277" ht="15.75" customHeight="1">
      <c r="B2277" s="56"/>
      <c r="U2277" s="46" t="str">
        <f t="array" ref="U2277">IF($D2277="","",IFERROR(_xlfn.XLOOKUP($D2277,'TIR店舗一覧'!$D:$D,'TIR店舗一覧'!$E:$E,""),""))</f>
        <v/>
      </c>
      <c r="V2277" s="54" t="s">
        <v>2</v>
      </c>
      <c r="W2277" s="54" t="s">
        <v>2</v>
      </c>
      <c r="X2277" s="54" t="s">
        <v>2</v>
      </c>
      <c r="Y2277" s="54" t="s">
        <v>2</v>
      </c>
      <c r="Z2277" s="54" t="s">
        <v>2</v>
      </c>
      <c r="AA2277" s="54" t="s">
        <v>2</v>
      </c>
      <c r="AB2277" s="54" t="s">
        <v>2</v>
      </c>
      <c r="AC2277" s="54" t="s">
        <v>2</v>
      </c>
      <c r="AD2277" s="54" t="s">
        <v>2</v>
      </c>
      <c r="AE2277" s="54" t="s">
        <v>2</v>
      </c>
      <c r="AF2277" s="54" t="s">
        <v>2</v>
      </c>
      <c r="AG2277" s="54" t="s">
        <v>2</v>
      </c>
    </row>
    <row r="2278" ht="15.75" customHeight="1">
      <c r="B2278" s="56"/>
      <c r="U2278" s="46" t="str">
        <f t="array" ref="U2278">IF($D2278="","",IFERROR(_xlfn.XLOOKUP($D2278,'TIR店舗一覧'!$D:$D,'TIR店舗一覧'!$E:$E,""),""))</f>
        <v/>
      </c>
      <c r="V2278" s="54" t="s">
        <v>2</v>
      </c>
      <c r="W2278" s="54" t="s">
        <v>2</v>
      </c>
      <c r="X2278" s="54" t="s">
        <v>2</v>
      </c>
      <c r="Y2278" s="54" t="s">
        <v>2</v>
      </c>
      <c r="Z2278" s="54" t="s">
        <v>2</v>
      </c>
      <c r="AA2278" s="54" t="s">
        <v>2</v>
      </c>
      <c r="AB2278" s="54" t="s">
        <v>2</v>
      </c>
      <c r="AC2278" s="54" t="s">
        <v>2</v>
      </c>
      <c r="AD2278" s="54" t="s">
        <v>2</v>
      </c>
      <c r="AE2278" s="54" t="s">
        <v>2</v>
      </c>
      <c r="AF2278" s="54" t="s">
        <v>2</v>
      </c>
      <c r="AG2278" s="54" t="s">
        <v>2</v>
      </c>
    </row>
    <row r="2279" ht="15.75" customHeight="1">
      <c r="B2279" s="56"/>
      <c r="U2279" s="46" t="str">
        <f t="array" ref="U2279">IF($D2279="","",IFERROR(_xlfn.XLOOKUP($D2279,'TIR店舗一覧'!$D:$D,'TIR店舗一覧'!$E:$E,""),""))</f>
        <v/>
      </c>
      <c r="V2279" s="54" t="s">
        <v>2</v>
      </c>
      <c r="W2279" s="54" t="s">
        <v>2</v>
      </c>
      <c r="X2279" s="54" t="s">
        <v>2</v>
      </c>
      <c r="Y2279" s="54" t="s">
        <v>2</v>
      </c>
      <c r="Z2279" s="54" t="s">
        <v>2</v>
      </c>
      <c r="AA2279" s="54" t="s">
        <v>2</v>
      </c>
      <c r="AB2279" s="54" t="s">
        <v>2</v>
      </c>
      <c r="AC2279" s="54" t="s">
        <v>2</v>
      </c>
      <c r="AD2279" s="54" t="s">
        <v>2</v>
      </c>
      <c r="AE2279" s="54" t="s">
        <v>2</v>
      </c>
      <c r="AF2279" s="54" t="s">
        <v>2</v>
      </c>
      <c r="AG2279" s="54" t="s">
        <v>2</v>
      </c>
    </row>
    <row r="2280" ht="15.75" customHeight="1">
      <c r="B2280" s="56"/>
      <c r="U2280" s="46" t="str">
        <f t="array" ref="U2280">IF($D2280="","",IFERROR(_xlfn.XLOOKUP($D2280,'TIR店舗一覧'!$D:$D,'TIR店舗一覧'!$E:$E,""),""))</f>
        <v/>
      </c>
      <c r="V2280" s="54" t="s">
        <v>2</v>
      </c>
      <c r="W2280" s="54" t="s">
        <v>2</v>
      </c>
      <c r="X2280" s="54" t="s">
        <v>2</v>
      </c>
      <c r="Y2280" s="54" t="s">
        <v>2</v>
      </c>
      <c r="Z2280" s="54" t="s">
        <v>2</v>
      </c>
      <c r="AA2280" s="54" t="s">
        <v>2</v>
      </c>
      <c r="AB2280" s="54" t="s">
        <v>2</v>
      </c>
      <c r="AC2280" s="54" t="s">
        <v>2</v>
      </c>
      <c r="AD2280" s="54" t="s">
        <v>2</v>
      </c>
      <c r="AE2280" s="54" t="s">
        <v>2</v>
      </c>
      <c r="AF2280" s="54" t="s">
        <v>2</v>
      </c>
      <c r="AG2280" s="54" t="s">
        <v>2</v>
      </c>
    </row>
    <row r="2281" ht="15.75" customHeight="1">
      <c r="B2281" s="56"/>
      <c r="U2281" s="46" t="str">
        <f t="array" ref="U2281">IF($D2281="","",IFERROR(_xlfn.XLOOKUP($D2281,'TIR店舗一覧'!$D:$D,'TIR店舗一覧'!$E:$E,""),""))</f>
        <v/>
      </c>
      <c r="V2281" s="54" t="s">
        <v>2</v>
      </c>
      <c r="W2281" s="54" t="s">
        <v>2</v>
      </c>
      <c r="X2281" s="54" t="s">
        <v>2</v>
      </c>
      <c r="Y2281" s="54" t="s">
        <v>2</v>
      </c>
      <c r="Z2281" s="54" t="s">
        <v>2</v>
      </c>
      <c r="AA2281" s="54" t="s">
        <v>2</v>
      </c>
      <c r="AB2281" s="54" t="s">
        <v>2</v>
      </c>
      <c r="AC2281" s="54" t="s">
        <v>2</v>
      </c>
      <c r="AD2281" s="54" t="s">
        <v>2</v>
      </c>
      <c r="AE2281" s="54" t="s">
        <v>2</v>
      </c>
      <c r="AF2281" s="54" t="s">
        <v>2</v>
      </c>
      <c r="AG2281" s="54" t="s">
        <v>2</v>
      </c>
    </row>
    <row r="2282" ht="15.75" customHeight="1">
      <c r="B2282" s="56"/>
      <c r="U2282" s="46" t="str">
        <f t="array" ref="U2282">IF($D2282="","",IFERROR(_xlfn.XLOOKUP($D2282,'TIR店舗一覧'!$D:$D,'TIR店舗一覧'!$E:$E,""),""))</f>
        <v/>
      </c>
      <c r="V2282" s="54" t="s">
        <v>2</v>
      </c>
      <c r="W2282" s="54" t="s">
        <v>2</v>
      </c>
      <c r="X2282" s="54" t="s">
        <v>2</v>
      </c>
      <c r="Y2282" s="54" t="s">
        <v>2</v>
      </c>
      <c r="Z2282" s="54" t="s">
        <v>2</v>
      </c>
      <c r="AA2282" s="54" t="s">
        <v>2</v>
      </c>
      <c r="AB2282" s="54" t="s">
        <v>2</v>
      </c>
      <c r="AC2282" s="54" t="s">
        <v>2</v>
      </c>
      <c r="AD2282" s="54" t="s">
        <v>2</v>
      </c>
      <c r="AE2282" s="54" t="s">
        <v>2</v>
      </c>
      <c r="AF2282" s="54" t="s">
        <v>2</v>
      </c>
      <c r="AG2282" s="54" t="s">
        <v>2</v>
      </c>
    </row>
    <row r="2283" ht="15.75" customHeight="1">
      <c r="B2283" s="56"/>
      <c r="U2283" s="46" t="str">
        <f t="array" ref="U2283">IF($D2283="","",IFERROR(_xlfn.XLOOKUP($D2283,'TIR店舗一覧'!$D:$D,'TIR店舗一覧'!$E:$E,""),""))</f>
        <v/>
      </c>
      <c r="V2283" s="54" t="s">
        <v>2</v>
      </c>
      <c r="W2283" s="54" t="s">
        <v>2</v>
      </c>
      <c r="X2283" s="54" t="s">
        <v>2</v>
      </c>
      <c r="Y2283" s="54" t="s">
        <v>2</v>
      </c>
      <c r="Z2283" s="54" t="s">
        <v>2</v>
      </c>
      <c r="AA2283" s="54" t="s">
        <v>2</v>
      </c>
      <c r="AB2283" s="54" t="s">
        <v>2</v>
      </c>
      <c r="AC2283" s="54" t="s">
        <v>2</v>
      </c>
      <c r="AD2283" s="54" t="s">
        <v>2</v>
      </c>
      <c r="AE2283" s="54" t="s">
        <v>2</v>
      </c>
      <c r="AF2283" s="54" t="s">
        <v>2</v>
      </c>
      <c r="AG2283" s="54" t="s">
        <v>2</v>
      </c>
    </row>
    <row r="2284" ht="15.75" customHeight="1">
      <c r="B2284" s="56"/>
      <c r="U2284" s="46" t="str">
        <f t="array" ref="U2284">IF($D2284="","",IFERROR(_xlfn.XLOOKUP($D2284,'TIR店舗一覧'!$D:$D,'TIR店舗一覧'!$E:$E,""),""))</f>
        <v/>
      </c>
      <c r="V2284" s="54" t="s">
        <v>2</v>
      </c>
      <c r="W2284" s="54" t="s">
        <v>2</v>
      </c>
      <c r="X2284" s="54" t="s">
        <v>2</v>
      </c>
      <c r="Y2284" s="54" t="s">
        <v>2</v>
      </c>
      <c r="Z2284" s="54" t="s">
        <v>2</v>
      </c>
      <c r="AA2284" s="54" t="s">
        <v>2</v>
      </c>
      <c r="AB2284" s="54" t="s">
        <v>2</v>
      </c>
      <c r="AC2284" s="54" t="s">
        <v>2</v>
      </c>
      <c r="AD2284" s="54" t="s">
        <v>2</v>
      </c>
      <c r="AE2284" s="54" t="s">
        <v>2</v>
      </c>
      <c r="AF2284" s="54" t="s">
        <v>2</v>
      </c>
      <c r="AG2284" s="54" t="s">
        <v>2</v>
      </c>
    </row>
    <row r="2285" ht="15.75" customHeight="1">
      <c r="B2285" s="56"/>
      <c r="U2285" s="46" t="str">
        <f t="array" ref="U2285">IF($D2285="","",IFERROR(_xlfn.XLOOKUP($D2285,'TIR店舗一覧'!$D:$D,'TIR店舗一覧'!$E:$E,""),""))</f>
        <v/>
      </c>
      <c r="V2285" s="54" t="s">
        <v>2</v>
      </c>
      <c r="W2285" s="54" t="s">
        <v>2</v>
      </c>
      <c r="X2285" s="54" t="s">
        <v>2</v>
      </c>
      <c r="Y2285" s="54" t="s">
        <v>2</v>
      </c>
      <c r="Z2285" s="54" t="s">
        <v>2</v>
      </c>
      <c r="AA2285" s="54" t="s">
        <v>2</v>
      </c>
      <c r="AB2285" s="54" t="s">
        <v>2</v>
      </c>
      <c r="AC2285" s="54" t="s">
        <v>2</v>
      </c>
      <c r="AD2285" s="54" t="s">
        <v>2</v>
      </c>
      <c r="AE2285" s="54" t="s">
        <v>2</v>
      </c>
      <c r="AF2285" s="54" t="s">
        <v>2</v>
      </c>
      <c r="AG2285" s="54" t="s">
        <v>2</v>
      </c>
    </row>
    <row r="2286" ht="15.75" customHeight="1">
      <c r="B2286" s="56"/>
      <c r="U2286" s="46" t="str">
        <f t="array" ref="U2286">IF($D2286="","",IFERROR(_xlfn.XLOOKUP($D2286,'TIR店舗一覧'!$D:$D,'TIR店舗一覧'!$E:$E,""),""))</f>
        <v/>
      </c>
      <c r="V2286" s="54" t="s">
        <v>2</v>
      </c>
      <c r="W2286" s="54" t="s">
        <v>2</v>
      </c>
      <c r="X2286" s="54" t="s">
        <v>2</v>
      </c>
      <c r="Y2286" s="54" t="s">
        <v>2</v>
      </c>
      <c r="Z2286" s="54" t="s">
        <v>2</v>
      </c>
      <c r="AA2286" s="54" t="s">
        <v>2</v>
      </c>
      <c r="AB2286" s="54" t="s">
        <v>2</v>
      </c>
      <c r="AC2286" s="54" t="s">
        <v>2</v>
      </c>
      <c r="AD2286" s="54" t="s">
        <v>2</v>
      </c>
      <c r="AE2286" s="54" t="s">
        <v>2</v>
      </c>
      <c r="AF2286" s="54" t="s">
        <v>2</v>
      </c>
      <c r="AG2286" s="54" t="s">
        <v>2</v>
      </c>
    </row>
    <row r="2287" ht="15.75" customHeight="1">
      <c r="B2287" s="56"/>
      <c r="U2287" s="46" t="str">
        <f t="array" ref="U2287">IF($D2287="","",IFERROR(_xlfn.XLOOKUP($D2287,'TIR店舗一覧'!$D:$D,'TIR店舗一覧'!$E:$E,""),""))</f>
        <v/>
      </c>
      <c r="V2287" s="54" t="s">
        <v>2</v>
      </c>
      <c r="W2287" s="54" t="s">
        <v>2</v>
      </c>
      <c r="X2287" s="54" t="s">
        <v>2</v>
      </c>
      <c r="Y2287" s="54" t="s">
        <v>2</v>
      </c>
      <c r="Z2287" s="54" t="s">
        <v>2</v>
      </c>
      <c r="AA2287" s="54" t="s">
        <v>2</v>
      </c>
      <c r="AB2287" s="54" t="s">
        <v>2</v>
      </c>
      <c r="AC2287" s="54" t="s">
        <v>2</v>
      </c>
      <c r="AD2287" s="54" t="s">
        <v>2</v>
      </c>
      <c r="AE2287" s="54" t="s">
        <v>2</v>
      </c>
      <c r="AF2287" s="54" t="s">
        <v>2</v>
      </c>
      <c r="AG2287" s="54" t="s">
        <v>2</v>
      </c>
    </row>
    <row r="2288" ht="15.75" customHeight="1">
      <c r="B2288" s="56"/>
      <c r="U2288" s="46" t="str">
        <f t="array" ref="U2288">IF($D2288="","",IFERROR(_xlfn.XLOOKUP($D2288,'TIR店舗一覧'!$D:$D,'TIR店舗一覧'!$E:$E,""),""))</f>
        <v/>
      </c>
      <c r="V2288" s="54" t="s">
        <v>2</v>
      </c>
      <c r="W2288" s="54" t="s">
        <v>2</v>
      </c>
      <c r="X2288" s="54" t="s">
        <v>2</v>
      </c>
      <c r="Y2288" s="54" t="s">
        <v>2</v>
      </c>
      <c r="Z2288" s="54" t="s">
        <v>2</v>
      </c>
      <c r="AA2288" s="54" t="s">
        <v>2</v>
      </c>
      <c r="AB2288" s="54" t="s">
        <v>2</v>
      </c>
      <c r="AC2288" s="54" t="s">
        <v>2</v>
      </c>
      <c r="AD2288" s="54" t="s">
        <v>2</v>
      </c>
      <c r="AE2288" s="54" t="s">
        <v>2</v>
      </c>
      <c r="AF2288" s="54" t="s">
        <v>2</v>
      </c>
      <c r="AG2288" s="54" t="s">
        <v>2</v>
      </c>
    </row>
    <row r="2289" ht="15.75" customHeight="1">
      <c r="B2289" s="56"/>
      <c r="U2289" s="46" t="str">
        <f t="array" ref="U2289">IF($D2289="","",IFERROR(_xlfn.XLOOKUP($D2289,'TIR店舗一覧'!$D:$D,'TIR店舗一覧'!$E:$E,""),""))</f>
        <v/>
      </c>
      <c r="V2289" s="54" t="s">
        <v>2</v>
      </c>
      <c r="W2289" s="54" t="s">
        <v>2</v>
      </c>
      <c r="X2289" s="54" t="s">
        <v>2</v>
      </c>
      <c r="Y2289" s="54" t="s">
        <v>2</v>
      </c>
      <c r="Z2289" s="54" t="s">
        <v>2</v>
      </c>
      <c r="AA2289" s="54" t="s">
        <v>2</v>
      </c>
      <c r="AB2289" s="54" t="s">
        <v>2</v>
      </c>
      <c r="AC2289" s="54" t="s">
        <v>2</v>
      </c>
      <c r="AD2289" s="54" t="s">
        <v>2</v>
      </c>
      <c r="AE2289" s="54" t="s">
        <v>2</v>
      </c>
      <c r="AF2289" s="54" t="s">
        <v>2</v>
      </c>
      <c r="AG2289" s="54" t="s">
        <v>2</v>
      </c>
    </row>
    <row r="2290" ht="15.75" customHeight="1">
      <c r="B2290" s="56"/>
      <c r="U2290" s="46" t="str">
        <f t="array" ref="U2290">IF($D2290="","",IFERROR(_xlfn.XLOOKUP($D2290,'TIR店舗一覧'!$D:$D,'TIR店舗一覧'!$E:$E,""),""))</f>
        <v/>
      </c>
      <c r="V2290" s="54" t="s">
        <v>2</v>
      </c>
      <c r="W2290" s="54" t="s">
        <v>2</v>
      </c>
      <c r="X2290" s="54" t="s">
        <v>2</v>
      </c>
      <c r="Y2290" s="54" t="s">
        <v>2</v>
      </c>
      <c r="Z2290" s="54" t="s">
        <v>2</v>
      </c>
      <c r="AA2290" s="54" t="s">
        <v>2</v>
      </c>
      <c r="AB2290" s="54" t="s">
        <v>2</v>
      </c>
      <c r="AC2290" s="54" t="s">
        <v>2</v>
      </c>
      <c r="AD2290" s="54" t="s">
        <v>2</v>
      </c>
      <c r="AE2290" s="54" t="s">
        <v>2</v>
      </c>
      <c r="AF2290" s="54" t="s">
        <v>2</v>
      </c>
      <c r="AG2290" s="54" t="s">
        <v>2</v>
      </c>
    </row>
    <row r="2291" ht="15.75" customHeight="1">
      <c r="B2291" s="56"/>
      <c r="U2291" s="46" t="str">
        <f t="array" ref="U2291">IF($D2291="","",IFERROR(_xlfn.XLOOKUP($D2291,'TIR店舗一覧'!$D:$D,'TIR店舗一覧'!$E:$E,""),""))</f>
        <v/>
      </c>
      <c r="V2291" s="54" t="s">
        <v>2</v>
      </c>
      <c r="W2291" s="54" t="s">
        <v>2</v>
      </c>
      <c r="X2291" s="54" t="s">
        <v>2</v>
      </c>
      <c r="Y2291" s="54" t="s">
        <v>2</v>
      </c>
      <c r="Z2291" s="54" t="s">
        <v>2</v>
      </c>
      <c r="AA2291" s="54" t="s">
        <v>2</v>
      </c>
      <c r="AB2291" s="54" t="s">
        <v>2</v>
      </c>
      <c r="AC2291" s="54" t="s">
        <v>2</v>
      </c>
      <c r="AD2291" s="54" t="s">
        <v>2</v>
      </c>
      <c r="AE2291" s="54" t="s">
        <v>2</v>
      </c>
      <c r="AF2291" s="54" t="s">
        <v>2</v>
      </c>
      <c r="AG2291" s="54" t="s">
        <v>2</v>
      </c>
    </row>
    <row r="2292" ht="15.75" customHeight="1">
      <c r="B2292" s="56"/>
      <c r="U2292" s="46" t="str">
        <f t="array" ref="U2292">IF($D2292="","",IFERROR(_xlfn.XLOOKUP($D2292,'TIR店舗一覧'!$D:$D,'TIR店舗一覧'!$E:$E,""),""))</f>
        <v/>
      </c>
      <c r="V2292" s="54" t="s">
        <v>2</v>
      </c>
      <c r="W2292" s="54" t="s">
        <v>2</v>
      </c>
      <c r="X2292" s="54" t="s">
        <v>2</v>
      </c>
      <c r="Y2292" s="54" t="s">
        <v>2</v>
      </c>
      <c r="Z2292" s="54" t="s">
        <v>2</v>
      </c>
      <c r="AA2292" s="54" t="s">
        <v>2</v>
      </c>
      <c r="AB2292" s="54" t="s">
        <v>2</v>
      </c>
      <c r="AC2292" s="54" t="s">
        <v>2</v>
      </c>
      <c r="AD2292" s="54" t="s">
        <v>2</v>
      </c>
      <c r="AE2292" s="54" t="s">
        <v>2</v>
      </c>
      <c r="AF2292" s="54" t="s">
        <v>2</v>
      </c>
      <c r="AG2292" s="54" t="s">
        <v>2</v>
      </c>
    </row>
    <row r="2293" ht="15.75" customHeight="1">
      <c r="B2293" s="56"/>
      <c r="U2293" s="46" t="str">
        <f t="array" ref="U2293">IF($D2293="","",IFERROR(_xlfn.XLOOKUP($D2293,'TIR店舗一覧'!$D:$D,'TIR店舗一覧'!$E:$E,""),""))</f>
        <v/>
      </c>
      <c r="V2293" s="54" t="s">
        <v>2</v>
      </c>
      <c r="W2293" s="54" t="s">
        <v>2</v>
      </c>
      <c r="X2293" s="54" t="s">
        <v>2</v>
      </c>
      <c r="Y2293" s="54" t="s">
        <v>2</v>
      </c>
      <c r="Z2293" s="54" t="s">
        <v>2</v>
      </c>
      <c r="AA2293" s="54" t="s">
        <v>2</v>
      </c>
      <c r="AB2293" s="54" t="s">
        <v>2</v>
      </c>
      <c r="AC2293" s="54" t="s">
        <v>2</v>
      </c>
      <c r="AD2293" s="54" t="s">
        <v>2</v>
      </c>
      <c r="AE2293" s="54" t="s">
        <v>2</v>
      </c>
      <c r="AF2293" s="54" t="s">
        <v>2</v>
      </c>
      <c r="AG2293" s="54" t="s">
        <v>2</v>
      </c>
    </row>
    <row r="2294" ht="15.75" customHeight="1">
      <c r="B2294" s="56"/>
      <c r="U2294" s="46" t="str">
        <f t="array" ref="U2294">IF($D2294="","",IFERROR(_xlfn.XLOOKUP($D2294,'TIR店舗一覧'!$D:$D,'TIR店舗一覧'!$E:$E,""),""))</f>
        <v/>
      </c>
      <c r="V2294" s="54" t="s">
        <v>2</v>
      </c>
      <c r="W2294" s="54" t="s">
        <v>2</v>
      </c>
      <c r="X2294" s="54" t="s">
        <v>2</v>
      </c>
      <c r="Y2294" s="54" t="s">
        <v>2</v>
      </c>
      <c r="Z2294" s="54" t="s">
        <v>2</v>
      </c>
      <c r="AA2294" s="54" t="s">
        <v>2</v>
      </c>
      <c r="AB2294" s="54" t="s">
        <v>2</v>
      </c>
      <c r="AC2294" s="54" t="s">
        <v>2</v>
      </c>
      <c r="AD2294" s="54" t="s">
        <v>2</v>
      </c>
      <c r="AE2294" s="54" t="s">
        <v>2</v>
      </c>
      <c r="AF2294" s="54" t="s">
        <v>2</v>
      </c>
      <c r="AG2294" s="54" t="s">
        <v>2</v>
      </c>
    </row>
    <row r="2295" ht="15.75" customHeight="1">
      <c r="B2295" s="56"/>
      <c r="U2295" s="46" t="str">
        <f t="array" ref="U2295">IF($D2295="","",IFERROR(_xlfn.XLOOKUP($D2295,'TIR店舗一覧'!$D:$D,'TIR店舗一覧'!$E:$E,""),""))</f>
        <v/>
      </c>
      <c r="V2295" s="54" t="s">
        <v>2</v>
      </c>
      <c r="W2295" s="54" t="s">
        <v>2</v>
      </c>
      <c r="X2295" s="54" t="s">
        <v>2</v>
      </c>
      <c r="Y2295" s="54" t="s">
        <v>2</v>
      </c>
      <c r="Z2295" s="54" t="s">
        <v>2</v>
      </c>
      <c r="AA2295" s="54" t="s">
        <v>2</v>
      </c>
      <c r="AB2295" s="54" t="s">
        <v>2</v>
      </c>
      <c r="AC2295" s="54" t="s">
        <v>2</v>
      </c>
      <c r="AD2295" s="54" t="s">
        <v>2</v>
      </c>
      <c r="AE2295" s="54" t="s">
        <v>2</v>
      </c>
      <c r="AF2295" s="54" t="s">
        <v>2</v>
      </c>
      <c r="AG2295" s="54" t="s">
        <v>2</v>
      </c>
    </row>
    <row r="2296" ht="15.75" customHeight="1">
      <c r="B2296" s="56"/>
      <c r="U2296" s="46" t="str">
        <f t="array" ref="U2296">IF($D2296="","",IFERROR(_xlfn.XLOOKUP($D2296,'TIR店舗一覧'!$D:$D,'TIR店舗一覧'!$E:$E,""),""))</f>
        <v/>
      </c>
      <c r="V2296" s="54" t="s">
        <v>2</v>
      </c>
      <c r="W2296" s="54" t="s">
        <v>2</v>
      </c>
      <c r="X2296" s="54" t="s">
        <v>2</v>
      </c>
      <c r="Y2296" s="54" t="s">
        <v>2</v>
      </c>
      <c r="Z2296" s="54" t="s">
        <v>2</v>
      </c>
      <c r="AA2296" s="54" t="s">
        <v>2</v>
      </c>
      <c r="AB2296" s="54" t="s">
        <v>2</v>
      </c>
      <c r="AC2296" s="54" t="s">
        <v>2</v>
      </c>
      <c r="AD2296" s="54" t="s">
        <v>2</v>
      </c>
      <c r="AE2296" s="54" t="s">
        <v>2</v>
      </c>
      <c r="AF2296" s="54" t="s">
        <v>2</v>
      </c>
      <c r="AG2296" s="54" t="s">
        <v>2</v>
      </c>
    </row>
    <row r="2297" ht="15.75" customHeight="1">
      <c r="B2297" s="56"/>
      <c r="U2297" s="46" t="str">
        <f t="array" ref="U2297">IF($D2297="","",IFERROR(_xlfn.XLOOKUP($D2297,'TIR店舗一覧'!$D:$D,'TIR店舗一覧'!$E:$E,""),""))</f>
        <v/>
      </c>
      <c r="V2297" s="54" t="s">
        <v>2</v>
      </c>
      <c r="W2297" s="54" t="s">
        <v>2</v>
      </c>
      <c r="X2297" s="54" t="s">
        <v>2</v>
      </c>
      <c r="Y2297" s="54" t="s">
        <v>2</v>
      </c>
      <c r="Z2297" s="54" t="s">
        <v>2</v>
      </c>
      <c r="AA2297" s="54" t="s">
        <v>2</v>
      </c>
      <c r="AB2297" s="54" t="s">
        <v>2</v>
      </c>
      <c r="AC2297" s="54" t="s">
        <v>2</v>
      </c>
      <c r="AD2297" s="54" t="s">
        <v>2</v>
      </c>
      <c r="AE2297" s="54" t="s">
        <v>2</v>
      </c>
      <c r="AF2297" s="54" t="s">
        <v>2</v>
      </c>
      <c r="AG2297" s="54" t="s">
        <v>2</v>
      </c>
    </row>
    <row r="2298" ht="15.75" customHeight="1">
      <c r="B2298" s="56"/>
      <c r="U2298" s="46" t="str">
        <f t="array" ref="U2298">IF($D2298="","",IFERROR(_xlfn.XLOOKUP($D2298,'TIR店舗一覧'!$D:$D,'TIR店舗一覧'!$E:$E,""),""))</f>
        <v/>
      </c>
      <c r="V2298" s="54" t="s">
        <v>2</v>
      </c>
      <c r="W2298" s="54" t="s">
        <v>2</v>
      </c>
      <c r="X2298" s="54" t="s">
        <v>2</v>
      </c>
      <c r="Y2298" s="54" t="s">
        <v>2</v>
      </c>
      <c r="Z2298" s="54" t="s">
        <v>2</v>
      </c>
      <c r="AA2298" s="54" t="s">
        <v>2</v>
      </c>
      <c r="AB2298" s="54" t="s">
        <v>2</v>
      </c>
      <c r="AC2298" s="54" t="s">
        <v>2</v>
      </c>
      <c r="AD2298" s="54" t="s">
        <v>2</v>
      </c>
      <c r="AE2298" s="54" t="s">
        <v>2</v>
      </c>
      <c r="AF2298" s="54" t="s">
        <v>2</v>
      </c>
      <c r="AG2298" s="54" t="s">
        <v>2</v>
      </c>
    </row>
    <row r="2299" ht="15.75" customHeight="1">
      <c r="B2299" s="56"/>
      <c r="U2299" s="46" t="str">
        <f t="array" ref="U2299">IF($D2299="","",IFERROR(_xlfn.XLOOKUP($D2299,'TIR店舗一覧'!$D:$D,'TIR店舗一覧'!$E:$E,""),""))</f>
        <v/>
      </c>
      <c r="V2299" s="54" t="s">
        <v>2</v>
      </c>
      <c r="W2299" s="54" t="s">
        <v>2</v>
      </c>
      <c r="X2299" s="54" t="s">
        <v>2</v>
      </c>
      <c r="Y2299" s="54" t="s">
        <v>2</v>
      </c>
      <c r="Z2299" s="54" t="s">
        <v>2</v>
      </c>
      <c r="AA2299" s="54" t="s">
        <v>2</v>
      </c>
      <c r="AB2299" s="54" t="s">
        <v>2</v>
      </c>
      <c r="AC2299" s="54" t="s">
        <v>2</v>
      </c>
      <c r="AD2299" s="54" t="s">
        <v>2</v>
      </c>
      <c r="AE2299" s="54" t="s">
        <v>2</v>
      </c>
      <c r="AF2299" s="54" t="s">
        <v>2</v>
      </c>
      <c r="AG2299" s="54" t="s">
        <v>2</v>
      </c>
    </row>
    <row r="2300" ht="15.75" customHeight="1">
      <c r="B2300" s="56"/>
      <c r="U2300" s="46" t="str">
        <f t="array" ref="U2300">IF($D2300="","",IFERROR(_xlfn.XLOOKUP($D2300,'TIR店舗一覧'!$D:$D,'TIR店舗一覧'!$E:$E,""),""))</f>
        <v/>
      </c>
      <c r="V2300" s="54" t="s">
        <v>2</v>
      </c>
      <c r="W2300" s="54" t="s">
        <v>2</v>
      </c>
      <c r="X2300" s="54" t="s">
        <v>2</v>
      </c>
      <c r="Y2300" s="54" t="s">
        <v>2</v>
      </c>
      <c r="Z2300" s="54" t="s">
        <v>2</v>
      </c>
      <c r="AA2300" s="54" t="s">
        <v>2</v>
      </c>
      <c r="AB2300" s="54" t="s">
        <v>2</v>
      </c>
      <c r="AC2300" s="54" t="s">
        <v>2</v>
      </c>
      <c r="AD2300" s="54" t="s">
        <v>2</v>
      </c>
      <c r="AE2300" s="54" t="s">
        <v>2</v>
      </c>
      <c r="AF2300" s="54" t="s">
        <v>2</v>
      </c>
      <c r="AG2300" s="54" t="s">
        <v>2</v>
      </c>
    </row>
    <row r="2301" ht="15.75" customHeight="1">
      <c r="B2301" s="56"/>
      <c r="U2301" s="46" t="str">
        <f t="array" ref="U2301">IF($D2301="","",IFERROR(_xlfn.XLOOKUP($D2301,'TIR店舗一覧'!$D:$D,'TIR店舗一覧'!$E:$E,""),""))</f>
        <v/>
      </c>
      <c r="V2301" s="54" t="s">
        <v>2</v>
      </c>
      <c r="W2301" s="54" t="s">
        <v>2</v>
      </c>
      <c r="X2301" s="54" t="s">
        <v>2</v>
      </c>
      <c r="Y2301" s="54" t="s">
        <v>2</v>
      </c>
      <c r="Z2301" s="54" t="s">
        <v>2</v>
      </c>
      <c r="AA2301" s="54" t="s">
        <v>2</v>
      </c>
      <c r="AB2301" s="54" t="s">
        <v>2</v>
      </c>
      <c r="AC2301" s="54" t="s">
        <v>2</v>
      </c>
      <c r="AD2301" s="54" t="s">
        <v>2</v>
      </c>
      <c r="AE2301" s="54" t="s">
        <v>2</v>
      </c>
      <c r="AF2301" s="54" t="s">
        <v>2</v>
      </c>
      <c r="AG2301" s="54" t="s">
        <v>2</v>
      </c>
    </row>
    <row r="2302" ht="15.75" customHeight="1">
      <c r="B2302" s="56"/>
      <c r="U2302" s="46" t="str">
        <f t="array" ref="U2302">IF($D2302="","",IFERROR(_xlfn.XLOOKUP($D2302,'TIR店舗一覧'!$D:$D,'TIR店舗一覧'!$E:$E,""),""))</f>
        <v/>
      </c>
      <c r="V2302" s="54" t="s">
        <v>2</v>
      </c>
      <c r="W2302" s="54" t="s">
        <v>2</v>
      </c>
      <c r="X2302" s="54" t="s">
        <v>2</v>
      </c>
      <c r="Y2302" s="54" t="s">
        <v>2</v>
      </c>
      <c r="Z2302" s="54" t="s">
        <v>2</v>
      </c>
      <c r="AA2302" s="54" t="s">
        <v>2</v>
      </c>
      <c r="AB2302" s="54" t="s">
        <v>2</v>
      </c>
      <c r="AC2302" s="54" t="s">
        <v>2</v>
      </c>
      <c r="AD2302" s="54" t="s">
        <v>2</v>
      </c>
      <c r="AE2302" s="54" t="s">
        <v>2</v>
      </c>
      <c r="AF2302" s="54" t="s">
        <v>2</v>
      </c>
      <c r="AG2302" s="54" t="s">
        <v>2</v>
      </c>
    </row>
    <row r="2303" ht="15.75" customHeight="1">
      <c r="B2303" s="56"/>
      <c r="U2303" s="46" t="str">
        <f t="array" ref="U2303">IF($D2303="","",IFERROR(_xlfn.XLOOKUP($D2303,'TIR店舗一覧'!$D:$D,'TIR店舗一覧'!$E:$E,""),""))</f>
        <v/>
      </c>
      <c r="V2303" s="54" t="s">
        <v>2</v>
      </c>
      <c r="W2303" s="54" t="s">
        <v>2</v>
      </c>
      <c r="X2303" s="54" t="s">
        <v>2</v>
      </c>
      <c r="Y2303" s="54" t="s">
        <v>2</v>
      </c>
      <c r="Z2303" s="54" t="s">
        <v>2</v>
      </c>
      <c r="AA2303" s="54" t="s">
        <v>2</v>
      </c>
      <c r="AB2303" s="54" t="s">
        <v>2</v>
      </c>
      <c r="AC2303" s="54" t="s">
        <v>2</v>
      </c>
      <c r="AD2303" s="54" t="s">
        <v>2</v>
      </c>
      <c r="AE2303" s="54" t="s">
        <v>2</v>
      </c>
      <c r="AF2303" s="54" t="s">
        <v>2</v>
      </c>
      <c r="AG2303" s="54" t="s">
        <v>2</v>
      </c>
    </row>
    <row r="2304" ht="15.75" customHeight="1">
      <c r="B2304" s="56"/>
      <c r="U2304" s="46" t="str">
        <f t="array" ref="U2304">IF($D2304="","",IFERROR(_xlfn.XLOOKUP($D2304,'TIR店舗一覧'!$D:$D,'TIR店舗一覧'!$E:$E,""),""))</f>
        <v/>
      </c>
      <c r="V2304" s="54" t="s">
        <v>2</v>
      </c>
      <c r="W2304" s="54" t="s">
        <v>2</v>
      </c>
      <c r="X2304" s="54" t="s">
        <v>2</v>
      </c>
      <c r="Y2304" s="54" t="s">
        <v>2</v>
      </c>
      <c r="Z2304" s="54" t="s">
        <v>2</v>
      </c>
      <c r="AA2304" s="54" t="s">
        <v>2</v>
      </c>
      <c r="AB2304" s="54" t="s">
        <v>2</v>
      </c>
      <c r="AC2304" s="54" t="s">
        <v>2</v>
      </c>
      <c r="AD2304" s="54" t="s">
        <v>2</v>
      </c>
      <c r="AE2304" s="54" t="s">
        <v>2</v>
      </c>
      <c r="AF2304" s="54" t="s">
        <v>2</v>
      </c>
      <c r="AG2304" s="54" t="s">
        <v>2</v>
      </c>
    </row>
    <row r="2305" ht="15.75" customHeight="1">
      <c r="B2305" s="56"/>
      <c r="U2305" s="46" t="str">
        <f t="array" ref="U2305">IF($D2305="","",IFERROR(_xlfn.XLOOKUP($D2305,'TIR店舗一覧'!$D:$D,'TIR店舗一覧'!$E:$E,""),""))</f>
        <v/>
      </c>
      <c r="V2305" s="54" t="s">
        <v>2</v>
      </c>
      <c r="W2305" s="54" t="s">
        <v>2</v>
      </c>
      <c r="X2305" s="54" t="s">
        <v>2</v>
      </c>
      <c r="Y2305" s="54" t="s">
        <v>2</v>
      </c>
      <c r="Z2305" s="54" t="s">
        <v>2</v>
      </c>
      <c r="AA2305" s="54" t="s">
        <v>2</v>
      </c>
      <c r="AB2305" s="54" t="s">
        <v>2</v>
      </c>
      <c r="AC2305" s="54" t="s">
        <v>2</v>
      </c>
      <c r="AD2305" s="54" t="s">
        <v>2</v>
      </c>
      <c r="AE2305" s="54" t="s">
        <v>2</v>
      </c>
      <c r="AF2305" s="54" t="s">
        <v>2</v>
      </c>
      <c r="AG2305" s="54" t="s">
        <v>2</v>
      </c>
    </row>
    <row r="2306" ht="15.75" customHeight="1">
      <c r="B2306" s="56"/>
      <c r="U2306" s="46" t="str">
        <f t="array" ref="U2306">IF($D2306="","",IFERROR(_xlfn.XLOOKUP($D2306,'TIR店舗一覧'!$D:$D,'TIR店舗一覧'!$E:$E,""),""))</f>
        <v/>
      </c>
      <c r="V2306" s="54" t="s">
        <v>2</v>
      </c>
      <c r="W2306" s="54" t="s">
        <v>2</v>
      </c>
      <c r="X2306" s="54" t="s">
        <v>2</v>
      </c>
      <c r="Y2306" s="54" t="s">
        <v>2</v>
      </c>
      <c r="Z2306" s="54" t="s">
        <v>2</v>
      </c>
      <c r="AA2306" s="54" t="s">
        <v>2</v>
      </c>
      <c r="AB2306" s="54" t="s">
        <v>2</v>
      </c>
      <c r="AC2306" s="54" t="s">
        <v>2</v>
      </c>
      <c r="AD2306" s="54" t="s">
        <v>2</v>
      </c>
      <c r="AE2306" s="54" t="s">
        <v>2</v>
      </c>
      <c r="AF2306" s="54" t="s">
        <v>2</v>
      </c>
      <c r="AG2306" s="54" t="s">
        <v>2</v>
      </c>
    </row>
    <row r="2307" ht="15.75" customHeight="1">
      <c r="B2307" s="56"/>
      <c r="U2307" s="46" t="str">
        <f t="array" ref="U2307">IF($D2307="","",IFERROR(_xlfn.XLOOKUP($D2307,'TIR店舗一覧'!$D:$D,'TIR店舗一覧'!$E:$E,""),""))</f>
        <v/>
      </c>
      <c r="V2307" s="54" t="s">
        <v>2</v>
      </c>
      <c r="W2307" s="54" t="s">
        <v>2</v>
      </c>
      <c r="X2307" s="54" t="s">
        <v>2</v>
      </c>
      <c r="Y2307" s="54" t="s">
        <v>2</v>
      </c>
      <c r="Z2307" s="54" t="s">
        <v>2</v>
      </c>
      <c r="AA2307" s="54" t="s">
        <v>2</v>
      </c>
      <c r="AB2307" s="54" t="s">
        <v>2</v>
      </c>
      <c r="AC2307" s="54" t="s">
        <v>2</v>
      </c>
      <c r="AD2307" s="54" t="s">
        <v>2</v>
      </c>
      <c r="AE2307" s="54" t="s">
        <v>2</v>
      </c>
      <c r="AF2307" s="54" t="s">
        <v>2</v>
      </c>
      <c r="AG2307" s="54" t="s">
        <v>2</v>
      </c>
    </row>
    <row r="2308" ht="15.75" customHeight="1">
      <c r="B2308" s="56"/>
      <c r="U2308" s="46" t="str">
        <f t="array" ref="U2308">IF($D2308="","",IFERROR(_xlfn.XLOOKUP($D2308,'TIR店舗一覧'!$D:$D,'TIR店舗一覧'!$E:$E,""),""))</f>
        <v/>
      </c>
      <c r="V2308" s="54" t="s">
        <v>2</v>
      </c>
      <c r="W2308" s="54" t="s">
        <v>2</v>
      </c>
      <c r="X2308" s="54" t="s">
        <v>2</v>
      </c>
      <c r="Y2308" s="54" t="s">
        <v>2</v>
      </c>
      <c r="Z2308" s="54" t="s">
        <v>2</v>
      </c>
      <c r="AA2308" s="54" t="s">
        <v>2</v>
      </c>
      <c r="AB2308" s="54" t="s">
        <v>2</v>
      </c>
      <c r="AC2308" s="54" t="s">
        <v>2</v>
      </c>
      <c r="AD2308" s="54" t="s">
        <v>2</v>
      </c>
      <c r="AE2308" s="54" t="s">
        <v>2</v>
      </c>
      <c r="AF2308" s="54" t="s">
        <v>2</v>
      </c>
      <c r="AG2308" s="54" t="s">
        <v>2</v>
      </c>
    </row>
    <row r="2309" ht="15.75" customHeight="1">
      <c r="B2309" s="56"/>
      <c r="U2309" s="46" t="str">
        <f t="array" ref="U2309">IF($D2309="","",IFERROR(_xlfn.XLOOKUP($D2309,'TIR店舗一覧'!$D:$D,'TIR店舗一覧'!$E:$E,""),""))</f>
        <v/>
      </c>
      <c r="V2309" s="54" t="s">
        <v>2</v>
      </c>
      <c r="W2309" s="54" t="s">
        <v>2</v>
      </c>
      <c r="X2309" s="54" t="s">
        <v>2</v>
      </c>
      <c r="Y2309" s="54" t="s">
        <v>2</v>
      </c>
      <c r="Z2309" s="54" t="s">
        <v>2</v>
      </c>
      <c r="AA2309" s="54" t="s">
        <v>2</v>
      </c>
      <c r="AB2309" s="54" t="s">
        <v>2</v>
      </c>
      <c r="AC2309" s="54" t="s">
        <v>2</v>
      </c>
      <c r="AD2309" s="54" t="s">
        <v>2</v>
      </c>
      <c r="AE2309" s="54" t="s">
        <v>2</v>
      </c>
      <c r="AF2309" s="54" t="s">
        <v>2</v>
      </c>
      <c r="AG2309" s="54" t="s">
        <v>2</v>
      </c>
    </row>
    <row r="2310" ht="15.75" customHeight="1">
      <c r="B2310" s="56"/>
      <c r="U2310" s="46" t="str">
        <f t="array" ref="U2310">IF($D2310="","",IFERROR(_xlfn.XLOOKUP($D2310,'TIR店舗一覧'!$D:$D,'TIR店舗一覧'!$E:$E,""),""))</f>
        <v/>
      </c>
      <c r="V2310" s="54" t="s">
        <v>2</v>
      </c>
      <c r="W2310" s="54" t="s">
        <v>2</v>
      </c>
      <c r="X2310" s="54" t="s">
        <v>2</v>
      </c>
      <c r="Y2310" s="54" t="s">
        <v>2</v>
      </c>
      <c r="Z2310" s="54" t="s">
        <v>2</v>
      </c>
      <c r="AA2310" s="54" t="s">
        <v>2</v>
      </c>
      <c r="AB2310" s="54" t="s">
        <v>2</v>
      </c>
      <c r="AC2310" s="54" t="s">
        <v>2</v>
      </c>
      <c r="AD2310" s="54" t="s">
        <v>2</v>
      </c>
      <c r="AE2310" s="54" t="s">
        <v>2</v>
      </c>
      <c r="AF2310" s="54" t="s">
        <v>2</v>
      </c>
      <c r="AG2310" s="54" t="s">
        <v>2</v>
      </c>
    </row>
    <row r="2311" ht="15.75" customHeight="1">
      <c r="B2311" s="56"/>
      <c r="U2311" s="46" t="str">
        <f t="array" ref="U2311">IF($D2311="","",IFERROR(_xlfn.XLOOKUP($D2311,'TIR店舗一覧'!$D:$D,'TIR店舗一覧'!$E:$E,""),""))</f>
        <v/>
      </c>
      <c r="V2311" s="54" t="s">
        <v>2</v>
      </c>
      <c r="W2311" s="54" t="s">
        <v>2</v>
      </c>
      <c r="X2311" s="54" t="s">
        <v>2</v>
      </c>
      <c r="Y2311" s="54" t="s">
        <v>2</v>
      </c>
      <c r="Z2311" s="54" t="s">
        <v>2</v>
      </c>
      <c r="AA2311" s="54" t="s">
        <v>2</v>
      </c>
      <c r="AB2311" s="54" t="s">
        <v>2</v>
      </c>
      <c r="AC2311" s="54" t="s">
        <v>2</v>
      </c>
      <c r="AD2311" s="54" t="s">
        <v>2</v>
      </c>
      <c r="AE2311" s="54" t="s">
        <v>2</v>
      </c>
      <c r="AF2311" s="54" t="s">
        <v>2</v>
      </c>
      <c r="AG2311" s="54" t="s">
        <v>2</v>
      </c>
    </row>
    <row r="2312" ht="15.75" customHeight="1">
      <c r="B2312" s="56"/>
      <c r="U2312" s="46" t="str">
        <f t="array" ref="U2312">IF($D2312="","",IFERROR(_xlfn.XLOOKUP($D2312,'TIR店舗一覧'!$D:$D,'TIR店舗一覧'!$E:$E,""),""))</f>
        <v/>
      </c>
      <c r="V2312" s="54" t="s">
        <v>2</v>
      </c>
      <c r="W2312" s="54" t="s">
        <v>2</v>
      </c>
      <c r="X2312" s="54" t="s">
        <v>2</v>
      </c>
      <c r="Y2312" s="54" t="s">
        <v>2</v>
      </c>
      <c r="Z2312" s="54" t="s">
        <v>2</v>
      </c>
      <c r="AA2312" s="54" t="s">
        <v>2</v>
      </c>
      <c r="AB2312" s="54" t="s">
        <v>2</v>
      </c>
      <c r="AC2312" s="54" t="s">
        <v>2</v>
      </c>
      <c r="AD2312" s="54" t="s">
        <v>2</v>
      </c>
      <c r="AE2312" s="54" t="s">
        <v>2</v>
      </c>
      <c r="AF2312" s="54" t="s">
        <v>2</v>
      </c>
      <c r="AG2312" s="54" t="s">
        <v>2</v>
      </c>
    </row>
    <row r="2313" ht="15.75" customHeight="1">
      <c r="B2313" s="56"/>
      <c r="U2313" s="46" t="str">
        <f t="array" ref="U2313">IF($D2313="","",IFERROR(_xlfn.XLOOKUP($D2313,'TIR店舗一覧'!$D:$D,'TIR店舗一覧'!$E:$E,""),""))</f>
        <v/>
      </c>
      <c r="V2313" s="54" t="s">
        <v>2</v>
      </c>
      <c r="W2313" s="54" t="s">
        <v>2</v>
      </c>
      <c r="X2313" s="54" t="s">
        <v>2</v>
      </c>
      <c r="Y2313" s="54" t="s">
        <v>2</v>
      </c>
      <c r="Z2313" s="54" t="s">
        <v>2</v>
      </c>
      <c r="AA2313" s="54" t="s">
        <v>2</v>
      </c>
      <c r="AB2313" s="54" t="s">
        <v>2</v>
      </c>
      <c r="AC2313" s="54" t="s">
        <v>2</v>
      </c>
      <c r="AD2313" s="54" t="s">
        <v>2</v>
      </c>
      <c r="AE2313" s="54" t="s">
        <v>2</v>
      </c>
      <c r="AF2313" s="54" t="s">
        <v>2</v>
      </c>
      <c r="AG2313" s="54" t="s">
        <v>2</v>
      </c>
    </row>
    <row r="2314" ht="15.75" customHeight="1">
      <c r="B2314" s="56"/>
      <c r="U2314" s="46" t="str">
        <f t="array" ref="U2314">IF($D2314="","",IFERROR(_xlfn.XLOOKUP($D2314,'TIR店舗一覧'!$D:$D,'TIR店舗一覧'!$E:$E,""),""))</f>
        <v/>
      </c>
      <c r="V2314" s="54" t="s">
        <v>2</v>
      </c>
      <c r="W2314" s="54" t="s">
        <v>2</v>
      </c>
      <c r="X2314" s="54" t="s">
        <v>2</v>
      </c>
      <c r="Y2314" s="54" t="s">
        <v>2</v>
      </c>
      <c r="Z2314" s="54" t="s">
        <v>2</v>
      </c>
      <c r="AA2314" s="54" t="s">
        <v>2</v>
      </c>
      <c r="AB2314" s="54" t="s">
        <v>2</v>
      </c>
      <c r="AC2314" s="54" t="s">
        <v>2</v>
      </c>
      <c r="AD2314" s="54" t="s">
        <v>2</v>
      </c>
      <c r="AE2314" s="54" t="s">
        <v>2</v>
      </c>
      <c r="AF2314" s="54" t="s">
        <v>2</v>
      </c>
      <c r="AG2314" s="54" t="s">
        <v>2</v>
      </c>
    </row>
    <row r="2315" ht="15.75" customHeight="1">
      <c r="B2315" s="56"/>
      <c r="U2315" s="46" t="str">
        <f t="array" ref="U2315">IF($D2315="","",IFERROR(_xlfn.XLOOKUP($D2315,'TIR店舗一覧'!$D:$D,'TIR店舗一覧'!$E:$E,""),""))</f>
        <v/>
      </c>
      <c r="V2315" s="54" t="s">
        <v>2</v>
      </c>
      <c r="W2315" s="54" t="s">
        <v>2</v>
      </c>
      <c r="X2315" s="54" t="s">
        <v>2</v>
      </c>
      <c r="Y2315" s="54" t="s">
        <v>2</v>
      </c>
      <c r="Z2315" s="54" t="s">
        <v>2</v>
      </c>
      <c r="AA2315" s="54" t="s">
        <v>2</v>
      </c>
      <c r="AB2315" s="54" t="s">
        <v>2</v>
      </c>
      <c r="AC2315" s="54" t="s">
        <v>2</v>
      </c>
      <c r="AD2315" s="54" t="s">
        <v>2</v>
      </c>
      <c r="AE2315" s="54" t="s">
        <v>2</v>
      </c>
      <c r="AF2315" s="54" t="s">
        <v>2</v>
      </c>
      <c r="AG2315" s="54" t="s">
        <v>2</v>
      </c>
    </row>
    <row r="2316" ht="15.75" customHeight="1">
      <c r="B2316" s="56"/>
      <c r="U2316" s="46" t="str">
        <f t="array" ref="U2316">IF($D2316="","",IFERROR(_xlfn.XLOOKUP($D2316,'TIR店舗一覧'!$D:$D,'TIR店舗一覧'!$E:$E,""),""))</f>
        <v/>
      </c>
      <c r="V2316" s="54" t="s">
        <v>2</v>
      </c>
      <c r="W2316" s="54" t="s">
        <v>2</v>
      </c>
      <c r="X2316" s="54" t="s">
        <v>2</v>
      </c>
      <c r="Y2316" s="54" t="s">
        <v>2</v>
      </c>
      <c r="Z2316" s="54" t="s">
        <v>2</v>
      </c>
      <c r="AA2316" s="54" t="s">
        <v>2</v>
      </c>
      <c r="AB2316" s="54" t="s">
        <v>2</v>
      </c>
      <c r="AC2316" s="54" t="s">
        <v>2</v>
      </c>
      <c r="AD2316" s="54" t="s">
        <v>2</v>
      </c>
      <c r="AE2316" s="54" t="s">
        <v>2</v>
      </c>
      <c r="AF2316" s="54" t="s">
        <v>2</v>
      </c>
      <c r="AG2316" s="54" t="s">
        <v>2</v>
      </c>
    </row>
    <row r="2317" ht="15.75" customHeight="1">
      <c r="B2317" s="56"/>
      <c r="U2317" s="46" t="str">
        <f t="array" ref="U2317">IF($D2317="","",IFERROR(_xlfn.XLOOKUP($D2317,'TIR店舗一覧'!$D:$D,'TIR店舗一覧'!$E:$E,""),""))</f>
        <v/>
      </c>
      <c r="V2317" s="54" t="s">
        <v>2</v>
      </c>
      <c r="W2317" s="54" t="s">
        <v>2</v>
      </c>
      <c r="X2317" s="54" t="s">
        <v>2</v>
      </c>
      <c r="Y2317" s="54" t="s">
        <v>2</v>
      </c>
      <c r="Z2317" s="54" t="s">
        <v>2</v>
      </c>
      <c r="AA2317" s="54" t="s">
        <v>2</v>
      </c>
      <c r="AB2317" s="54" t="s">
        <v>2</v>
      </c>
      <c r="AC2317" s="54" t="s">
        <v>2</v>
      </c>
      <c r="AD2317" s="54" t="s">
        <v>2</v>
      </c>
      <c r="AE2317" s="54" t="s">
        <v>2</v>
      </c>
      <c r="AF2317" s="54" t="s">
        <v>2</v>
      </c>
      <c r="AG2317" s="54" t="s">
        <v>2</v>
      </c>
    </row>
    <row r="2318" ht="15.75" customHeight="1">
      <c r="B2318" s="56"/>
      <c r="U2318" s="46" t="str">
        <f t="array" ref="U2318">IF($D2318="","",IFERROR(_xlfn.XLOOKUP($D2318,'TIR店舗一覧'!$D:$D,'TIR店舗一覧'!$E:$E,""),""))</f>
        <v/>
      </c>
      <c r="V2318" s="54" t="s">
        <v>2</v>
      </c>
      <c r="W2318" s="54" t="s">
        <v>2</v>
      </c>
      <c r="X2318" s="54" t="s">
        <v>2</v>
      </c>
      <c r="Y2318" s="54" t="s">
        <v>2</v>
      </c>
      <c r="Z2318" s="54" t="s">
        <v>2</v>
      </c>
      <c r="AA2318" s="54" t="s">
        <v>2</v>
      </c>
      <c r="AB2318" s="54" t="s">
        <v>2</v>
      </c>
      <c r="AC2318" s="54" t="s">
        <v>2</v>
      </c>
      <c r="AD2318" s="54" t="s">
        <v>2</v>
      </c>
      <c r="AE2318" s="54" t="s">
        <v>2</v>
      </c>
      <c r="AF2318" s="54" t="s">
        <v>2</v>
      </c>
      <c r="AG2318" s="54" t="s">
        <v>2</v>
      </c>
    </row>
    <row r="2319" ht="15.75" customHeight="1">
      <c r="B2319" s="56"/>
      <c r="U2319" s="46" t="str">
        <f t="array" ref="U2319">IF($D2319="","",IFERROR(_xlfn.XLOOKUP($D2319,'TIR店舗一覧'!$D:$D,'TIR店舗一覧'!$E:$E,""),""))</f>
        <v/>
      </c>
      <c r="V2319" s="54" t="s">
        <v>2</v>
      </c>
      <c r="W2319" s="54" t="s">
        <v>2</v>
      </c>
      <c r="X2319" s="54" t="s">
        <v>2</v>
      </c>
      <c r="Y2319" s="54" t="s">
        <v>2</v>
      </c>
      <c r="Z2319" s="54" t="s">
        <v>2</v>
      </c>
      <c r="AA2319" s="54" t="s">
        <v>2</v>
      </c>
      <c r="AB2319" s="54" t="s">
        <v>2</v>
      </c>
      <c r="AC2319" s="54" t="s">
        <v>2</v>
      </c>
      <c r="AD2319" s="54" t="s">
        <v>2</v>
      </c>
      <c r="AE2319" s="54" t="s">
        <v>2</v>
      </c>
      <c r="AF2319" s="54" t="s">
        <v>2</v>
      </c>
      <c r="AG2319" s="54" t="s">
        <v>2</v>
      </c>
    </row>
    <row r="2320" ht="15.75" customHeight="1">
      <c r="B2320" s="56"/>
      <c r="U2320" s="46" t="str">
        <f t="array" ref="U2320">IF($D2320="","",IFERROR(_xlfn.XLOOKUP($D2320,'TIR店舗一覧'!$D:$D,'TIR店舗一覧'!$E:$E,""),""))</f>
        <v/>
      </c>
      <c r="V2320" s="54" t="s">
        <v>2</v>
      </c>
      <c r="W2320" s="54" t="s">
        <v>2</v>
      </c>
      <c r="X2320" s="54" t="s">
        <v>2</v>
      </c>
      <c r="Y2320" s="54" t="s">
        <v>2</v>
      </c>
      <c r="Z2320" s="54" t="s">
        <v>2</v>
      </c>
      <c r="AA2320" s="54" t="s">
        <v>2</v>
      </c>
      <c r="AB2320" s="54" t="s">
        <v>2</v>
      </c>
      <c r="AC2320" s="54" t="s">
        <v>2</v>
      </c>
      <c r="AD2320" s="54" t="s">
        <v>2</v>
      </c>
      <c r="AE2320" s="54" t="s">
        <v>2</v>
      </c>
      <c r="AF2320" s="54" t="s">
        <v>2</v>
      </c>
      <c r="AG2320" s="54" t="s">
        <v>2</v>
      </c>
    </row>
    <row r="2321" ht="15.75" customHeight="1">
      <c r="B2321" s="56"/>
      <c r="U2321" s="46" t="str">
        <f t="array" ref="U2321">IF($D2321="","",IFERROR(_xlfn.XLOOKUP($D2321,'TIR店舗一覧'!$D:$D,'TIR店舗一覧'!$E:$E,""),""))</f>
        <v/>
      </c>
      <c r="V2321" s="54" t="s">
        <v>2</v>
      </c>
      <c r="W2321" s="54" t="s">
        <v>2</v>
      </c>
      <c r="X2321" s="54" t="s">
        <v>2</v>
      </c>
      <c r="Y2321" s="54" t="s">
        <v>2</v>
      </c>
      <c r="Z2321" s="54" t="s">
        <v>2</v>
      </c>
      <c r="AA2321" s="54" t="s">
        <v>2</v>
      </c>
      <c r="AB2321" s="54" t="s">
        <v>2</v>
      </c>
      <c r="AC2321" s="54" t="s">
        <v>2</v>
      </c>
      <c r="AD2321" s="54" t="s">
        <v>2</v>
      </c>
      <c r="AE2321" s="54" t="s">
        <v>2</v>
      </c>
      <c r="AF2321" s="54" t="s">
        <v>2</v>
      </c>
      <c r="AG2321" s="54" t="s">
        <v>2</v>
      </c>
    </row>
    <row r="2322" ht="15.75" customHeight="1">
      <c r="B2322" s="56"/>
      <c r="U2322" s="46" t="str">
        <f t="array" ref="U2322">IF($D2322="","",IFERROR(_xlfn.XLOOKUP($D2322,'TIR店舗一覧'!$D:$D,'TIR店舗一覧'!$E:$E,""),""))</f>
        <v/>
      </c>
      <c r="V2322" s="54" t="s">
        <v>2</v>
      </c>
      <c r="W2322" s="54" t="s">
        <v>2</v>
      </c>
      <c r="X2322" s="54" t="s">
        <v>2</v>
      </c>
      <c r="Y2322" s="54" t="s">
        <v>2</v>
      </c>
      <c r="Z2322" s="54" t="s">
        <v>2</v>
      </c>
      <c r="AA2322" s="54" t="s">
        <v>2</v>
      </c>
      <c r="AB2322" s="54" t="s">
        <v>2</v>
      </c>
      <c r="AC2322" s="54" t="s">
        <v>2</v>
      </c>
      <c r="AD2322" s="54" t="s">
        <v>2</v>
      </c>
      <c r="AE2322" s="54" t="s">
        <v>2</v>
      </c>
      <c r="AF2322" s="54" t="s">
        <v>2</v>
      </c>
      <c r="AG2322" s="54" t="s">
        <v>2</v>
      </c>
    </row>
    <row r="2323" ht="15.75" customHeight="1">
      <c r="B2323" s="56"/>
      <c r="U2323" s="46" t="str">
        <f t="array" ref="U2323">IF($D2323="","",IFERROR(_xlfn.XLOOKUP($D2323,'TIR店舗一覧'!$D:$D,'TIR店舗一覧'!$E:$E,""),""))</f>
        <v/>
      </c>
      <c r="V2323" s="54" t="s">
        <v>2</v>
      </c>
      <c r="W2323" s="54" t="s">
        <v>2</v>
      </c>
      <c r="X2323" s="54" t="s">
        <v>2</v>
      </c>
      <c r="Y2323" s="54" t="s">
        <v>2</v>
      </c>
      <c r="Z2323" s="54" t="s">
        <v>2</v>
      </c>
      <c r="AA2323" s="54" t="s">
        <v>2</v>
      </c>
      <c r="AB2323" s="54" t="s">
        <v>2</v>
      </c>
      <c r="AC2323" s="54" t="s">
        <v>2</v>
      </c>
      <c r="AD2323" s="54" t="s">
        <v>2</v>
      </c>
      <c r="AE2323" s="54" t="s">
        <v>2</v>
      </c>
      <c r="AF2323" s="54" t="s">
        <v>2</v>
      </c>
      <c r="AG2323" s="54" t="s">
        <v>2</v>
      </c>
    </row>
    <row r="2324" ht="15.75" customHeight="1">
      <c r="B2324" s="56"/>
      <c r="U2324" s="46" t="str">
        <f t="array" ref="U2324">IF($D2324="","",IFERROR(_xlfn.XLOOKUP($D2324,'TIR店舗一覧'!$D:$D,'TIR店舗一覧'!$E:$E,""),""))</f>
        <v/>
      </c>
      <c r="V2324" s="54" t="s">
        <v>2</v>
      </c>
      <c r="W2324" s="54" t="s">
        <v>2</v>
      </c>
      <c r="X2324" s="54" t="s">
        <v>2</v>
      </c>
      <c r="Y2324" s="54" t="s">
        <v>2</v>
      </c>
      <c r="Z2324" s="54" t="s">
        <v>2</v>
      </c>
      <c r="AA2324" s="54" t="s">
        <v>2</v>
      </c>
      <c r="AB2324" s="54" t="s">
        <v>2</v>
      </c>
      <c r="AC2324" s="54" t="s">
        <v>2</v>
      </c>
      <c r="AD2324" s="54" t="s">
        <v>2</v>
      </c>
      <c r="AE2324" s="54" t="s">
        <v>2</v>
      </c>
      <c r="AF2324" s="54" t="s">
        <v>2</v>
      </c>
      <c r="AG2324" s="54" t="s">
        <v>2</v>
      </c>
    </row>
    <row r="2325" ht="15.75" customHeight="1">
      <c r="B2325" s="56"/>
      <c r="U2325" s="46" t="str">
        <f t="array" ref="U2325">IF($D2325="","",IFERROR(_xlfn.XLOOKUP($D2325,'TIR店舗一覧'!$D:$D,'TIR店舗一覧'!$E:$E,""),""))</f>
        <v/>
      </c>
      <c r="V2325" s="54" t="s">
        <v>2</v>
      </c>
      <c r="W2325" s="54" t="s">
        <v>2</v>
      </c>
      <c r="X2325" s="54" t="s">
        <v>2</v>
      </c>
      <c r="Y2325" s="54" t="s">
        <v>2</v>
      </c>
      <c r="Z2325" s="54" t="s">
        <v>2</v>
      </c>
      <c r="AA2325" s="54" t="s">
        <v>2</v>
      </c>
      <c r="AB2325" s="54" t="s">
        <v>2</v>
      </c>
      <c r="AC2325" s="54" t="s">
        <v>2</v>
      </c>
      <c r="AD2325" s="54" t="s">
        <v>2</v>
      </c>
      <c r="AE2325" s="54" t="s">
        <v>2</v>
      </c>
      <c r="AF2325" s="54" t="s">
        <v>2</v>
      </c>
      <c r="AG2325" s="54" t="s">
        <v>2</v>
      </c>
    </row>
    <row r="2326" ht="15.75" customHeight="1">
      <c r="B2326" s="56"/>
      <c r="U2326" s="46" t="str">
        <f t="array" ref="U2326">IF($D2326="","",IFERROR(_xlfn.XLOOKUP($D2326,'TIR店舗一覧'!$D:$D,'TIR店舗一覧'!$E:$E,""),""))</f>
        <v/>
      </c>
      <c r="V2326" s="54" t="s">
        <v>2</v>
      </c>
      <c r="W2326" s="54" t="s">
        <v>2</v>
      </c>
      <c r="X2326" s="54" t="s">
        <v>2</v>
      </c>
      <c r="Y2326" s="54" t="s">
        <v>2</v>
      </c>
      <c r="Z2326" s="54" t="s">
        <v>2</v>
      </c>
      <c r="AA2326" s="54" t="s">
        <v>2</v>
      </c>
      <c r="AB2326" s="54" t="s">
        <v>2</v>
      </c>
      <c r="AC2326" s="54" t="s">
        <v>2</v>
      </c>
      <c r="AD2326" s="54" t="s">
        <v>2</v>
      </c>
      <c r="AE2326" s="54" t="s">
        <v>2</v>
      </c>
      <c r="AF2326" s="54" t="s">
        <v>2</v>
      </c>
      <c r="AG2326" s="54" t="s">
        <v>2</v>
      </c>
    </row>
    <row r="2327" ht="15.75" customHeight="1">
      <c r="B2327" s="56"/>
      <c r="U2327" s="46" t="str">
        <f t="array" ref="U2327">IF($D2327="","",IFERROR(_xlfn.XLOOKUP($D2327,'TIR店舗一覧'!$D:$D,'TIR店舗一覧'!$E:$E,""),""))</f>
        <v/>
      </c>
      <c r="V2327" s="54" t="s">
        <v>2</v>
      </c>
      <c r="W2327" s="54" t="s">
        <v>2</v>
      </c>
      <c r="X2327" s="54" t="s">
        <v>2</v>
      </c>
      <c r="Y2327" s="54" t="s">
        <v>2</v>
      </c>
      <c r="Z2327" s="54" t="s">
        <v>2</v>
      </c>
      <c r="AA2327" s="54" t="s">
        <v>2</v>
      </c>
      <c r="AB2327" s="54" t="s">
        <v>2</v>
      </c>
      <c r="AC2327" s="54" t="s">
        <v>2</v>
      </c>
      <c r="AD2327" s="54" t="s">
        <v>2</v>
      </c>
      <c r="AE2327" s="54" t="s">
        <v>2</v>
      </c>
      <c r="AF2327" s="54" t="s">
        <v>2</v>
      </c>
      <c r="AG2327" s="54" t="s">
        <v>2</v>
      </c>
    </row>
    <row r="2328" ht="15.75" customHeight="1">
      <c r="B2328" s="56"/>
      <c r="U2328" s="46" t="str">
        <f t="array" ref="U2328">IF($D2328="","",IFERROR(_xlfn.XLOOKUP($D2328,'TIR店舗一覧'!$D:$D,'TIR店舗一覧'!$E:$E,""),""))</f>
        <v/>
      </c>
      <c r="V2328" s="54" t="s">
        <v>2</v>
      </c>
      <c r="W2328" s="54" t="s">
        <v>2</v>
      </c>
      <c r="X2328" s="54" t="s">
        <v>2</v>
      </c>
      <c r="Y2328" s="54" t="s">
        <v>2</v>
      </c>
      <c r="Z2328" s="54" t="s">
        <v>2</v>
      </c>
      <c r="AA2328" s="54" t="s">
        <v>2</v>
      </c>
      <c r="AB2328" s="54" t="s">
        <v>2</v>
      </c>
      <c r="AC2328" s="54" t="s">
        <v>2</v>
      </c>
      <c r="AD2328" s="54" t="s">
        <v>2</v>
      </c>
      <c r="AE2328" s="54" t="s">
        <v>2</v>
      </c>
      <c r="AF2328" s="54" t="s">
        <v>2</v>
      </c>
      <c r="AG2328" s="54" t="s">
        <v>2</v>
      </c>
    </row>
    <row r="2329" ht="15.75" customHeight="1">
      <c r="B2329" s="56"/>
      <c r="U2329" s="46" t="str">
        <f t="array" ref="U2329">IF($D2329="","",IFERROR(_xlfn.XLOOKUP($D2329,'TIR店舗一覧'!$D:$D,'TIR店舗一覧'!$E:$E,""),""))</f>
        <v/>
      </c>
      <c r="V2329" s="54" t="s">
        <v>2</v>
      </c>
      <c r="W2329" s="54" t="s">
        <v>2</v>
      </c>
      <c r="X2329" s="54" t="s">
        <v>2</v>
      </c>
      <c r="Y2329" s="54" t="s">
        <v>2</v>
      </c>
      <c r="Z2329" s="54" t="s">
        <v>2</v>
      </c>
      <c r="AA2329" s="54" t="s">
        <v>2</v>
      </c>
      <c r="AB2329" s="54" t="s">
        <v>2</v>
      </c>
      <c r="AC2329" s="54" t="s">
        <v>2</v>
      </c>
      <c r="AD2329" s="54" t="s">
        <v>2</v>
      </c>
      <c r="AE2329" s="54" t="s">
        <v>2</v>
      </c>
      <c r="AF2329" s="54" t="s">
        <v>2</v>
      </c>
      <c r="AG2329" s="54" t="s">
        <v>2</v>
      </c>
    </row>
    <row r="2330" ht="15.75" customHeight="1">
      <c r="B2330" s="56"/>
      <c r="U2330" s="46" t="str">
        <f t="array" ref="U2330">IF($D2330="","",IFERROR(_xlfn.XLOOKUP($D2330,'TIR店舗一覧'!$D:$D,'TIR店舗一覧'!$E:$E,""),""))</f>
        <v/>
      </c>
      <c r="V2330" s="54" t="s">
        <v>2</v>
      </c>
      <c r="W2330" s="54" t="s">
        <v>2</v>
      </c>
      <c r="X2330" s="54" t="s">
        <v>2</v>
      </c>
      <c r="Y2330" s="54" t="s">
        <v>2</v>
      </c>
      <c r="Z2330" s="54" t="s">
        <v>2</v>
      </c>
      <c r="AA2330" s="54" t="s">
        <v>2</v>
      </c>
      <c r="AB2330" s="54" t="s">
        <v>2</v>
      </c>
      <c r="AC2330" s="54" t="s">
        <v>2</v>
      </c>
      <c r="AD2330" s="54" t="s">
        <v>2</v>
      </c>
      <c r="AE2330" s="54" t="s">
        <v>2</v>
      </c>
      <c r="AF2330" s="54" t="s">
        <v>2</v>
      </c>
      <c r="AG2330" s="54" t="s">
        <v>2</v>
      </c>
    </row>
    <row r="2331" ht="15.75" customHeight="1">
      <c r="B2331" s="56"/>
      <c r="U2331" s="46" t="str">
        <f t="array" ref="U2331">IF($D2331="","",IFERROR(_xlfn.XLOOKUP($D2331,'TIR店舗一覧'!$D:$D,'TIR店舗一覧'!$E:$E,""),""))</f>
        <v/>
      </c>
      <c r="V2331" s="54" t="s">
        <v>2</v>
      </c>
      <c r="W2331" s="54" t="s">
        <v>2</v>
      </c>
      <c r="X2331" s="54" t="s">
        <v>2</v>
      </c>
      <c r="Y2331" s="54" t="s">
        <v>2</v>
      </c>
      <c r="Z2331" s="54" t="s">
        <v>2</v>
      </c>
      <c r="AA2331" s="54" t="s">
        <v>2</v>
      </c>
      <c r="AB2331" s="54" t="s">
        <v>2</v>
      </c>
      <c r="AC2331" s="54" t="s">
        <v>2</v>
      </c>
      <c r="AD2331" s="54" t="s">
        <v>2</v>
      </c>
      <c r="AE2331" s="54" t="s">
        <v>2</v>
      </c>
      <c r="AF2331" s="54" t="s">
        <v>2</v>
      </c>
      <c r="AG2331" s="54" t="s">
        <v>2</v>
      </c>
    </row>
    <row r="2332" ht="15.75" customHeight="1">
      <c r="B2332" s="56"/>
      <c r="U2332" s="46" t="str">
        <f t="array" ref="U2332">IF($D2332="","",IFERROR(_xlfn.XLOOKUP($D2332,'TIR店舗一覧'!$D:$D,'TIR店舗一覧'!$E:$E,""),""))</f>
        <v/>
      </c>
      <c r="V2332" s="54" t="s">
        <v>2</v>
      </c>
      <c r="W2332" s="54" t="s">
        <v>2</v>
      </c>
      <c r="X2332" s="54" t="s">
        <v>2</v>
      </c>
      <c r="Y2332" s="54" t="s">
        <v>2</v>
      </c>
      <c r="Z2332" s="54" t="s">
        <v>2</v>
      </c>
      <c r="AA2332" s="54" t="s">
        <v>2</v>
      </c>
      <c r="AB2332" s="54" t="s">
        <v>2</v>
      </c>
      <c r="AC2332" s="54" t="s">
        <v>2</v>
      </c>
      <c r="AD2332" s="54" t="s">
        <v>2</v>
      </c>
      <c r="AE2332" s="54" t="s">
        <v>2</v>
      </c>
      <c r="AF2332" s="54" t="s">
        <v>2</v>
      </c>
      <c r="AG2332" s="54" t="s">
        <v>2</v>
      </c>
    </row>
    <row r="2333" ht="15.75" customHeight="1">
      <c r="B2333" s="56"/>
      <c r="U2333" s="46" t="str">
        <f t="array" ref="U2333">IF($D2333="","",IFERROR(_xlfn.XLOOKUP($D2333,'TIR店舗一覧'!$D:$D,'TIR店舗一覧'!$E:$E,""),""))</f>
        <v/>
      </c>
      <c r="V2333" s="54" t="s">
        <v>2</v>
      </c>
      <c r="W2333" s="54" t="s">
        <v>2</v>
      </c>
      <c r="X2333" s="54" t="s">
        <v>2</v>
      </c>
      <c r="Y2333" s="54" t="s">
        <v>2</v>
      </c>
      <c r="Z2333" s="54" t="s">
        <v>2</v>
      </c>
      <c r="AA2333" s="54" t="s">
        <v>2</v>
      </c>
      <c r="AB2333" s="54" t="s">
        <v>2</v>
      </c>
      <c r="AC2333" s="54" t="s">
        <v>2</v>
      </c>
      <c r="AD2333" s="54" t="s">
        <v>2</v>
      </c>
      <c r="AE2333" s="54" t="s">
        <v>2</v>
      </c>
      <c r="AF2333" s="54" t="s">
        <v>2</v>
      </c>
      <c r="AG2333" s="54" t="s">
        <v>2</v>
      </c>
    </row>
    <row r="2334" ht="15.75" customHeight="1">
      <c r="B2334" s="56"/>
      <c r="U2334" s="46" t="str">
        <f t="array" ref="U2334">IF($D2334="","",IFERROR(_xlfn.XLOOKUP($D2334,'TIR店舗一覧'!$D:$D,'TIR店舗一覧'!$E:$E,""),""))</f>
        <v/>
      </c>
      <c r="V2334" s="54" t="s">
        <v>2</v>
      </c>
      <c r="W2334" s="54" t="s">
        <v>2</v>
      </c>
      <c r="X2334" s="54" t="s">
        <v>2</v>
      </c>
      <c r="Y2334" s="54" t="s">
        <v>2</v>
      </c>
      <c r="Z2334" s="54" t="s">
        <v>2</v>
      </c>
      <c r="AA2334" s="54" t="s">
        <v>2</v>
      </c>
      <c r="AB2334" s="54" t="s">
        <v>2</v>
      </c>
      <c r="AC2334" s="54" t="s">
        <v>2</v>
      </c>
      <c r="AD2334" s="54" t="s">
        <v>2</v>
      </c>
      <c r="AE2334" s="54" t="s">
        <v>2</v>
      </c>
      <c r="AF2334" s="54" t="s">
        <v>2</v>
      </c>
      <c r="AG2334" s="54" t="s">
        <v>2</v>
      </c>
    </row>
    <row r="2335" ht="15.75" customHeight="1">
      <c r="B2335" s="56"/>
      <c r="U2335" s="46" t="str">
        <f t="array" ref="U2335">IF($D2335="","",IFERROR(_xlfn.XLOOKUP($D2335,'TIR店舗一覧'!$D:$D,'TIR店舗一覧'!$E:$E,""),""))</f>
        <v/>
      </c>
      <c r="V2335" s="54" t="s">
        <v>2</v>
      </c>
      <c r="W2335" s="54" t="s">
        <v>2</v>
      </c>
      <c r="X2335" s="54" t="s">
        <v>2</v>
      </c>
      <c r="Y2335" s="54" t="s">
        <v>2</v>
      </c>
      <c r="Z2335" s="54" t="s">
        <v>2</v>
      </c>
      <c r="AA2335" s="54" t="s">
        <v>2</v>
      </c>
      <c r="AB2335" s="54" t="s">
        <v>2</v>
      </c>
      <c r="AC2335" s="54" t="s">
        <v>2</v>
      </c>
      <c r="AD2335" s="54" t="s">
        <v>2</v>
      </c>
      <c r="AE2335" s="54" t="s">
        <v>2</v>
      </c>
      <c r="AF2335" s="54" t="s">
        <v>2</v>
      </c>
      <c r="AG2335" s="54" t="s">
        <v>2</v>
      </c>
    </row>
    <row r="2336" ht="15.75" customHeight="1">
      <c r="B2336" s="56"/>
      <c r="U2336" s="46" t="str">
        <f t="array" ref="U2336">IF($D2336="","",IFERROR(_xlfn.XLOOKUP($D2336,'TIR店舗一覧'!$D:$D,'TIR店舗一覧'!$E:$E,""),""))</f>
        <v/>
      </c>
      <c r="V2336" s="54" t="s">
        <v>2</v>
      </c>
      <c r="W2336" s="54" t="s">
        <v>2</v>
      </c>
      <c r="X2336" s="54" t="s">
        <v>2</v>
      </c>
      <c r="Y2336" s="54" t="s">
        <v>2</v>
      </c>
      <c r="Z2336" s="54" t="s">
        <v>2</v>
      </c>
      <c r="AA2336" s="54" t="s">
        <v>2</v>
      </c>
      <c r="AB2336" s="54" t="s">
        <v>2</v>
      </c>
      <c r="AC2336" s="54" t="s">
        <v>2</v>
      </c>
      <c r="AD2336" s="54" t="s">
        <v>2</v>
      </c>
      <c r="AE2336" s="54" t="s">
        <v>2</v>
      </c>
      <c r="AF2336" s="54" t="s">
        <v>2</v>
      </c>
      <c r="AG2336" s="54" t="s">
        <v>2</v>
      </c>
    </row>
    <row r="2337" ht="15.75" customHeight="1">
      <c r="B2337" s="56"/>
      <c r="U2337" s="46" t="str">
        <f t="array" ref="U2337">IF($D2337="","",IFERROR(_xlfn.XLOOKUP($D2337,'TIR店舗一覧'!$D:$D,'TIR店舗一覧'!$E:$E,""),""))</f>
        <v/>
      </c>
      <c r="V2337" s="54" t="s">
        <v>2</v>
      </c>
      <c r="W2337" s="54" t="s">
        <v>2</v>
      </c>
      <c r="X2337" s="54" t="s">
        <v>2</v>
      </c>
      <c r="Y2337" s="54" t="s">
        <v>2</v>
      </c>
      <c r="Z2337" s="54" t="s">
        <v>2</v>
      </c>
      <c r="AA2337" s="54" t="s">
        <v>2</v>
      </c>
      <c r="AB2337" s="54" t="s">
        <v>2</v>
      </c>
      <c r="AC2337" s="54" t="s">
        <v>2</v>
      </c>
      <c r="AD2337" s="54" t="s">
        <v>2</v>
      </c>
      <c r="AE2337" s="54" t="s">
        <v>2</v>
      </c>
      <c r="AF2337" s="54" t="s">
        <v>2</v>
      </c>
      <c r="AG2337" s="54" t="s">
        <v>2</v>
      </c>
    </row>
    <row r="2338" ht="15.75" customHeight="1">
      <c r="B2338" s="56"/>
      <c r="U2338" s="46" t="str">
        <f t="array" ref="U2338">IF($D2338="","",IFERROR(_xlfn.XLOOKUP($D2338,'TIR店舗一覧'!$D:$D,'TIR店舗一覧'!$E:$E,""),""))</f>
        <v/>
      </c>
      <c r="V2338" s="54" t="s">
        <v>2</v>
      </c>
      <c r="W2338" s="54" t="s">
        <v>2</v>
      </c>
      <c r="X2338" s="54" t="s">
        <v>2</v>
      </c>
      <c r="Y2338" s="54" t="s">
        <v>2</v>
      </c>
      <c r="Z2338" s="54" t="s">
        <v>2</v>
      </c>
      <c r="AA2338" s="54" t="s">
        <v>2</v>
      </c>
      <c r="AB2338" s="54" t="s">
        <v>2</v>
      </c>
      <c r="AC2338" s="54" t="s">
        <v>2</v>
      </c>
      <c r="AD2338" s="54" t="s">
        <v>2</v>
      </c>
      <c r="AE2338" s="54" t="s">
        <v>2</v>
      </c>
      <c r="AF2338" s="54" t="s">
        <v>2</v>
      </c>
      <c r="AG2338" s="54" t="s">
        <v>2</v>
      </c>
    </row>
    <row r="2339" ht="15.75" customHeight="1">
      <c r="B2339" s="56"/>
      <c r="U2339" s="46" t="str">
        <f t="array" ref="U2339">IF($D2339="","",IFERROR(_xlfn.XLOOKUP($D2339,'TIR店舗一覧'!$D:$D,'TIR店舗一覧'!$E:$E,""),""))</f>
        <v/>
      </c>
      <c r="V2339" s="54" t="s">
        <v>2</v>
      </c>
      <c r="W2339" s="54" t="s">
        <v>2</v>
      </c>
      <c r="X2339" s="54" t="s">
        <v>2</v>
      </c>
      <c r="Y2339" s="54" t="s">
        <v>2</v>
      </c>
      <c r="Z2339" s="54" t="s">
        <v>2</v>
      </c>
      <c r="AA2339" s="54" t="s">
        <v>2</v>
      </c>
      <c r="AB2339" s="54" t="s">
        <v>2</v>
      </c>
      <c r="AC2339" s="54" t="s">
        <v>2</v>
      </c>
      <c r="AD2339" s="54" t="s">
        <v>2</v>
      </c>
      <c r="AE2339" s="54" t="s">
        <v>2</v>
      </c>
      <c r="AF2339" s="54" t="s">
        <v>2</v>
      </c>
      <c r="AG2339" s="54" t="s">
        <v>2</v>
      </c>
    </row>
    <row r="2340" ht="15.75" customHeight="1">
      <c r="B2340" s="56"/>
      <c r="U2340" s="46" t="str">
        <f t="array" ref="U2340">IF($D2340="","",IFERROR(_xlfn.XLOOKUP($D2340,'TIR店舗一覧'!$D:$D,'TIR店舗一覧'!$E:$E,""),""))</f>
        <v/>
      </c>
      <c r="V2340" s="54" t="s">
        <v>2</v>
      </c>
      <c r="W2340" s="54" t="s">
        <v>2</v>
      </c>
      <c r="X2340" s="54" t="s">
        <v>2</v>
      </c>
      <c r="Y2340" s="54" t="s">
        <v>2</v>
      </c>
      <c r="Z2340" s="54" t="s">
        <v>2</v>
      </c>
      <c r="AA2340" s="54" t="s">
        <v>2</v>
      </c>
      <c r="AB2340" s="54" t="s">
        <v>2</v>
      </c>
      <c r="AC2340" s="54" t="s">
        <v>2</v>
      </c>
      <c r="AD2340" s="54" t="s">
        <v>2</v>
      </c>
      <c r="AE2340" s="54" t="s">
        <v>2</v>
      </c>
      <c r="AF2340" s="54" t="s">
        <v>2</v>
      </c>
      <c r="AG2340" s="54" t="s">
        <v>2</v>
      </c>
    </row>
    <row r="2341" ht="15.75" customHeight="1">
      <c r="B2341" s="56"/>
      <c r="U2341" s="46" t="str">
        <f t="array" ref="U2341">IF($D2341="","",IFERROR(_xlfn.XLOOKUP($D2341,'TIR店舗一覧'!$D:$D,'TIR店舗一覧'!$E:$E,""),""))</f>
        <v/>
      </c>
      <c r="V2341" s="54" t="s">
        <v>2</v>
      </c>
      <c r="W2341" s="54" t="s">
        <v>2</v>
      </c>
      <c r="X2341" s="54" t="s">
        <v>2</v>
      </c>
      <c r="Y2341" s="54" t="s">
        <v>2</v>
      </c>
      <c r="Z2341" s="54" t="s">
        <v>2</v>
      </c>
      <c r="AA2341" s="54" t="s">
        <v>2</v>
      </c>
      <c r="AB2341" s="54" t="s">
        <v>2</v>
      </c>
      <c r="AC2341" s="54" t="s">
        <v>2</v>
      </c>
      <c r="AD2341" s="54" t="s">
        <v>2</v>
      </c>
      <c r="AE2341" s="54" t="s">
        <v>2</v>
      </c>
      <c r="AF2341" s="54" t="s">
        <v>2</v>
      </c>
      <c r="AG2341" s="54" t="s">
        <v>2</v>
      </c>
    </row>
    <row r="2342" ht="15.75" customHeight="1">
      <c r="B2342" s="56"/>
      <c r="U2342" s="46" t="str">
        <f t="array" ref="U2342">IF($D2342="","",IFERROR(_xlfn.XLOOKUP($D2342,'TIR店舗一覧'!$D:$D,'TIR店舗一覧'!$E:$E,""),""))</f>
        <v/>
      </c>
      <c r="V2342" s="54" t="s">
        <v>2</v>
      </c>
      <c r="W2342" s="54" t="s">
        <v>2</v>
      </c>
      <c r="X2342" s="54" t="s">
        <v>2</v>
      </c>
      <c r="Y2342" s="54" t="s">
        <v>2</v>
      </c>
      <c r="Z2342" s="54" t="s">
        <v>2</v>
      </c>
      <c r="AA2342" s="54" t="s">
        <v>2</v>
      </c>
      <c r="AB2342" s="54" t="s">
        <v>2</v>
      </c>
      <c r="AC2342" s="54" t="s">
        <v>2</v>
      </c>
      <c r="AD2342" s="54" t="s">
        <v>2</v>
      </c>
      <c r="AE2342" s="54" t="s">
        <v>2</v>
      </c>
      <c r="AF2342" s="54" t="s">
        <v>2</v>
      </c>
      <c r="AG2342" s="54" t="s">
        <v>2</v>
      </c>
    </row>
    <row r="2343" ht="15.75" customHeight="1">
      <c r="B2343" s="56"/>
      <c r="U2343" s="46" t="str">
        <f t="array" ref="U2343">IF($D2343="","",IFERROR(_xlfn.XLOOKUP($D2343,'TIR店舗一覧'!$D:$D,'TIR店舗一覧'!$E:$E,""),""))</f>
        <v/>
      </c>
      <c r="V2343" s="54" t="s">
        <v>2</v>
      </c>
      <c r="W2343" s="54" t="s">
        <v>2</v>
      </c>
      <c r="X2343" s="54" t="s">
        <v>2</v>
      </c>
      <c r="Y2343" s="54" t="s">
        <v>2</v>
      </c>
      <c r="Z2343" s="54" t="s">
        <v>2</v>
      </c>
      <c r="AA2343" s="54" t="s">
        <v>2</v>
      </c>
      <c r="AB2343" s="54" t="s">
        <v>2</v>
      </c>
      <c r="AC2343" s="54" t="s">
        <v>2</v>
      </c>
      <c r="AD2343" s="54" t="s">
        <v>2</v>
      </c>
      <c r="AE2343" s="54" t="s">
        <v>2</v>
      </c>
      <c r="AF2343" s="54" t="s">
        <v>2</v>
      </c>
      <c r="AG2343" s="54" t="s">
        <v>2</v>
      </c>
    </row>
    <row r="2344" ht="15.75" customHeight="1">
      <c r="B2344" s="56"/>
      <c r="U2344" s="46" t="str">
        <f t="array" ref="U2344">IF($D2344="","",IFERROR(_xlfn.XLOOKUP($D2344,'TIR店舗一覧'!$D:$D,'TIR店舗一覧'!$E:$E,""),""))</f>
        <v/>
      </c>
      <c r="V2344" s="54" t="s">
        <v>2</v>
      </c>
      <c r="W2344" s="54" t="s">
        <v>2</v>
      </c>
      <c r="X2344" s="54" t="s">
        <v>2</v>
      </c>
      <c r="Y2344" s="54" t="s">
        <v>2</v>
      </c>
      <c r="Z2344" s="54" t="s">
        <v>2</v>
      </c>
      <c r="AA2344" s="54" t="s">
        <v>2</v>
      </c>
      <c r="AB2344" s="54" t="s">
        <v>2</v>
      </c>
      <c r="AC2344" s="54" t="s">
        <v>2</v>
      </c>
      <c r="AD2344" s="54" t="s">
        <v>2</v>
      </c>
      <c r="AE2344" s="54" t="s">
        <v>2</v>
      </c>
      <c r="AF2344" s="54" t="s">
        <v>2</v>
      </c>
      <c r="AG2344" s="54" t="s">
        <v>2</v>
      </c>
    </row>
    <row r="2345" ht="15.75" customHeight="1">
      <c r="B2345" s="56"/>
      <c r="U2345" s="46" t="str">
        <f t="array" ref="U2345">IF($D2345="","",IFERROR(_xlfn.XLOOKUP($D2345,'TIR店舗一覧'!$D:$D,'TIR店舗一覧'!$E:$E,""),""))</f>
        <v/>
      </c>
      <c r="V2345" s="54" t="s">
        <v>2</v>
      </c>
      <c r="W2345" s="54" t="s">
        <v>2</v>
      </c>
      <c r="X2345" s="54" t="s">
        <v>2</v>
      </c>
      <c r="Y2345" s="54" t="s">
        <v>2</v>
      </c>
      <c r="Z2345" s="54" t="s">
        <v>2</v>
      </c>
      <c r="AA2345" s="54" t="s">
        <v>2</v>
      </c>
      <c r="AB2345" s="54" t="s">
        <v>2</v>
      </c>
      <c r="AC2345" s="54" t="s">
        <v>2</v>
      </c>
      <c r="AD2345" s="54" t="s">
        <v>2</v>
      </c>
      <c r="AE2345" s="54" t="s">
        <v>2</v>
      </c>
      <c r="AF2345" s="54" t="s">
        <v>2</v>
      </c>
      <c r="AG2345" s="54" t="s">
        <v>2</v>
      </c>
    </row>
    <row r="2346" ht="15.75" customHeight="1">
      <c r="B2346" s="56"/>
      <c r="U2346" s="46" t="str">
        <f t="array" ref="U2346">IF($D2346="","",IFERROR(_xlfn.XLOOKUP($D2346,'TIR店舗一覧'!$D:$D,'TIR店舗一覧'!$E:$E,""),""))</f>
        <v/>
      </c>
      <c r="V2346" s="54" t="s">
        <v>2</v>
      </c>
      <c r="W2346" s="54" t="s">
        <v>2</v>
      </c>
      <c r="X2346" s="54" t="s">
        <v>2</v>
      </c>
      <c r="Y2346" s="54" t="s">
        <v>2</v>
      </c>
      <c r="Z2346" s="54" t="s">
        <v>2</v>
      </c>
      <c r="AA2346" s="54" t="s">
        <v>2</v>
      </c>
      <c r="AB2346" s="54" t="s">
        <v>2</v>
      </c>
      <c r="AC2346" s="54" t="s">
        <v>2</v>
      </c>
      <c r="AD2346" s="54" t="s">
        <v>2</v>
      </c>
      <c r="AE2346" s="54" t="s">
        <v>2</v>
      </c>
      <c r="AF2346" s="54" t="s">
        <v>2</v>
      </c>
      <c r="AG2346" s="54" t="s">
        <v>2</v>
      </c>
    </row>
    <row r="2347" ht="15.75" customHeight="1">
      <c r="B2347" s="56"/>
      <c r="U2347" s="46" t="str">
        <f t="array" ref="U2347">IF($D2347="","",IFERROR(_xlfn.XLOOKUP($D2347,'TIR店舗一覧'!$D:$D,'TIR店舗一覧'!$E:$E,""),""))</f>
        <v/>
      </c>
      <c r="V2347" s="54" t="s">
        <v>2</v>
      </c>
      <c r="W2347" s="54" t="s">
        <v>2</v>
      </c>
      <c r="X2347" s="54" t="s">
        <v>2</v>
      </c>
      <c r="Y2347" s="54" t="s">
        <v>2</v>
      </c>
      <c r="Z2347" s="54" t="s">
        <v>2</v>
      </c>
      <c r="AA2347" s="54" t="s">
        <v>2</v>
      </c>
      <c r="AB2347" s="54" t="s">
        <v>2</v>
      </c>
      <c r="AC2347" s="54" t="s">
        <v>2</v>
      </c>
      <c r="AD2347" s="54" t="s">
        <v>2</v>
      </c>
      <c r="AE2347" s="54" t="s">
        <v>2</v>
      </c>
      <c r="AF2347" s="54" t="s">
        <v>2</v>
      </c>
      <c r="AG2347" s="54" t="s">
        <v>2</v>
      </c>
    </row>
    <row r="2348" ht="15.75" customHeight="1">
      <c r="B2348" s="56"/>
      <c r="U2348" s="46" t="str">
        <f t="array" ref="U2348">IF($D2348="","",IFERROR(_xlfn.XLOOKUP($D2348,'TIR店舗一覧'!$D:$D,'TIR店舗一覧'!$E:$E,""),""))</f>
        <v/>
      </c>
      <c r="V2348" s="54" t="s">
        <v>2</v>
      </c>
      <c r="W2348" s="54" t="s">
        <v>2</v>
      </c>
      <c r="X2348" s="54" t="s">
        <v>2</v>
      </c>
      <c r="Y2348" s="54" t="s">
        <v>2</v>
      </c>
      <c r="Z2348" s="54" t="s">
        <v>2</v>
      </c>
      <c r="AA2348" s="54" t="s">
        <v>2</v>
      </c>
      <c r="AB2348" s="54" t="s">
        <v>2</v>
      </c>
      <c r="AC2348" s="54" t="s">
        <v>2</v>
      </c>
      <c r="AD2348" s="54" t="s">
        <v>2</v>
      </c>
      <c r="AE2348" s="54" t="s">
        <v>2</v>
      </c>
      <c r="AF2348" s="54" t="s">
        <v>2</v>
      </c>
      <c r="AG2348" s="54" t="s">
        <v>2</v>
      </c>
    </row>
    <row r="2349" ht="15.75" customHeight="1">
      <c r="B2349" s="56"/>
      <c r="U2349" s="46" t="str">
        <f t="array" ref="U2349">IF($D2349="","",IFERROR(_xlfn.XLOOKUP($D2349,'TIR店舗一覧'!$D:$D,'TIR店舗一覧'!$E:$E,""),""))</f>
        <v/>
      </c>
      <c r="V2349" s="54" t="s">
        <v>2</v>
      </c>
      <c r="W2349" s="54" t="s">
        <v>2</v>
      </c>
      <c r="X2349" s="54" t="s">
        <v>2</v>
      </c>
      <c r="Y2349" s="54" t="s">
        <v>2</v>
      </c>
      <c r="Z2349" s="54" t="s">
        <v>2</v>
      </c>
      <c r="AA2349" s="54" t="s">
        <v>2</v>
      </c>
      <c r="AB2349" s="54" t="s">
        <v>2</v>
      </c>
      <c r="AC2349" s="54" t="s">
        <v>2</v>
      </c>
      <c r="AD2349" s="54" t="s">
        <v>2</v>
      </c>
      <c r="AE2349" s="54" t="s">
        <v>2</v>
      </c>
      <c r="AF2349" s="54" t="s">
        <v>2</v>
      </c>
      <c r="AG2349" s="54" t="s">
        <v>2</v>
      </c>
    </row>
    <row r="2350" ht="15.75" customHeight="1">
      <c r="B2350" s="56"/>
      <c r="U2350" s="46" t="str">
        <f t="array" ref="U2350">IF($D2350="","",IFERROR(_xlfn.XLOOKUP($D2350,'TIR店舗一覧'!$D:$D,'TIR店舗一覧'!$E:$E,""),""))</f>
        <v/>
      </c>
      <c r="V2350" s="54" t="s">
        <v>2</v>
      </c>
      <c r="W2350" s="54" t="s">
        <v>2</v>
      </c>
      <c r="X2350" s="54" t="s">
        <v>2</v>
      </c>
      <c r="Y2350" s="54" t="s">
        <v>2</v>
      </c>
      <c r="Z2350" s="54" t="s">
        <v>2</v>
      </c>
      <c r="AA2350" s="54" t="s">
        <v>2</v>
      </c>
      <c r="AB2350" s="54" t="s">
        <v>2</v>
      </c>
      <c r="AC2350" s="54" t="s">
        <v>2</v>
      </c>
      <c r="AD2350" s="54" t="s">
        <v>2</v>
      </c>
      <c r="AE2350" s="54" t="s">
        <v>2</v>
      </c>
      <c r="AF2350" s="54" t="s">
        <v>2</v>
      </c>
      <c r="AG2350" s="54" t="s">
        <v>2</v>
      </c>
    </row>
    <row r="2351" ht="15.75" customHeight="1">
      <c r="B2351" s="56"/>
      <c r="U2351" s="46" t="str">
        <f t="array" ref="U2351">IF($D2351="","",IFERROR(_xlfn.XLOOKUP($D2351,'TIR店舗一覧'!$D:$D,'TIR店舗一覧'!$E:$E,""),""))</f>
        <v/>
      </c>
      <c r="V2351" s="54" t="s">
        <v>2</v>
      </c>
      <c r="W2351" s="54" t="s">
        <v>2</v>
      </c>
      <c r="X2351" s="54" t="s">
        <v>2</v>
      </c>
      <c r="Y2351" s="54" t="s">
        <v>2</v>
      </c>
      <c r="Z2351" s="54" t="s">
        <v>2</v>
      </c>
      <c r="AA2351" s="54" t="s">
        <v>2</v>
      </c>
      <c r="AB2351" s="54" t="s">
        <v>2</v>
      </c>
      <c r="AC2351" s="54" t="s">
        <v>2</v>
      </c>
      <c r="AD2351" s="54" t="s">
        <v>2</v>
      </c>
      <c r="AE2351" s="54" t="s">
        <v>2</v>
      </c>
      <c r="AF2351" s="54" t="s">
        <v>2</v>
      </c>
      <c r="AG2351" s="54" t="s">
        <v>2</v>
      </c>
    </row>
    <row r="2352" ht="15.75" customHeight="1">
      <c r="B2352" s="56"/>
      <c r="U2352" s="46" t="str">
        <f t="array" ref="U2352">IF($D2352="","",IFERROR(_xlfn.XLOOKUP($D2352,'TIR店舗一覧'!$D:$D,'TIR店舗一覧'!$E:$E,""),""))</f>
        <v/>
      </c>
      <c r="V2352" s="54" t="s">
        <v>2</v>
      </c>
      <c r="W2352" s="54" t="s">
        <v>2</v>
      </c>
      <c r="X2352" s="54" t="s">
        <v>2</v>
      </c>
      <c r="Y2352" s="54" t="s">
        <v>2</v>
      </c>
      <c r="Z2352" s="54" t="s">
        <v>2</v>
      </c>
      <c r="AA2352" s="54" t="s">
        <v>2</v>
      </c>
      <c r="AB2352" s="54" t="s">
        <v>2</v>
      </c>
      <c r="AC2352" s="54" t="s">
        <v>2</v>
      </c>
      <c r="AD2352" s="54" t="s">
        <v>2</v>
      </c>
      <c r="AE2352" s="54" t="s">
        <v>2</v>
      </c>
      <c r="AF2352" s="54" t="s">
        <v>2</v>
      </c>
      <c r="AG2352" s="54" t="s">
        <v>2</v>
      </c>
    </row>
    <row r="2353" ht="15.75" customHeight="1">
      <c r="B2353" s="56"/>
      <c r="U2353" s="46" t="str">
        <f t="array" ref="U2353">IF($D2353="","",IFERROR(_xlfn.XLOOKUP($D2353,'TIR店舗一覧'!$D:$D,'TIR店舗一覧'!$E:$E,""),""))</f>
        <v/>
      </c>
      <c r="V2353" s="54" t="s">
        <v>2</v>
      </c>
      <c r="W2353" s="54" t="s">
        <v>2</v>
      </c>
      <c r="X2353" s="54" t="s">
        <v>2</v>
      </c>
      <c r="Y2353" s="54" t="s">
        <v>2</v>
      </c>
      <c r="Z2353" s="54" t="s">
        <v>2</v>
      </c>
      <c r="AA2353" s="54" t="s">
        <v>2</v>
      </c>
      <c r="AB2353" s="54" t="s">
        <v>2</v>
      </c>
      <c r="AC2353" s="54" t="s">
        <v>2</v>
      </c>
      <c r="AD2353" s="54" t="s">
        <v>2</v>
      </c>
      <c r="AE2353" s="54" t="s">
        <v>2</v>
      </c>
      <c r="AF2353" s="54" t="s">
        <v>2</v>
      </c>
      <c r="AG2353" s="54" t="s">
        <v>2</v>
      </c>
    </row>
    <row r="2354" ht="15.75" customHeight="1">
      <c r="B2354" s="56"/>
      <c r="U2354" s="46" t="str">
        <f t="array" ref="U2354">IF($D2354="","",IFERROR(_xlfn.XLOOKUP($D2354,'TIR店舗一覧'!$D:$D,'TIR店舗一覧'!$E:$E,""),""))</f>
        <v/>
      </c>
      <c r="V2354" s="54" t="s">
        <v>2</v>
      </c>
      <c r="W2354" s="54" t="s">
        <v>2</v>
      </c>
      <c r="X2354" s="54" t="s">
        <v>2</v>
      </c>
      <c r="Y2354" s="54" t="s">
        <v>2</v>
      </c>
      <c r="Z2354" s="54" t="s">
        <v>2</v>
      </c>
      <c r="AA2354" s="54" t="s">
        <v>2</v>
      </c>
      <c r="AB2354" s="54" t="s">
        <v>2</v>
      </c>
      <c r="AC2354" s="54" t="s">
        <v>2</v>
      </c>
      <c r="AD2354" s="54" t="s">
        <v>2</v>
      </c>
      <c r="AE2354" s="54" t="s">
        <v>2</v>
      </c>
      <c r="AF2354" s="54" t="s">
        <v>2</v>
      </c>
      <c r="AG2354" s="54" t="s">
        <v>2</v>
      </c>
    </row>
    <row r="2355" ht="15.75" customHeight="1">
      <c r="B2355" s="56"/>
      <c r="U2355" s="46" t="str">
        <f t="array" ref="U2355">IF($D2355="","",IFERROR(_xlfn.XLOOKUP($D2355,'TIR店舗一覧'!$D:$D,'TIR店舗一覧'!$E:$E,""),""))</f>
        <v/>
      </c>
      <c r="V2355" s="54" t="s">
        <v>2</v>
      </c>
      <c r="W2355" s="54" t="s">
        <v>2</v>
      </c>
      <c r="X2355" s="54" t="s">
        <v>2</v>
      </c>
      <c r="Y2355" s="54" t="s">
        <v>2</v>
      </c>
      <c r="Z2355" s="54" t="s">
        <v>2</v>
      </c>
      <c r="AA2355" s="54" t="s">
        <v>2</v>
      </c>
      <c r="AB2355" s="54" t="s">
        <v>2</v>
      </c>
      <c r="AC2355" s="54" t="s">
        <v>2</v>
      </c>
      <c r="AD2355" s="54" t="s">
        <v>2</v>
      </c>
      <c r="AE2355" s="54" t="s">
        <v>2</v>
      </c>
      <c r="AF2355" s="54" t="s">
        <v>2</v>
      </c>
      <c r="AG2355" s="54" t="s">
        <v>2</v>
      </c>
    </row>
    <row r="2356" ht="15.75" customHeight="1">
      <c r="B2356" s="56"/>
      <c r="U2356" s="46" t="str">
        <f t="array" ref="U2356">IF($D2356="","",IFERROR(_xlfn.XLOOKUP($D2356,'TIR店舗一覧'!$D:$D,'TIR店舗一覧'!$E:$E,""),""))</f>
        <v/>
      </c>
      <c r="V2356" s="54" t="s">
        <v>2</v>
      </c>
      <c r="W2356" s="54" t="s">
        <v>2</v>
      </c>
      <c r="X2356" s="54" t="s">
        <v>2</v>
      </c>
      <c r="Y2356" s="54" t="s">
        <v>2</v>
      </c>
      <c r="Z2356" s="54" t="s">
        <v>2</v>
      </c>
      <c r="AA2356" s="54" t="s">
        <v>2</v>
      </c>
      <c r="AB2356" s="54" t="s">
        <v>2</v>
      </c>
      <c r="AC2356" s="54" t="s">
        <v>2</v>
      </c>
      <c r="AD2356" s="54" t="s">
        <v>2</v>
      </c>
      <c r="AE2356" s="54" t="s">
        <v>2</v>
      </c>
      <c r="AF2356" s="54" t="s">
        <v>2</v>
      </c>
      <c r="AG2356" s="54" t="s">
        <v>2</v>
      </c>
    </row>
    <row r="2357" ht="15.75" customHeight="1">
      <c r="B2357" s="56"/>
      <c r="U2357" s="46" t="str">
        <f t="array" ref="U2357">IF($D2357="","",IFERROR(_xlfn.XLOOKUP($D2357,'TIR店舗一覧'!$D:$D,'TIR店舗一覧'!$E:$E,""),""))</f>
        <v/>
      </c>
      <c r="V2357" s="54" t="s">
        <v>2</v>
      </c>
      <c r="W2357" s="54" t="s">
        <v>2</v>
      </c>
      <c r="X2357" s="54" t="s">
        <v>2</v>
      </c>
      <c r="Y2357" s="54" t="s">
        <v>2</v>
      </c>
      <c r="Z2357" s="54" t="s">
        <v>2</v>
      </c>
      <c r="AA2357" s="54" t="s">
        <v>2</v>
      </c>
      <c r="AB2357" s="54" t="s">
        <v>2</v>
      </c>
      <c r="AC2357" s="54" t="s">
        <v>2</v>
      </c>
      <c r="AD2357" s="54" t="s">
        <v>2</v>
      </c>
      <c r="AE2357" s="54" t="s">
        <v>2</v>
      </c>
      <c r="AF2357" s="54" t="s">
        <v>2</v>
      </c>
      <c r="AG2357" s="54" t="s">
        <v>2</v>
      </c>
    </row>
    <row r="2358" ht="15.75" customHeight="1">
      <c r="B2358" s="56"/>
      <c r="U2358" s="46" t="str">
        <f t="array" ref="U2358">IF($D2358="","",IFERROR(_xlfn.XLOOKUP($D2358,'TIR店舗一覧'!$D:$D,'TIR店舗一覧'!$E:$E,""),""))</f>
        <v/>
      </c>
      <c r="V2358" s="54" t="s">
        <v>2</v>
      </c>
      <c r="W2358" s="54" t="s">
        <v>2</v>
      </c>
      <c r="X2358" s="54" t="s">
        <v>2</v>
      </c>
      <c r="Y2358" s="54" t="s">
        <v>2</v>
      </c>
      <c r="Z2358" s="54" t="s">
        <v>2</v>
      </c>
      <c r="AA2358" s="54" t="s">
        <v>2</v>
      </c>
      <c r="AB2358" s="54" t="s">
        <v>2</v>
      </c>
      <c r="AC2358" s="54" t="s">
        <v>2</v>
      </c>
      <c r="AD2358" s="54" t="s">
        <v>2</v>
      </c>
      <c r="AE2358" s="54" t="s">
        <v>2</v>
      </c>
      <c r="AF2358" s="54" t="s">
        <v>2</v>
      </c>
      <c r="AG2358" s="54" t="s">
        <v>2</v>
      </c>
    </row>
    <row r="2359" ht="15.75" customHeight="1">
      <c r="B2359" s="56"/>
      <c r="U2359" s="46" t="str">
        <f t="array" ref="U2359">IF($D2359="","",IFERROR(_xlfn.XLOOKUP($D2359,'TIR店舗一覧'!$D:$D,'TIR店舗一覧'!$E:$E,""),""))</f>
        <v/>
      </c>
      <c r="V2359" s="54" t="s">
        <v>2</v>
      </c>
      <c r="W2359" s="54" t="s">
        <v>2</v>
      </c>
      <c r="X2359" s="54" t="s">
        <v>2</v>
      </c>
      <c r="Y2359" s="54" t="s">
        <v>2</v>
      </c>
      <c r="Z2359" s="54" t="s">
        <v>2</v>
      </c>
      <c r="AA2359" s="54" t="s">
        <v>2</v>
      </c>
      <c r="AB2359" s="54" t="s">
        <v>2</v>
      </c>
      <c r="AC2359" s="54" t="s">
        <v>2</v>
      </c>
      <c r="AD2359" s="54" t="s">
        <v>2</v>
      </c>
      <c r="AE2359" s="54" t="s">
        <v>2</v>
      </c>
      <c r="AF2359" s="54" t="s">
        <v>2</v>
      </c>
      <c r="AG2359" s="54" t="s">
        <v>2</v>
      </c>
    </row>
    <row r="2360" ht="15.75" customHeight="1">
      <c r="B2360" s="56"/>
      <c r="U2360" s="46" t="str">
        <f t="array" ref="U2360">IF($D2360="","",IFERROR(_xlfn.XLOOKUP($D2360,'TIR店舗一覧'!$D:$D,'TIR店舗一覧'!$E:$E,""),""))</f>
        <v/>
      </c>
      <c r="V2360" s="54" t="s">
        <v>2</v>
      </c>
      <c r="W2360" s="54" t="s">
        <v>2</v>
      </c>
      <c r="X2360" s="54" t="s">
        <v>2</v>
      </c>
      <c r="Y2360" s="54" t="s">
        <v>2</v>
      </c>
      <c r="Z2360" s="54" t="s">
        <v>2</v>
      </c>
      <c r="AA2360" s="54" t="s">
        <v>2</v>
      </c>
      <c r="AB2360" s="54" t="s">
        <v>2</v>
      </c>
      <c r="AC2360" s="54" t="s">
        <v>2</v>
      </c>
      <c r="AD2360" s="54" t="s">
        <v>2</v>
      </c>
      <c r="AE2360" s="54" t="s">
        <v>2</v>
      </c>
      <c r="AF2360" s="54" t="s">
        <v>2</v>
      </c>
      <c r="AG2360" s="54" t="s">
        <v>2</v>
      </c>
    </row>
    <row r="2361" ht="15.75" customHeight="1">
      <c r="B2361" s="56"/>
      <c r="U2361" s="46" t="str">
        <f t="array" ref="U2361">IF($D2361="","",IFERROR(_xlfn.XLOOKUP($D2361,'TIR店舗一覧'!$D:$D,'TIR店舗一覧'!$E:$E,""),""))</f>
        <v/>
      </c>
      <c r="V2361" s="54" t="s">
        <v>2</v>
      </c>
      <c r="W2361" s="54" t="s">
        <v>2</v>
      </c>
      <c r="X2361" s="54" t="s">
        <v>2</v>
      </c>
      <c r="Y2361" s="54" t="s">
        <v>2</v>
      </c>
      <c r="Z2361" s="54" t="s">
        <v>2</v>
      </c>
      <c r="AA2361" s="54" t="s">
        <v>2</v>
      </c>
      <c r="AB2361" s="54" t="s">
        <v>2</v>
      </c>
      <c r="AC2361" s="54" t="s">
        <v>2</v>
      </c>
      <c r="AD2361" s="54" t="s">
        <v>2</v>
      </c>
      <c r="AE2361" s="54" t="s">
        <v>2</v>
      </c>
      <c r="AF2361" s="54" t="s">
        <v>2</v>
      </c>
      <c r="AG2361" s="54" t="s">
        <v>2</v>
      </c>
    </row>
    <row r="2362" ht="15.75" customHeight="1">
      <c r="B2362" s="56"/>
      <c r="U2362" s="46" t="str">
        <f t="array" ref="U2362">IF($D2362="","",IFERROR(_xlfn.XLOOKUP($D2362,'TIR店舗一覧'!$D:$D,'TIR店舗一覧'!$E:$E,""),""))</f>
        <v/>
      </c>
      <c r="V2362" s="54" t="s">
        <v>2</v>
      </c>
      <c r="W2362" s="54" t="s">
        <v>2</v>
      </c>
      <c r="X2362" s="54" t="s">
        <v>2</v>
      </c>
      <c r="Y2362" s="54" t="s">
        <v>2</v>
      </c>
      <c r="Z2362" s="54" t="s">
        <v>2</v>
      </c>
      <c r="AA2362" s="54" t="s">
        <v>2</v>
      </c>
      <c r="AB2362" s="54" t="s">
        <v>2</v>
      </c>
      <c r="AC2362" s="54" t="s">
        <v>2</v>
      </c>
      <c r="AD2362" s="54" t="s">
        <v>2</v>
      </c>
      <c r="AE2362" s="54" t="s">
        <v>2</v>
      </c>
      <c r="AF2362" s="54" t="s">
        <v>2</v>
      </c>
      <c r="AG2362" s="54" t="s">
        <v>2</v>
      </c>
    </row>
    <row r="2363" ht="15.75" customHeight="1">
      <c r="B2363" s="56"/>
      <c r="U2363" s="46" t="str">
        <f t="array" ref="U2363">IF($D2363="","",IFERROR(_xlfn.XLOOKUP($D2363,'TIR店舗一覧'!$D:$D,'TIR店舗一覧'!$E:$E,""),""))</f>
        <v/>
      </c>
      <c r="V2363" s="54" t="s">
        <v>2</v>
      </c>
      <c r="W2363" s="54" t="s">
        <v>2</v>
      </c>
      <c r="X2363" s="54" t="s">
        <v>2</v>
      </c>
      <c r="Y2363" s="54" t="s">
        <v>2</v>
      </c>
      <c r="Z2363" s="54" t="s">
        <v>2</v>
      </c>
      <c r="AA2363" s="54" t="s">
        <v>2</v>
      </c>
      <c r="AB2363" s="54" t="s">
        <v>2</v>
      </c>
      <c r="AC2363" s="54" t="s">
        <v>2</v>
      </c>
      <c r="AD2363" s="54" t="s">
        <v>2</v>
      </c>
      <c r="AE2363" s="54" t="s">
        <v>2</v>
      </c>
      <c r="AF2363" s="54" t="s">
        <v>2</v>
      </c>
      <c r="AG2363" s="54" t="s">
        <v>2</v>
      </c>
    </row>
    <row r="2364" ht="15.75" customHeight="1">
      <c r="B2364" s="56"/>
      <c r="U2364" s="46" t="str">
        <f t="array" ref="U2364">IF($D2364="","",IFERROR(_xlfn.XLOOKUP($D2364,'TIR店舗一覧'!$D:$D,'TIR店舗一覧'!$E:$E,""),""))</f>
        <v/>
      </c>
      <c r="V2364" s="54" t="s">
        <v>2</v>
      </c>
      <c r="W2364" s="54" t="s">
        <v>2</v>
      </c>
      <c r="X2364" s="54" t="s">
        <v>2</v>
      </c>
      <c r="Y2364" s="54" t="s">
        <v>2</v>
      </c>
      <c r="Z2364" s="54" t="s">
        <v>2</v>
      </c>
      <c r="AA2364" s="54" t="s">
        <v>2</v>
      </c>
      <c r="AB2364" s="54" t="s">
        <v>2</v>
      </c>
      <c r="AC2364" s="54" t="s">
        <v>2</v>
      </c>
      <c r="AD2364" s="54" t="s">
        <v>2</v>
      </c>
      <c r="AE2364" s="54" t="s">
        <v>2</v>
      </c>
      <c r="AF2364" s="54" t="s">
        <v>2</v>
      </c>
      <c r="AG2364" s="54" t="s">
        <v>2</v>
      </c>
    </row>
    <row r="2365" ht="15.75" customHeight="1">
      <c r="B2365" s="56"/>
      <c r="U2365" s="46" t="str">
        <f t="array" ref="U2365">IF($D2365="","",IFERROR(_xlfn.XLOOKUP($D2365,'TIR店舗一覧'!$D:$D,'TIR店舗一覧'!$E:$E,""),""))</f>
        <v/>
      </c>
      <c r="V2365" s="54" t="s">
        <v>2</v>
      </c>
      <c r="W2365" s="54" t="s">
        <v>2</v>
      </c>
      <c r="X2365" s="54" t="s">
        <v>2</v>
      </c>
      <c r="Y2365" s="54" t="s">
        <v>2</v>
      </c>
      <c r="Z2365" s="54" t="s">
        <v>2</v>
      </c>
      <c r="AA2365" s="54" t="s">
        <v>2</v>
      </c>
      <c r="AB2365" s="54" t="s">
        <v>2</v>
      </c>
      <c r="AC2365" s="54" t="s">
        <v>2</v>
      </c>
      <c r="AD2365" s="54" t="s">
        <v>2</v>
      </c>
      <c r="AE2365" s="54" t="s">
        <v>2</v>
      </c>
      <c r="AF2365" s="54" t="s">
        <v>2</v>
      </c>
      <c r="AG2365" s="54" t="s">
        <v>2</v>
      </c>
    </row>
    <row r="2366" ht="15.75" customHeight="1">
      <c r="B2366" s="56"/>
      <c r="U2366" s="46" t="str">
        <f t="array" ref="U2366">IF($D2366="","",IFERROR(_xlfn.XLOOKUP($D2366,'TIR店舗一覧'!$D:$D,'TIR店舗一覧'!$E:$E,""),""))</f>
        <v/>
      </c>
      <c r="V2366" s="54" t="s">
        <v>2</v>
      </c>
      <c r="W2366" s="54" t="s">
        <v>2</v>
      </c>
      <c r="X2366" s="54" t="s">
        <v>2</v>
      </c>
      <c r="Y2366" s="54" t="s">
        <v>2</v>
      </c>
      <c r="Z2366" s="54" t="s">
        <v>2</v>
      </c>
      <c r="AA2366" s="54" t="s">
        <v>2</v>
      </c>
      <c r="AB2366" s="54" t="s">
        <v>2</v>
      </c>
      <c r="AC2366" s="54" t="s">
        <v>2</v>
      </c>
      <c r="AD2366" s="54" t="s">
        <v>2</v>
      </c>
      <c r="AE2366" s="54" t="s">
        <v>2</v>
      </c>
      <c r="AF2366" s="54" t="s">
        <v>2</v>
      </c>
      <c r="AG2366" s="54" t="s">
        <v>2</v>
      </c>
    </row>
    <row r="2367" ht="15.75" customHeight="1">
      <c r="B2367" s="56"/>
      <c r="U2367" s="46" t="str">
        <f t="array" ref="U2367">IF($D2367="","",IFERROR(_xlfn.XLOOKUP($D2367,'TIR店舗一覧'!$D:$D,'TIR店舗一覧'!$E:$E,""),""))</f>
        <v/>
      </c>
      <c r="V2367" s="54" t="s">
        <v>2</v>
      </c>
      <c r="W2367" s="54" t="s">
        <v>2</v>
      </c>
      <c r="X2367" s="54" t="s">
        <v>2</v>
      </c>
      <c r="Y2367" s="54" t="s">
        <v>2</v>
      </c>
      <c r="Z2367" s="54" t="s">
        <v>2</v>
      </c>
      <c r="AA2367" s="54" t="s">
        <v>2</v>
      </c>
      <c r="AB2367" s="54" t="s">
        <v>2</v>
      </c>
      <c r="AC2367" s="54" t="s">
        <v>2</v>
      </c>
      <c r="AD2367" s="54" t="s">
        <v>2</v>
      </c>
      <c r="AE2367" s="54" t="s">
        <v>2</v>
      </c>
      <c r="AF2367" s="54" t="s">
        <v>2</v>
      </c>
      <c r="AG2367" s="54" t="s">
        <v>2</v>
      </c>
    </row>
    <row r="2368" ht="15.75" customHeight="1">
      <c r="B2368" s="56"/>
      <c r="U2368" s="46" t="str">
        <f t="array" ref="U2368">IF($D2368="","",IFERROR(_xlfn.XLOOKUP($D2368,'TIR店舗一覧'!$D:$D,'TIR店舗一覧'!$E:$E,""),""))</f>
        <v/>
      </c>
      <c r="V2368" s="54" t="s">
        <v>2</v>
      </c>
      <c r="W2368" s="54" t="s">
        <v>2</v>
      </c>
      <c r="X2368" s="54" t="s">
        <v>2</v>
      </c>
      <c r="Y2368" s="54" t="s">
        <v>2</v>
      </c>
      <c r="Z2368" s="54" t="s">
        <v>2</v>
      </c>
      <c r="AA2368" s="54" t="s">
        <v>2</v>
      </c>
      <c r="AB2368" s="54" t="s">
        <v>2</v>
      </c>
      <c r="AC2368" s="54" t="s">
        <v>2</v>
      </c>
      <c r="AD2368" s="54" t="s">
        <v>2</v>
      </c>
      <c r="AE2368" s="54" t="s">
        <v>2</v>
      </c>
      <c r="AF2368" s="54" t="s">
        <v>2</v>
      </c>
      <c r="AG2368" s="54" t="s">
        <v>2</v>
      </c>
    </row>
    <row r="2369" ht="15.75" customHeight="1">
      <c r="B2369" s="56"/>
      <c r="U2369" s="46" t="str">
        <f t="array" ref="U2369">IF($D2369="","",IFERROR(_xlfn.XLOOKUP($D2369,'TIR店舗一覧'!$D:$D,'TIR店舗一覧'!$E:$E,""),""))</f>
        <v/>
      </c>
      <c r="V2369" s="54" t="s">
        <v>2</v>
      </c>
      <c r="W2369" s="54" t="s">
        <v>2</v>
      </c>
      <c r="X2369" s="54" t="s">
        <v>2</v>
      </c>
      <c r="Y2369" s="54" t="s">
        <v>2</v>
      </c>
      <c r="Z2369" s="54" t="s">
        <v>2</v>
      </c>
      <c r="AA2369" s="54" t="s">
        <v>2</v>
      </c>
      <c r="AB2369" s="54" t="s">
        <v>2</v>
      </c>
      <c r="AC2369" s="54" t="s">
        <v>2</v>
      </c>
      <c r="AD2369" s="54" t="s">
        <v>2</v>
      </c>
      <c r="AE2369" s="54" t="s">
        <v>2</v>
      </c>
      <c r="AF2369" s="54" t="s">
        <v>2</v>
      </c>
      <c r="AG2369" s="54" t="s">
        <v>2</v>
      </c>
    </row>
    <row r="2370" ht="15.75" customHeight="1">
      <c r="B2370" s="56"/>
      <c r="U2370" s="46" t="str">
        <f t="array" ref="U2370">IF($D2370="","",IFERROR(_xlfn.XLOOKUP($D2370,'TIR店舗一覧'!$D:$D,'TIR店舗一覧'!$E:$E,""),""))</f>
        <v/>
      </c>
      <c r="V2370" s="54" t="s">
        <v>2</v>
      </c>
      <c r="W2370" s="54" t="s">
        <v>2</v>
      </c>
      <c r="X2370" s="54" t="s">
        <v>2</v>
      </c>
      <c r="Y2370" s="54" t="s">
        <v>2</v>
      </c>
      <c r="Z2370" s="54" t="s">
        <v>2</v>
      </c>
      <c r="AA2370" s="54" t="s">
        <v>2</v>
      </c>
      <c r="AB2370" s="54" t="s">
        <v>2</v>
      </c>
      <c r="AC2370" s="54" t="s">
        <v>2</v>
      </c>
      <c r="AD2370" s="54" t="s">
        <v>2</v>
      </c>
      <c r="AE2370" s="54" t="s">
        <v>2</v>
      </c>
      <c r="AF2370" s="54" t="s">
        <v>2</v>
      </c>
      <c r="AG2370" s="54" t="s">
        <v>2</v>
      </c>
    </row>
    <row r="2371" ht="15.75" customHeight="1">
      <c r="B2371" s="56"/>
      <c r="U2371" s="46" t="str">
        <f t="array" ref="U2371">IF($D2371="","",IFERROR(_xlfn.XLOOKUP($D2371,'TIR店舗一覧'!$D:$D,'TIR店舗一覧'!$E:$E,""),""))</f>
        <v/>
      </c>
      <c r="V2371" s="54" t="s">
        <v>2</v>
      </c>
      <c r="W2371" s="54" t="s">
        <v>2</v>
      </c>
      <c r="X2371" s="54" t="s">
        <v>2</v>
      </c>
      <c r="Y2371" s="54" t="s">
        <v>2</v>
      </c>
      <c r="Z2371" s="54" t="s">
        <v>2</v>
      </c>
      <c r="AA2371" s="54" t="s">
        <v>2</v>
      </c>
      <c r="AB2371" s="54" t="s">
        <v>2</v>
      </c>
      <c r="AC2371" s="54" t="s">
        <v>2</v>
      </c>
      <c r="AD2371" s="54" t="s">
        <v>2</v>
      </c>
      <c r="AE2371" s="54" t="s">
        <v>2</v>
      </c>
      <c r="AF2371" s="54" t="s">
        <v>2</v>
      </c>
      <c r="AG2371" s="54" t="s">
        <v>2</v>
      </c>
    </row>
    <row r="2372" ht="15.75" customHeight="1">
      <c r="B2372" s="56"/>
      <c r="U2372" s="46" t="str">
        <f t="array" ref="U2372">IF($D2372="","",IFERROR(_xlfn.XLOOKUP($D2372,'TIR店舗一覧'!$D:$D,'TIR店舗一覧'!$E:$E,""),""))</f>
        <v/>
      </c>
      <c r="V2372" s="54" t="s">
        <v>2</v>
      </c>
      <c r="W2372" s="54" t="s">
        <v>2</v>
      </c>
      <c r="X2372" s="54" t="s">
        <v>2</v>
      </c>
      <c r="Y2372" s="54" t="s">
        <v>2</v>
      </c>
      <c r="Z2372" s="54" t="s">
        <v>2</v>
      </c>
      <c r="AA2372" s="54" t="s">
        <v>2</v>
      </c>
      <c r="AB2372" s="54" t="s">
        <v>2</v>
      </c>
      <c r="AC2372" s="54" t="s">
        <v>2</v>
      </c>
      <c r="AD2372" s="54" t="s">
        <v>2</v>
      </c>
      <c r="AE2372" s="54" t="s">
        <v>2</v>
      </c>
      <c r="AF2372" s="54" t="s">
        <v>2</v>
      </c>
      <c r="AG2372" s="54" t="s">
        <v>2</v>
      </c>
    </row>
    <row r="2373" ht="15.75" customHeight="1">
      <c r="B2373" s="56"/>
      <c r="U2373" s="46" t="str">
        <f t="array" ref="U2373">IF($D2373="","",IFERROR(_xlfn.XLOOKUP($D2373,'TIR店舗一覧'!$D:$D,'TIR店舗一覧'!$E:$E,""),""))</f>
        <v/>
      </c>
      <c r="V2373" s="54" t="s">
        <v>2</v>
      </c>
      <c r="W2373" s="54" t="s">
        <v>2</v>
      </c>
      <c r="X2373" s="54" t="s">
        <v>2</v>
      </c>
      <c r="Y2373" s="54" t="s">
        <v>2</v>
      </c>
      <c r="Z2373" s="54" t="s">
        <v>2</v>
      </c>
      <c r="AA2373" s="54" t="s">
        <v>2</v>
      </c>
      <c r="AB2373" s="54" t="s">
        <v>2</v>
      </c>
      <c r="AC2373" s="54" t="s">
        <v>2</v>
      </c>
      <c r="AD2373" s="54" t="s">
        <v>2</v>
      </c>
      <c r="AE2373" s="54" t="s">
        <v>2</v>
      </c>
      <c r="AF2373" s="54" t="s">
        <v>2</v>
      </c>
      <c r="AG2373" s="54" t="s">
        <v>2</v>
      </c>
    </row>
    <row r="2374" ht="15.75" customHeight="1">
      <c r="B2374" s="56"/>
      <c r="U2374" s="46" t="str">
        <f t="array" ref="U2374">IF($D2374="","",IFERROR(_xlfn.XLOOKUP($D2374,'TIR店舗一覧'!$D:$D,'TIR店舗一覧'!$E:$E,""),""))</f>
        <v/>
      </c>
      <c r="V2374" s="54" t="s">
        <v>2</v>
      </c>
      <c r="W2374" s="54" t="s">
        <v>2</v>
      </c>
      <c r="X2374" s="54" t="s">
        <v>2</v>
      </c>
      <c r="Y2374" s="54" t="s">
        <v>2</v>
      </c>
      <c r="Z2374" s="54" t="s">
        <v>2</v>
      </c>
      <c r="AA2374" s="54" t="s">
        <v>2</v>
      </c>
      <c r="AB2374" s="54" t="s">
        <v>2</v>
      </c>
      <c r="AC2374" s="54" t="s">
        <v>2</v>
      </c>
      <c r="AD2374" s="54" t="s">
        <v>2</v>
      </c>
      <c r="AE2374" s="54" t="s">
        <v>2</v>
      </c>
      <c r="AF2374" s="54" t="s">
        <v>2</v>
      </c>
      <c r="AG2374" s="54" t="s">
        <v>2</v>
      </c>
    </row>
    <row r="2375" ht="15.75" customHeight="1">
      <c r="B2375" s="56"/>
      <c r="U2375" s="46" t="str">
        <f t="array" ref="U2375">IF($D2375="","",IFERROR(_xlfn.XLOOKUP($D2375,'TIR店舗一覧'!$D:$D,'TIR店舗一覧'!$E:$E,""),""))</f>
        <v/>
      </c>
      <c r="V2375" s="54" t="s">
        <v>2</v>
      </c>
      <c r="W2375" s="54" t="s">
        <v>2</v>
      </c>
      <c r="X2375" s="54" t="s">
        <v>2</v>
      </c>
      <c r="Y2375" s="54" t="s">
        <v>2</v>
      </c>
      <c r="Z2375" s="54" t="s">
        <v>2</v>
      </c>
      <c r="AA2375" s="54" t="s">
        <v>2</v>
      </c>
      <c r="AB2375" s="54" t="s">
        <v>2</v>
      </c>
      <c r="AC2375" s="54" t="s">
        <v>2</v>
      </c>
      <c r="AD2375" s="54" t="s">
        <v>2</v>
      </c>
      <c r="AE2375" s="54" t="s">
        <v>2</v>
      </c>
      <c r="AF2375" s="54" t="s">
        <v>2</v>
      </c>
      <c r="AG2375" s="54" t="s">
        <v>2</v>
      </c>
    </row>
    <row r="2376" ht="15.75" customHeight="1">
      <c r="B2376" s="56"/>
      <c r="U2376" s="46" t="str">
        <f t="array" ref="U2376">IF($D2376="","",IFERROR(_xlfn.XLOOKUP($D2376,'TIR店舗一覧'!$D:$D,'TIR店舗一覧'!$E:$E,""),""))</f>
        <v/>
      </c>
      <c r="V2376" s="54" t="s">
        <v>2</v>
      </c>
      <c r="W2376" s="54" t="s">
        <v>2</v>
      </c>
      <c r="X2376" s="54" t="s">
        <v>2</v>
      </c>
      <c r="Y2376" s="54" t="s">
        <v>2</v>
      </c>
      <c r="Z2376" s="54" t="s">
        <v>2</v>
      </c>
      <c r="AA2376" s="54" t="s">
        <v>2</v>
      </c>
      <c r="AB2376" s="54" t="s">
        <v>2</v>
      </c>
      <c r="AC2376" s="54" t="s">
        <v>2</v>
      </c>
      <c r="AD2376" s="54" t="s">
        <v>2</v>
      </c>
      <c r="AE2376" s="54" t="s">
        <v>2</v>
      </c>
      <c r="AF2376" s="54" t="s">
        <v>2</v>
      </c>
      <c r="AG2376" s="54" t="s">
        <v>2</v>
      </c>
    </row>
    <row r="2377" ht="15.75" customHeight="1">
      <c r="B2377" s="56"/>
      <c r="U2377" s="46" t="str">
        <f t="array" ref="U2377">IF($D2377="","",IFERROR(_xlfn.XLOOKUP($D2377,'TIR店舗一覧'!$D:$D,'TIR店舗一覧'!$E:$E,""),""))</f>
        <v/>
      </c>
      <c r="V2377" s="54" t="s">
        <v>2</v>
      </c>
      <c r="W2377" s="54" t="s">
        <v>2</v>
      </c>
      <c r="X2377" s="54" t="s">
        <v>2</v>
      </c>
      <c r="Y2377" s="54" t="s">
        <v>2</v>
      </c>
      <c r="Z2377" s="54" t="s">
        <v>2</v>
      </c>
      <c r="AA2377" s="54" t="s">
        <v>2</v>
      </c>
      <c r="AB2377" s="54" t="s">
        <v>2</v>
      </c>
      <c r="AC2377" s="54" t="s">
        <v>2</v>
      </c>
      <c r="AD2377" s="54" t="s">
        <v>2</v>
      </c>
      <c r="AE2377" s="54" t="s">
        <v>2</v>
      </c>
      <c r="AF2377" s="54" t="s">
        <v>2</v>
      </c>
      <c r="AG2377" s="54" t="s">
        <v>2</v>
      </c>
    </row>
    <row r="2378" ht="15.75" customHeight="1">
      <c r="B2378" s="56"/>
      <c r="U2378" s="46" t="str">
        <f t="array" ref="U2378">IF($D2378="","",IFERROR(_xlfn.XLOOKUP($D2378,'TIR店舗一覧'!$D:$D,'TIR店舗一覧'!$E:$E,""),""))</f>
        <v/>
      </c>
      <c r="V2378" s="54" t="s">
        <v>2</v>
      </c>
      <c r="W2378" s="54" t="s">
        <v>2</v>
      </c>
      <c r="X2378" s="54" t="s">
        <v>2</v>
      </c>
      <c r="Y2378" s="54" t="s">
        <v>2</v>
      </c>
      <c r="Z2378" s="54" t="s">
        <v>2</v>
      </c>
      <c r="AA2378" s="54" t="s">
        <v>2</v>
      </c>
      <c r="AB2378" s="54" t="s">
        <v>2</v>
      </c>
      <c r="AC2378" s="54" t="s">
        <v>2</v>
      </c>
      <c r="AD2378" s="54" t="s">
        <v>2</v>
      </c>
      <c r="AE2378" s="54" t="s">
        <v>2</v>
      </c>
      <c r="AF2378" s="54" t="s">
        <v>2</v>
      </c>
      <c r="AG2378" s="54" t="s">
        <v>2</v>
      </c>
    </row>
    <row r="2379" ht="15.75" customHeight="1">
      <c r="B2379" s="56"/>
      <c r="U2379" s="46" t="str">
        <f t="array" ref="U2379">IF($D2379="","",IFERROR(_xlfn.XLOOKUP($D2379,'TIR店舗一覧'!$D:$D,'TIR店舗一覧'!$E:$E,""),""))</f>
        <v/>
      </c>
      <c r="V2379" s="54" t="s">
        <v>2</v>
      </c>
      <c r="W2379" s="54" t="s">
        <v>2</v>
      </c>
      <c r="X2379" s="54" t="s">
        <v>2</v>
      </c>
      <c r="Y2379" s="54" t="s">
        <v>2</v>
      </c>
      <c r="Z2379" s="54" t="s">
        <v>2</v>
      </c>
      <c r="AA2379" s="54" t="s">
        <v>2</v>
      </c>
      <c r="AB2379" s="54" t="s">
        <v>2</v>
      </c>
      <c r="AC2379" s="54" t="s">
        <v>2</v>
      </c>
      <c r="AD2379" s="54" t="s">
        <v>2</v>
      </c>
      <c r="AE2379" s="54" t="s">
        <v>2</v>
      </c>
      <c r="AF2379" s="54" t="s">
        <v>2</v>
      </c>
      <c r="AG2379" s="54" t="s">
        <v>2</v>
      </c>
    </row>
    <row r="2380" ht="15.75" customHeight="1">
      <c r="B2380" s="56"/>
      <c r="U2380" s="46" t="str">
        <f t="array" ref="U2380">IF($D2380="","",IFERROR(_xlfn.XLOOKUP($D2380,'TIR店舗一覧'!$D:$D,'TIR店舗一覧'!$E:$E,""),""))</f>
        <v/>
      </c>
      <c r="V2380" s="54" t="s">
        <v>2</v>
      </c>
      <c r="W2380" s="54" t="s">
        <v>2</v>
      </c>
      <c r="X2380" s="54" t="s">
        <v>2</v>
      </c>
      <c r="Y2380" s="54" t="s">
        <v>2</v>
      </c>
      <c r="Z2380" s="54" t="s">
        <v>2</v>
      </c>
      <c r="AA2380" s="54" t="s">
        <v>2</v>
      </c>
      <c r="AB2380" s="54" t="s">
        <v>2</v>
      </c>
      <c r="AC2380" s="54" t="s">
        <v>2</v>
      </c>
      <c r="AD2380" s="54" t="s">
        <v>2</v>
      </c>
      <c r="AE2380" s="54" t="s">
        <v>2</v>
      </c>
      <c r="AF2380" s="54" t="s">
        <v>2</v>
      </c>
      <c r="AG2380" s="54" t="s">
        <v>2</v>
      </c>
    </row>
    <row r="2381" ht="15.75" customHeight="1">
      <c r="B2381" s="56"/>
      <c r="U2381" s="46" t="str">
        <f t="array" ref="U2381">IF($D2381="","",IFERROR(_xlfn.XLOOKUP($D2381,'TIR店舗一覧'!$D:$D,'TIR店舗一覧'!$E:$E,""),""))</f>
        <v/>
      </c>
      <c r="V2381" s="54" t="s">
        <v>2</v>
      </c>
      <c r="W2381" s="54" t="s">
        <v>2</v>
      </c>
      <c r="X2381" s="54" t="s">
        <v>2</v>
      </c>
      <c r="Y2381" s="54" t="s">
        <v>2</v>
      </c>
      <c r="Z2381" s="54" t="s">
        <v>2</v>
      </c>
      <c r="AA2381" s="54" t="s">
        <v>2</v>
      </c>
      <c r="AB2381" s="54" t="s">
        <v>2</v>
      </c>
      <c r="AC2381" s="54" t="s">
        <v>2</v>
      </c>
      <c r="AD2381" s="54" t="s">
        <v>2</v>
      </c>
      <c r="AE2381" s="54" t="s">
        <v>2</v>
      </c>
      <c r="AF2381" s="54" t="s">
        <v>2</v>
      </c>
      <c r="AG2381" s="54" t="s">
        <v>2</v>
      </c>
    </row>
    <row r="2382" ht="15.75" customHeight="1">
      <c r="B2382" s="56"/>
      <c r="U2382" s="46" t="str">
        <f t="array" ref="U2382">IF($D2382="","",IFERROR(_xlfn.XLOOKUP($D2382,'TIR店舗一覧'!$D:$D,'TIR店舗一覧'!$E:$E,""),""))</f>
        <v/>
      </c>
      <c r="V2382" s="54" t="s">
        <v>2</v>
      </c>
      <c r="W2382" s="54" t="s">
        <v>2</v>
      </c>
      <c r="X2382" s="54" t="s">
        <v>2</v>
      </c>
      <c r="Y2382" s="54" t="s">
        <v>2</v>
      </c>
      <c r="Z2382" s="54" t="s">
        <v>2</v>
      </c>
      <c r="AA2382" s="54" t="s">
        <v>2</v>
      </c>
      <c r="AB2382" s="54" t="s">
        <v>2</v>
      </c>
      <c r="AC2382" s="54" t="s">
        <v>2</v>
      </c>
      <c r="AD2382" s="54" t="s">
        <v>2</v>
      </c>
      <c r="AE2382" s="54" t="s">
        <v>2</v>
      </c>
      <c r="AF2382" s="54" t="s">
        <v>2</v>
      </c>
      <c r="AG2382" s="54" t="s">
        <v>2</v>
      </c>
    </row>
    <row r="2383" ht="15.75" customHeight="1">
      <c r="B2383" s="56"/>
      <c r="U2383" s="46" t="str">
        <f t="array" ref="U2383">IF($D2383="","",IFERROR(_xlfn.XLOOKUP($D2383,'TIR店舗一覧'!$D:$D,'TIR店舗一覧'!$E:$E,""),""))</f>
        <v/>
      </c>
      <c r="V2383" s="54" t="s">
        <v>2</v>
      </c>
      <c r="W2383" s="54" t="s">
        <v>2</v>
      </c>
      <c r="X2383" s="54" t="s">
        <v>2</v>
      </c>
      <c r="Y2383" s="54" t="s">
        <v>2</v>
      </c>
      <c r="Z2383" s="54" t="s">
        <v>2</v>
      </c>
      <c r="AA2383" s="54" t="s">
        <v>2</v>
      </c>
      <c r="AB2383" s="54" t="s">
        <v>2</v>
      </c>
      <c r="AC2383" s="54" t="s">
        <v>2</v>
      </c>
      <c r="AD2383" s="54" t="s">
        <v>2</v>
      </c>
      <c r="AE2383" s="54" t="s">
        <v>2</v>
      </c>
      <c r="AF2383" s="54" t="s">
        <v>2</v>
      </c>
      <c r="AG2383" s="54" t="s">
        <v>2</v>
      </c>
    </row>
    <row r="2384" ht="15.75" customHeight="1">
      <c r="B2384" s="56"/>
      <c r="U2384" s="46" t="str">
        <f t="array" ref="U2384">IF($D2384="","",IFERROR(_xlfn.XLOOKUP($D2384,'TIR店舗一覧'!$D:$D,'TIR店舗一覧'!$E:$E,""),""))</f>
        <v/>
      </c>
      <c r="V2384" s="54" t="s">
        <v>2</v>
      </c>
      <c r="W2384" s="54" t="s">
        <v>2</v>
      </c>
      <c r="X2384" s="54" t="s">
        <v>2</v>
      </c>
      <c r="Y2384" s="54" t="s">
        <v>2</v>
      </c>
      <c r="Z2384" s="54" t="s">
        <v>2</v>
      </c>
      <c r="AA2384" s="54" t="s">
        <v>2</v>
      </c>
      <c r="AB2384" s="54" t="s">
        <v>2</v>
      </c>
      <c r="AC2384" s="54" t="s">
        <v>2</v>
      </c>
      <c r="AD2384" s="54" t="s">
        <v>2</v>
      </c>
      <c r="AE2384" s="54" t="s">
        <v>2</v>
      </c>
      <c r="AF2384" s="54" t="s">
        <v>2</v>
      </c>
      <c r="AG2384" s="54" t="s">
        <v>2</v>
      </c>
    </row>
    <row r="2385" ht="15.75" customHeight="1">
      <c r="B2385" s="56"/>
      <c r="U2385" s="46" t="str">
        <f t="array" ref="U2385">IF($D2385="","",IFERROR(_xlfn.XLOOKUP($D2385,'TIR店舗一覧'!$D:$D,'TIR店舗一覧'!$E:$E,""),""))</f>
        <v/>
      </c>
      <c r="V2385" s="54" t="s">
        <v>2</v>
      </c>
      <c r="W2385" s="54" t="s">
        <v>2</v>
      </c>
      <c r="X2385" s="54" t="s">
        <v>2</v>
      </c>
      <c r="Y2385" s="54" t="s">
        <v>2</v>
      </c>
      <c r="Z2385" s="54" t="s">
        <v>2</v>
      </c>
      <c r="AA2385" s="54" t="s">
        <v>2</v>
      </c>
      <c r="AB2385" s="54" t="s">
        <v>2</v>
      </c>
      <c r="AC2385" s="54" t="s">
        <v>2</v>
      </c>
      <c r="AD2385" s="54" t="s">
        <v>2</v>
      </c>
      <c r="AE2385" s="54" t="s">
        <v>2</v>
      </c>
      <c r="AF2385" s="54" t="s">
        <v>2</v>
      </c>
      <c r="AG2385" s="54" t="s">
        <v>2</v>
      </c>
    </row>
    <row r="2386" ht="15.75" customHeight="1">
      <c r="B2386" s="56"/>
      <c r="U2386" s="46" t="str">
        <f t="array" ref="U2386">IF($D2386="","",IFERROR(_xlfn.XLOOKUP($D2386,'TIR店舗一覧'!$D:$D,'TIR店舗一覧'!$E:$E,""),""))</f>
        <v/>
      </c>
      <c r="V2386" s="54" t="s">
        <v>2</v>
      </c>
      <c r="W2386" s="54" t="s">
        <v>2</v>
      </c>
      <c r="X2386" s="54" t="s">
        <v>2</v>
      </c>
      <c r="Y2386" s="54" t="s">
        <v>2</v>
      </c>
      <c r="Z2386" s="54" t="s">
        <v>2</v>
      </c>
      <c r="AA2386" s="54" t="s">
        <v>2</v>
      </c>
      <c r="AB2386" s="54" t="s">
        <v>2</v>
      </c>
      <c r="AC2386" s="54" t="s">
        <v>2</v>
      </c>
      <c r="AD2386" s="54" t="s">
        <v>2</v>
      </c>
      <c r="AE2386" s="54" t="s">
        <v>2</v>
      </c>
      <c r="AF2386" s="54" t="s">
        <v>2</v>
      </c>
      <c r="AG2386" s="54" t="s">
        <v>2</v>
      </c>
    </row>
    <row r="2387" ht="15.75" customHeight="1">
      <c r="B2387" s="56"/>
      <c r="U2387" s="46" t="str">
        <f t="array" ref="U2387">IF($D2387="","",IFERROR(_xlfn.XLOOKUP($D2387,'TIR店舗一覧'!$D:$D,'TIR店舗一覧'!$E:$E,""),""))</f>
        <v/>
      </c>
      <c r="V2387" s="54" t="s">
        <v>2</v>
      </c>
      <c r="W2387" s="54" t="s">
        <v>2</v>
      </c>
      <c r="X2387" s="54" t="s">
        <v>2</v>
      </c>
      <c r="Y2387" s="54" t="s">
        <v>2</v>
      </c>
      <c r="Z2387" s="54" t="s">
        <v>2</v>
      </c>
      <c r="AA2387" s="54" t="s">
        <v>2</v>
      </c>
      <c r="AB2387" s="54" t="s">
        <v>2</v>
      </c>
      <c r="AC2387" s="54" t="s">
        <v>2</v>
      </c>
      <c r="AD2387" s="54" t="s">
        <v>2</v>
      </c>
      <c r="AE2387" s="54" t="s">
        <v>2</v>
      </c>
      <c r="AF2387" s="54" t="s">
        <v>2</v>
      </c>
      <c r="AG2387" s="54" t="s">
        <v>2</v>
      </c>
    </row>
    <row r="2388" ht="15.75" customHeight="1">
      <c r="B2388" s="56"/>
      <c r="U2388" s="46" t="str">
        <f t="array" ref="U2388">IF($D2388="","",IFERROR(_xlfn.XLOOKUP($D2388,'TIR店舗一覧'!$D:$D,'TIR店舗一覧'!$E:$E,""),""))</f>
        <v/>
      </c>
      <c r="V2388" s="54" t="s">
        <v>2</v>
      </c>
      <c r="W2388" s="54" t="s">
        <v>2</v>
      </c>
      <c r="X2388" s="54" t="s">
        <v>2</v>
      </c>
      <c r="Y2388" s="54" t="s">
        <v>2</v>
      </c>
      <c r="Z2388" s="54" t="s">
        <v>2</v>
      </c>
      <c r="AA2388" s="54" t="s">
        <v>2</v>
      </c>
      <c r="AB2388" s="54" t="s">
        <v>2</v>
      </c>
      <c r="AC2388" s="54" t="s">
        <v>2</v>
      </c>
      <c r="AD2388" s="54" t="s">
        <v>2</v>
      </c>
      <c r="AE2388" s="54" t="s">
        <v>2</v>
      </c>
      <c r="AF2388" s="54" t="s">
        <v>2</v>
      </c>
      <c r="AG2388" s="54" t="s">
        <v>2</v>
      </c>
    </row>
    <row r="2389" ht="15.75" customHeight="1">
      <c r="B2389" s="56"/>
      <c r="U2389" s="46" t="str">
        <f t="array" ref="U2389">IF($D2389="","",IFERROR(_xlfn.XLOOKUP($D2389,'TIR店舗一覧'!$D:$D,'TIR店舗一覧'!$E:$E,""),""))</f>
        <v/>
      </c>
      <c r="V2389" s="54" t="s">
        <v>2</v>
      </c>
      <c r="W2389" s="54" t="s">
        <v>2</v>
      </c>
      <c r="X2389" s="54" t="s">
        <v>2</v>
      </c>
      <c r="Y2389" s="54" t="s">
        <v>2</v>
      </c>
      <c r="Z2389" s="54" t="s">
        <v>2</v>
      </c>
      <c r="AA2389" s="54" t="s">
        <v>2</v>
      </c>
      <c r="AB2389" s="54" t="s">
        <v>2</v>
      </c>
      <c r="AC2389" s="54" t="s">
        <v>2</v>
      </c>
      <c r="AD2389" s="54" t="s">
        <v>2</v>
      </c>
      <c r="AE2389" s="54" t="s">
        <v>2</v>
      </c>
      <c r="AF2389" s="54" t="s">
        <v>2</v>
      </c>
      <c r="AG2389" s="54" t="s">
        <v>2</v>
      </c>
    </row>
    <row r="2390" ht="15.75" customHeight="1">
      <c r="B2390" s="56"/>
      <c r="U2390" s="46" t="str">
        <f t="array" ref="U2390">IF($D2390="","",IFERROR(_xlfn.XLOOKUP($D2390,'TIR店舗一覧'!$D:$D,'TIR店舗一覧'!$E:$E,""),""))</f>
        <v/>
      </c>
      <c r="V2390" s="54" t="s">
        <v>2</v>
      </c>
      <c r="W2390" s="54" t="s">
        <v>2</v>
      </c>
      <c r="X2390" s="54" t="s">
        <v>2</v>
      </c>
      <c r="Y2390" s="54" t="s">
        <v>2</v>
      </c>
      <c r="Z2390" s="54" t="s">
        <v>2</v>
      </c>
      <c r="AA2390" s="54" t="s">
        <v>2</v>
      </c>
      <c r="AB2390" s="54" t="s">
        <v>2</v>
      </c>
      <c r="AC2390" s="54" t="s">
        <v>2</v>
      </c>
      <c r="AD2390" s="54" t="s">
        <v>2</v>
      </c>
      <c r="AE2390" s="54" t="s">
        <v>2</v>
      </c>
      <c r="AF2390" s="54" t="s">
        <v>2</v>
      </c>
      <c r="AG2390" s="54" t="s">
        <v>2</v>
      </c>
    </row>
    <row r="2391" ht="15.75" customHeight="1">
      <c r="B2391" s="56"/>
      <c r="U2391" s="46" t="str">
        <f t="array" ref="U2391">IF($D2391="","",IFERROR(_xlfn.XLOOKUP($D2391,'TIR店舗一覧'!$D:$D,'TIR店舗一覧'!$E:$E,""),""))</f>
        <v/>
      </c>
      <c r="V2391" s="54" t="s">
        <v>2</v>
      </c>
      <c r="W2391" s="54" t="s">
        <v>2</v>
      </c>
      <c r="X2391" s="54" t="s">
        <v>2</v>
      </c>
      <c r="Y2391" s="54" t="s">
        <v>2</v>
      </c>
      <c r="Z2391" s="54" t="s">
        <v>2</v>
      </c>
      <c r="AA2391" s="54" t="s">
        <v>2</v>
      </c>
      <c r="AB2391" s="54" t="s">
        <v>2</v>
      </c>
      <c r="AC2391" s="54" t="s">
        <v>2</v>
      </c>
      <c r="AD2391" s="54" t="s">
        <v>2</v>
      </c>
      <c r="AE2391" s="54" t="s">
        <v>2</v>
      </c>
      <c r="AF2391" s="54" t="s">
        <v>2</v>
      </c>
      <c r="AG2391" s="54" t="s">
        <v>2</v>
      </c>
    </row>
    <row r="2392" ht="15.75" customHeight="1">
      <c r="B2392" s="56"/>
      <c r="U2392" s="46" t="str">
        <f t="array" ref="U2392">IF($D2392="","",IFERROR(_xlfn.XLOOKUP($D2392,'TIR店舗一覧'!$D:$D,'TIR店舗一覧'!$E:$E,""),""))</f>
        <v/>
      </c>
      <c r="V2392" s="54" t="s">
        <v>2</v>
      </c>
      <c r="W2392" s="54" t="s">
        <v>2</v>
      </c>
      <c r="X2392" s="54" t="s">
        <v>2</v>
      </c>
      <c r="Y2392" s="54" t="s">
        <v>2</v>
      </c>
      <c r="Z2392" s="54" t="s">
        <v>2</v>
      </c>
      <c r="AA2392" s="54" t="s">
        <v>2</v>
      </c>
      <c r="AB2392" s="54" t="s">
        <v>2</v>
      </c>
      <c r="AC2392" s="54" t="s">
        <v>2</v>
      </c>
      <c r="AD2392" s="54" t="s">
        <v>2</v>
      </c>
      <c r="AE2392" s="54" t="s">
        <v>2</v>
      </c>
      <c r="AF2392" s="54" t="s">
        <v>2</v>
      </c>
      <c r="AG2392" s="54" t="s">
        <v>2</v>
      </c>
    </row>
    <row r="2393" ht="15.75" customHeight="1">
      <c r="B2393" s="56"/>
      <c r="U2393" s="46" t="str">
        <f t="array" ref="U2393">IF($D2393="","",IFERROR(_xlfn.XLOOKUP($D2393,'TIR店舗一覧'!$D:$D,'TIR店舗一覧'!$E:$E,""),""))</f>
        <v/>
      </c>
      <c r="V2393" s="54" t="s">
        <v>2</v>
      </c>
      <c r="W2393" s="54" t="s">
        <v>2</v>
      </c>
      <c r="X2393" s="54" t="s">
        <v>2</v>
      </c>
      <c r="Y2393" s="54" t="s">
        <v>2</v>
      </c>
      <c r="Z2393" s="54" t="s">
        <v>2</v>
      </c>
      <c r="AA2393" s="54" t="s">
        <v>2</v>
      </c>
      <c r="AB2393" s="54" t="s">
        <v>2</v>
      </c>
      <c r="AC2393" s="54" t="s">
        <v>2</v>
      </c>
      <c r="AD2393" s="54" t="s">
        <v>2</v>
      </c>
      <c r="AE2393" s="54" t="s">
        <v>2</v>
      </c>
      <c r="AF2393" s="54" t="s">
        <v>2</v>
      </c>
      <c r="AG2393" s="54" t="s">
        <v>2</v>
      </c>
    </row>
    <row r="2394" ht="15.75" customHeight="1">
      <c r="B2394" s="56"/>
      <c r="U2394" s="46" t="str">
        <f t="array" ref="U2394">IF($D2394="","",IFERROR(_xlfn.XLOOKUP($D2394,'TIR店舗一覧'!$D:$D,'TIR店舗一覧'!$E:$E,""),""))</f>
        <v/>
      </c>
      <c r="V2394" s="54" t="s">
        <v>2</v>
      </c>
      <c r="W2394" s="54" t="s">
        <v>2</v>
      </c>
      <c r="X2394" s="54" t="s">
        <v>2</v>
      </c>
      <c r="Y2394" s="54" t="s">
        <v>2</v>
      </c>
      <c r="Z2394" s="54" t="s">
        <v>2</v>
      </c>
      <c r="AA2394" s="54" t="s">
        <v>2</v>
      </c>
      <c r="AB2394" s="54" t="s">
        <v>2</v>
      </c>
      <c r="AC2394" s="54" t="s">
        <v>2</v>
      </c>
      <c r="AD2394" s="54" t="s">
        <v>2</v>
      </c>
      <c r="AE2394" s="54" t="s">
        <v>2</v>
      </c>
      <c r="AF2394" s="54" t="s">
        <v>2</v>
      </c>
      <c r="AG2394" s="54" t="s">
        <v>2</v>
      </c>
    </row>
    <row r="2395" ht="15.75" customHeight="1">
      <c r="B2395" s="56"/>
      <c r="U2395" s="46" t="str">
        <f t="array" ref="U2395">IF($D2395="","",IFERROR(_xlfn.XLOOKUP($D2395,'TIR店舗一覧'!$D:$D,'TIR店舗一覧'!$E:$E,""),""))</f>
        <v/>
      </c>
      <c r="V2395" s="54" t="s">
        <v>2</v>
      </c>
      <c r="W2395" s="54" t="s">
        <v>2</v>
      </c>
      <c r="X2395" s="54" t="s">
        <v>2</v>
      </c>
      <c r="Y2395" s="54" t="s">
        <v>2</v>
      </c>
      <c r="Z2395" s="54" t="s">
        <v>2</v>
      </c>
      <c r="AA2395" s="54" t="s">
        <v>2</v>
      </c>
      <c r="AB2395" s="54" t="s">
        <v>2</v>
      </c>
      <c r="AC2395" s="54" t="s">
        <v>2</v>
      </c>
      <c r="AD2395" s="54" t="s">
        <v>2</v>
      </c>
      <c r="AE2395" s="54" t="s">
        <v>2</v>
      </c>
      <c r="AF2395" s="54" t="s">
        <v>2</v>
      </c>
      <c r="AG2395" s="54" t="s">
        <v>2</v>
      </c>
    </row>
    <row r="2396" ht="15.75" customHeight="1">
      <c r="B2396" s="56"/>
      <c r="U2396" s="46" t="str">
        <f t="array" ref="U2396">IF($D2396="","",IFERROR(_xlfn.XLOOKUP($D2396,'TIR店舗一覧'!$D:$D,'TIR店舗一覧'!$E:$E,""),""))</f>
        <v/>
      </c>
      <c r="V2396" s="54" t="s">
        <v>2</v>
      </c>
      <c r="W2396" s="54" t="s">
        <v>2</v>
      </c>
      <c r="X2396" s="54" t="s">
        <v>2</v>
      </c>
      <c r="Y2396" s="54" t="s">
        <v>2</v>
      </c>
      <c r="Z2396" s="54" t="s">
        <v>2</v>
      </c>
      <c r="AA2396" s="54" t="s">
        <v>2</v>
      </c>
      <c r="AB2396" s="54" t="s">
        <v>2</v>
      </c>
      <c r="AC2396" s="54" t="s">
        <v>2</v>
      </c>
      <c r="AD2396" s="54" t="s">
        <v>2</v>
      </c>
      <c r="AE2396" s="54" t="s">
        <v>2</v>
      </c>
      <c r="AF2396" s="54" t="s">
        <v>2</v>
      </c>
      <c r="AG2396" s="54" t="s">
        <v>2</v>
      </c>
    </row>
    <row r="2397" ht="15.75" customHeight="1">
      <c r="B2397" s="56"/>
      <c r="U2397" s="46" t="str">
        <f t="array" ref="U2397">IF($D2397="","",IFERROR(_xlfn.XLOOKUP($D2397,'TIR店舗一覧'!$D:$D,'TIR店舗一覧'!$E:$E,""),""))</f>
        <v/>
      </c>
      <c r="V2397" s="54" t="s">
        <v>2</v>
      </c>
      <c r="W2397" s="54" t="s">
        <v>2</v>
      </c>
      <c r="X2397" s="54" t="s">
        <v>2</v>
      </c>
      <c r="Y2397" s="54" t="s">
        <v>2</v>
      </c>
      <c r="Z2397" s="54" t="s">
        <v>2</v>
      </c>
      <c r="AA2397" s="54" t="s">
        <v>2</v>
      </c>
      <c r="AB2397" s="54" t="s">
        <v>2</v>
      </c>
      <c r="AC2397" s="54" t="s">
        <v>2</v>
      </c>
      <c r="AD2397" s="54" t="s">
        <v>2</v>
      </c>
      <c r="AE2397" s="54" t="s">
        <v>2</v>
      </c>
      <c r="AF2397" s="54" t="s">
        <v>2</v>
      </c>
      <c r="AG2397" s="54" t="s">
        <v>2</v>
      </c>
    </row>
    <row r="2398" ht="15.75" customHeight="1">
      <c r="B2398" s="56"/>
      <c r="U2398" s="46" t="str">
        <f t="array" ref="U2398">IF($D2398="","",IFERROR(_xlfn.XLOOKUP($D2398,'TIR店舗一覧'!$D:$D,'TIR店舗一覧'!$E:$E,""),""))</f>
        <v/>
      </c>
      <c r="V2398" s="54" t="s">
        <v>2</v>
      </c>
      <c r="W2398" s="54" t="s">
        <v>2</v>
      </c>
      <c r="X2398" s="54" t="s">
        <v>2</v>
      </c>
      <c r="Y2398" s="54" t="s">
        <v>2</v>
      </c>
      <c r="Z2398" s="54" t="s">
        <v>2</v>
      </c>
      <c r="AA2398" s="54" t="s">
        <v>2</v>
      </c>
      <c r="AB2398" s="54" t="s">
        <v>2</v>
      </c>
      <c r="AC2398" s="54" t="s">
        <v>2</v>
      </c>
      <c r="AD2398" s="54" t="s">
        <v>2</v>
      </c>
      <c r="AE2398" s="54" t="s">
        <v>2</v>
      </c>
      <c r="AF2398" s="54" t="s">
        <v>2</v>
      </c>
      <c r="AG2398" s="54" t="s">
        <v>2</v>
      </c>
    </row>
    <row r="2399" ht="15.75" customHeight="1">
      <c r="B2399" s="56"/>
      <c r="U2399" s="46" t="str">
        <f t="array" ref="U2399">IF($D2399="","",IFERROR(_xlfn.XLOOKUP($D2399,'TIR店舗一覧'!$D:$D,'TIR店舗一覧'!$E:$E,""),""))</f>
        <v/>
      </c>
      <c r="V2399" s="54" t="s">
        <v>2</v>
      </c>
      <c r="W2399" s="54" t="s">
        <v>2</v>
      </c>
      <c r="X2399" s="54" t="s">
        <v>2</v>
      </c>
      <c r="Y2399" s="54" t="s">
        <v>2</v>
      </c>
      <c r="Z2399" s="54" t="s">
        <v>2</v>
      </c>
      <c r="AA2399" s="54" t="s">
        <v>2</v>
      </c>
      <c r="AB2399" s="54" t="s">
        <v>2</v>
      </c>
      <c r="AC2399" s="54" t="s">
        <v>2</v>
      </c>
      <c r="AD2399" s="54" t="s">
        <v>2</v>
      </c>
      <c r="AE2399" s="54" t="s">
        <v>2</v>
      </c>
      <c r="AF2399" s="54" t="s">
        <v>2</v>
      </c>
      <c r="AG2399" s="54" t="s">
        <v>2</v>
      </c>
    </row>
    <row r="2400" ht="15.75" customHeight="1">
      <c r="B2400" s="56"/>
      <c r="U2400" s="46" t="str">
        <f t="array" ref="U2400">IF($D2400="","",IFERROR(_xlfn.XLOOKUP($D2400,'TIR店舗一覧'!$D:$D,'TIR店舗一覧'!$E:$E,""),""))</f>
        <v/>
      </c>
      <c r="V2400" s="54" t="s">
        <v>2</v>
      </c>
      <c r="W2400" s="54" t="s">
        <v>2</v>
      </c>
      <c r="X2400" s="54" t="s">
        <v>2</v>
      </c>
      <c r="Y2400" s="54" t="s">
        <v>2</v>
      </c>
      <c r="Z2400" s="54" t="s">
        <v>2</v>
      </c>
      <c r="AA2400" s="54" t="s">
        <v>2</v>
      </c>
      <c r="AB2400" s="54" t="s">
        <v>2</v>
      </c>
      <c r="AC2400" s="54" t="s">
        <v>2</v>
      </c>
      <c r="AD2400" s="54" t="s">
        <v>2</v>
      </c>
      <c r="AE2400" s="54" t="s">
        <v>2</v>
      </c>
      <c r="AF2400" s="54" t="s">
        <v>2</v>
      </c>
      <c r="AG2400" s="54" t="s">
        <v>2</v>
      </c>
    </row>
    <row r="2401" ht="15.75" customHeight="1">
      <c r="B2401" s="56"/>
      <c r="U2401" s="46" t="str">
        <f t="array" ref="U2401">IF($D2401="","",IFERROR(_xlfn.XLOOKUP($D2401,'TIR店舗一覧'!$D:$D,'TIR店舗一覧'!$E:$E,""),""))</f>
        <v/>
      </c>
      <c r="V2401" s="54" t="s">
        <v>2</v>
      </c>
      <c r="W2401" s="54" t="s">
        <v>2</v>
      </c>
      <c r="X2401" s="54" t="s">
        <v>2</v>
      </c>
      <c r="Y2401" s="54" t="s">
        <v>2</v>
      </c>
      <c r="Z2401" s="54" t="s">
        <v>2</v>
      </c>
      <c r="AA2401" s="54" t="s">
        <v>2</v>
      </c>
      <c r="AB2401" s="54" t="s">
        <v>2</v>
      </c>
      <c r="AC2401" s="54" t="s">
        <v>2</v>
      </c>
      <c r="AD2401" s="54" t="s">
        <v>2</v>
      </c>
      <c r="AE2401" s="54" t="s">
        <v>2</v>
      </c>
      <c r="AF2401" s="54" t="s">
        <v>2</v>
      </c>
      <c r="AG2401" s="54" t="s">
        <v>2</v>
      </c>
    </row>
    <row r="2402" ht="15.75" customHeight="1">
      <c r="B2402" s="56"/>
      <c r="U2402" s="46" t="str">
        <f t="array" ref="U2402">IF($D2402="","",IFERROR(_xlfn.XLOOKUP($D2402,'TIR店舗一覧'!$D:$D,'TIR店舗一覧'!$E:$E,""),""))</f>
        <v/>
      </c>
      <c r="V2402" s="54" t="s">
        <v>2</v>
      </c>
      <c r="W2402" s="54" t="s">
        <v>2</v>
      </c>
      <c r="X2402" s="54" t="s">
        <v>2</v>
      </c>
      <c r="Y2402" s="54" t="s">
        <v>2</v>
      </c>
      <c r="Z2402" s="54" t="s">
        <v>2</v>
      </c>
      <c r="AA2402" s="54" t="s">
        <v>2</v>
      </c>
      <c r="AB2402" s="54" t="s">
        <v>2</v>
      </c>
      <c r="AC2402" s="54" t="s">
        <v>2</v>
      </c>
      <c r="AD2402" s="54" t="s">
        <v>2</v>
      </c>
      <c r="AE2402" s="54" t="s">
        <v>2</v>
      </c>
      <c r="AF2402" s="54" t="s">
        <v>2</v>
      </c>
      <c r="AG2402" s="54" t="s">
        <v>2</v>
      </c>
    </row>
    <row r="2403" ht="15.75" customHeight="1">
      <c r="B2403" s="56"/>
      <c r="U2403" s="46" t="str">
        <f t="array" ref="U2403">IF($D2403="","",IFERROR(_xlfn.XLOOKUP($D2403,'TIR店舗一覧'!$D:$D,'TIR店舗一覧'!$E:$E,""),""))</f>
        <v/>
      </c>
      <c r="V2403" s="54" t="s">
        <v>2</v>
      </c>
      <c r="W2403" s="54" t="s">
        <v>2</v>
      </c>
      <c r="X2403" s="54" t="s">
        <v>2</v>
      </c>
      <c r="Y2403" s="54" t="s">
        <v>2</v>
      </c>
      <c r="Z2403" s="54" t="s">
        <v>2</v>
      </c>
      <c r="AA2403" s="54" t="s">
        <v>2</v>
      </c>
      <c r="AB2403" s="54" t="s">
        <v>2</v>
      </c>
      <c r="AC2403" s="54" t="s">
        <v>2</v>
      </c>
      <c r="AD2403" s="54" t="s">
        <v>2</v>
      </c>
      <c r="AE2403" s="54" t="s">
        <v>2</v>
      </c>
      <c r="AF2403" s="54" t="s">
        <v>2</v>
      </c>
      <c r="AG2403" s="54" t="s">
        <v>2</v>
      </c>
    </row>
    <row r="2404" ht="15.75" customHeight="1">
      <c r="B2404" s="56"/>
      <c r="U2404" s="46" t="str">
        <f t="array" ref="U2404">IF($D2404="","",IFERROR(_xlfn.XLOOKUP($D2404,'TIR店舗一覧'!$D:$D,'TIR店舗一覧'!$E:$E,""),""))</f>
        <v/>
      </c>
      <c r="V2404" s="54" t="s">
        <v>2</v>
      </c>
      <c r="W2404" s="54" t="s">
        <v>2</v>
      </c>
      <c r="X2404" s="54" t="s">
        <v>2</v>
      </c>
      <c r="Y2404" s="54" t="s">
        <v>2</v>
      </c>
      <c r="Z2404" s="54" t="s">
        <v>2</v>
      </c>
      <c r="AA2404" s="54" t="s">
        <v>2</v>
      </c>
      <c r="AB2404" s="54" t="s">
        <v>2</v>
      </c>
      <c r="AC2404" s="54" t="s">
        <v>2</v>
      </c>
      <c r="AD2404" s="54" t="s">
        <v>2</v>
      </c>
      <c r="AE2404" s="54" t="s">
        <v>2</v>
      </c>
      <c r="AF2404" s="54" t="s">
        <v>2</v>
      </c>
      <c r="AG2404" s="54" t="s">
        <v>2</v>
      </c>
    </row>
    <row r="2405" ht="15.75" customHeight="1">
      <c r="B2405" s="56"/>
      <c r="U2405" s="46" t="str">
        <f t="array" ref="U2405">IF($D2405="","",IFERROR(_xlfn.XLOOKUP($D2405,'TIR店舗一覧'!$D:$D,'TIR店舗一覧'!$E:$E,""),""))</f>
        <v/>
      </c>
      <c r="V2405" s="54" t="s">
        <v>2</v>
      </c>
      <c r="W2405" s="54" t="s">
        <v>2</v>
      </c>
      <c r="X2405" s="54" t="s">
        <v>2</v>
      </c>
      <c r="Y2405" s="54" t="s">
        <v>2</v>
      </c>
      <c r="Z2405" s="54" t="s">
        <v>2</v>
      </c>
      <c r="AA2405" s="54" t="s">
        <v>2</v>
      </c>
      <c r="AB2405" s="54" t="s">
        <v>2</v>
      </c>
      <c r="AC2405" s="54" t="s">
        <v>2</v>
      </c>
      <c r="AD2405" s="54" t="s">
        <v>2</v>
      </c>
      <c r="AE2405" s="54" t="s">
        <v>2</v>
      </c>
      <c r="AF2405" s="54" t="s">
        <v>2</v>
      </c>
      <c r="AG2405" s="54" t="s">
        <v>2</v>
      </c>
    </row>
    <row r="2406" ht="15.75" customHeight="1">
      <c r="B2406" s="56"/>
      <c r="U2406" s="46" t="str">
        <f t="array" ref="U2406">IF($D2406="","",IFERROR(_xlfn.XLOOKUP($D2406,'TIR店舗一覧'!$D:$D,'TIR店舗一覧'!$E:$E,""),""))</f>
        <v/>
      </c>
      <c r="V2406" s="54" t="s">
        <v>2</v>
      </c>
      <c r="W2406" s="54" t="s">
        <v>2</v>
      </c>
      <c r="X2406" s="54" t="s">
        <v>2</v>
      </c>
      <c r="Y2406" s="54" t="s">
        <v>2</v>
      </c>
      <c r="Z2406" s="54" t="s">
        <v>2</v>
      </c>
      <c r="AA2406" s="54" t="s">
        <v>2</v>
      </c>
      <c r="AB2406" s="54" t="s">
        <v>2</v>
      </c>
      <c r="AC2406" s="54" t="s">
        <v>2</v>
      </c>
      <c r="AD2406" s="54" t="s">
        <v>2</v>
      </c>
      <c r="AE2406" s="54" t="s">
        <v>2</v>
      </c>
      <c r="AF2406" s="54" t="s">
        <v>2</v>
      </c>
      <c r="AG2406" s="54" t="s">
        <v>2</v>
      </c>
    </row>
    <row r="2407" ht="15.75" customHeight="1">
      <c r="B2407" s="56"/>
      <c r="U2407" s="46" t="str">
        <f t="array" ref="U2407">IF($D2407="","",IFERROR(_xlfn.XLOOKUP($D2407,'TIR店舗一覧'!$D:$D,'TIR店舗一覧'!$E:$E,""),""))</f>
        <v/>
      </c>
      <c r="V2407" s="54" t="s">
        <v>2</v>
      </c>
      <c r="W2407" s="54" t="s">
        <v>2</v>
      </c>
      <c r="X2407" s="54" t="s">
        <v>2</v>
      </c>
      <c r="Y2407" s="54" t="s">
        <v>2</v>
      </c>
      <c r="Z2407" s="54" t="s">
        <v>2</v>
      </c>
      <c r="AA2407" s="54" t="s">
        <v>2</v>
      </c>
      <c r="AB2407" s="54" t="s">
        <v>2</v>
      </c>
      <c r="AC2407" s="54" t="s">
        <v>2</v>
      </c>
      <c r="AD2407" s="54" t="s">
        <v>2</v>
      </c>
      <c r="AE2407" s="54" t="s">
        <v>2</v>
      </c>
      <c r="AF2407" s="54" t="s">
        <v>2</v>
      </c>
      <c r="AG2407" s="54" t="s">
        <v>2</v>
      </c>
    </row>
    <row r="2408" ht="15.75" customHeight="1">
      <c r="B2408" s="56"/>
      <c r="U2408" s="46" t="str">
        <f t="array" ref="U2408">IF($D2408="","",IFERROR(_xlfn.XLOOKUP($D2408,'TIR店舗一覧'!$D:$D,'TIR店舗一覧'!$E:$E,""),""))</f>
        <v/>
      </c>
      <c r="V2408" s="54" t="s">
        <v>2</v>
      </c>
      <c r="W2408" s="54" t="s">
        <v>2</v>
      </c>
      <c r="X2408" s="54" t="s">
        <v>2</v>
      </c>
      <c r="Y2408" s="54" t="s">
        <v>2</v>
      </c>
      <c r="Z2408" s="54" t="s">
        <v>2</v>
      </c>
      <c r="AA2408" s="54" t="s">
        <v>2</v>
      </c>
      <c r="AB2408" s="54" t="s">
        <v>2</v>
      </c>
      <c r="AC2408" s="54" t="s">
        <v>2</v>
      </c>
      <c r="AD2408" s="54" t="s">
        <v>2</v>
      </c>
      <c r="AE2408" s="54" t="s">
        <v>2</v>
      </c>
      <c r="AF2408" s="54" t="s">
        <v>2</v>
      </c>
      <c r="AG2408" s="54" t="s">
        <v>2</v>
      </c>
    </row>
    <row r="2409" ht="15.75" customHeight="1">
      <c r="B2409" s="56"/>
      <c r="U2409" s="46" t="str">
        <f t="array" ref="U2409">IF($D2409="","",IFERROR(_xlfn.XLOOKUP($D2409,'TIR店舗一覧'!$D:$D,'TIR店舗一覧'!$E:$E,""),""))</f>
        <v/>
      </c>
      <c r="V2409" s="54" t="s">
        <v>2</v>
      </c>
      <c r="W2409" s="54" t="s">
        <v>2</v>
      </c>
      <c r="X2409" s="54" t="s">
        <v>2</v>
      </c>
      <c r="Y2409" s="54" t="s">
        <v>2</v>
      </c>
      <c r="Z2409" s="54" t="s">
        <v>2</v>
      </c>
      <c r="AA2409" s="54" t="s">
        <v>2</v>
      </c>
      <c r="AB2409" s="54" t="s">
        <v>2</v>
      </c>
      <c r="AC2409" s="54" t="s">
        <v>2</v>
      </c>
      <c r="AD2409" s="54" t="s">
        <v>2</v>
      </c>
      <c r="AE2409" s="54" t="s">
        <v>2</v>
      </c>
      <c r="AF2409" s="54" t="s">
        <v>2</v>
      </c>
      <c r="AG2409" s="54" t="s">
        <v>2</v>
      </c>
    </row>
    <row r="2410" ht="15.75" customHeight="1">
      <c r="B2410" s="56"/>
      <c r="U2410" s="46" t="str">
        <f t="array" ref="U2410">IF($D2410="","",IFERROR(_xlfn.XLOOKUP($D2410,'TIR店舗一覧'!$D:$D,'TIR店舗一覧'!$E:$E,""),""))</f>
        <v/>
      </c>
      <c r="V2410" s="54" t="s">
        <v>2</v>
      </c>
      <c r="W2410" s="54" t="s">
        <v>2</v>
      </c>
      <c r="X2410" s="54" t="s">
        <v>2</v>
      </c>
      <c r="Y2410" s="54" t="s">
        <v>2</v>
      </c>
      <c r="Z2410" s="54" t="s">
        <v>2</v>
      </c>
      <c r="AA2410" s="54" t="s">
        <v>2</v>
      </c>
      <c r="AB2410" s="54" t="s">
        <v>2</v>
      </c>
      <c r="AC2410" s="54" t="s">
        <v>2</v>
      </c>
      <c r="AD2410" s="54" t="s">
        <v>2</v>
      </c>
      <c r="AE2410" s="54" t="s">
        <v>2</v>
      </c>
      <c r="AF2410" s="54" t="s">
        <v>2</v>
      </c>
      <c r="AG2410" s="54" t="s">
        <v>2</v>
      </c>
    </row>
    <row r="2411" ht="15.75" customHeight="1">
      <c r="B2411" s="56"/>
      <c r="U2411" s="46" t="str">
        <f t="array" ref="U2411">IF($D2411="","",IFERROR(_xlfn.XLOOKUP($D2411,'TIR店舗一覧'!$D:$D,'TIR店舗一覧'!$E:$E,""),""))</f>
        <v/>
      </c>
      <c r="V2411" s="54" t="s">
        <v>2</v>
      </c>
      <c r="W2411" s="54" t="s">
        <v>2</v>
      </c>
      <c r="X2411" s="54" t="s">
        <v>2</v>
      </c>
      <c r="Y2411" s="54" t="s">
        <v>2</v>
      </c>
      <c r="Z2411" s="54" t="s">
        <v>2</v>
      </c>
      <c r="AA2411" s="54" t="s">
        <v>2</v>
      </c>
      <c r="AB2411" s="54" t="s">
        <v>2</v>
      </c>
      <c r="AC2411" s="54" t="s">
        <v>2</v>
      </c>
      <c r="AD2411" s="54" t="s">
        <v>2</v>
      </c>
      <c r="AE2411" s="54" t="s">
        <v>2</v>
      </c>
      <c r="AF2411" s="54" t="s">
        <v>2</v>
      </c>
      <c r="AG2411" s="54" t="s">
        <v>2</v>
      </c>
    </row>
    <row r="2412" ht="15.75" customHeight="1">
      <c r="B2412" s="56"/>
      <c r="U2412" s="46" t="str">
        <f t="array" ref="U2412">IF($D2412="","",IFERROR(_xlfn.XLOOKUP($D2412,'TIR店舗一覧'!$D:$D,'TIR店舗一覧'!$E:$E,""),""))</f>
        <v/>
      </c>
      <c r="V2412" s="54" t="s">
        <v>2</v>
      </c>
      <c r="W2412" s="54" t="s">
        <v>2</v>
      </c>
      <c r="X2412" s="54" t="s">
        <v>2</v>
      </c>
      <c r="Y2412" s="54" t="s">
        <v>2</v>
      </c>
      <c r="Z2412" s="54" t="s">
        <v>2</v>
      </c>
      <c r="AA2412" s="54" t="s">
        <v>2</v>
      </c>
      <c r="AB2412" s="54" t="s">
        <v>2</v>
      </c>
      <c r="AC2412" s="54" t="s">
        <v>2</v>
      </c>
      <c r="AD2412" s="54" t="s">
        <v>2</v>
      </c>
      <c r="AE2412" s="54" t="s">
        <v>2</v>
      </c>
      <c r="AF2412" s="54" t="s">
        <v>2</v>
      </c>
      <c r="AG2412" s="54" t="s">
        <v>2</v>
      </c>
    </row>
    <row r="2413" ht="15.75" customHeight="1">
      <c r="B2413" s="56"/>
      <c r="U2413" s="46" t="str">
        <f t="array" ref="U2413">IF($D2413="","",IFERROR(_xlfn.XLOOKUP($D2413,'TIR店舗一覧'!$D:$D,'TIR店舗一覧'!$E:$E,""),""))</f>
        <v/>
      </c>
      <c r="V2413" s="54" t="s">
        <v>2</v>
      </c>
      <c r="W2413" s="54" t="s">
        <v>2</v>
      </c>
      <c r="X2413" s="54" t="s">
        <v>2</v>
      </c>
      <c r="Y2413" s="54" t="s">
        <v>2</v>
      </c>
      <c r="Z2413" s="54" t="s">
        <v>2</v>
      </c>
      <c r="AA2413" s="54" t="s">
        <v>2</v>
      </c>
      <c r="AB2413" s="54" t="s">
        <v>2</v>
      </c>
      <c r="AC2413" s="54" t="s">
        <v>2</v>
      </c>
      <c r="AD2413" s="54" t="s">
        <v>2</v>
      </c>
      <c r="AE2413" s="54" t="s">
        <v>2</v>
      </c>
      <c r="AF2413" s="54" t="s">
        <v>2</v>
      </c>
      <c r="AG2413" s="54" t="s">
        <v>2</v>
      </c>
    </row>
    <row r="2414" ht="15.75" customHeight="1">
      <c r="B2414" s="56"/>
      <c r="U2414" s="46" t="str">
        <f t="array" ref="U2414">IF($D2414="","",IFERROR(_xlfn.XLOOKUP($D2414,'TIR店舗一覧'!$D:$D,'TIR店舗一覧'!$E:$E,""),""))</f>
        <v/>
      </c>
      <c r="V2414" s="54" t="s">
        <v>2</v>
      </c>
      <c r="W2414" s="54" t="s">
        <v>2</v>
      </c>
      <c r="X2414" s="54" t="s">
        <v>2</v>
      </c>
      <c r="Y2414" s="54" t="s">
        <v>2</v>
      </c>
      <c r="Z2414" s="54" t="s">
        <v>2</v>
      </c>
      <c r="AA2414" s="54" t="s">
        <v>2</v>
      </c>
      <c r="AB2414" s="54" t="s">
        <v>2</v>
      </c>
      <c r="AC2414" s="54" t="s">
        <v>2</v>
      </c>
      <c r="AD2414" s="54" t="s">
        <v>2</v>
      </c>
      <c r="AE2414" s="54" t="s">
        <v>2</v>
      </c>
      <c r="AF2414" s="54" t="s">
        <v>2</v>
      </c>
      <c r="AG2414" s="54" t="s">
        <v>2</v>
      </c>
    </row>
    <row r="2415" ht="15.75" customHeight="1">
      <c r="B2415" s="56"/>
      <c r="U2415" s="46" t="str">
        <f t="array" ref="U2415">IF($D2415="","",IFERROR(_xlfn.XLOOKUP($D2415,'TIR店舗一覧'!$D:$D,'TIR店舗一覧'!$E:$E,""),""))</f>
        <v/>
      </c>
      <c r="V2415" s="54" t="s">
        <v>2</v>
      </c>
      <c r="W2415" s="54" t="s">
        <v>2</v>
      </c>
      <c r="X2415" s="54" t="s">
        <v>2</v>
      </c>
      <c r="Y2415" s="54" t="s">
        <v>2</v>
      </c>
      <c r="Z2415" s="54" t="s">
        <v>2</v>
      </c>
      <c r="AA2415" s="54" t="s">
        <v>2</v>
      </c>
      <c r="AB2415" s="54" t="s">
        <v>2</v>
      </c>
      <c r="AC2415" s="54" t="s">
        <v>2</v>
      </c>
      <c r="AD2415" s="54" t="s">
        <v>2</v>
      </c>
      <c r="AE2415" s="54" t="s">
        <v>2</v>
      </c>
      <c r="AF2415" s="54" t="s">
        <v>2</v>
      </c>
      <c r="AG2415" s="54" t="s">
        <v>2</v>
      </c>
    </row>
    <row r="2416" ht="15.75" customHeight="1">
      <c r="B2416" s="56"/>
      <c r="U2416" s="46" t="str">
        <f t="array" ref="U2416">IF($D2416="","",IFERROR(_xlfn.XLOOKUP($D2416,'TIR店舗一覧'!$D:$D,'TIR店舗一覧'!$E:$E,""),""))</f>
        <v/>
      </c>
      <c r="V2416" s="54" t="s">
        <v>2</v>
      </c>
      <c r="W2416" s="54" t="s">
        <v>2</v>
      </c>
      <c r="X2416" s="54" t="s">
        <v>2</v>
      </c>
      <c r="Y2416" s="54" t="s">
        <v>2</v>
      </c>
      <c r="Z2416" s="54" t="s">
        <v>2</v>
      </c>
      <c r="AA2416" s="54" t="s">
        <v>2</v>
      </c>
      <c r="AB2416" s="54" t="s">
        <v>2</v>
      </c>
      <c r="AC2416" s="54" t="s">
        <v>2</v>
      </c>
      <c r="AD2416" s="54" t="s">
        <v>2</v>
      </c>
      <c r="AE2416" s="54" t="s">
        <v>2</v>
      </c>
      <c r="AF2416" s="54" t="s">
        <v>2</v>
      </c>
      <c r="AG2416" s="54" t="s">
        <v>2</v>
      </c>
    </row>
    <row r="2417" ht="15.75" customHeight="1">
      <c r="B2417" s="56"/>
      <c r="U2417" s="46" t="str">
        <f t="array" ref="U2417">IF($D2417="","",IFERROR(_xlfn.XLOOKUP($D2417,'TIR店舗一覧'!$D:$D,'TIR店舗一覧'!$E:$E,""),""))</f>
        <v/>
      </c>
      <c r="V2417" s="54" t="s">
        <v>2</v>
      </c>
      <c r="W2417" s="54" t="s">
        <v>2</v>
      </c>
      <c r="X2417" s="54" t="s">
        <v>2</v>
      </c>
      <c r="Y2417" s="54" t="s">
        <v>2</v>
      </c>
      <c r="Z2417" s="54" t="s">
        <v>2</v>
      </c>
      <c r="AA2417" s="54" t="s">
        <v>2</v>
      </c>
      <c r="AB2417" s="54" t="s">
        <v>2</v>
      </c>
      <c r="AC2417" s="54" t="s">
        <v>2</v>
      </c>
      <c r="AD2417" s="54" t="s">
        <v>2</v>
      </c>
      <c r="AE2417" s="54" t="s">
        <v>2</v>
      </c>
      <c r="AF2417" s="54" t="s">
        <v>2</v>
      </c>
      <c r="AG2417" s="54" t="s">
        <v>2</v>
      </c>
    </row>
    <row r="2418" ht="15.75" customHeight="1">
      <c r="B2418" s="56"/>
      <c r="U2418" s="46" t="str">
        <f t="array" ref="U2418">IF($D2418="","",IFERROR(_xlfn.XLOOKUP($D2418,'TIR店舗一覧'!$D:$D,'TIR店舗一覧'!$E:$E,""),""))</f>
        <v/>
      </c>
      <c r="V2418" s="54" t="s">
        <v>2</v>
      </c>
      <c r="W2418" s="54" t="s">
        <v>2</v>
      </c>
      <c r="X2418" s="54" t="s">
        <v>2</v>
      </c>
      <c r="Y2418" s="54" t="s">
        <v>2</v>
      </c>
      <c r="Z2418" s="54" t="s">
        <v>2</v>
      </c>
      <c r="AA2418" s="54" t="s">
        <v>2</v>
      </c>
      <c r="AB2418" s="54" t="s">
        <v>2</v>
      </c>
      <c r="AC2418" s="54" t="s">
        <v>2</v>
      </c>
      <c r="AD2418" s="54" t="s">
        <v>2</v>
      </c>
      <c r="AE2418" s="54" t="s">
        <v>2</v>
      </c>
      <c r="AF2418" s="54" t="s">
        <v>2</v>
      </c>
      <c r="AG2418" s="54" t="s">
        <v>2</v>
      </c>
    </row>
    <row r="2419" ht="15.75" customHeight="1">
      <c r="B2419" s="56"/>
      <c r="U2419" s="46" t="str">
        <f t="array" ref="U2419">IF($D2419="","",IFERROR(_xlfn.XLOOKUP($D2419,'TIR店舗一覧'!$D:$D,'TIR店舗一覧'!$E:$E,""),""))</f>
        <v/>
      </c>
      <c r="V2419" s="54" t="s">
        <v>2</v>
      </c>
      <c r="W2419" s="54" t="s">
        <v>2</v>
      </c>
      <c r="X2419" s="54" t="s">
        <v>2</v>
      </c>
      <c r="Y2419" s="54" t="s">
        <v>2</v>
      </c>
      <c r="Z2419" s="54" t="s">
        <v>2</v>
      </c>
      <c r="AA2419" s="54" t="s">
        <v>2</v>
      </c>
      <c r="AB2419" s="54" t="s">
        <v>2</v>
      </c>
      <c r="AC2419" s="54" t="s">
        <v>2</v>
      </c>
      <c r="AD2419" s="54" t="s">
        <v>2</v>
      </c>
      <c r="AE2419" s="54" t="s">
        <v>2</v>
      </c>
      <c r="AF2419" s="54" t="s">
        <v>2</v>
      </c>
      <c r="AG2419" s="54" t="s">
        <v>2</v>
      </c>
    </row>
    <row r="2420" ht="15.75" customHeight="1">
      <c r="B2420" s="56"/>
      <c r="U2420" s="46" t="str">
        <f t="array" ref="U2420">IF($D2420="","",IFERROR(_xlfn.XLOOKUP($D2420,'TIR店舗一覧'!$D:$D,'TIR店舗一覧'!$E:$E,""),""))</f>
        <v/>
      </c>
      <c r="V2420" s="54" t="s">
        <v>2</v>
      </c>
      <c r="W2420" s="54" t="s">
        <v>2</v>
      </c>
      <c r="X2420" s="54" t="s">
        <v>2</v>
      </c>
      <c r="Y2420" s="54" t="s">
        <v>2</v>
      </c>
      <c r="Z2420" s="54" t="s">
        <v>2</v>
      </c>
      <c r="AA2420" s="54" t="s">
        <v>2</v>
      </c>
      <c r="AB2420" s="54" t="s">
        <v>2</v>
      </c>
      <c r="AC2420" s="54" t="s">
        <v>2</v>
      </c>
      <c r="AD2420" s="54" t="s">
        <v>2</v>
      </c>
      <c r="AE2420" s="54" t="s">
        <v>2</v>
      </c>
      <c r="AF2420" s="54" t="s">
        <v>2</v>
      </c>
      <c r="AG2420" s="54" t="s">
        <v>2</v>
      </c>
    </row>
    <row r="2421" ht="15.75" customHeight="1">
      <c r="B2421" s="56"/>
      <c r="U2421" s="46" t="str">
        <f t="array" ref="U2421">IF($D2421="","",IFERROR(_xlfn.XLOOKUP($D2421,'TIR店舗一覧'!$D:$D,'TIR店舗一覧'!$E:$E,""),""))</f>
        <v/>
      </c>
      <c r="V2421" s="54" t="s">
        <v>2</v>
      </c>
      <c r="W2421" s="54" t="s">
        <v>2</v>
      </c>
      <c r="X2421" s="54" t="s">
        <v>2</v>
      </c>
      <c r="Y2421" s="54" t="s">
        <v>2</v>
      </c>
      <c r="Z2421" s="54" t="s">
        <v>2</v>
      </c>
      <c r="AA2421" s="54" t="s">
        <v>2</v>
      </c>
      <c r="AB2421" s="54" t="s">
        <v>2</v>
      </c>
      <c r="AC2421" s="54" t="s">
        <v>2</v>
      </c>
      <c r="AD2421" s="54" t="s">
        <v>2</v>
      </c>
      <c r="AE2421" s="54" t="s">
        <v>2</v>
      </c>
      <c r="AF2421" s="54" t="s">
        <v>2</v>
      </c>
      <c r="AG2421" s="54" t="s">
        <v>2</v>
      </c>
    </row>
    <row r="2422" ht="15.75" customHeight="1">
      <c r="B2422" s="56"/>
      <c r="U2422" s="46" t="str">
        <f t="array" ref="U2422">IF($D2422="","",IFERROR(_xlfn.XLOOKUP($D2422,'TIR店舗一覧'!$D:$D,'TIR店舗一覧'!$E:$E,""),""))</f>
        <v/>
      </c>
      <c r="V2422" s="54" t="s">
        <v>2</v>
      </c>
      <c r="W2422" s="54" t="s">
        <v>2</v>
      </c>
      <c r="X2422" s="54" t="s">
        <v>2</v>
      </c>
      <c r="Y2422" s="54" t="s">
        <v>2</v>
      </c>
      <c r="Z2422" s="54" t="s">
        <v>2</v>
      </c>
      <c r="AA2422" s="54" t="s">
        <v>2</v>
      </c>
      <c r="AB2422" s="54" t="s">
        <v>2</v>
      </c>
      <c r="AC2422" s="54" t="s">
        <v>2</v>
      </c>
      <c r="AD2422" s="54" t="s">
        <v>2</v>
      </c>
      <c r="AE2422" s="54" t="s">
        <v>2</v>
      </c>
      <c r="AF2422" s="54" t="s">
        <v>2</v>
      </c>
      <c r="AG2422" s="54" t="s">
        <v>2</v>
      </c>
    </row>
    <row r="2423" ht="15.75" customHeight="1">
      <c r="B2423" s="56"/>
      <c r="U2423" s="46" t="str">
        <f t="array" ref="U2423">IF($D2423="","",IFERROR(_xlfn.XLOOKUP($D2423,'TIR店舗一覧'!$D:$D,'TIR店舗一覧'!$E:$E,""),""))</f>
        <v/>
      </c>
      <c r="V2423" s="54" t="s">
        <v>2</v>
      </c>
      <c r="W2423" s="54" t="s">
        <v>2</v>
      </c>
      <c r="X2423" s="54" t="s">
        <v>2</v>
      </c>
      <c r="Y2423" s="54" t="s">
        <v>2</v>
      </c>
      <c r="Z2423" s="54" t="s">
        <v>2</v>
      </c>
      <c r="AA2423" s="54" t="s">
        <v>2</v>
      </c>
      <c r="AB2423" s="54" t="s">
        <v>2</v>
      </c>
      <c r="AC2423" s="54" t="s">
        <v>2</v>
      </c>
      <c r="AD2423" s="54" t="s">
        <v>2</v>
      </c>
      <c r="AE2423" s="54" t="s">
        <v>2</v>
      </c>
      <c r="AF2423" s="54" t="s">
        <v>2</v>
      </c>
      <c r="AG2423" s="54" t="s">
        <v>2</v>
      </c>
    </row>
    <row r="2424" ht="15.75" customHeight="1">
      <c r="B2424" s="56"/>
      <c r="U2424" s="46" t="str">
        <f t="array" ref="U2424">IF($D2424="","",IFERROR(_xlfn.XLOOKUP($D2424,'TIR店舗一覧'!$D:$D,'TIR店舗一覧'!$E:$E,""),""))</f>
        <v/>
      </c>
      <c r="V2424" s="54" t="s">
        <v>2</v>
      </c>
      <c r="W2424" s="54" t="s">
        <v>2</v>
      </c>
      <c r="X2424" s="54" t="s">
        <v>2</v>
      </c>
      <c r="Y2424" s="54" t="s">
        <v>2</v>
      </c>
      <c r="Z2424" s="54" t="s">
        <v>2</v>
      </c>
      <c r="AA2424" s="54" t="s">
        <v>2</v>
      </c>
      <c r="AB2424" s="54" t="s">
        <v>2</v>
      </c>
      <c r="AC2424" s="54" t="s">
        <v>2</v>
      </c>
      <c r="AD2424" s="54" t="s">
        <v>2</v>
      </c>
      <c r="AE2424" s="54" t="s">
        <v>2</v>
      </c>
      <c r="AF2424" s="54" t="s">
        <v>2</v>
      </c>
      <c r="AG2424" s="54" t="s">
        <v>2</v>
      </c>
    </row>
    <row r="2425" ht="15.75" customHeight="1">
      <c r="B2425" s="56"/>
      <c r="U2425" s="46" t="str">
        <f t="array" ref="U2425">IF($D2425="","",IFERROR(_xlfn.XLOOKUP($D2425,'TIR店舗一覧'!$D:$D,'TIR店舗一覧'!$E:$E,""),""))</f>
        <v/>
      </c>
      <c r="V2425" s="54" t="s">
        <v>2</v>
      </c>
      <c r="W2425" s="54" t="s">
        <v>2</v>
      </c>
      <c r="X2425" s="54" t="s">
        <v>2</v>
      </c>
      <c r="Y2425" s="54" t="s">
        <v>2</v>
      </c>
      <c r="Z2425" s="54" t="s">
        <v>2</v>
      </c>
      <c r="AA2425" s="54" t="s">
        <v>2</v>
      </c>
      <c r="AB2425" s="54" t="s">
        <v>2</v>
      </c>
      <c r="AC2425" s="54" t="s">
        <v>2</v>
      </c>
      <c r="AD2425" s="54" t="s">
        <v>2</v>
      </c>
      <c r="AE2425" s="54" t="s">
        <v>2</v>
      </c>
      <c r="AF2425" s="54" t="s">
        <v>2</v>
      </c>
      <c r="AG2425" s="54" t="s">
        <v>2</v>
      </c>
    </row>
    <row r="2426" ht="15.75" customHeight="1">
      <c r="B2426" s="56"/>
      <c r="U2426" s="46" t="str">
        <f t="array" ref="U2426">IF($D2426="","",IFERROR(_xlfn.XLOOKUP($D2426,'TIR店舗一覧'!$D:$D,'TIR店舗一覧'!$E:$E,""),""))</f>
        <v/>
      </c>
      <c r="V2426" s="54" t="s">
        <v>2</v>
      </c>
      <c r="W2426" s="54" t="s">
        <v>2</v>
      </c>
      <c r="X2426" s="54" t="s">
        <v>2</v>
      </c>
      <c r="Y2426" s="54" t="s">
        <v>2</v>
      </c>
      <c r="Z2426" s="54" t="s">
        <v>2</v>
      </c>
      <c r="AA2426" s="54" t="s">
        <v>2</v>
      </c>
      <c r="AB2426" s="54" t="s">
        <v>2</v>
      </c>
      <c r="AC2426" s="54" t="s">
        <v>2</v>
      </c>
      <c r="AD2426" s="54" t="s">
        <v>2</v>
      </c>
      <c r="AE2426" s="54" t="s">
        <v>2</v>
      </c>
      <c r="AF2426" s="54" t="s">
        <v>2</v>
      </c>
      <c r="AG2426" s="54" t="s">
        <v>2</v>
      </c>
    </row>
    <row r="2427" ht="15.75" customHeight="1">
      <c r="B2427" s="56"/>
      <c r="U2427" s="46" t="str">
        <f t="array" ref="U2427">IF($D2427="","",IFERROR(_xlfn.XLOOKUP($D2427,'TIR店舗一覧'!$D:$D,'TIR店舗一覧'!$E:$E,""),""))</f>
        <v/>
      </c>
      <c r="V2427" s="54" t="s">
        <v>2</v>
      </c>
      <c r="W2427" s="54" t="s">
        <v>2</v>
      </c>
      <c r="X2427" s="54" t="s">
        <v>2</v>
      </c>
      <c r="Y2427" s="54" t="s">
        <v>2</v>
      </c>
      <c r="Z2427" s="54" t="s">
        <v>2</v>
      </c>
      <c r="AA2427" s="54" t="s">
        <v>2</v>
      </c>
      <c r="AB2427" s="54" t="s">
        <v>2</v>
      </c>
      <c r="AC2427" s="54" t="s">
        <v>2</v>
      </c>
      <c r="AD2427" s="54" t="s">
        <v>2</v>
      </c>
      <c r="AE2427" s="54" t="s">
        <v>2</v>
      </c>
      <c r="AF2427" s="54" t="s">
        <v>2</v>
      </c>
      <c r="AG2427" s="54" t="s">
        <v>2</v>
      </c>
    </row>
    <row r="2428" ht="15.75" customHeight="1">
      <c r="B2428" s="56"/>
      <c r="U2428" s="46" t="str">
        <f t="array" ref="U2428">IF($D2428="","",IFERROR(_xlfn.XLOOKUP($D2428,'TIR店舗一覧'!$D:$D,'TIR店舗一覧'!$E:$E,""),""))</f>
        <v/>
      </c>
      <c r="V2428" s="54" t="s">
        <v>2</v>
      </c>
      <c r="W2428" s="54" t="s">
        <v>2</v>
      </c>
      <c r="X2428" s="54" t="s">
        <v>2</v>
      </c>
      <c r="Y2428" s="54" t="s">
        <v>2</v>
      </c>
      <c r="Z2428" s="54" t="s">
        <v>2</v>
      </c>
      <c r="AA2428" s="54" t="s">
        <v>2</v>
      </c>
      <c r="AB2428" s="54" t="s">
        <v>2</v>
      </c>
      <c r="AC2428" s="54" t="s">
        <v>2</v>
      </c>
      <c r="AD2428" s="54" t="s">
        <v>2</v>
      </c>
      <c r="AE2428" s="54" t="s">
        <v>2</v>
      </c>
      <c r="AF2428" s="54" t="s">
        <v>2</v>
      </c>
      <c r="AG2428" s="54" t="s">
        <v>2</v>
      </c>
    </row>
    <row r="2429" ht="15.75" customHeight="1">
      <c r="B2429" s="56"/>
      <c r="U2429" s="46" t="str">
        <f t="array" ref="U2429">IF($D2429="","",IFERROR(_xlfn.XLOOKUP($D2429,'TIR店舗一覧'!$D:$D,'TIR店舗一覧'!$E:$E,""),""))</f>
        <v/>
      </c>
      <c r="V2429" s="54" t="s">
        <v>2</v>
      </c>
      <c r="W2429" s="54" t="s">
        <v>2</v>
      </c>
      <c r="X2429" s="54" t="s">
        <v>2</v>
      </c>
      <c r="Y2429" s="54" t="s">
        <v>2</v>
      </c>
      <c r="Z2429" s="54" t="s">
        <v>2</v>
      </c>
      <c r="AA2429" s="54" t="s">
        <v>2</v>
      </c>
      <c r="AB2429" s="54" t="s">
        <v>2</v>
      </c>
      <c r="AC2429" s="54" t="s">
        <v>2</v>
      </c>
      <c r="AD2429" s="54" t="s">
        <v>2</v>
      </c>
      <c r="AE2429" s="54" t="s">
        <v>2</v>
      </c>
      <c r="AF2429" s="54" t="s">
        <v>2</v>
      </c>
      <c r="AG2429" s="54" t="s">
        <v>2</v>
      </c>
    </row>
    <row r="2430" ht="15.75" customHeight="1">
      <c r="B2430" s="56"/>
      <c r="U2430" s="46" t="str">
        <f t="array" ref="U2430">IF($D2430="","",IFERROR(_xlfn.XLOOKUP($D2430,'TIR店舗一覧'!$D:$D,'TIR店舗一覧'!$E:$E,""),""))</f>
        <v/>
      </c>
      <c r="V2430" s="54" t="s">
        <v>2</v>
      </c>
      <c r="W2430" s="54" t="s">
        <v>2</v>
      </c>
      <c r="X2430" s="54" t="s">
        <v>2</v>
      </c>
      <c r="Y2430" s="54" t="s">
        <v>2</v>
      </c>
      <c r="Z2430" s="54" t="s">
        <v>2</v>
      </c>
      <c r="AA2430" s="54" t="s">
        <v>2</v>
      </c>
      <c r="AB2430" s="54" t="s">
        <v>2</v>
      </c>
      <c r="AC2430" s="54" t="s">
        <v>2</v>
      </c>
      <c r="AD2430" s="54" t="s">
        <v>2</v>
      </c>
      <c r="AE2430" s="54" t="s">
        <v>2</v>
      </c>
      <c r="AF2430" s="54" t="s">
        <v>2</v>
      </c>
      <c r="AG2430" s="54" t="s">
        <v>2</v>
      </c>
    </row>
    <row r="2431" ht="15.75" customHeight="1">
      <c r="B2431" s="56"/>
      <c r="U2431" s="46" t="str">
        <f t="array" ref="U2431">IF($D2431="","",IFERROR(_xlfn.XLOOKUP($D2431,'TIR店舗一覧'!$D:$D,'TIR店舗一覧'!$E:$E,""),""))</f>
        <v/>
      </c>
      <c r="V2431" s="54" t="s">
        <v>2</v>
      </c>
      <c r="W2431" s="54" t="s">
        <v>2</v>
      </c>
      <c r="X2431" s="54" t="s">
        <v>2</v>
      </c>
      <c r="Y2431" s="54" t="s">
        <v>2</v>
      </c>
      <c r="Z2431" s="54" t="s">
        <v>2</v>
      </c>
      <c r="AA2431" s="54" t="s">
        <v>2</v>
      </c>
      <c r="AB2431" s="54" t="s">
        <v>2</v>
      </c>
      <c r="AC2431" s="54" t="s">
        <v>2</v>
      </c>
      <c r="AD2431" s="54" t="s">
        <v>2</v>
      </c>
      <c r="AE2431" s="54" t="s">
        <v>2</v>
      </c>
      <c r="AF2431" s="54" t="s">
        <v>2</v>
      </c>
      <c r="AG2431" s="54" t="s">
        <v>2</v>
      </c>
    </row>
    <row r="2432" ht="15.75" customHeight="1">
      <c r="B2432" s="56"/>
      <c r="U2432" s="46" t="str">
        <f t="array" ref="U2432">IF($D2432="","",IFERROR(_xlfn.XLOOKUP($D2432,'TIR店舗一覧'!$D:$D,'TIR店舗一覧'!$E:$E,""),""))</f>
        <v/>
      </c>
      <c r="V2432" s="54" t="s">
        <v>2</v>
      </c>
      <c r="W2432" s="54" t="s">
        <v>2</v>
      </c>
      <c r="X2432" s="54" t="s">
        <v>2</v>
      </c>
      <c r="Y2432" s="54" t="s">
        <v>2</v>
      </c>
      <c r="Z2432" s="54" t="s">
        <v>2</v>
      </c>
      <c r="AA2432" s="54" t="s">
        <v>2</v>
      </c>
      <c r="AB2432" s="54" t="s">
        <v>2</v>
      </c>
      <c r="AC2432" s="54" t="s">
        <v>2</v>
      </c>
      <c r="AD2432" s="54" t="s">
        <v>2</v>
      </c>
      <c r="AE2432" s="54" t="s">
        <v>2</v>
      </c>
      <c r="AF2432" s="54" t="s">
        <v>2</v>
      </c>
      <c r="AG2432" s="54" t="s">
        <v>2</v>
      </c>
    </row>
    <row r="2433" ht="15.75" customHeight="1">
      <c r="B2433" s="56"/>
      <c r="U2433" s="46" t="str">
        <f t="array" ref="U2433">IF($D2433="","",IFERROR(_xlfn.XLOOKUP($D2433,'TIR店舗一覧'!$D:$D,'TIR店舗一覧'!$E:$E,""),""))</f>
        <v/>
      </c>
      <c r="V2433" s="54" t="s">
        <v>2</v>
      </c>
      <c r="W2433" s="54" t="s">
        <v>2</v>
      </c>
      <c r="X2433" s="54" t="s">
        <v>2</v>
      </c>
      <c r="Y2433" s="54" t="s">
        <v>2</v>
      </c>
      <c r="Z2433" s="54" t="s">
        <v>2</v>
      </c>
      <c r="AA2433" s="54" t="s">
        <v>2</v>
      </c>
      <c r="AB2433" s="54" t="s">
        <v>2</v>
      </c>
      <c r="AC2433" s="54" t="s">
        <v>2</v>
      </c>
      <c r="AD2433" s="54" t="s">
        <v>2</v>
      </c>
      <c r="AE2433" s="54" t="s">
        <v>2</v>
      </c>
      <c r="AF2433" s="54" t="s">
        <v>2</v>
      </c>
      <c r="AG2433" s="54" t="s">
        <v>2</v>
      </c>
    </row>
    <row r="2434" ht="15.75" customHeight="1">
      <c r="B2434" s="56"/>
      <c r="U2434" s="46" t="str">
        <f t="array" ref="U2434">IF($D2434="","",IFERROR(_xlfn.XLOOKUP($D2434,'TIR店舗一覧'!$D:$D,'TIR店舗一覧'!$E:$E,""),""))</f>
        <v/>
      </c>
      <c r="V2434" s="54" t="s">
        <v>2</v>
      </c>
      <c r="W2434" s="54" t="s">
        <v>2</v>
      </c>
      <c r="X2434" s="54" t="s">
        <v>2</v>
      </c>
      <c r="Y2434" s="54" t="s">
        <v>2</v>
      </c>
      <c r="Z2434" s="54" t="s">
        <v>2</v>
      </c>
      <c r="AA2434" s="54" t="s">
        <v>2</v>
      </c>
      <c r="AB2434" s="54" t="s">
        <v>2</v>
      </c>
      <c r="AC2434" s="54" t="s">
        <v>2</v>
      </c>
      <c r="AD2434" s="54" t="s">
        <v>2</v>
      </c>
      <c r="AE2434" s="54" t="s">
        <v>2</v>
      </c>
      <c r="AF2434" s="54" t="s">
        <v>2</v>
      </c>
      <c r="AG2434" s="54" t="s">
        <v>2</v>
      </c>
    </row>
    <row r="2435" ht="15.75" customHeight="1">
      <c r="B2435" s="56"/>
      <c r="U2435" s="46" t="str">
        <f t="array" ref="U2435">IF($D2435="","",IFERROR(_xlfn.XLOOKUP($D2435,'TIR店舗一覧'!$D:$D,'TIR店舗一覧'!$E:$E,""),""))</f>
        <v/>
      </c>
      <c r="V2435" s="54" t="s">
        <v>2</v>
      </c>
      <c r="W2435" s="54" t="s">
        <v>2</v>
      </c>
      <c r="X2435" s="54" t="s">
        <v>2</v>
      </c>
      <c r="Y2435" s="54" t="s">
        <v>2</v>
      </c>
      <c r="Z2435" s="54" t="s">
        <v>2</v>
      </c>
      <c r="AA2435" s="54" t="s">
        <v>2</v>
      </c>
      <c r="AB2435" s="54" t="s">
        <v>2</v>
      </c>
      <c r="AC2435" s="54" t="s">
        <v>2</v>
      </c>
      <c r="AD2435" s="54" t="s">
        <v>2</v>
      </c>
      <c r="AE2435" s="54" t="s">
        <v>2</v>
      </c>
      <c r="AF2435" s="54" t="s">
        <v>2</v>
      </c>
      <c r="AG2435" s="54" t="s">
        <v>2</v>
      </c>
    </row>
    <row r="2436" ht="15.75" customHeight="1">
      <c r="B2436" s="56"/>
      <c r="U2436" s="46" t="str">
        <f t="array" ref="U2436">IF($D2436="","",IFERROR(_xlfn.XLOOKUP($D2436,'TIR店舗一覧'!$D:$D,'TIR店舗一覧'!$E:$E,""),""))</f>
        <v/>
      </c>
      <c r="V2436" s="54" t="s">
        <v>2</v>
      </c>
      <c r="W2436" s="54" t="s">
        <v>2</v>
      </c>
      <c r="X2436" s="54" t="s">
        <v>2</v>
      </c>
      <c r="Y2436" s="54" t="s">
        <v>2</v>
      </c>
      <c r="Z2436" s="54" t="s">
        <v>2</v>
      </c>
      <c r="AA2436" s="54" t="s">
        <v>2</v>
      </c>
      <c r="AB2436" s="54" t="s">
        <v>2</v>
      </c>
      <c r="AC2436" s="54" t="s">
        <v>2</v>
      </c>
      <c r="AD2436" s="54" t="s">
        <v>2</v>
      </c>
      <c r="AE2436" s="54" t="s">
        <v>2</v>
      </c>
      <c r="AF2436" s="54" t="s">
        <v>2</v>
      </c>
      <c r="AG2436" s="54" t="s">
        <v>2</v>
      </c>
    </row>
    <row r="2437" ht="15.75" customHeight="1">
      <c r="B2437" s="56"/>
      <c r="U2437" s="46" t="str">
        <f t="array" ref="U2437">IF($D2437="","",IFERROR(_xlfn.XLOOKUP($D2437,'TIR店舗一覧'!$D:$D,'TIR店舗一覧'!$E:$E,""),""))</f>
        <v/>
      </c>
      <c r="V2437" s="54" t="s">
        <v>2</v>
      </c>
      <c r="W2437" s="54" t="s">
        <v>2</v>
      </c>
      <c r="X2437" s="54" t="s">
        <v>2</v>
      </c>
      <c r="Y2437" s="54" t="s">
        <v>2</v>
      </c>
      <c r="Z2437" s="54" t="s">
        <v>2</v>
      </c>
      <c r="AA2437" s="54" t="s">
        <v>2</v>
      </c>
      <c r="AB2437" s="54" t="s">
        <v>2</v>
      </c>
      <c r="AC2437" s="54" t="s">
        <v>2</v>
      </c>
      <c r="AD2437" s="54" t="s">
        <v>2</v>
      </c>
      <c r="AE2437" s="54" t="s">
        <v>2</v>
      </c>
      <c r="AF2437" s="54" t="s">
        <v>2</v>
      </c>
      <c r="AG2437" s="54" t="s">
        <v>2</v>
      </c>
    </row>
    <row r="2438" ht="15.75" customHeight="1">
      <c r="B2438" s="56"/>
      <c r="U2438" s="46" t="str">
        <f t="array" ref="U2438">IF($D2438="","",IFERROR(_xlfn.XLOOKUP($D2438,'TIR店舗一覧'!$D:$D,'TIR店舗一覧'!$E:$E,""),""))</f>
        <v/>
      </c>
      <c r="V2438" s="54" t="s">
        <v>2</v>
      </c>
      <c r="W2438" s="54" t="s">
        <v>2</v>
      </c>
      <c r="X2438" s="54" t="s">
        <v>2</v>
      </c>
      <c r="Y2438" s="54" t="s">
        <v>2</v>
      </c>
      <c r="Z2438" s="54" t="s">
        <v>2</v>
      </c>
      <c r="AA2438" s="54" t="s">
        <v>2</v>
      </c>
      <c r="AB2438" s="54" t="s">
        <v>2</v>
      </c>
      <c r="AC2438" s="54" t="s">
        <v>2</v>
      </c>
      <c r="AD2438" s="54" t="s">
        <v>2</v>
      </c>
      <c r="AE2438" s="54" t="s">
        <v>2</v>
      </c>
      <c r="AF2438" s="54" t="s">
        <v>2</v>
      </c>
      <c r="AG2438" s="54" t="s">
        <v>2</v>
      </c>
    </row>
    <row r="2439" ht="15.75" customHeight="1">
      <c r="B2439" s="56"/>
      <c r="U2439" s="46" t="str">
        <f t="array" ref="U2439">IF($D2439="","",IFERROR(_xlfn.XLOOKUP($D2439,'TIR店舗一覧'!$D:$D,'TIR店舗一覧'!$E:$E,""),""))</f>
        <v/>
      </c>
      <c r="V2439" s="54" t="s">
        <v>2</v>
      </c>
      <c r="W2439" s="54" t="s">
        <v>2</v>
      </c>
      <c r="X2439" s="54" t="s">
        <v>2</v>
      </c>
      <c r="Y2439" s="54" t="s">
        <v>2</v>
      </c>
      <c r="Z2439" s="54" t="s">
        <v>2</v>
      </c>
      <c r="AA2439" s="54" t="s">
        <v>2</v>
      </c>
      <c r="AB2439" s="54" t="s">
        <v>2</v>
      </c>
      <c r="AC2439" s="54" t="s">
        <v>2</v>
      </c>
      <c r="AD2439" s="54" t="s">
        <v>2</v>
      </c>
      <c r="AE2439" s="54" t="s">
        <v>2</v>
      </c>
      <c r="AF2439" s="54" t="s">
        <v>2</v>
      </c>
      <c r="AG2439" s="54" t="s">
        <v>2</v>
      </c>
    </row>
    <row r="2440" ht="15.75" customHeight="1">
      <c r="B2440" s="56"/>
      <c r="U2440" s="46" t="str">
        <f t="array" ref="U2440">IF($D2440="","",IFERROR(_xlfn.XLOOKUP($D2440,'TIR店舗一覧'!$D:$D,'TIR店舗一覧'!$E:$E,""),""))</f>
        <v/>
      </c>
      <c r="V2440" s="54" t="s">
        <v>2</v>
      </c>
      <c r="W2440" s="54" t="s">
        <v>2</v>
      </c>
      <c r="X2440" s="54" t="s">
        <v>2</v>
      </c>
      <c r="Y2440" s="54" t="s">
        <v>2</v>
      </c>
      <c r="Z2440" s="54" t="s">
        <v>2</v>
      </c>
      <c r="AA2440" s="54" t="s">
        <v>2</v>
      </c>
      <c r="AB2440" s="54" t="s">
        <v>2</v>
      </c>
      <c r="AC2440" s="54" t="s">
        <v>2</v>
      </c>
      <c r="AD2440" s="54" t="s">
        <v>2</v>
      </c>
      <c r="AE2440" s="54" t="s">
        <v>2</v>
      </c>
      <c r="AF2440" s="54" t="s">
        <v>2</v>
      </c>
      <c r="AG2440" s="54" t="s">
        <v>2</v>
      </c>
    </row>
    <row r="2441" ht="15.75" customHeight="1">
      <c r="B2441" s="56"/>
      <c r="U2441" s="46" t="str">
        <f t="array" ref="U2441">IF($D2441="","",IFERROR(_xlfn.XLOOKUP($D2441,'TIR店舗一覧'!$D:$D,'TIR店舗一覧'!$E:$E,""),""))</f>
        <v/>
      </c>
      <c r="V2441" s="54" t="s">
        <v>2</v>
      </c>
      <c r="W2441" s="54" t="s">
        <v>2</v>
      </c>
      <c r="X2441" s="54" t="s">
        <v>2</v>
      </c>
      <c r="Y2441" s="54" t="s">
        <v>2</v>
      </c>
      <c r="Z2441" s="54" t="s">
        <v>2</v>
      </c>
      <c r="AA2441" s="54" t="s">
        <v>2</v>
      </c>
      <c r="AB2441" s="54" t="s">
        <v>2</v>
      </c>
      <c r="AC2441" s="54" t="s">
        <v>2</v>
      </c>
      <c r="AD2441" s="54" t="s">
        <v>2</v>
      </c>
      <c r="AE2441" s="54" t="s">
        <v>2</v>
      </c>
      <c r="AF2441" s="54" t="s">
        <v>2</v>
      </c>
      <c r="AG2441" s="54" t="s">
        <v>2</v>
      </c>
    </row>
    <row r="2442" ht="15.75" customHeight="1">
      <c r="B2442" s="56"/>
      <c r="U2442" s="46" t="str">
        <f t="array" ref="U2442">IF($D2442="","",IFERROR(_xlfn.XLOOKUP($D2442,'TIR店舗一覧'!$D:$D,'TIR店舗一覧'!$E:$E,""),""))</f>
        <v/>
      </c>
      <c r="V2442" s="54" t="s">
        <v>2</v>
      </c>
      <c r="W2442" s="54" t="s">
        <v>2</v>
      </c>
      <c r="X2442" s="54" t="s">
        <v>2</v>
      </c>
      <c r="Y2442" s="54" t="s">
        <v>2</v>
      </c>
      <c r="Z2442" s="54" t="s">
        <v>2</v>
      </c>
      <c r="AA2442" s="54" t="s">
        <v>2</v>
      </c>
      <c r="AB2442" s="54" t="s">
        <v>2</v>
      </c>
      <c r="AC2442" s="54" t="s">
        <v>2</v>
      </c>
      <c r="AD2442" s="54" t="s">
        <v>2</v>
      </c>
      <c r="AE2442" s="54" t="s">
        <v>2</v>
      </c>
      <c r="AF2442" s="54" t="s">
        <v>2</v>
      </c>
      <c r="AG2442" s="54" t="s">
        <v>2</v>
      </c>
    </row>
    <row r="2443" ht="15.75" customHeight="1">
      <c r="B2443" s="56"/>
      <c r="U2443" s="46" t="str">
        <f t="array" ref="U2443">IF($D2443="","",IFERROR(_xlfn.XLOOKUP($D2443,'TIR店舗一覧'!$D:$D,'TIR店舗一覧'!$E:$E,""),""))</f>
        <v/>
      </c>
      <c r="V2443" s="54" t="s">
        <v>2</v>
      </c>
      <c r="W2443" s="54" t="s">
        <v>2</v>
      </c>
      <c r="X2443" s="54" t="s">
        <v>2</v>
      </c>
      <c r="Y2443" s="54" t="s">
        <v>2</v>
      </c>
      <c r="Z2443" s="54" t="s">
        <v>2</v>
      </c>
      <c r="AA2443" s="54" t="s">
        <v>2</v>
      </c>
      <c r="AB2443" s="54" t="s">
        <v>2</v>
      </c>
      <c r="AC2443" s="54" t="s">
        <v>2</v>
      </c>
      <c r="AD2443" s="54" t="s">
        <v>2</v>
      </c>
      <c r="AE2443" s="54" t="s">
        <v>2</v>
      </c>
      <c r="AF2443" s="54" t="s">
        <v>2</v>
      </c>
      <c r="AG2443" s="54" t="s">
        <v>2</v>
      </c>
    </row>
    <row r="2444" ht="15.75" customHeight="1">
      <c r="B2444" s="56"/>
      <c r="U2444" s="46" t="str">
        <f t="array" ref="U2444">IF($D2444="","",IFERROR(_xlfn.XLOOKUP($D2444,'TIR店舗一覧'!$D:$D,'TIR店舗一覧'!$E:$E,""),""))</f>
        <v/>
      </c>
      <c r="V2444" s="54" t="s">
        <v>2</v>
      </c>
      <c r="W2444" s="54" t="s">
        <v>2</v>
      </c>
      <c r="X2444" s="54" t="s">
        <v>2</v>
      </c>
      <c r="Y2444" s="54" t="s">
        <v>2</v>
      </c>
      <c r="Z2444" s="54" t="s">
        <v>2</v>
      </c>
      <c r="AA2444" s="54" t="s">
        <v>2</v>
      </c>
      <c r="AB2444" s="54" t="s">
        <v>2</v>
      </c>
      <c r="AC2444" s="54" t="s">
        <v>2</v>
      </c>
      <c r="AD2444" s="54" t="s">
        <v>2</v>
      </c>
      <c r="AE2444" s="54" t="s">
        <v>2</v>
      </c>
      <c r="AF2444" s="54" t="s">
        <v>2</v>
      </c>
      <c r="AG2444" s="54" t="s">
        <v>2</v>
      </c>
    </row>
    <row r="2445" ht="15.75" customHeight="1">
      <c r="B2445" s="56"/>
      <c r="U2445" s="46" t="str">
        <f t="array" ref="U2445">IF($D2445="","",IFERROR(_xlfn.XLOOKUP($D2445,'TIR店舗一覧'!$D:$D,'TIR店舗一覧'!$E:$E,""),""))</f>
        <v/>
      </c>
      <c r="V2445" s="54" t="s">
        <v>2</v>
      </c>
      <c r="W2445" s="54" t="s">
        <v>2</v>
      </c>
      <c r="X2445" s="54" t="s">
        <v>2</v>
      </c>
      <c r="Y2445" s="54" t="s">
        <v>2</v>
      </c>
      <c r="Z2445" s="54" t="s">
        <v>2</v>
      </c>
      <c r="AA2445" s="54" t="s">
        <v>2</v>
      </c>
      <c r="AB2445" s="54" t="s">
        <v>2</v>
      </c>
      <c r="AC2445" s="54" t="s">
        <v>2</v>
      </c>
      <c r="AD2445" s="54" t="s">
        <v>2</v>
      </c>
      <c r="AE2445" s="54" t="s">
        <v>2</v>
      </c>
      <c r="AF2445" s="54" t="s">
        <v>2</v>
      </c>
      <c r="AG2445" s="54" t="s">
        <v>2</v>
      </c>
    </row>
    <row r="2446" ht="15.75" customHeight="1">
      <c r="B2446" s="56"/>
      <c r="U2446" s="46" t="str">
        <f t="array" ref="U2446">IF($D2446="","",IFERROR(_xlfn.XLOOKUP($D2446,'TIR店舗一覧'!$D:$D,'TIR店舗一覧'!$E:$E,""),""))</f>
        <v/>
      </c>
      <c r="V2446" s="54" t="s">
        <v>2</v>
      </c>
      <c r="W2446" s="54" t="s">
        <v>2</v>
      </c>
      <c r="X2446" s="54" t="s">
        <v>2</v>
      </c>
      <c r="Y2446" s="54" t="s">
        <v>2</v>
      </c>
      <c r="Z2446" s="54" t="s">
        <v>2</v>
      </c>
      <c r="AA2446" s="54" t="s">
        <v>2</v>
      </c>
      <c r="AB2446" s="54" t="s">
        <v>2</v>
      </c>
      <c r="AC2446" s="54" t="s">
        <v>2</v>
      </c>
      <c r="AD2446" s="54" t="s">
        <v>2</v>
      </c>
      <c r="AE2446" s="54" t="s">
        <v>2</v>
      </c>
      <c r="AF2446" s="54" t="s">
        <v>2</v>
      </c>
      <c r="AG2446" s="54" t="s">
        <v>2</v>
      </c>
    </row>
    <row r="2447" ht="15.75" customHeight="1">
      <c r="B2447" s="56"/>
      <c r="U2447" s="46" t="str">
        <f t="array" ref="U2447">IF($D2447="","",IFERROR(_xlfn.XLOOKUP($D2447,'TIR店舗一覧'!$D:$D,'TIR店舗一覧'!$E:$E,""),""))</f>
        <v/>
      </c>
      <c r="V2447" s="54" t="s">
        <v>2</v>
      </c>
      <c r="W2447" s="54" t="s">
        <v>2</v>
      </c>
      <c r="X2447" s="54" t="s">
        <v>2</v>
      </c>
      <c r="Y2447" s="54" t="s">
        <v>2</v>
      </c>
      <c r="Z2447" s="54" t="s">
        <v>2</v>
      </c>
      <c r="AA2447" s="54" t="s">
        <v>2</v>
      </c>
      <c r="AB2447" s="54" t="s">
        <v>2</v>
      </c>
      <c r="AC2447" s="54" t="s">
        <v>2</v>
      </c>
      <c r="AD2447" s="54" t="s">
        <v>2</v>
      </c>
      <c r="AE2447" s="54" t="s">
        <v>2</v>
      </c>
      <c r="AF2447" s="54" t="s">
        <v>2</v>
      </c>
      <c r="AG2447" s="54" t="s">
        <v>2</v>
      </c>
    </row>
    <row r="2448" ht="15.75" customHeight="1">
      <c r="B2448" s="56"/>
      <c r="U2448" s="46" t="str">
        <f t="array" ref="U2448">IF($D2448="","",IFERROR(_xlfn.XLOOKUP($D2448,'TIR店舗一覧'!$D:$D,'TIR店舗一覧'!$E:$E,""),""))</f>
        <v/>
      </c>
      <c r="V2448" s="54" t="s">
        <v>2</v>
      </c>
      <c r="W2448" s="54" t="s">
        <v>2</v>
      </c>
      <c r="X2448" s="54" t="s">
        <v>2</v>
      </c>
      <c r="Y2448" s="54" t="s">
        <v>2</v>
      </c>
      <c r="Z2448" s="54" t="s">
        <v>2</v>
      </c>
      <c r="AA2448" s="54" t="s">
        <v>2</v>
      </c>
      <c r="AB2448" s="54" t="s">
        <v>2</v>
      </c>
      <c r="AC2448" s="54" t="s">
        <v>2</v>
      </c>
      <c r="AD2448" s="54" t="s">
        <v>2</v>
      </c>
      <c r="AE2448" s="54" t="s">
        <v>2</v>
      </c>
      <c r="AF2448" s="54" t="s">
        <v>2</v>
      </c>
      <c r="AG2448" s="54" t="s">
        <v>2</v>
      </c>
    </row>
    <row r="2449" ht="15.75" customHeight="1">
      <c r="B2449" s="56"/>
      <c r="U2449" s="46" t="str">
        <f t="array" ref="U2449">IF($D2449="","",IFERROR(_xlfn.XLOOKUP($D2449,'TIR店舗一覧'!$D:$D,'TIR店舗一覧'!$E:$E,""),""))</f>
        <v/>
      </c>
      <c r="V2449" s="54" t="s">
        <v>2</v>
      </c>
      <c r="W2449" s="54" t="s">
        <v>2</v>
      </c>
      <c r="X2449" s="54" t="s">
        <v>2</v>
      </c>
      <c r="Y2449" s="54" t="s">
        <v>2</v>
      </c>
      <c r="Z2449" s="54" t="s">
        <v>2</v>
      </c>
      <c r="AA2449" s="54" t="s">
        <v>2</v>
      </c>
      <c r="AB2449" s="54" t="s">
        <v>2</v>
      </c>
      <c r="AC2449" s="54" t="s">
        <v>2</v>
      </c>
      <c r="AD2449" s="54" t="s">
        <v>2</v>
      </c>
      <c r="AE2449" s="54" t="s">
        <v>2</v>
      </c>
      <c r="AF2449" s="54" t="s">
        <v>2</v>
      </c>
      <c r="AG2449" s="54" t="s">
        <v>2</v>
      </c>
    </row>
    <row r="2450" ht="15.75" customHeight="1">
      <c r="B2450" s="56"/>
      <c r="U2450" s="46" t="str">
        <f t="array" ref="U2450">IF($D2450="","",IFERROR(_xlfn.XLOOKUP($D2450,'TIR店舗一覧'!$D:$D,'TIR店舗一覧'!$E:$E,""),""))</f>
        <v/>
      </c>
      <c r="V2450" s="54" t="s">
        <v>2</v>
      </c>
      <c r="W2450" s="54" t="s">
        <v>2</v>
      </c>
      <c r="X2450" s="54" t="s">
        <v>2</v>
      </c>
      <c r="Y2450" s="54" t="s">
        <v>2</v>
      </c>
      <c r="Z2450" s="54" t="s">
        <v>2</v>
      </c>
      <c r="AA2450" s="54" t="s">
        <v>2</v>
      </c>
      <c r="AB2450" s="54" t="s">
        <v>2</v>
      </c>
      <c r="AC2450" s="54" t="s">
        <v>2</v>
      </c>
      <c r="AD2450" s="54" t="s">
        <v>2</v>
      </c>
      <c r="AE2450" s="54" t="s">
        <v>2</v>
      </c>
      <c r="AF2450" s="54" t="s">
        <v>2</v>
      </c>
      <c r="AG2450" s="54" t="s">
        <v>2</v>
      </c>
    </row>
    <row r="2451" ht="15.75" customHeight="1">
      <c r="B2451" s="56"/>
      <c r="U2451" s="46" t="str">
        <f t="array" ref="U2451">IF($D2451="","",IFERROR(_xlfn.XLOOKUP($D2451,'TIR店舗一覧'!$D:$D,'TIR店舗一覧'!$E:$E,""),""))</f>
        <v/>
      </c>
      <c r="V2451" s="54" t="s">
        <v>2</v>
      </c>
      <c r="W2451" s="54" t="s">
        <v>2</v>
      </c>
      <c r="X2451" s="54" t="s">
        <v>2</v>
      </c>
      <c r="Y2451" s="54" t="s">
        <v>2</v>
      </c>
      <c r="Z2451" s="54" t="s">
        <v>2</v>
      </c>
      <c r="AA2451" s="54" t="s">
        <v>2</v>
      </c>
      <c r="AB2451" s="54" t="s">
        <v>2</v>
      </c>
      <c r="AC2451" s="54" t="s">
        <v>2</v>
      </c>
      <c r="AD2451" s="54" t="s">
        <v>2</v>
      </c>
      <c r="AE2451" s="54" t="s">
        <v>2</v>
      </c>
      <c r="AF2451" s="54" t="s">
        <v>2</v>
      </c>
      <c r="AG2451" s="54" t="s">
        <v>2</v>
      </c>
    </row>
    <row r="2452" ht="15.75" customHeight="1">
      <c r="B2452" s="56"/>
      <c r="U2452" s="46" t="str">
        <f t="array" ref="U2452">IF($D2452="","",IFERROR(_xlfn.XLOOKUP($D2452,'TIR店舗一覧'!$D:$D,'TIR店舗一覧'!$E:$E,""),""))</f>
        <v/>
      </c>
      <c r="V2452" s="54" t="s">
        <v>2</v>
      </c>
      <c r="W2452" s="54" t="s">
        <v>2</v>
      </c>
      <c r="X2452" s="54" t="s">
        <v>2</v>
      </c>
      <c r="Y2452" s="54" t="s">
        <v>2</v>
      </c>
      <c r="Z2452" s="54" t="s">
        <v>2</v>
      </c>
      <c r="AA2452" s="54" t="s">
        <v>2</v>
      </c>
      <c r="AB2452" s="54" t="s">
        <v>2</v>
      </c>
      <c r="AC2452" s="54" t="s">
        <v>2</v>
      </c>
      <c r="AD2452" s="54" t="s">
        <v>2</v>
      </c>
      <c r="AE2452" s="54" t="s">
        <v>2</v>
      </c>
      <c r="AF2452" s="54" t="s">
        <v>2</v>
      </c>
      <c r="AG2452" s="54" t="s">
        <v>2</v>
      </c>
    </row>
    <row r="2453" ht="15.75" customHeight="1">
      <c r="B2453" s="56"/>
      <c r="U2453" s="46" t="str">
        <f t="array" ref="U2453">IF($D2453="","",IFERROR(_xlfn.XLOOKUP($D2453,'TIR店舗一覧'!$D:$D,'TIR店舗一覧'!$E:$E,""),""))</f>
        <v/>
      </c>
      <c r="V2453" s="54" t="s">
        <v>2</v>
      </c>
      <c r="W2453" s="54" t="s">
        <v>2</v>
      </c>
      <c r="X2453" s="54" t="s">
        <v>2</v>
      </c>
      <c r="Y2453" s="54" t="s">
        <v>2</v>
      </c>
      <c r="Z2453" s="54" t="s">
        <v>2</v>
      </c>
      <c r="AA2453" s="54" t="s">
        <v>2</v>
      </c>
      <c r="AB2453" s="54" t="s">
        <v>2</v>
      </c>
      <c r="AC2453" s="54" t="s">
        <v>2</v>
      </c>
      <c r="AD2453" s="54" t="s">
        <v>2</v>
      </c>
      <c r="AE2453" s="54" t="s">
        <v>2</v>
      </c>
      <c r="AF2453" s="54" t="s">
        <v>2</v>
      </c>
      <c r="AG2453" s="54" t="s">
        <v>2</v>
      </c>
    </row>
    <row r="2454" ht="15.75" customHeight="1">
      <c r="B2454" s="56"/>
      <c r="U2454" s="46" t="str">
        <f t="array" ref="U2454">IF($D2454="","",IFERROR(_xlfn.XLOOKUP($D2454,'TIR店舗一覧'!$D:$D,'TIR店舗一覧'!$E:$E,""),""))</f>
        <v/>
      </c>
      <c r="V2454" s="54" t="s">
        <v>2</v>
      </c>
      <c r="W2454" s="54" t="s">
        <v>2</v>
      </c>
      <c r="X2454" s="54" t="s">
        <v>2</v>
      </c>
      <c r="Y2454" s="54" t="s">
        <v>2</v>
      </c>
      <c r="Z2454" s="54" t="s">
        <v>2</v>
      </c>
      <c r="AA2454" s="54" t="s">
        <v>2</v>
      </c>
      <c r="AB2454" s="54" t="s">
        <v>2</v>
      </c>
      <c r="AC2454" s="54" t="s">
        <v>2</v>
      </c>
      <c r="AD2454" s="54" t="s">
        <v>2</v>
      </c>
      <c r="AE2454" s="54" t="s">
        <v>2</v>
      </c>
      <c r="AF2454" s="54" t="s">
        <v>2</v>
      </c>
      <c r="AG2454" s="54" t="s">
        <v>2</v>
      </c>
    </row>
    <row r="2455" ht="15.75" customHeight="1">
      <c r="B2455" s="56"/>
      <c r="U2455" s="46" t="str">
        <f t="array" ref="U2455">IF($D2455="","",IFERROR(_xlfn.XLOOKUP($D2455,'TIR店舗一覧'!$D:$D,'TIR店舗一覧'!$E:$E,""),""))</f>
        <v/>
      </c>
      <c r="V2455" s="54" t="s">
        <v>2</v>
      </c>
      <c r="W2455" s="54" t="s">
        <v>2</v>
      </c>
      <c r="X2455" s="54" t="s">
        <v>2</v>
      </c>
      <c r="Y2455" s="54" t="s">
        <v>2</v>
      </c>
      <c r="Z2455" s="54" t="s">
        <v>2</v>
      </c>
      <c r="AA2455" s="54" t="s">
        <v>2</v>
      </c>
      <c r="AB2455" s="54" t="s">
        <v>2</v>
      </c>
      <c r="AC2455" s="54" t="s">
        <v>2</v>
      </c>
      <c r="AD2455" s="54" t="s">
        <v>2</v>
      </c>
      <c r="AE2455" s="54" t="s">
        <v>2</v>
      </c>
      <c r="AF2455" s="54" t="s">
        <v>2</v>
      </c>
      <c r="AG2455" s="54" t="s">
        <v>2</v>
      </c>
    </row>
    <row r="2456" ht="15.75" customHeight="1">
      <c r="B2456" s="56"/>
      <c r="U2456" s="46" t="str">
        <f t="array" ref="U2456">IF($D2456="","",IFERROR(_xlfn.XLOOKUP($D2456,'TIR店舗一覧'!$D:$D,'TIR店舗一覧'!$E:$E,""),""))</f>
        <v/>
      </c>
      <c r="V2456" s="54" t="s">
        <v>2</v>
      </c>
      <c r="W2456" s="54" t="s">
        <v>2</v>
      </c>
      <c r="X2456" s="54" t="s">
        <v>2</v>
      </c>
      <c r="Y2456" s="54" t="s">
        <v>2</v>
      </c>
      <c r="Z2456" s="54" t="s">
        <v>2</v>
      </c>
      <c r="AA2456" s="54" t="s">
        <v>2</v>
      </c>
      <c r="AB2456" s="54" t="s">
        <v>2</v>
      </c>
      <c r="AC2456" s="54" t="s">
        <v>2</v>
      </c>
      <c r="AD2456" s="54" t="s">
        <v>2</v>
      </c>
      <c r="AE2456" s="54" t="s">
        <v>2</v>
      </c>
      <c r="AF2456" s="54" t="s">
        <v>2</v>
      </c>
      <c r="AG2456" s="54" t="s">
        <v>2</v>
      </c>
    </row>
    <row r="2457" ht="15.75" customHeight="1">
      <c r="B2457" s="56"/>
      <c r="U2457" s="46" t="str">
        <f t="array" ref="U2457">IF($D2457="","",IFERROR(_xlfn.XLOOKUP($D2457,'TIR店舗一覧'!$D:$D,'TIR店舗一覧'!$E:$E,""),""))</f>
        <v/>
      </c>
      <c r="V2457" s="54" t="s">
        <v>2</v>
      </c>
      <c r="W2457" s="54" t="s">
        <v>2</v>
      </c>
      <c r="X2457" s="54" t="s">
        <v>2</v>
      </c>
      <c r="Y2457" s="54" t="s">
        <v>2</v>
      </c>
      <c r="Z2457" s="54" t="s">
        <v>2</v>
      </c>
      <c r="AA2457" s="54" t="s">
        <v>2</v>
      </c>
      <c r="AB2457" s="54" t="s">
        <v>2</v>
      </c>
      <c r="AC2457" s="54" t="s">
        <v>2</v>
      </c>
      <c r="AD2457" s="54" t="s">
        <v>2</v>
      </c>
      <c r="AE2457" s="54" t="s">
        <v>2</v>
      </c>
      <c r="AF2457" s="54" t="s">
        <v>2</v>
      </c>
      <c r="AG2457" s="54" t="s">
        <v>2</v>
      </c>
    </row>
    <row r="2458" ht="15.75" customHeight="1">
      <c r="B2458" s="56"/>
      <c r="U2458" s="46" t="str">
        <f t="array" ref="U2458">IF($D2458="","",IFERROR(_xlfn.XLOOKUP($D2458,'TIR店舗一覧'!$D:$D,'TIR店舗一覧'!$E:$E,""),""))</f>
        <v/>
      </c>
      <c r="V2458" s="54" t="s">
        <v>2</v>
      </c>
      <c r="W2458" s="54" t="s">
        <v>2</v>
      </c>
      <c r="X2458" s="54" t="s">
        <v>2</v>
      </c>
      <c r="Y2458" s="54" t="s">
        <v>2</v>
      </c>
      <c r="Z2458" s="54" t="s">
        <v>2</v>
      </c>
      <c r="AA2458" s="54" t="s">
        <v>2</v>
      </c>
      <c r="AB2458" s="54" t="s">
        <v>2</v>
      </c>
      <c r="AC2458" s="54" t="s">
        <v>2</v>
      </c>
      <c r="AD2458" s="54" t="s">
        <v>2</v>
      </c>
      <c r="AE2458" s="54" t="s">
        <v>2</v>
      </c>
      <c r="AF2458" s="54" t="s">
        <v>2</v>
      </c>
      <c r="AG2458" s="54" t="s">
        <v>2</v>
      </c>
    </row>
    <row r="2459" ht="15.75" customHeight="1">
      <c r="B2459" s="56"/>
      <c r="U2459" s="46" t="str">
        <f t="array" ref="U2459">IF($D2459="","",IFERROR(_xlfn.XLOOKUP($D2459,'TIR店舗一覧'!$D:$D,'TIR店舗一覧'!$E:$E,""),""))</f>
        <v/>
      </c>
      <c r="V2459" s="54" t="s">
        <v>2</v>
      </c>
      <c r="W2459" s="54" t="s">
        <v>2</v>
      </c>
      <c r="X2459" s="54" t="s">
        <v>2</v>
      </c>
      <c r="Y2459" s="54" t="s">
        <v>2</v>
      </c>
      <c r="Z2459" s="54" t="s">
        <v>2</v>
      </c>
      <c r="AA2459" s="54" t="s">
        <v>2</v>
      </c>
      <c r="AB2459" s="54" t="s">
        <v>2</v>
      </c>
      <c r="AC2459" s="54" t="s">
        <v>2</v>
      </c>
      <c r="AD2459" s="54" t="s">
        <v>2</v>
      </c>
      <c r="AE2459" s="54" t="s">
        <v>2</v>
      </c>
      <c r="AF2459" s="54" t="s">
        <v>2</v>
      </c>
      <c r="AG2459" s="54" t="s">
        <v>2</v>
      </c>
    </row>
    <row r="2460" ht="15.75" customHeight="1">
      <c r="B2460" s="56"/>
      <c r="U2460" s="46" t="str">
        <f t="array" ref="U2460">IF($D2460="","",IFERROR(_xlfn.XLOOKUP($D2460,'TIR店舗一覧'!$D:$D,'TIR店舗一覧'!$E:$E,""),""))</f>
        <v/>
      </c>
      <c r="V2460" s="54" t="s">
        <v>2</v>
      </c>
      <c r="W2460" s="54" t="s">
        <v>2</v>
      </c>
      <c r="X2460" s="54" t="s">
        <v>2</v>
      </c>
      <c r="Y2460" s="54" t="s">
        <v>2</v>
      </c>
      <c r="Z2460" s="54" t="s">
        <v>2</v>
      </c>
      <c r="AA2460" s="54" t="s">
        <v>2</v>
      </c>
      <c r="AB2460" s="54" t="s">
        <v>2</v>
      </c>
      <c r="AC2460" s="54" t="s">
        <v>2</v>
      </c>
      <c r="AD2460" s="54" t="s">
        <v>2</v>
      </c>
      <c r="AE2460" s="54" t="s">
        <v>2</v>
      </c>
      <c r="AF2460" s="54" t="s">
        <v>2</v>
      </c>
      <c r="AG2460" s="54" t="s">
        <v>2</v>
      </c>
    </row>
    <row r="2461" ht="15.75" customHeight="1">
      <c r="B2461" s="56"/>
      <c r="U2461" s="46" t="str">
        <f t="array" ref="U2461">IF($D2461="","",IFERROR(_xlfn.XLOOKUP($D2461,'TIR店舗一覧'!$D:$D,'TIR店舗一覧'!$E:$E,""),""))</f>
        <v/>
      </c>
      <c r="V2461" s="54" t="s">
        <v>2</v>
      </c>
      <c r="W2461" s="54" t="s">
        <v>2</v>
      </c>
      <c r="X2461" s="54" t="s">
        <v>2</v>
      </c>
      <c r="Y2461" s="54" t="s">
        <v>2</v>
      </c>
      <c r="Z2461" s="54" t="s">
        <v>2</v>
      </c>
      <c r="AA2461" s="54" t="s">
        <v>2</v>
      </c>
      <c r="AB2461" s="54" t="s">
        <v>2</v>
      </c>
      <c r="AC2461" s="54" t="s">
        <v>2</v>
      </c>
      <c r="AD2461" s="54" t="s">
        <v>2</v>
      </c>
      <c r="AE2461" s="54" t="s">
        <v>2</v>
      </c>
      <c r="AF2461" s="54" t="s">
        <v>2</v>
      </c>
      <c r="AG2461" s="54" t="s">
        <v>2</v>
      </c>
    </row>
    <row r="2462" ht="15.75" customHeight="1">
      <c r="B2462" s="56"/>
      <c r="U2462" s="46" t="str">
        <f t="array" ref="U2462">IF($D2462="","",IFERROR(_xlfn.XLOOKUP($D2462,'TIR店舗一覧'!$D:$D,'TIR店舗一覧'!$E:$E,""),""))</f>
        <v/>
      </c>
      <c r="V2462" s="54" t="s">
        <v>2</v>
      </c>
      <c r="W2462" s="54" t="s">
        <v>2</v>
      </c>
      <c r="X2462" s="54" t="s">
        <v>2</v>
      </c>
      <c r="Y2462" s="54" t="s">
        <v>2</v>
      </c>
      <c r="Z2462" s="54" t="s">
        <v>2</v>
      </c>
      <c r="AA2462" s="54" t="s">
        <v>2</v>
      </c>
      <c r="AB2462" s="54" t="s">
        <v>2</v>
      </c>
      <c r="AC2462" s="54" t="s">
        <v>2</v>
      </c>
      <c r="AD2462" s="54" t="s">
        <v>2</v>
      </c>
      <c r="AE2462" s="54" t="s">
        <v>2</v>
      </c>
      <c r="AF2462" s="54" t="s">
        <v>2</v>
      </c>
      <c r="AG2462" s="54" t="s">
        <v>2</v>
      </c>
    </row>
    <row r="2463" ht="15.75" customHeight="1">
      <c r="B2463" s="56"/>
      <c r="U2463" s="46" t="str">
        <f t="array" ref="U2463">IF($D2463="","",IFERROR(_xlfn.XLOOKUP($D2463,'TIR店舗一覧'!$D:$D,'TIR店舗一覧'!$E:$E,""),""))</f>
        <v/>
      </c>
      <c r="V2463" s="54" t="s">
        <v>2</v>
      </c>
      <c r="W2463" s="54" t="s">
        <v>2</v>
      </c>
      <c r="X2463" s="54" t="s">
        <v>2</v>
      </c>
      <c r="Y2463" s="54" t="s">
        <v>2</v>
      </c>
      <c r="Z2463" s="54" t="s">
        <v>2</v>
      </c>
      <c r="AA2463" s="54" t="s">
        <v>2</v>
      </c>
      <c r="AB2463" s="54" t="s">
        <v>2</v>
      </c>
      <c r="AC2463" s="54" t="s">
        <v>2</v>
      </c>
      <c r="AD2463" s="54" t="s">
        <v>2</v>
      </c>
      <c r="AE2463" s="54" t="s">
        <v>2</v>
      </c>
      <c r="AF2463" s="54" t="s">
        <v>2</v>
      </c>
      <c r="AG2463" s="54" t="s">
        <v>2</v>
      </c>
    </row>
    <row r="2464" ht="15.75" customHeight="1">
      <c r="B2464" s="56"/>
      <c r="U2464" s="46" t="str">
        <f t="array" ref="U2464">IF($D2464="","",IFERROR(_xlfn.XLOOKUP($D2464,'TIR店舗一覧'!$D:$D,'TIR店舗一覧'!$E:$E,""),""))</f>
        <v/>
      </c>
      <c r="V2464" s="54" t="s">
        <v>2</v>
      </c>
      <c r="W2464" s="54" t="s">
        <v>2</v>
      </c>
      <c r="X2464" s="54" t="s">
        <v>2</v>
      </c>
      <c r="Y2464" s="54" t="s">
        <v>2</v>
      </c>
      <c r="Z2464" s="54" t="s">
        <v>2</v>
      </c>
      <c r="AA2464" s="54" t="s">
        <v>2</v>
      </c>
      <c r="AB2464" s="54" t="s">
        <v>2</v>
      </c>
      <c r="AC2464" s="54" t="s">
        <v>2</v>
      </c>
      <c r="AD2464" s="54" t="s">
        <v>2</v>
      </c>
      <c r="AE2464" s="54" t="s">
        <v>2</v>
      </c>
      <c r="AF2464" s="54" t="s">
        <v>2</v>
      </c>
      <c r="AG2464" s="54" t="s">
        <v>2</v>
      </c>
    </row>
    <row r="2465" ht="15.75" customHeight="1">
      <c r="B2465" s="56"/>
      <c r="U2465" s="46" t="str">
        <f t="array" ref="U2465">IF($D2465="","",IFERROR(_xlfn.XLOOKUP($D2465,'TIR店舗一覧'!$D:$D,'TIR店舗一覧'!$E:$E,""),""))</f>
        <v/>
      </c>
      <c r="V2465" s="54" t="s">
        <v>2</v>
      </c>
      <c r="W2465" s="54" t="s">
        <v>2</v>
      </c>
      <c r="X2465" s="54" t="s">
        <v>2</v>
      </c>
      <c r="Y2465" s="54" t="s">
        <v>2</v>
      </c>
      <c r="Z2465" s="54" t="s">
        <v>2</v>
      </c>
      <c r="AA2465" s="54" t="s">
        <v>2</v>
      </c>
      <c r="AB2465" s="54" t="s">
        <v>2</v>
      </c>
      <c r="AC2465" s="54" t="s">
        <v>2</v>
      </c>
      <c r="AD2465" s="54" t="s">
        <v>2</v>
      </c>
      <c r="AE2465" s="54" t="s">
        <v>2</v>
      </c>
      <c r="AF2465" s="54" t="s">
        <v>2</v>
      </c>
      <c r="AG2465" s="54" t="s">
        <v>2</v>
      </c>
    </row>
    <row r="2466" ht="15.75" customHeight="1">
      <c r="B2466" s="56"/>
      <c r="U2466" s="46" t="str">
        <f t="array" ref="U2466">IF($D2466="","",IFERROR(_xlfn.XLOOKUP($D2466,'TIR店舗一覧'!$D:$D,'TIR店舗一覧'!$E:$E,""),""))</f>
        <v/>
      </c>
      <c r="V2466" s="54" t="s">
        <v>2</v>
      </c>
      <c r="W2466" s="54" t="s">
        <v>2</v>
      </c>
      <c r="X2466" s="54" t="s">
        <v>2</v>
      </c>
      <c r="Y2466" s="54" t="s">
        <v>2</v>
      </c>
      <c r="Z2466" s="54" t="s">
        <v>2</v>
      </c>
      <c r="AA2466" s="54" t="s">
        <v>2</v>
      </c>
      <c r="AB2466" s="54" t="s">
        <v>2</v>
      </c>
      <c r="AC2466" s="54" t="s">
        <v>2</v>
      </c>
      <c r="AD2466" s="54" t="s">
        <v>2</v>
      </c>
      <c r="AE2466" s="54" t="s">
        <v>2</v>
      </c>
      <c r="AF2466" s="54" t="s">
        <v>2</v>
      </c>
      <c r="AG2466" s="54" t="s">
        <v>2</v>
      </c>
    </row>
    <row r="2467" ht="15.75" customHeight="1">
      <c r="B2467" s="56"/>
      <c r="U2467" s="46" t="str">
        <f t="array" ref="U2467">IF($D2467="","",IFERROR(_xlfn.XLOOKUP($D2467,'TIR店舗一覧'!$D:$D,'TIR店舗一覧'!$E:$E,""),""))</f>
        <v/>
      </c>
      <c r="V2467" s="54" t="s">
        <v>2</v>
      </c>
      <c r="W2467" s="54" t="s">
        <v>2</v>
      </c>
      <c r="X2467" s="54" t="s">
        <v>2</v>
      </c>
      <c r="Y2467" s="54" t="s">
        <v>2</v>
      </c>
      <c r="Z2467" s="54" t="s">
        <v>2</v>
      </c>
      <c r="AA2467" s="54" t="s">
        <v>2</v>
      </c>
      <c r="AB2467" s="54" t="s">
        <v>2</v>
      </c>
      <c r="AC2467" s="54" t="s">
        <v>2</v>
      </c>
      <c r="AD2467" s="54" t="s">
        <v>2</v>
      </c>
      <c r="AE2467" s="54" t="s">
        <v>2</v>
      </c>
      <c r="AF2467" s="54" t="s">
        <v>2</v>
      </c>
      <c r="AG2467" s="54" t="s">
        <v>2</v>
      </c>
    </row>
    <row r="2468" ht="15.75" customHeight="1">
      <c r="B2468" s="56"/>
      <c r="U2468" s="46" t="str">
        <f t="array" ref="U2468">IF($D2468="","",IFERROR(_xlfn.XLOOKUP($D2468,'TIR店舗一覧'!$D:$D,'TIR店舗一覧'!$E:$E,""),""))</f>
        <v/>
      </c>
      <c r="V2468" s="54" t="s">
        <v>2</v>
      </c>
      <c r="W2468" s="54" t="s">
        <v>2</v>
      </c>
      <c r="X2468" s="54" t="s">
        <v>2</v>
      </c>
      <c r="Y2468" s="54" t="s">
        <v>2</v>
      </c>
      <c r="Z2468" s="54" t="s">
        <v>2</v>
      </c>
      <c r="AA2468" s="54" t="s">
        <v>2</v>
      </c>
      <c r="AB2468" s="54" t="s">
        <v>2</v>
      </c>
      <c r="AC2468" s="54" t="s">
        <v>2</v>
      </c>
      <c r="AD2468" s="54" t="s">
        <v>2</v>
      </c>
      <c r="AE2468" s="54" t="s">
        <v>2</v>
      </c>
      <c r="AF2468" s="54" t="s">
        <v>2</v>
      </c>
      <c r="AG2468" s="54" t="s">
        <v>2</v>
      </c>
    </row>
    <row r="2469" ht="15.75" customHeight="1">
      <c r="B2469" s="56"/>
      <c r="U2469" s="46" t="str">
        <f t="array" ref="U2469">IF($D2469="","",IFERROR(_xlfn.XLOOKUP($D2469,'TIR店舗一覧'!$D:$D,'TIR店舗一覧'!$E:$E,""),""))</f>
        <v/>
      </c>
      <c r="V2469" s="54" t="s">
        <v>2</v>
      </c>
      <c r="W2469" s="54" t="s">
        <v>2</v>
      </c>
      <c r="X2469" s="54" t="s">
        <v>2</v>
      </c>
      <c r="Y2469" s="54" t="s">
        <v>2</v>
      </c>
      <c r="Z2469" s="54" t="s">
        <v>2</v>
      </c>
      <c r="AA2469" s="54" t="s">
        <v>2</v>
      </c>
      <c r="AB2469" s="54" t="s">
        <v>2</v>
      </c>
      <c r="AC2469" s="54" t="s">
        <v>2</v>
      </c>
      <c r="AD2469" s="54" t="s">
        <v>2</v>
      </c>
      <c r="AE2469" s="54" t="s">
        <v>2</v>
      </c>
      <c r="AF2469" s="54" t="s">
        <v>2</v>
      </c>
      <c r="AG2469" s="54" t="s">
        <v>2</v>
      </c>
    </row>
    <row r="2470" ht="15.75" customHeight="1">
      <c r="B2470" s="56"/>
      <c r="U2470" s="46" t="str">
        <f t="array" ref="U2470">IF($D2470="","",IFERROR(_xlfn.XLOOKUP($D2470,'TIR店舗一覧'!$D:$D,'TIR店舗一覧'!$E:$E,""),""))</f>
        <v/>
      </c>
      <c r="V2470" s="54" t="s">
        <v>2</v>
      </c>
      <c r="W2470" s="54" t="s">
        <v>2</v>
      </c>
      <c r="X2470" s="54" t="s">
        <v>2</v>
      </c>
      <c r="Y2470" s="54" t="s">
        <v>2</v>
      </c>
      <c r="Z2470" s="54" t="s">
        <v>2</v>
      </c>
      <c r="AA2470" s="54" t="s">
        <v>2</v>
      </c>
      <c r="AB2470" s="54" t="s">
        <v>2</v>
      </c>
      <c r="AC2470" s="54" t="s">
        <v>2</v>
      </c>
      <c r="AD2470" s="54" t="s">
        <v>2</v>
      </c>
      <c r="AE2470" s="54" t="s">
        <v>2</v>
      </c>
      <c r="AF2470" s="54" t="s">
        <v>2</v>
      </c>
      <c r="AG2470" s="54" t="s">
        <v>2</v>
      </c>
    </row>
    <row r="2471" ht="15.75" customHeight="1">
      <c r="B2471" s="56"/>
      <c r="U2471" s="46" t="str">
        <f t="array" ref="U2471">IF($D2471="","",IFERROR(_xlfn.XLOOKUP($D2471,'TIR店舗一覧'!$D:$D,'TIR店舗一覧'!$E:$E,""),""))</f>
        <v/>
      </c>
      <c r="V2471" s="54" t="s">
        <v>2</v>
      </c>
      <c r="W2471" s="54" t="s">
        <v>2</v>
      </c>
      <c r="X2471" s="54" t="s">
        <v>2</v>
      </c>
      <c r="Y2471" s="54" t="s">
        <v>2</v>
      </c>
      <c r="Z2471" s="54" t="s">
        <v>2</v>
      </c>
      <c r="AA2471" s="54" t="s">
        <v>2</v>
      </c>
      <c r="AB2471" s="54" t="s">
        <v>2</v>
      </c>
      <c r="AC2471" s="54" t="s">
        <v>2</v>
      </c>
      <c r="AD2471" s="54" t="s">
        <v>2</v>
      </c>
      <c r="AE2471" s="54" t="s">
        <v>2</v>
      </c>
      <c r="AF2471" s="54" t="s">
        <v>2</v>
      </c>
      <c r="AG2471" s="54" t="s">
        <v>2</v>
      </c>
    </row>
    <row r="2472" ht="15.75" customHeight="1">
      <c r="B2472" s="56"/>
      <c r="U2472" s="46" t="str">
        <f t="array" ref="U2472">IF($D2472="","",IFERROR(_xlfn.XLOOKUP($D2472,'TIR店舗一覧'!$D:$D,'TIR店舗一覧'!$E:$E,""),""))</f>
        <v/>
      </c>
      <c r="V2472" s="54" t="s">
        <v>2</v>
      </c>
      <c r="W2472" s="54" t="s">
        <v>2</v>
      </c>
      <c r="X2472" s="54" t="s">
        <v>2</v>
      </c>
      <c r="Y2472" s="54" t="s">
        <v>2</v>
      </c>
      <c r="Z2472" s="54" t="s">
        <v>2</v>
      </c>
      <c r="AA2472" s="54" t="s">
        <v>2</v>
      </c>
      <c r="AB2472" s="54" t="s">
        <v>2</v>
      </c>
      <c r="AC2472" s="54" t="s">
        <v>2</v>
      </c>
      <c r="AD2472" s="54" t="s">
        <v>2</v>
      </c>
      <c r="AE2472" s="54" t="s">
        <v>2</v>
      </c>
      <c r="AF2472" s="54" t="s">
        <v>2</v>
      </c>
      <c r="AG2472" s="54" t="s">
        <v>2</v>
      </c>
    </row>
    <row r="2473" ht="15.75" customHeight="1">
      <c r="B2473" s="56"/>
      <c r="U2473" s="46" t="str">
        <f t="array" ref="U2473">IF($D2473="","",IFERROR(_xlfn.XLOOKUP($D2473,'TIR店舗一覧'!$D:$D,'TIR店舗一覧'!$E:$E,""),""))</f>
        <v/>
      </c>
      <c r="V2473" s="54" t="s">
        <v>2</v>
      </c>
      <c r="W2473" s="54" t="s">
        <v>2</v>
      </c>
      <c r="X2473" s="54" t="s">
        <v>2</v>
      </c>
      <c r="Y2473" s="54" t="s">
        <v>2</v>
      </c>
      <c r="Z2473" s="54" t="s">
        <v>2</v>
      </c>
      <c r="AA2473" s="54" t="s">
        <v>2</v>
      </c>
      <c r="AB2473" s="54" t="s">
        <v>2</v>
      </c>
      <c r="AC2473" s="54" t="s">
        <v>2</v>
      </c>
      <c r="AD2473" s="54" t="s">
        <v>2</v>
      </c>
      <c r="AE2473" s="54" t="s">
        <v>2</v>
      </c>
      <c r="AF2473" s="54" t="s">
        <v>2</v>
      </c>
      <c r="AG2473" s="54" t="s">
        <v>2</v>
      </c>
    </row>
    <row r="2474" ht="15.75" customHeight="1">
      <c r="B2474" s="56"/>
      <c r="U2474" s="46" t="str">
        <f t="array" ref="U2474">IF($D2474="","",IFERROR(_xlfn.XLOOKUP($D2474,'TIR店舗一覧'!$D:$D,'TIR店舗一覧'!$E:$E,""),""))</f>
        <v/>
      </c>
      <c r="V2474" s="54" t="s">
        <v>2</v>
      </c>
      <c r="W2474" s="54" t="s">
        <v>2</v>
      </c>
      <c r="X2474" s="54" t="s">
        <v>2</v>
      </c>
      <c r="Y2474" s="54" t="s">
        <v>2</v>
      </c>
      <c r="Z2474" s="54" t="s">
        <v>2</v>
      </c>
      <c r="AA2474" s="54" t="s">
        <v>2</v>
      </c>
      <c r="AB2474" s="54" t="s">
        <v>2</v>
      </c>
      <c r="AC2474" s="54" t="s">
        <v>2</v>
      </c>
      <c r="AD2474" s="54" t="s">
        <v>2</v>
      </c>
      <c r="AE2474" s="54" t="s">
        <v>2</v>
      </c>
      <c r="AF2474" s="54" t="s">
        <v>2</v>
      </c>
      <c r="AG2474" s="54" t="s">
        <v>2</v>
      </c>
    </row>
    <row r="2475" ht="15.75" customHeight="1">
      <c r="B2475" s="56"/>
      <c r="U2475" s="46" t="str">
        <f t="array" ref="U2475">IF($D2475="","",IFERROR(_xlfn.XLOOKUP($D2475,'TIR店舗一覧'!$D:$D,'TIR店舗一覧'!$E:$E,""),""))</f>
        <v/>
      </c>
      <c r="V2475" s="54" t="s">
        <v>2</v>
      </c>
      <c r="W2475" s="54" t="s">
        <v>2</v>
      </c>
      <c r="X2475" s="54" t="s">
        <v>2</v>
      </c>
      <c r="Y2475" s="54" t="s">
        <v>2</v>
      </c>
      <c r="Z2475" s="54" t="s">
        <v>2</v>
      </c>
      <c r="AA2475" s="54" t="s">
        <v>2</v>
      </c>
      <c r="AB2475" s="54" t="s">
        <v>2</v>
      </c>
      <c r="AC2475" s="54" t="s">
        <v>2</v>
      </c>
      <c r="AD2475" s="54" t="s">
        <v>2</v>
      </c>
      <c r="AE2475" s="54" t="s">
        <v>2</v>
      </c>
      <c r="AF2475" s="54" t="s">
        <v>2</v>
      </c>
      <c r="AG2475" s="54" t="s">
        <v>2</v>
      </c>
    </row>
    <row r="2476" ht="15.75" customHeight="1">
      <c r="B2476" s="56"/>
      <c r="U2476" s="46" t="str">
        <f t="array" ref="U2476">IF($D2476="","",IFERROR(_xlfn.XLOOKUP($D2476,'TIR店舗一覧'!$D:$D,'TIR店舗一覧'!$E:$E,""),""))</f>
        <v/>
      </c>
      <c r="V2476" s="54" t="s">
        <v>2</v>
      </c>
      <c r="W2476" s="54" t="s">
        <v>2</v>
      </c>
      <c r="X2476" s="54" t="s">
        <v>2</v>
      </c>
      <c r="Y2476" s="54" t="s">
        <v>2</v>
      </c>
      <c r="Z2476" s="54" t="s">
        <v>2</v>
      </c>
      <c r="AA2476" s="54" t="s">
        <v>2</v>
      </c>
      <c r="AB2476" s="54" t="s">
        <v>2</v>
      </c>
      <c r="AC2476" s="54" t="s">
        <v>2</v>
      </c>
      <c r="AD2476" s="54" t="s">
        <v>2</v>
      </c>
      <c r="AE2476" s="54" t="s">
        <v>2</v>
      </c>
      <c r="AF2476" s="54" t="s">
        <v>2</v>
      </c>
      <c r="AG2476" s="54" t="s">
        <v>2</v>
      </c>
    </row>
    <row r="2477" ht="15.75" customHeight="1">
      <c r="B2477" s="56"/>
      <c r="U2477" s="46" t="str">
        <f t="array" ref="U2477">IF($D2477="","",IFERROR(_xlfn.XLOOKUP($D2477,'TIR店舗一覧'!$D:$D,'TIR店舗一覧'!$E:$E,""),""))</f>
        <v/>
      </c>
      <c r="V2477" s="54" t="s">
        <v>2</v>
      </c>
      <c r="W2477" s="54" t="s">
        <v>2</v>
      </c>
      <c r="X2477" s="54" t="s">
        <v>2</v>
      </c>
      <c r="Y2477" s="54" t="s">
        <v>2</v>
      </c>
      <c r="Z2477" s="54" t="s">
        <v>2</v>
      </c>
      <c r="AA2477" s="54" t="s">
        <v>2</v>
      </c>
      <c r="AB2477" s="54" t="s">
        <v>2</v>
      </c>
      <c r="AC2477" s="54" t="s">
        <v>2</v>
      </c>
      <c r="AD2477" s="54" t="s">
        <v>2</v>
      </c>
      <c r="AE2477" s="54" t="s">
        <v>2</v>
      </c>
      <c r="AF2477" s="54" t="s">
        <v>2</v>
      </c>
      <c r="AG2477" s="54" t="s">
        <v>2</v>
      </c>
    </row>
    <row r="2478" ht="15.75" customHeight="1">
      <c r="B2478" s="56"/>
      <c r="U2478" s="46" t="str">
        <f t="array" ref="U2478">IF($D2478="","",IFERROR(_xlfn.XLOOKUP($D2478,'TIR店舗一覧'!$D:$D,'TIR店舗一覧'!$E:$E,""),""))</f>
        <v/>
      </c>
      <c r="V2478" s="54" t="s">
        <v>2</v>
      </c>
      <c r="W2478" s="54" t="s">
        <v>2</v>
      </c>
      <c r="X2478" s="54" t="s">
        <v>2</v>
      </c>
      <c r="Y2478" s="54" t="s">
        <v>2</v>
      </c>
      <c r="Z2478" s="54" t="s">
        <v>2</v>
      </c>
      <c r="AA2478" s="54" t="s">
        <v>2</v>
      </c>
      <c r="AB2478" s="54" t="s">
        <v>2</v>
      </c>
      <c r="AC2478" s="54" t="s">
        <v>2</v>
      </c>
      <c r="AD2478" s="54" t="s">
        <v>2</v>
      </c>
      <c r="AE2478" s="54" t="s">
        <v>2</v>
      </c>
      <c r="AF2478" s="54" t="s">
        <v>2</v>
      </c>
      <c r="AG2478" s="54" t="s">
        <v>2</v>
      </c>
    </row>
    <row r="2479" ht="15.75" customHeight="1">
      <c r="B2479" s="56"/>
      <c r="U2479" s="46" t="str">
        <f t="array" ref="U2479">IF($D2479="","",IFERROR(_xlfn.XLOOKUP($D2479,'TIR店舗一覧'!$D:$D,'TIR店舗一覧'!$E:$E,""),""))</f>
        <v/>
      </c>
      <c r="V2479" s="54" t="s">
        <v>2</v>
      </c>
      <c r="W2479" s="54" t="s">
        <v>2</v>
      </c>
      <c r="X2479" s="54" t="s">
        <v>2</v>
      </c>
      <c r="Y2479" s="54" t="s">
        <v>2</v>
      </c>
      <c r="Z2479" s="54" t="s">
        <v>2</v>
      </c>
      <c r="AA2479" s="54" t="s">
        <v>2</v>
      </c>
      <c r="AB2479" s="54" t="s">
        <v>2</v>
      </c>
      <c r="AC2479" s="54" t="s">
        <v>2</v>
      </c>
      <c r="AD2479" s="54" t="s">
        <v>2</v>
      </c>
      <c r="AE2479" s="54" t="s">
        <v>2</v>
      </c>
      <c r="AF2479" s="54" t="s">
        <v>2</v>
      </c>
      <c r="AG2479" s="54" t="s">
        <v>2</v>
      </c>
    </row>
    <row r="2480" ht="15.75" customHeight="1">
      <c r="B2480" s="56"/>
      <c r="U2480" s="46" t="str">
        <f t="array" ref="U2480">IF($D2480="","",IFERROR(_xlfn.XLOOKUP($D2480,'TIR店舗一覧'!$D:$D,'TIR店舗一覧'!$E:$E,""),""))</f>
        <v/>
      </c>
      <c r="V2480" s="54" t="s">
        <v>2</v>
      </c>
      <c r="W2480" s="54" t="s">
        <v>2</v>
      </c>
      <c r="X2480" s="54" t="s">
        <v>2</v>
      </c>
      <c r="Y2480" s="54" t="s">
        <v>2</v>
      </c>
      <c r="Z2480" s="54" t="s">
        <v>2</v>
      </c>
      <c r="AA2480" s="54" t="s">
        <v>2</v>
      </c>
      <c r="AB2480" s="54" t="s">
        <v>2</v>
      </c>
      <c r="AC2480" s="54" t="s">
        <v>2</v>
      </c>
      <c r="AD2480" s="54" t="s">
        <v>2</v>
      </c>
      <c r="AE2480" s="54" t="s">
        <v>2</v>
      </c>
      <c r="AF2480" s="54" t="s">
        <v>2</v>
      </c>
      <c r="AG2480" s="54" t="s">
        <v>2</v>
      </c>
    </row>
    <row r="2481" ht="15.75" customHeight="1">
      <c r="B2481" s="56"/>
      <c r="U2481" s="46" t="str">
        <f t="array" ref="U2481">IF($D2481="","",IFERROR(_xlfn.XLOOKUP($D2481,'TIR店舗一覧'!$D:$D,'TIR店舗一覧'!$E:$E,""),""))</f>
        <v/>
      </c>
      <c r="V2481" s="54" t="s">
        <v>2</v>
      </c>
      <c r="W2481" s="54" t="s">
        <v>2</v>
      </c>
      <c r="X2481" s="54" t="s">
        <v>2</v>
      </c>
      <c r="Y2481" s="54" t="s">
        <v>2</v>
      </c>
      <c r="Z2481" s="54" t="s">
        <v>2</v>
      </c>
      <c r="AA2481" s="54" t="s">
        <v>2</v>
      </c>
      <c r="AB2481" s="54" t="s">
        <v>2</v>
      </c>
      <c r="AC2481" s="54" t="s">
        <v>2</v>
      </c>
      <c r="AD2481" s="54" t="s">
        <v>2</v>
      </c>
      <c r="AE2481" s="54" t="s">
        <v>2</v>
      </c>
      <c r="AF2481" s="54" t="s">
        <v>2</v>
      </c>
      <c r="AG2481" s="54" t="s">
        <v>2</v>
      </c>
    </row>
    <row r="2482" ht="15.75" customHeight="1">
      <c r="B2482" s="56"/>
      <c r="U2482" s="46" t="str">
        <f t="array" ref="U2482">IF($D2482="","",IFERROR(_xlfn.XLOOKUP($D2482,'TIR店舗一覧'!$D:$D,'TIR店舗一覧'!$E:$E,""),""))</f>
        <v/>
      </c>
      <c r="V2482" s="54" t="s">
        <v>2</v>
      </c>
      <c r="W2482" s="54" t="s">
        <v>2</v>
      </c>
      <c r="X2482" s="54" t="s">
        <v>2</v>
      </c>
      <c r="Y2482" s="54" t="s">
        <v>2</v>
      </c>
      <c r="Z2482" s="54" t="s">
        <v>2</v>
      </c>
      <c r="AA2482" s="54" t="s">
        <v>2</v>
      </c>
      <c r="AB2482" s="54" t="s">
        <v>2</v>
      </c>
      <c r="AC2482" s="54" t="s">
        <v>2</v>
      </c>
      <c r="AD2482" s="54" t="s">
        <v>2</v>
      </c>
      <c r="AE2482" s="54" t="s">
        <v>2</v>
      </c>
      <c r="AF2482" s="54" t="s">
        <v>2</v>
      </c>
      <c r="AG2482" s="54" t="s">
        <v>2</v>
      </c>
    </row>
    <row r="2483" ht="15.75" customHeight="1">
      <c r="B2483" s="56"/>
      <c r="U2483" s="46" t="str">
        <f t="array" ref="U2483">IF($D2483="","",IFERROR(_xlfn.XLOOKUP($D2483,'TIR店舗一覧'!$D:$D,'TIR店舗一覧'!$E:$E,""),""))</f>
        <v/>
      </c>
      <c r="V2483" s="54" t="s">
        <v>2</v>
      </c>
      <c r="W2483" s="54" t="s">
        <v>2</v>
      </c>
      <c r="X2483" s="54" t="s">
        <v>2</v>
      </c>
      <c r="Y2483" s="54" t="s">
        <v>2</v>
      </c>
      <c r="Z2483" s="54" t="s">
        <v>2</v>
      </c>
      <c r="AA2483" s="54" t="s">
        <v>2</v>
      </c>
      <c r="AB2483" s="54" t="s">
        <v>2</v>
      </c>
      <c r="AC2483" s="54" t="s">
        <v>2</v>
      </c>
      <c r="AD2483" s="54" t="s">
        <v>2</v>
      </c>
      <c r="AE2483" s="54" t="s">
        <v>2</v>
      </c>
      <c r="AF2483" s="54" t="s">
        <v>2</v>
      </c>
      <c r="AG2483" s="54" t="s">
        <v>2</v>
      </c>
    </row>
    <row r="2484" ht="15.75" customHeight="1">
      <c r="B2484" s="56"/>
      <c r="U2484" s="46" t="str">
        <f t="array" ref="U2484">IF($D2484="","",IFERROR(_xlfn.XLOOKUP($D2484,'TIR店舗一覧'!$D:$D,'TIR店舗一覧'!$E:$E,""),""))</f>
        <v/>
      </c>
      <c r="V2484" s="54" t="s">
        <v>2</v>
      </c>
      <c r="W2484" s="54" t="s">
        <v>2</v>
      </c>
      <c r="X2484" s="54" t="s">
        <v>2</v>
      </c>
      <c r="Y2484" s="54" t="s">
        <v>2</v>
      </c>
      <c r="Z2484" s="54" t="s">
        <v>2</v>
      </c>
      <c r="AA2484" s="54" t="s">
        <v>2</v>
      </c>
      <c r="AB2484" s="54" t="s">
        <v>2</v>
      </c>
      <c r="AC2484" s="54" t="s">
        <v>2</v>
      </c>
      <c r="AD2484" s="54" t="s">
        <v>2</v>
      </c>
      <c r="AE2484" s="54" t="s">
        <v>2</v>
      </c>
      <c r="AF2484" s="54" t="s">
        <v>2</v>
      </c>
      <c r="AG2484" s="54" t="s">
        <v>2</v>
      </c>
    </row>
    <row r="2485" ht="15.75" customHeight="1">
      <c r="B2485" s="56"/>
      <c r="U2485" s="46" t="str">
        <f t="array" ref="U2485">IF($D2485="","",IFERROR(_xlfn.XLOOKUP($D2485,'TIR店舗一覧'!$D:$D,'TIR店舗一覧'!$E:$E,""),""))</f>
        <v/>
      </c>
      <c r="V2485" s="54" t="s">
        <v>2</v>
      </c>
      <c r="W2485" s="54" t="s">
        <v>2</v>
      </c>
      <c r="X2485" s="54" t="s">
        <v>2</v>
      </c>
      <c r="Y2485" s="54" t="s">
        <v>2</v>
      </c>
      <c r="Z2485" s="54" t="s">
        <v>2</v>
      </c>
      <c r="AA2485" s="54" t="s">
        <v>2</v>
      </c>
      <c r="AB2485" s="54" t="s">
        <v>2</v>
      </c>
      <c r="AC2485" s="54" t="s">
        <v>2</v>
      </c>
      <c r="AD2485" s="54" t="s">
        <v>2</v>
      </c>
      <c r="AE2485" s="54" t="s">
        <v>2</v>
      </c>
      <c r="AF2485" s="54" t="s">
        <v>2</v>
      </c>
      <c r="AG2485" s="54" t="s">
        <v>2</v>
      </c>
    </row>
    <row r="2486" ht="15.75" customHeight="1">
      <c r="B2486" s="56"/>
      <c r="U2486" s="46" t="str">
        <f t="array" ref="U2486">IF($D2486="","",IFERROR(_xlfn.XLOOKUP($D2486,'TIR店舗一覧'!$D:$D,'TIR店舗一覧'!$E:$E,""),""))</f>
        <v/>
      </c>
      <c r="V2486" s="54" t="s">
        <v>2</v>
      </c>
      <c r="W2486" s="54" t="s">
        <v>2</v>
      </c>
      <c r="X2486" s="54" t="s">
        <v>2</v>
      </c>
      <c r="Y2486" s="54" t="s">
        <v>2</v>
      </c>
      <c r="Z2486" s="54" t="s">
        <v>2</v>
      </c>
      <c r="AA2486" s="54" t="s">
        <v>2</v>
      </c>
      <c r="AB2486" s="54" t="s">
        <v>2</v>
      </c>
      <c r="AC2486" s="54" t="s">
        <v>2</v>
      </c>
      <c r="AD2486" s="54" t="s">
        <v>2</v>
      </c>
      <c r="AE2486" s="54" t="s">
        <v>2</v>
      </c>
      <c r="AF2486" s="54" t="s">
        <v>2</v>
      </c>
      <c r="AG2486" s="54" t="s">
        <v>2</v>
      </c>
    </row>
    <row r="2487" ht="15.75" customHeight="1">
      <c r="B2487" s="56"/>
      <c r="U2487" s="46" t="str">
        <f t="array" ref="U2487">IF($D2487="","",IFERROR(_xlfn.XLOOKUP($D2487,'TIR店舗一覧'!$D:$D,'TIR店舗一覧'!$E:$E,""),""))</f>
        <v/>
      </c>
      <c r="V2487" s="54" t="s">
        <v>2</v>
      </c>
      <c r="W2487" s="54" t="s">
        <v>2</v>
      </c>
      <c r="X2487" s="54" t="s">
        <v>2</v>
      </c>
      <c r="Y2487" s="54" t="s">
        <v>2</v>
      </c>
      <c r="Z2487" s="54" t="s">
        <v>2</v>
      </c>
      <c r="AA2487" s="54" t="s">
        <v>2</v>
      </c>
      <c r="AB2487" s="54" t="s">
        <v>2</v>
      </c>
      <c r="AC2487" s="54" t="s">
        <v>2</v>
      </c>
      <c r="AD2487" s="54" t="s">
        <v>2</v>
      </c>
      <c r="AE2487" s="54" t="s">
        <v>2</v>
      </c>
      <c r="AF2487" s="54" t="s">
        <v>2</v>
      </c>
      <c r="AG2487" s="54" t="s">
        <v>2</v>
      </c>
    </row>
    <row r="2488" ht="15.75" customHeight="1">
      <c r="B2488" s="56"/>
      <c r="U2488" s="46" t="str">
        <f t="array" ref="U2488">IF($D2488="","",IFERROR(_xlfn.XLOOKUP($D2488,'TIR店舗一覧'!$D:$D,'TIR店舗一覧'!$E:$E,""),""))</f>
        <v/>
      </c>
      <c r="V2488" s="54" t="s">
        <v>2</v>
      </c>
      <c r="W2488" s="54" t="s">
        <v>2</v>
      </c>
      <c r="X2488" s="54" t="s">
        <v>2</v>
      </c>
      <c r="Y2488" s="54" t="s">
        <v>2</v>
      </c>
      <c r="Z2488" s="54" t="s">
        <v>2</v>
      </c>
      <c r="AA2488" s="54" t="s">
        <v>2</v>
      </c>
      <c r="AB2488" s="54" t="s">
        <v>2</v>
      </c>
      <c r="AC2488" s="54" t="s">
        <v>2</v>
      </c>
      <c r="AD2488" s="54" t="s">
        <v>2</v>
      </c>
      <c r="AE2488" s="54" t="s">
        <v>2</v>
      </c>
      <c r="AF2488" s="54" t="s">
        <v>2</v>
      </c>
      <c r="AG2488" s="54" t="s">
        <v>2</v>
      </c>
    </row>
    <row r="2489" ht="15.75" customHeight="1">
      <c r="B2489" s="56"/>
      <c r="U2489" s="46" t="str">
        <f t="array" ref="U2489">IF($D2489="","",IFERROR(_xlfn.XLOOKUP($D2489,'TIR店舗一覧'!$D:$D,'TIR店舗一覧'!$E:$E,""),""))</f>
        <v/>
      </c>
      <c r="V2489" s="54" t="s">
        <v>2</v>
      </c>
      <c r="W2489" s="54" t="s">
        <v>2</v>
      </c>
      <c r="X2489" s="54" t="s">
        <v>2</v>
      </c>
      <c r="Y2489" s="54" t="s">
        <v>2</v>
      </c>
      <c r="Z2489" s="54" t="s">
        <v>2</v>
      </c>
      <c r="AA2489" s="54" t="s">
        <v>2</v>
      </c>
      <c r="AB2489" s="54" t="s">
        <v>2</v>
      </c>
      <c r="AC2489" s="54" t="s">
        <v>2</v>
      </c>
      <c r="AD2489" s="54" t="s">
        <v>2</v>
      </c>
      <c r="AE2489" s="54" t="s">
        <v>2</v>
      </c>
      <c r="AF2489" s="54" t="s">
        <v>2</v>
      </c>
      <c r="AG2489" s="54" t="s">
        <v>2</v>
      </c>
    </row>
    <row r="2490" ht="15.75" customHeight="1">
      <c r="B2490" s="56"/>
      <c r="U2490" s="46" t="str">
        <f t="array" ref="U2490">IF($D2490="","",IFERROR(_xlfn.XLOOKUP($D2490,'TIR店舗一覧'!$D:$D,'TIR店舗一覧'!$E:$E,""),""))</f>
        <v/>
      </c>
      <c r="V2490" s="54" t="s">
        <v>2</v>
      </c>
      <c r="W2490" s="54" t="s">
        <v>2</v>
      </c>
      <c r="X2490" s="54" t="s">
        <v>2</v>
      </c>
      <c r="Y2490" s="54" t="s">
        <v>2</v>
      </c>
      <c r="Z2490" s="54" t="s">
        <v>2</v>
      </c>
      <c r="AA2490" s="54" t="s">
        <v>2</v>
      </c>
      <c r="AB2490" s="54" t="s">
        <v>2</v>
      </c>
      <c r="AC2490" s="54" t="s">
        <v>2</v>
      </c>
      <c r="AD2490" s="54" t="s">
        <v>2</v>
      </c>
      <c r="AE2490" s="54" t="s">
        <v>2</v>
      </c>
      <c r="AF2490" s="54" t="s">
        <v>2</v>
      </c>
      <c r="AG2490" s="54" t="s">
        <v>2</v>
      </c>
    </row>
    <row r="2491" ht="15.75" customHeight="1">
      <c r="B2491" s="56"/>
      <c r="U2491" s="46" t="str">
        <f t="array" ref="U2491">IF($D2491="","",IFERROR(_xlfn.XLOOKUP($D2491,'TIR店舗一覧'!$D:$D,'TIR店舗一覧'!$E:$E,""),""))</f>
        <v/>
      </c>
      <c r="V2491" s="54" t="s">
        <v>2</v>
      </c>
      <c r="W2491" s="54" t="s">
        <v>2</v>
      </c>
      <c r="X2491" s="54" t="s">
        <v>2</v>
      </c>
      <c r="Y2491" s="54" t="s">
        <v>2</v>
      </c>
      <c r="Z2491" s="54" t="s">
        <v>2</v>
      </c>
      <c r="AA2491" s="54" t="s">
        <v>2</v>
      </c>
      <c r="AB2491" s="54" t="s">
        <v>2</v>
      </c>
      <c r="AC2491" s="54" t="s">
        <v>2</v>
      </c>
      <c r="AD2491" s="54" t="s">
        <v>2</v>
      </c>
      <c r="AE2491" s="54" t="s">
        <v>2</v>
      </c>
      <c r="AF2491" s="54" t="s">
        <v>2</v>
      </c>
      <c r="AG2491" s="54" t="s">
        <v>2</v>
      </c>
    </row>
    <row r="2492" ht="15.75" customHeight="1">
      <c r="B2492" s="56"/>
      <c r="U2492" s="46" t="str">
        <f t="array" ref="U2492">IF($D2492="","",IFERROR(_xlfn.XLOOKUP($D2492,'TIR店舗一覧'!$D:$D,'TIR店舗一覧'!$E:$E,""),""))</f>
        <v/>
      </c>
      <c r="V2492" s="54" t="s">
        <v>2</v>
      </c>
      <c r="W2492" s="54" t="s">
        <v>2</v>
      </c>
      <c r="X2492" s="54" t="s">
        <v>2</v>
      </c>
      <c r="Y2492" s="54" t="s">
        <v>2</v>
      </c>
      <c r="Z2492" s="54" t="s">
        <v>2</v>
      </c>
      <c r="AA2492" s="54" t="s">
        <v>2</v>
      </c>
      <c r="AB2492" s="54" t="s">
        <v>2</v>
      </c>
      <c r="AC2492" s="54" t="s">
        <v>2</v>
      </c>
      <c r="AD2492" s="54" t="s">
        <v>2</v>
      </c>
      <c r="AE2492" s="54" t="s">
        <v>2</v>
      </c>
      <c r="AF2492" s="54" t="s">
        <v>2</v>
      </c>
      <c r="AG2492" s="54" t="s">
        <v>2</v>
      </c>
    </row>
    <row r="2493" ht="15.75" customHeight="1">
      <c r="B2493" s="56"/>
      <c r="U2493" s="46" t="str">
        <f t="array" ref="U2493">IF($D2493="","",IFERROR(_xlfn.XLOOKUP($D2493,'TIR店舗一覧'!$D:$D,'TIR店舗一覧'!$E:$E,""),""))</f>
        <v/>
      </c>
      <c r="V2493" s="54" t="s">
        <v>2</v>
      </c>
      <c r="W2493" s="54" t="s">
        <v>2</v>
      </c>
      <c r="X2493" s="54" t="s">
        <v>2</v>
      </c>
      <c r="Y2493" s="54" t="s">
        <v>2</v>
      </c>
      <c r="Z2493" s="54" t="s">
        <v>2</v>
      </c>
      <c r="AA2493" s="54" t="s">
        <v>2</v>
      </c>
      <c r="AB2493" s="54" t="s">
        <v>2</v>
      </c>
      <c r="AC2493" s="54" t="s">
        <v>2</v>
      </c>
      <c r="AD2493" s="54" t="s">
        <v>2</v>
      </c>
      <c r="AE2493" s="54" t="s">
        <v>2</v>
      </c>
      <c r="AF2493" s="54" t="s">
        <v>2</v>
      </c>
      <c r="AG2493" s="54" t="s">
        <v>2</v>
      </c>
    </row>
    <row r="2494" ht="15.75" customHeight="1">
      <c r="B2494" s="56"/>
      <c r="U2494" s="46" t="str">
        <f t="array" ref="U2494">IF($D2494="","",IFERROR(_xlfn.XLOOKUP($D2494,'TIR店舗一覧'!$D:$D,'TIR店舗一覧'!$E:$E,""),""))</f>
        <v/>
      </c>
      <c r="V2494" s="54" t="s">
        <v>2</v>
      </c>
      <c r="W2494" s="54" t="s">
        <v>2</v>
      </c>
      <c r="X2494" s="54" t="s">
        <v>2</v>
      </c>
      <c r="Y2494" s="54" t="s">
        <v>2</v>
      </c>
      <c r="Z2494" s="54" t="s">
        <v>2</v>
      </c>
      <c r="AA2494" s="54" t="s">
        <v>2</v>
      </c>
      <c r="AB2494" s="54" t="s">
        <v>2</v>
      </c>
      <c r="AC2494" s="54" t="s">
        <v>2</v>
      </c>
      <c r="AD2494" s="54" t="s">
        <v>2</v>
      </c>
      <c r="AE2494" s="54" t="s">
        <v>2</v>
      </c>
      <c r="AF2494" s="54" t="s">
        <v>2</v>
      </c>
      <c r="AG2494" s="54" t="s">
        <v>2</v>
      </c>
    </row>
    <row r="2495" ht="15.75" customHeight="1">
      <c r="B2495" s="56"/>
      <c r="U2495" s="46" t="str">
        <f t="array" ref="U2495">IF($D2495="","",IFERROR(_xlfn.XLOOKUP($D2495,'TIR店舗一覧'!$D:$D,'TIR店舗一覧'!$E:$E,""),""))</f>
        <v/>
      </c>
      <c r="V2495" s="54" t="s">
        <v>2</v>
      </c>
      <c r="W2495" s="54" t="s">
        <v>2</v>
      </c>
      <c r="X2495" s="54" t="s">
        <v>2</v>
      </c>
      <c r="Y2495" s="54" t="s">
        <v>2</v>
      </c>
      <c r="Z2495" s="54" t="s">
        <v>2</v>
      </c>
      <c r="AA2495" s="54" t="s">
        <v>2</v>
      </c>
      <c r="AB2495" s="54" t="s">
        <v>2</v>
      </c>
      <c r="AC2495" s="54" t="s">
        <v>2</v>
      </c>
      <c r="AD2495" s="54" t="s">
        <v>2</v>
      </c>
      <c r="AE2495" s="54" t="s">
        <v>2</v>
      </c>
      <c r="AF2495" s="54" t="s">
        <v>2</v>
      </c>
      <c r="AG2495" s="54" t="s">
        <v>2</v>
      </c>
    </row>
    <row r="2496" ht="15.75" customHeight="1">
      <c r="B2496" s="56"/>
      <c r="U2496" s="46" t="str">
        <f t="array" ref="U2496">IF($D2496="","",IFERROR(_xlfn.XLOOKUP($D2496,'TIR店舗一覧'!$D:$D,'TIR店舗一覧'!$E:$E,""),""))</f>
        <v/>
      </c>
      <c r="V2496" s="54" t="s">
        <v>2</v>
      </c>
      <c r="W2496" s="54" t="s">
        <v>2</v>
      </c>
      <c r="X2496" s="54" t="s">
        <v>2</v>
      </c>
      <c r="Y2496" s="54" t="s">
        <v>2</v>
      </c>
      <c r="Z2496" s="54" t="s">
        <v>2</v>
      </c>
      <c r="AA2496" s="54" t="s">
        <v>2</v>
      </c>
      <c r="AB2496" s="54" t="s">
        <v>2</v>
      </c>
      <c r="AC2496" s="54" t="s">
        <v>2</v>
      </c>
      <c r="AD2496" s="54" t="s">
        <v>2</v>
      </c>
      <c r="AE2496" s="54" t="s">
        <v>2</v>
      </c>
      <c r="AF2496" s="54" t="s">
        <v>2</v>
      </c>
      <c r="AG2496" s="54" t="s">
        <v>2</v>
      </c>
    </row>
    <row r="2497" ht="15.75" customHeight="1">
      <c r="B2497" s="56"/>
      <c r="U2497" s="46" t="str">
        <f t="array" ref="U2497">IF($D2497="","",IFERROR(_xlfn.XLOOKUP($D2497,'TIR店舗一覧'!$D:$D,'TIR店舗一覧'!$E:$E,""),""))</f>
        <v/>
      </c>
      <c r="V2497" s="54" t="s">
        <v>2</v>
      </c>
      <c r="W2497" s="54" t="s">
        <v>2</v>
      </c>
      <c r="X2497" s="54" t="s">
        <v>2</v>
      </c>
      <c r="Y2497" s="54" t="s">
        <v>2</v>
      </c>
      <c r="Z2497" s="54" t="s">
        <v>2</v>
      </c>
      <c r="AA2497" s="54" t="s">
        <v>2</v>
      </c>
      <c r="AB2497" s="54" t="s">
        <v>2</v>
      </c>
      <c r="AC2497" s="54" t="s">
        <v>2</v>
      </c>
      <c r="AD2497" s="54" t="s">
        <v>2</v>
      </c>
      <c r="AE2497" s="54" t="s">
        <v>2</v>
      </c>
      <c r="AF2497" s="54" t="s">
        <v>2</v>
      </c>
      <c r="AG2497" s="54" t="s">
        <v>2</v>
      </c>
    </row>
    <row r="2498" ht="15.75" customHeight="1">
      <c r="B2498" s="56"/>
      <c r="U2498" s="46" t="str">
        <f t="array" ref="U2498">IF($D2498="","",IFERROR(_xlfn.XLOOKUP($D2498,'TIR店舗一覧'!$D:$D,'TIR店舗一覧'!$E:$E,""),""))</f>
        <v/>
      </c>
      <c r="V2498" s="54" t="s">
        <v>2</v>
      </c>
      <c r="W2498" s="54" t="s">
        <v>2</v>
      </c>
      <c r="X2498" s="54" t="s">
        <v>2</v>
      </c>
      <c r="Y2498" s="54" t="s">
        <v>2</v>
      </c>
      <c r="Z2498" s="54" t="s">
        <v>2</v>
      </c>
      <c r="AA2498" s="54" t="s">
        <v>2</v>
      </c>
      <c r="AB2498" s="54" t="s">
        <v>2</v>
      </c>
      <c r="AC2498" s="54" t="s">
        <v>2</v>
      </c>
      <c r="AD2498" s="54" t="s">
        <v>2</v>
      </c>
      <c r="AE2498" s="54" t="s">
        <v>2</v>
      </c>
      <c r="AF2498" s="54" t="s">
        <v>2</v>
      </c>
      <c r="AG2498" s="54" t="s">
        <v>2</v>
      </c>
    </row>
    <row r="2499" ht="15.75" customHeight="1">
      <c r="B2499" s="56"/>
      <c r="U2499" s="46" t="str">
        <f t="array" ref="U2499">IF($D2499="","",IFERROR(_xlfn.XLOOKUP($D2499,'TIR店舗一覧'!$D:$D,'TIR店舗一覧'!$E:$E,""),""))</f>
        <v/>
      </c>
      <c r="V2499" s="54" t="s">
        <v>2</v>
      </c>
      <c r="W2499" s="54" t="s">
        <v>2</v>
      </c>
      <c r="X2499" s="54" t="s">
        <v>2</v>
      </c>
      <c r="Y2499" s="54" t="s">
        <v>2</v>
      </c>
      <c r="Z2499" s="54" t="s">
        <v>2</v>
      </c>
      <c r="AA2499" s="54" t="s">
        <v>2</v>
      </c>
      <c r="AB2499" s="54" t="s">
        <v>2</v>
      </c>
      <c r="AC2499" s="54" t="s">
        <v>2</v>
      </c>
      <c r="AD2499" s="54" t="s">
        <v>2</v>
      </c>
      <c r="AE2499" s="54" t="s">
        <v>2</v>
      </c>
      <c r="AF2499" s="54" t="s">
        <v>2</v>
      </c>
      <c r="AG2499" s="54" t="s">
        <v>2</v>
      </c>
    </row>
    <row r="2500" ht="15.75" customHeight="1">
      <c r="B2500" s="56"/>
      <c r="U2500" s="46" t="str">
        <f t="array" ref="U2500">IF($D2500="","",IFERROR(_xlfn.XLOOKUP($D2500,'TIR店舗一覧'!$D:$D,'TIR店舗一覧'!$E:$E,""),""))</f>
        <v/>
      </c>
      <c r="V2500" s="54" t="s">
        <v>2</v>
      </c>
      <c r="W2500" s="54" t="s">
        <v>2</v>
      </c>
      <c r="X2500" s="54" t="s">
        <v>2</v>
      </c>
      <c r="Y2500" s="54" t="s">
        <v>2</v>
      </c>
      <c r="Z2500" s="54" t="s">
        <v>2</v>
      </c>
      <c r="AA2500" s="54" t="s">
        <v>2</v>
      </c>
      <c r="AB2500" s="54" t="s">
        <v>2</v>
      </c>
      <c r="AC2500" s="54" t="s">
        <v>2</v>
      </c>
      <c r="AD2500" s="54" t="s">
        <v>2</v>
      </c>
      <c r="AE2500" s="54" t="s">
        <v>2</v>
      </c>
      <c r="AF2500" s="54" t="s">
        <v>2</v>
      </c>
      <c r="AG2500" s="54" t="s">
        <v>2</v>
      </c>
    </row>
    <row r="2501" ht="15.75" customHeight="1">
      <c r="B2501" s="56"/>
      <c r="U2501" s="46" t="str">
        <f t="array" ref="U2501">IF($D2501="","",IFERROR(_xlfn.XLOOKUP($D2501,'TIR店舗一覧'!$D:$D,'TIR店舗一覧'!$E:$E,""),""))</f>
        <v/>
      </c>
      <c r="V2501" s="54" t="s">
        <v>2</v>
      </c>
      <c r="W2501" s="54" t="s">
        <v>2</v>
      </c>
      <c r="X2501" s="54" t="s">
        <v>2</v>
      </c>
      <c r="Y2501" s="54" t="s">
        <v>2</v>
      </c>
      <c r="Z2501" s="54" t="s">
        <v>2</v>
      </c>
      <c r="AA2501" s="54" t="s">
        <v>2</v>
      </c>
      <c r="AB2501" s="54" t="s">
        <v>2</v>
      </c>
      <c r="AC2501" s="54" t="s">
        <v>2</v>
      </c>
      <c r="AD2501" s="54" t="s">
        <v>2</v>
      </c>
      <c r="AE2501" s="54" t="s">
        <v>2</v>
      </c>
      <c r="AF2501" s="54" t="s">
        <v>2</v>
      </c>
      <c r="AG2501" s="54" t="s">
        <v>2</v>
      </c>
    </row>
    <row r="2502" ht="15.75" customHeight="1">
      <c r="B2502" s="56"/>
      <c r="U2502" s="46" t="str">
        <f t="array" ref="U2502">IF($D2502="","",IFERROR(_xlfn.XLOOKUP($D2502,'TIR店舗一覧'!$D:$D,'TIR店舗一覧'!$E:$E,""),""))</f>
        <v/>
      </c>
      <c r="V2502" s="54" t="s">
        <v>2</v>
      </c>
      <c r="W2502" s="54" t="s">
        <v>2</v>
      </c>
      <c r="X2502" s="54" t="s">
        <v>2</v>
      </c>
      <c r="Y2502" s="54" t="s">
        <v>2</v>
      </c>
      <c r="Z2502" s="54" t="s">
        <v>2</v>
      </c>
      <c r="AA2502" s="54" t="s">
        <v>2</v>
      </c>
      <c r="AB2502" s="54" t="s">
        <v>2</v>
      </c>
      <c r="AC2502" s="54" t="s">
        <v>2</v>
      </c>
      <c r="AD2502" s="54" t="s">
        <v>2</v>
      </c>
      <c r="AE2502" s="54" t="s">
        <v>2</v>
      </c>
      <c r="AF2502" s="54" t="s">
        <v>2</v>
      </c>
      <c r="AG2502" s="54" t="s">
        <v>2</v>
      </c>
    </row>
    <row r="2503" ht="15.75" customHeight="1">
      <c r="B2503" s="56"/>
      <c r="U2503" s="46" t="str">
        <f t="array" ref="U2503">IF($D2503="","",IFERROR(_xlfn.XLOOKUP($D2503,'TIR店舗一覧'!$D:$D,'TIR店舗一覧'!$E:$E,""),""))</f>
        <v/>
      </c>
      <c r="V2503" s="54" t="s">
        <v>2</v>
      </c>
      <c r="W2503" s="54" t="s">
        <v>2</v>
      </c>
      <c r="X2503" s="54" t="s">
        <v>2</v>
      </c>
      <c r="Y2503" s="54" t="s">
        <v>2</v>
      </c>
      <c r="Z2503" s="54" t="s">
        <v>2</v>
      </c>
      <c r="AA2503" s="54" t="s">
        <v>2</v>
      </c>
      <c r="AB2503" s="54" t="s">
        <v>2</v>
      </c>
      <c r="AC2503" s="54" t="s">
        <v>2</v>
      </c>
      <c r="AD2503" s="54" t="s">
        <v>2</v>
      </c>
      <c r="AE2503" s="54" t="s">
        <v>2</v>
      </c>
      <c r="AF2503" s="54" t="s">
        <v>2</v>
      </c>
      <c r="AG2503" s="54" t="s">
        <v>2</v>
      </c>
    </row>
    <row r="2504" ht="15.75" customHeight="1">
      <c r="B2504" s="56"/>
      <c r="U2504" s="46" t="str">
        <f t="array" ref="U2504">IF($D2504="","",IFERROR(_xlfn.XLOOKUP($D2504,'TIR店舗一覧'!$D:$D,'TIR店舗一覧'!$E:$E,""),""))</f>
        <v/>
      </c>
      <c r="V2504" s="54" t="s">
        <v>2</v>
      </c>
      <c r="W2504" s="54" t="s">
        <v>2</v>
      </c>
      <c r="X2504" s="54" t="s">
        <v>2</v>
      </c>
      <c r="Y2504" s="54" t="s">
        <v>2</v>
      </c>
      <c r="Z2504" s="54" t="s">
        <v>2</v>
      </c>
      <c r="AA2504" s="54" t="s">
        <v>2</v>
      </c>
      <c r="AB2504" s="54" t="s">
        <v>2</v>
      </c>
      <c r="AC2504" s="54" t="s">
        <v>2</v>
      </c>
      <c r="AD2504" s="54" t="s">
        <v>2</v>
      </c>
      <c r="AE2504" s="54" t="s">
        <v>2</v>
      </c>
      <c r="AF2504" s="54" t="s">
        <v>2</v>
      </c>
      <c r="AG2504" s="54" t="s">
        <v>2</v>
      </c>
    </row>
    <row r="2505" ht="15.75" customHeight="1">
      <c r="B2505" s="56"/>
      <c r="U2505" s="46" t="str">
        <f t="array" ref="U2505">IF($D2505="","",IFERROR(_xlfn.XLOOKUP($D2505,'TIR店舗一覧'!$D:$D,'TIR店舗一覧'!$E:$E,""),""))</f>
        <v/>
      </c>
      <c r="V2505" s="54" t="s">
        <v>2</v>
      </c>
      <c r="W2505" s="54" t="s">
        <v>2</v>
      </c>
      <c r="X2505" s="54" t="s">
        <v>2</v>
      </c>
      <c r="Y2505" s="54" t="s">
        <v>2</v>
      </c>
      <c r="Z2505" s="54" t="s">
        <v>2</v>
      </c>
      <c r="AA2505" s="54" t="s">
        <v>2</v>
      </c>
      <c r="AB2505" s="54" t="s">
        <v>2</v>
      </c>
      <c r="AC2505" s="54" t="s">
        <v>2</v>
      </c>
      <c r="AD2505" s="54" t="s">
        <v>2</v>
      </c>
      <c r="AE2505" s="54" t="s">
        <v>2</v>
      </c>
      <c r="AF2505" s="54" t="s">
        <v>2</v>
      </c>
      <c r="AG2505" s="54" t="s">
        <v>2</v>
      </c>
    </row>
    <row r="2506" ht="15.75" customHeight="1">
      <c r="B2506" s="56"/>
      <c r="U2506" s="46" t="str">
        <f t="array" ref="U2506">IF($D2506="","",IFERROR(_xlfn.XLOOKUP($D2506,'TIR店舗一覧'!$D:$D,'TIR店舗一覧'!$E:$E,""),""))</f>
        <v/>
      </c>
      <c r="V2506" s="54" t="s">
        <v>2</v>
      </c>
      <c r="W2506" s="54" t="s">
        <v>2</v>
      </c>
      <c r="X2506" s="54" t="s">
        <v>2</v>
      </c>
      <c r="Y2506" s="54" t="s">
        <v>2</v>
      </c>
      <c r="Z2506" s="54" t="s">
        <v>2</v>
      </c>
      <c r="AA2506" s="54" t="s">
        <v>2</v>
      </c>
      <c r="AB2506" s="54" t="s">
        <v>2</v>
      </c>
      <c r="AC2506" s="54" t="s">
        <v>2</v>
      </c>
      <c r="AD2506" s="54" t="s">
        <v>2</v>
      </c>
      <c r="AE2506" s="54" t="s">
        <v>2</v>
      </c>
      <c r="AF2506" s="54" t="s">
        <v>2</v>
      </c>
      <c r="AG2506" s="54" t="s">
        <v>2</v>
      </c>
    </row>
    <row r="2507" ht="15.75" customHeight="1">
      <c r="B2507" s="56"/>
      <c r="U2507" s="46" t="str">
        <f t="array" ref="U2507">IF($D2507="","",IFERROR(_xlfn.XLOOKUP($D2507,'TIR店舗一覧'!$D:$D,'TIR店舗一覧'!$E:$E,""),""))</f>
        <v/>
      </c>
      <c r="V2507" s="54" t="s">
        <v>2</v>
      </c>
      <c r="W2507" s="54" t="s">
        <v>2</v>
      </c>
      <c r="X2507" s="54" t="s">
        <v>2</v>
      </c>
      <c r="Y2507" s="54" t="s">
        <v>2</v>
      </c>
      <c r="Z2507" s="54" t="s">
        <v>2</v>
      </c>
      <c r="AA2507" s="54" t="s">
        <v>2</v>
      </c>
      <c r="AB2507" s="54" t="s">
        <v>2</v>
      </c>
      <c r="AC2507" s="54" t="s">
        <v>2</v>
      </c>
      <c r="AD2507" s="54" t="s">
        <v>2</v>
      </c>
      <c r="AE2507" s="54" t="s">
        <v>2</v>
      </c>
      <c r="AF2507" s="54" t="s">
        <v>2</v>
      </c>
      <c r="AG2507" s="54" t="s">
        <v>2</v>
      </c>
    </row>
    <row r="2508" ht="15.75" customHeight="1">
      <c r="B2508" s="56"/>
      <c r="U2508" s="46" t="str">
        <f t="array" ref="U2508">IF($D2508="","",IFERROR(_xlfn.XLOOKUP($D2508,'TIR店舗一覧'!$D:$D,'TIR店舗一覧'!$E:$E,""),""))</f>
        <v/>
      </c>
      <c r="V2508" s="54" t="s">
        <v>2</v>
      </c>
      <c r="W2508" s="54" t="s">
        <v>2</v>
      </c>
      <c r="X2508" s="54" t="s">
        <v>2</v>
      </c>
      <c r="Y2508" s="54" t="s">
        <v>2</v>
      </c>
      <c r="Z2508" s="54" t="s">
        <v>2</v>
      </c>
      <c r="AA2508" s="54" t="s">
        <v>2</v>
      </c>
      <c r="AB2508" s="54" t="s">
        <v>2</v>
      </c>
      <c r="AC2508" s="54" t="s">
        <v>2</v>
      </c>
      <c r="AD2508" s="54" t="s">
        <v>2</v>
      </c>
      <c r="AE2508" s="54" t="s">
        <v>2</v>
      </c>
      <c r="AF2508" s="54" t="s">
        <v>2</v>
      </c>
      <c r="AG2508" s="54" t="s">
        <v>2</v>
      </c>
    </row>
    <row r="2509" ht="15.75" customHeight="1">
      <c r="B2509" s="56"/>
      <c r="U2509" s="46" t="str">
        <f t="array" ref="U2509">IF($D2509="","",IFERROR(_xlfn.XLOOKUP($D2509,'TIR店舗一覧'!$D:$D,'TIR店舗一覧'!$E:$E,""),""))</f>
        <v/>
      </c>
      <c r="V2509" s="54" t="s">
        <v>2</v>
      </c>
      <c r="W2509" s="54" t="s">
        <v>2</v>
      </c>
      <c r="X2509" s="54" t="s">
        <v>2</v>
      </c>
      <c r="Y2509" s="54" t="s">
        <v>2</v>
      </c>
      <c r="Z2509" s="54" t="s">
        <v>2</v>
      </c>
      <c r="AA2509" s="54" t="s">
        <v>2</v>
      </c>
      <c r="AB2509" s="54" t="s">
        <v>2</v>
      </c>
      <c r="AC2509" s="54" t="s">
        <v>2</v>
      </c>
      <c r="AD2509" s="54" t="s">
        <v>2</v>
      </c>
      <c r="AE2509" s="54" t="s">
        <v>2</v>
      </c>
      <c r="AF2509" s="54" t="s">
        <v>2</v>
      </c>
      <c r="AG2509" s="54" t="s">
        <v>2</v>
      </c>
    </row>
    <row r="2510" ht="15.75" customHeight="1">
      <c r="B2510" s="56"/>
      <c r="U2510" s="46" t="str">
        <f t="array" ref="U2510">IF($D2510="","",IFERROR(_xlfn.XLOOKUP($D2510,'TIR店舗一覧'!$D:$D,'TIR店舗一覧'!$E:$E,""),""))</f>
        <v/>
      </c>
      <c r="V2510" s="54" t="s">
        <v>2</v>
      </c>
      <c r="W2510" s="54" t="s">
        <v>2</v>
      </c>
      <c r="X2510" s="54" t="s">
        <v>2</v>
      </c>
      <c r="Y2510" s="54" t="s">
        <v>2</v>
      </c>
      <c r="Z2510" s="54" t="s">
        <v>2</v>
      </c>
      <c r="AA2510" s="54" t="s">
        <v>2</v>
      </c>
      <c r="AB2510" s="54" t="s">
        <v>2</v>
      </c>
      <c r="AC2510" s="54" t="s">
        <v>2</v>
      </c>
      <c r="AD2510" s="54" t="s">
        <v>2</v>
      </c>
      <c r="AE2510" s="54" t="s">
        <v>2</v>
      </c>
      <c r="AF2510" s="54" t="s">
        <v>2</v>
      </c>
      <c r="AG2510" s="54" t="s">
        <v>2</v>
      </c>
    </row>
    <row r="2511" ht="15.75" customHeight="1">
      <c r="B2511" s="56"/>
      <c r="U2511" s="46" t="str">
        <f t="array" ref="U2511">IF($D2511="","",IFERROR(_xlfn.XLOOKUP($D2511,'TIR店舗一覧'!$D:$D,'TIR店舗一覧'!$E:$E,""),""))</f>
        <v/>
      </c>
      <c r="V2511" s="54" t="s">
        <v>2</v>
      </c>
      <c r="W2511" s="54" t="s">
        <v>2</v>
      </c>
      <c r="X2511" s="54" t="s">
        <v>2</v>
      </c>
      <c r="Y2511" s="54" t="s">
        <v>2</v>
      </c>
      <c r="Z2511" s="54" t="s">
        <v>2</v>
      </c>
      <c r="AA2511" s="54" t="s">
        <v>2</v>
      </c>
      <c r="AB2511" s="54" t="s">
        <v>2</v>
      </c>
      <c r="AC2511" s="54" t="s">
        <v>2</v>
      </c>
      <c r="AD2511" s="54" t="s">
        <v>2</v>
      </c>
      <c r="AE2511" s="54" t="s">
        <v>2</v>
      </c>
      <c r="AF2511" s="54" t="s">
        <v>2</v>
      </c>
      <c r="AG2511" s="54" t="s">
        <v>2</v>
      </c>
    </row>
    <row r="2512" ht="15.75" customHeight="1">
      <c r="B2512" s="56"/>
      <c r="U2512" s="46" t="str">
        <f t="array" ref="U2512">IF($D2512="","",IFERROR(_xlfn.XLOOKUP($D2512,'TIR店舗一覧'!$D:$D,'TIR店舗一覧'!$E:$E,""),""))</f>
        <v/>
      </c>
      <c r="V2512" s="54" t="s">
        <v>2</v>
      </c>
      <c r="W2512" s="54" t="s">
        <v>2</v>
      </c>
      <c r="X2512" s="54" t="s">
        <v>2</v>
      </c>
      <c r="Y2512" s="54" t="s">
        <v>2</v>
      </c>
      <c r="Z2512" s="54" t="s">
        <v>2</v>
      </c>
      <c r="AA2512" s="54" t="s">
        <v>2</v>
      </c>
      <c r="AB2512" s="54" t="s">
        <v>2</v>
      </c>
      <c r="AC2512" s="54" t="s">
        <v>2</v>
      </c>
      <c r="AD2512" s="54" t="s">
        <v>2</v>
      </c>
      <c r="AE2512" s="54" t="s">
        <v>2</v>
      </c>
      <c r="AF2512" s="54" t="s">
        <v>2</v>
      </c>
      <c r="AG2512" s="54" t="s">
        <v>2</v>
      </c>
    </row>
    <row r="2513" ht="15.75" customHeight="1">
      <c r="B2513" s="56"/>
      <c r="U2513" s="46" t="str">
        <f t="array" ref="U2513">IF($D2513="","",IFERROR(_xlfn.XLOOKUP($D2513,'TIR店舗一覧'!$D:$D,'TIR店舗一覧'!$E:$E,""),""))</f>
        <v/>
      </c>
      <c r="V2513" s="54" t="s">
        <v>2</v>
      </c>
      <c r="W2513" s="54" t="s">
        <v>2</v>
      </c>
      <c r="X2513" s="54" t="s">
        <v>2</v>
      </c>
      <c r="Y2513" s="54" t="s">
        <v>2</v>
      </c>
      <c r="Z2513" s="54" t="s">
        <v>2</v>
      </c>
      <c r="AA2513" s="54" t="s">
        <v>2</v>
      </c>
      <c r="AB2513" s="54" t="s">
        <v>2</v>
      </c>
      <c r="AC2513" s="54" t="s">
        <v>2</v>
      </c>
      <c r="AD2513" s="54" t="s">
        <v>2</v>
      </c>
      <c r="AE2513" s="54" t="s">
        <v>2</v>
      </c>
      <c r="AF2513" s="54" t="s">
        <v>2</v>
      </c>
      <c r="AG2513" s="54" t="s">
        <v>2</v>
      </c>
    </row>
    <row r="2514" ht="15.75" customHeight="1">
      <c r="B2514" s="56"/>
      <c r="U2514" s="46" t="str">
        <f t="array" ref="U2514">IF($D2514="","",IFERROR(_xlfn.XLOOKUP($D2514,'TIR店舗一覧'!$D:$D,'TIR店舗一覧'!$E:$E,""),""))</f>
        <v/>
      </c>
      <c r="V2514" s="54" t="s">
        <v>2</v>
      </c>
      <c r="W2514" s="54" t="s">
        <v>2</v>
      </c>
      <c r="X2514" s="54" t="s">
        <v>2</v>
      </c>
      <c r="Y2514" s="54" t="s">
        <v>2</v>
      </c>
      <c r="Z2514" s="54" t="s">
        <v>2</v>
      </c>
      <c r="AA2514" s="54" t="s">
        <v>2</v>
      </c>
      <c r="AB2514" s="54" t="s">
        <v>2</v>
      </c>
      <c r="AC2514" s="54" t="s">
        <v>2</v>
      </c>
      <c r="AD2514" s="54" t="s">
        <v>2</v>
      </c>
      <c r="AE2514" s="54" t="s">
        <v>2</v>
      </c>
      <c r="AF2514" s="54" t="s">
        <v>2</v>
      </c>
      <c r="AG2514" s="54" t="s">
        <v>2</v>
      </c>
    </row>
    <row r="2515" ht="15.75" customHeight="1">
      <c r="B2515" s="56"/>
      <c r="U2515" s="46" t="str">
        <f t="array" ref="U2515">IF($D2515="","",IFERROR(_xlfn.XLOOKUP($D2515,'TIR店舗一覧'!$D:$D,'TIR店舗一覧'!$E:$E,""),""))</f>
        <v/>
      </c>
      <c r="V2515" s="54" t="s">
        <v>2</v>
      </c>
      <c r="W2515" s="54" t="s">
        <v>2</v>
      </c>
      <c r="X2515" s="54" t="s">
        <v>2</v>
      </c>
      <c r="Y2515" s="54" t="s">
        <v>2</v>
      </c>
      <c r="Z2515" s="54" t="s">
        <v>2</v>
      </c>
      <c r="AA2515" s="54" t="s">
        <v>2</v>
      </c>
      <c r="AB2515" s="54" t="s">
        <v>2</v>
      </c>
      <c r="AC2515" s="54" t="s">
        <v>2</v>
      </c>
      <c r="AD2515" s="54" t="s">
        <v>2</v>
      </c>
      <c r="AE2515" s="54" t="s">
        <v>2</v>
      </c>
      <c r="AF2515" s="54" t="s">
        <v>2</v>
      </c>
      <c r="AG2515" s="54" t="s">
        <v>2</v>
      </c>
    </row>
    <row r="2516" ht="15.75" customHeight="1">
      <c r="B2516" s="56"/>
      <c r="U2516" s="46" t="str">
        <f t="array" ref="U2516">IF($D2516="","",IFERROR(_xlfn.XLOOKUP($D2516,'TIR店舗一覧'!$D:$D,'TIR店舗一覧'!$E:$E,""),""))</f>
        <v/>
      </c>
      <c r="V2516" s="54" t="s">
        <v>2</v>
      </c>
      <c r="W2516" s="54" t="s">
        <v>2</v>
      </c>
      <c r="X2516" s="54" t="s">
        <v>2</v>
      </c>
      <c r="Y2516" s="54" t="s">
        <v>2</v>
      </c>
      <c r="Z2516" s="54" t="s">
        <v>2</v>
      </c>
      <c r="AA2516" s="54" t="s">
        <v>2</v>
      </c>
      <c r="AB2516" s="54" t="s">
        <v>2</v>
      </c>
      <c r="AC2516" s="54" t="s">
        <v>2</v>
      </c>
      <c r="AD2516" s="54" t="s">
        <v>2</v>
      </c>
      <c r="AE2516" s="54" t="s">
        <v>2</v>
      </c>
      <c r="AF2516" s="54" t="s">
        <v>2</v>
      </c>
      <c r="AG2516" s="54" t="s">
        <v>2</v>
      </c>
    </row>
    <row r="2517" ht="15.75" customHeight="1">
      <c r="B2517" s="56"/>
      <c r="U2517" s="46" t="str">
        <f t="array" ref="U2517">IF($D2517="","",IFERROR(_xlfn.XLOOKUP($D2517,'TIR店舗一覧'!$D:$D,'TIR店舗一覧'!$E:$E,""),""))</f>
        <v/>
      </c>
      <c r="V2517" s="54" t="s">
        <v>2</v>
      </c>
      <c r="W2517" s="54" t="s">
        <v>2</v>
      </c>
      <c r="X2517" s="54" t="s">
        <v>2</v>
      </c>
      <c r="Y2517" s="54" t="s">
        <v>2</v>
      </c>
      <c r="Z2517" s="54" t="s">
        <v>2</v>
      </c>
      <c r="AA2517" s="54" t="s">
        <v>2</v>
      </c>
      <c r="AB2517" s="54" t="s">
        <v>2</v>
      </c>
      <c r="AC2517" s="54" t="s">
        <v>2</v>
      </c>
      <c r="AD2517" s="54" t="s">
        <v>2</v>
      </c>
      <c r="AE2517" s="54" t="s">
        <v>2</v>
      </c>
      <c r="AF2517" s="54" t="s">
        <v>2</v>
      </c>
      <c r="AG2517" s="54" t="s">
        <v>2</v>
      </c>
    </row>
    <row r="2518" ht="15.75" customHeight="1">
      <c r="B2518" s="56"/>
      <c r="U2518" s="46" t="str">
        <f t="array" ref="U2518">IF($D2518="","",IFERROR(_xlfn.XLOOKUP($D2518,'TIR店舗一覧'!$D:$D,'TIR店舗一覧'!$E:$E,""),""))</f>
        <v/>
      </c>
      <c r="V2518" s="54" t="s">
        <v>2</v>
      </c>
      <c r="W2518" s="54" t="s">
        <v>2</v>
      </c>
      <c r="X2518" s="54" t="s">
        <v>2</v>
      </c>
      <c r="Y2518" s="54" t="s">
        <v>2</v>
      </c>
      <c r="Z2518" s="54" t="s">
        <v>2</v>
      </c>
      <c r="AA2518" s="54" t="s">
        <v>2</v>
      </c>
      <c r="AB2518" s="54" t="s">
        <v>2</v>
      </c>
      <c r="AC2518" s="54" t="s">
        <v>2</v>
      </c>
      <c r="AD2518" s="54" t="s">
        <v>2</v>
      </c>
      <c r="AE2518" s="54" t="s">
        <v>2</v>
      </c>
      <c r="AF2518" s="54" t="s">
        <v>2</v>
      </c>
      <c r="AG2518" s="54" t="s">
        <v>2</v>
      </c>
    </row>
    <row r="2519" ht="15.75" customHeight="1">
      <c r="B2519" s="56"/>
      <c r="U2519" s="46" t="str">
        <f t="array" ref="U2519">IF($D2519="","",IFERROR(_xlfn.XLOOKUP($D2519,'TIR店舗一覧'!$D:$D,'TIR店舗一覧'!$E:$E,""),""))</f>
        <v/>
      </c>
      <c r="V2519" s="54" t="s">
        <v>2</v>
      </c>
      <c r="W2519" s="54" t="s">
        <v>2</v>
      </c>
      <c r="X2519" s="54" t="s">
        <v>2</v>
      </c>
      <c r="Y2519" s="54" t="s">
        <v>2</v>
      </c>
      <c r="Z2519" s="54" t="s">
        <v>2</v>
      </c>
      <c r="AA2519" s="54" t="s">
        <v>2</v>
      </c>
      <c r="AB2519" s="54" t="s">
        <v>2</v>
      </c>
      <c r="AC2519" s="54" t="s">
        <v>2</v>
      </c>
      <c r="AD2519" s="54" t="s">
        <v>2</v>
      </c>
      <c r="AE2519" s="54" t="s">
        <v>2</v>
      </c>
      <c r="AF2519" s="54" t="s">
        <v>2</v>
      </c>
      <c r="AG2519" s="54" t="s">
        <v>2</v>
      </c>
    </row>
    <row r="2520" ht="15.75" customHeight="1">
      <c r="B2520" s="56"/>
      <c r="U2520" s="46" t="str">
        <f t="array" ref="U2520">IF($D2520="","",IFERROR(_xlfn.XLOOKUP($D2520,'TIR店舗一覧'!$D:$D,'TIR店舗一覧'!$E:$E,""),""))</f>
        <v/>
      </c>
      <c r="V2520" s="54" t="s">
        <v>2</v>
      </c>
      <c r="W2520" s="54" t="s">
        <v>2</v>
      </c>
      <c r="X2520" s="54" t="s">
        <v>2</v>
      </c>
      <c r="Y2520" s="54" t="s">
        <v>2</v>
      </c>
      <c r="Z2520" s="54" t="s">
        <v>2</v>
      </c>
      <c r="AA2520" s="54" t="s">
        <v>2</v>
      </c>
      <c r="AB2520" s="54" t="s">
        <v>2</v>
      </c>
      <c r="AC2520" s="54" t="s">
        <v>2</v>
      </c>
      <c r="AD2520" s="54" t="s">
        <v>2</v>
      </c>
      <c r="AE2520" s="54" t="s">
        <v>2</v>
      </c>
      <c r="AF2520" s="54" t="s">
        <v>2</v>
      </c>
      <c r="AG2520" s="54" t="s">
        <v>2</v>
      </c>
    </row>
    <row r="2521" ht="15.75" customHeight="1">
      <c r="B2521" s="56"/>
      <c r="U2521" s="46" t="str">
        <f t="array" ref="U2521">IF($D2521="","",IFERROR(_xlfn.XLOOKUP($D2521,'TIR店舗一覧'!$D:$D,'TIR店舗一覧'!$E:$E,""),""))</f>
        <v/>
      </c>
      <c r="V2521" s="54" t="s">
        <v>2</v>
      </c>
      <c r="W2521" s="54" t="s">
        <v>2</v>
      </c>
      <c r="X2521" s="54" t="s">
        <v>2</v>
      </c>
      <c r="Y2521" s="54" t="s">
        <v>2</v>
      </c>
      <c r="Z2521" s="54" t="s">
        <v>2</v>
      </c>
      <c r="AA2521" s="54" t="s">
        <v>2</v>
      </c>
      <c r="AB2521" s="54" t="s">
        <v>2</v>
      </c>
      <c r="AC2521" s="54" t="s">
        <v>2</v>
      </c>
      <c r="AD2521" s="54" t="s">
        <v>2</v>
      </c>
      <c r="AE2521" s="54" t="s">
        <v>2</v>
      </c>
      <c r="AF2521" s="54" t="s">
        <v>2</v>
      </c>
      <c r="AG2521" s="54" t="s">
        <v>2</v>
      </c>
    </row>
    <row r="2522" ht="15.75" customHeight="1">
      <c r="B2522" s="56"/>
      <c r="U2522" s="46" t="str">
        <f t="array" ref="U2522">IF($D2522="","",IFERROR(_xlfn.XLOOKUP($D2522,'TIR店舗一覧'!$D:$D,'TIR店舗一覧'!$E:$E,""),""))</f>
        <v/>
      </c>
      <c r="V2522" s="54" t="s">
        <v>2</v>
      </c>
      <c r="W2522" s="54" t="s">
        <v>2</v>
      </c>
      <c r="X2522" s="54" t="s">
        <v>2</v>
      </c>
      <c r="Y2522" s="54" t="s">
        <v>2</v>
      </c>
      <c r="Z2522" s="54" t="s">
        <v>2</v>
      </c>
      <c r="AA2522" s="54" t="s">
        <v>2</v>
      </c>
      <c r="AB2522" s="54" t="s">
        <v>2</v>
      </c>
      <c r="AC2522" s="54" t="s">
        <v>2</v>
      </c>
      <c r="AD2522" s="54" t="s">
        <v>2</v>
      </c>
      <c r="AE2522" s="54" t="s">
        <v>2</v>
      </c>
      <c r="AF2522" s="54" t="s">
        <v>2</v>
      </c>
      <c r="AG2522" s="54" t="s">
        <v>2</v>
      </c>
    </row>
    <row r="2523" ht="15.75" customHeight="1">
      <c r="B2523" s="56"/>
      <c r="U2523" s="46" t="str">
        <f t="array" ref="U2523">IF($D2523="","",IFERROR(_xlfn.XLOOKUP($D2523,'TIR店舗一覧'!$D:$D,'TIR店舗一覧'!$E:$E,""),""))</f>
        <v/>
      </c>
      <c r="V2523" s="54" t="s">
        <v>2</v>
      </c>
      <c r="W2523" s="54" t="s">
        <v>2</v>
      </c>
      <c r="X2523" s="54" t="s">
        <v>2</v>
      </c>
      <c r="Y2523" s="54" t="s">
        <v>2</v>
      </c>
      <c r="Z2523" s="54" t="s">
        <v>2</v>
      </c>
      <c r="AA2523" s="54" t="s">
        <v>2</v>
      </c>
      <c r="AB2523" s="54" t="s">
        <v>2</v>
      </c>
      <c r="AC2523" s="54" t="s">
        <v>2</v>
      </c>
      <c r="AD2523" s="54" t="s">
        <v>2</v>
      </c>
      <c r="AE2523" s="54" t="s">
        <v>2</v>
      </c>
      <c r="AF2523" s="54" t="s">
        <v>2</v>
      </c>
      <c r="AG2523" s="54" t="s">
        <v>2</v>
      </c>
    </row>
    <row r="2524" ht="15.75" customHeight="1">
      <c r="B2524" s="56"/>
      <c r="U2524" s="46" t="str">
        <f t="array" ref="U2524">IF($D2524="","",IFERROR(_xlfn.XLOOKUP($D2524,'TIR店舗一覧'!$D:$D,'TIR店舗一覧'!$E:$E,""),""))</f>
        <v/>
      </c>
      <c r="V2524" s="54" t="s">
        <v>2</v>
      </c>
      <c r="W2524" s="54" t="s">
        <v>2</v>
      </c>
      <c r="X2524" s="54" t="s">
        <v>2</v>
      </c>
      <c r="Y2524" s="54" t="s">
        <v>2</v>
      </c>
      <c r="Z2524" s="54" t="s">
        <v>2</v>
      </c>
      <c r="AA2524" s="54" t="s">
        <v>2</v>
      </c>
      <c r="AB2524" s="54" t="s">
        <v>2</v>
      </c>
      <c r="AC2524" s="54" t="s">
        <v>2</v>
      </c>
      <c r="AD2524" s="54" t="s">
        <v>2</v>
      </c>
      <c r="AE2524" s="54" t="s">
        <v>2</v>
      </c>
      <c r="AF2524" s="54" t="s">
        <v>2</v>
      </c>
      <c r="AG2524" s="54" t="s">
        <v>2</v>
      </c>
    </row>
    <row r="2525" ht="15.75" customHeight="1">
      <c r="B2525" s="56"/>
      <c r="U2525" s="46" t="str">
        <f t="array" ref="U2525">IF($D2525="","",IFERROR(_xlfn.XLOOKUP($D2525,'TIR店舗一覧'!$D:$D,'TIR店舗一覧'!$E:$E,""),""))</f>
        <v/>
      </c>
      <c r="V2525" s="54" t="s">
        <v>2</v>
      </c>
      <c r="W2525" s="54" t="s">
        <v>2</v>
      </c>
      <c r="X2525" s="54" t="s">
        <v>2</v>
      </c>
      <c r="Y2525" s="54" t="s">
        <v>2</v>
      </c>
      <c r="Z2525" s="54" t="s">
        <v>2</v>
      </c>
      <c r="AA2525" s="54" t="s">
        <v>2</v>
      </c>
      <c r="AB2525" s="54" t="s">
        <v>2</v>
      </c>
      <c r="AC2525" s="54" t="s">
        <v>2</v>
      </c>
      <c r="AD2525" s="54" t="s">
        <v>2</v>
      </c>
      <c r="AE2525" s="54" t="s">
        <v>2</v>
      </c>
      <c r="AF2525" s="54" t="s">
        <v>2</v>
      </c>
      <c r="AG2525" s="54" t="s">
        <v>2</v>
      </c>
    </row>
    <row r="2526" ht="15.75" customHeight="1">
      <c r="B2526" s="56"/>
      <c r="U2526" s="46" t="str">
        <f t="array" ref="U2526">IF($D2526="","",IFERROR(_xlfn.XLOOKUP($D2526,'TIR店舗一覧'!$D:$D,'TIR店舗一覧'!$E:$E,""),""))</f>
        <v/>
      </c>
      <c r="V2526" s="54" t="s">
        <v>2</v>
      </c>
      <c r="W2526" s="54" t="s">
        <v>2</v>
      </c>
      <c r="X2526" s="54" t="s">
        <v>2</v>
      </c>
      <c r="Y2526" s="54" t="s">
        <v>2</v>
      </c>
      <c r="Z2526" s="54" t="s">
        <v>2</v>
      </c>
      <c r="AA2526" s="54" t="s">
        <v>2</v>
      </c>
      <c r="AB2526" s="54" t="s">
        <v>2</v>
      </c>
      <c r="AC2526" s="54" t="s">
        <v>2</v>
      </c>
      <c r="AD2526" s="54" t="s">
        <v>2</v>
      </c>
      <c r="AE2526" s="54" t="s">
        <v>2</v>
      </c>
      <c r="AF2526" s="54" t="s">
        <v>2</v>
      </c>
      <c r="AG2526" s="54" t="s">
        <v>2</v>
      </c>
    </row>
    <row r="2527" ht="15.75" customHeight="1">
      <c r="B2527" s="56"/>
      <c r="U2527" s="46" t="str">
        <f t="array" ref="U2527">IF($D2527="","",IFERROR(_xlfn.XLOOKUP($D2527,'TIR店舗一覧'!$D:$D,'TIR店舗一覧'!$E:$E,""),""))</f>
        <v/>
      </c>
      <c r="V2527" s="54" t="s">
        <v>2</v>
      </c>
      <c r="W2527" s="54" t="s">
        <v>2</v>
      </c>
      <c r="X2527" s="54" t="s">
        <v>2</v>
      </c>
      <c r="Y2527" s="54" t="s">
        <v>2</v>
      </c>
      <c r="Z2527" s="54" t="s">
        <v>2</v>
      </c>
      <c r="AA2527" s="54" t="s">
        <v>2</v>
      </c>
      <c r="AB2527" s="54" t="s">
        <v>2</v>
      </c>
      <c r="AC2527" s="54" t="s">
        <v>2</v>
      </c>
      <c r="AD2527" s="54" t="s">
        <v>2</v>
      </c>
      <c r="AE2527" s="54" t="s">
        <v>2</v>
      </c>
      <c r="AF2527" s="54" t="s">
        <v>2</v>
      </c>
      <c r="AG2527" s="54" t="s">
        <v>2</v>
      </c>
    </row>
    <row r="2528" ht="15.75" customHeight="1">
      <c r="B2528" s="56"/>
      <c r="U2528" s="46" t="str">
        <f t="array" ref="U2528">IF($D2528="","",IFERROR(_xlfn.XLOOKUP($D2528,'TIR店舗一覧'!$D:$D,'TIR店舗一覧'!$E:$E,""),""))</f>
        <v/>
      </c>
      <c r="V2528" s="54" t="s">
        <v>2</v>
      </c>
      <c r="W2528" s="54" t="s">
        <v>2</v>
      </c>
      <c r="X2528" s="54" t="s">
        <v>2</v>
      </c>
      <c r="Y2528" s="54" t="s">
        <v>2</v>
      </c>
      <c r="Z2528" s="54" t="s">
        <v>2</v>
      </c>
      <c r="AA2528" s="54" t="s">
        <v>2</v>
      </c>
      <c r="AB2528" s="54" t="s">
        <v>2</v>
      </c>
      <c r="AC2528" s="54" t="s">
        <v>2</v>
      </c>
      <c r="AD2528" s="54" t="s">
        <v>2</v>
      </c>
      <c r="AE2528" s="54" t="s">
        <v>2</v>
      </c>
      <c r="AF2528" s="54" t="s">
        <v>2</v>
      </c>
      <c r="AG2528" s="54" t="s">
        <v>2</v>
      </c>
    </row>
    <row r="2529" ht="15.75" customHeight="1">
      <c r="B2529" s="56"/>
      <c r="U2529" s="46" t="str">
        <f t="array" ref="U2529">IF($D2529="","",IFERROR(_xlfn.XLOOKUP($D2529,'TIR店舗一覧'!$D:$D,'TIR店舗一覧'!$E:$E,""),""))</f>
        <v/>
      </c>
      <c r="V2529" s="54" t="s">
        <v>2</v>
      </c>
      <c r="W2529" s="54" t="s">
        <v>2</v>
      </c>
      <c r="X2529" s="54" t="s">
        <v>2</v>
      </c>
      <c r="Y2529" s="54" t="s">
        <v>2</v>
      </c>
      <c r="Z2529" s="54" t="s">
        <v>2</v>
      </c>
      <c r="AA2529" s="54" t="s">
        <v>2</v>
      </c>
      <c r="AB2529" s="54" t="s">
        <v>2</v>
      </c>
      <c r="AC2529" s="54" t="s">
        <v>2</v>
      </c>
      <c r="AD2529" s="54" t="s">
        <v>2</v>
      </c>
      <c r="AE2529" s="54" t="s">
        <v>2</v>
      </c>
      <c r="AF2529" s="54" t="s">
        <v>2</v>
      </c>
      <c r="AG2529" s="54" t="s">
        <v>2</v>
      </c>
    </row>
    <row r="2530" ht="15.75" customHeight="1">
      <c r="B2530" s="56"/>
      <c r="U2530" s="46" t="str">
        <f t="array" ref="U2530">IF($D2530="","",IFERROR(_xlfn.XLOOKUP($D2530,'TIR店舗一覧'!$D:$D,'TIR店舗一覧'!$E:$E,""),""))</f>
        <v/>
      </c>
      <c r="V2530" s="54" t="s">
        <v>2</v>
      </c>
      <c r="W2530" s="54" t="s">
        <v>2</v>
      </c>
      <c r="X2530" s="54" t="s">
        <v>2</v>
      </c>
      <c r="Y2530" s="54" t="s">
        <v>2</v>
      </c>
      <c r="Z2530" s="54" t="s">
        <v>2</v>
      </c>
      <c r="AA2530" s="54" t="s">
        <v>2</v>
      </c>
      <c r="AB2530" s="54" t="s">
        <v>2</v>
      </c>
      <c r="AC2530" s="54" t="s">
        <v>2</v>
      </c>
      <c r="AD2530" s="54" t="s">
        <v>2</v>
      </c>
      <c r="AE2530" s="54" t="s">
        <v>2</v>
      </c>
      <c r="AF2530" s="54" t="s">
        <v>2</v>
      </c>
      <c r="AG2530" s="54" t="s">
        <v>2</v>
      </c>
    </row>
    <row r="2531" ht="15.75" customHeight="1">
      <c r="B2531" s="56"/>
      <c r="U2531" s="46" t="str">
        <f t="array" ref="U2531">IF($D2531="","",IFERROR(_xlfn.XLOOKUP($D2531,'TIR店舗一覧'!$D:$D,'TIR店舗一覧'!$E:$E,""),""))</f>
        <v/>
      </c>
      <c r="V2531" s="54" t="s">
        <v>2</v>
      </c>
      <c r="W2531" s="54" t="s">
        <v>2</v>
      </c>
      <c r="X2531" s="54" t="s">
        <v>2</v>
      </c>
      <c r="Y2531" s="54" t="s">
        <v>2</v>
      </c>
      <c r="Z2531" s="54" t="s">
        <v>2</v>
      </c>
      <c r="AA2531" s="54" t="s">
        <v>2</v>
      </c>
      <c r="AB2531" s="54" t="s">
        <v>2</v>
      </c>
      <c r="AC2531" s="54" t="s">
        <v>2</v>
      </c>
      <c r="AD2531" s="54" t="s">
        <v>2</v>
      </c>
      <c r="AE2531" s="54" t="s">
        <v>2</v>
      </c>
      <c r="AF2531" s="54" t="s">
        <v>2</v>
      </c>
      <c r="AG2531" s="54" t="s">
        <v>2</v>
      </c>
    </row>
    <row r="2532" ht="15.75" customHeight="1">
      <c r="B2532" s="56"/>
      <c r="U2532" s="46" t="str">
        <f t="array" ref="U2532">IF($D2532="","",IFERROR(_xlfn.XLOOKUP($D2532,'TIR店舗一覧'!$D:$D,'TIR店舗一覧'!$E:$E,""),""))</f>
        <v/>
      </c>
      <c r="V2532" s="54" t="s">
        <v>2</v>
      </c>
      <c r="W2532" s="54" t="s">
        <v>2</v>
      </c>
      <c r="X2532" s="54" t="s">
        <v>2</v>
      </c>
      <c r="Y2532" s="54" t="s">
        <v>2</v>
      </c>
      <c r="Z2532" s="54" t="s">
        <v>2</v>
      </c>
      <c r="AA2532" s="54" t="s">
        <v>2</v>
      </c>
      <c r="AB2532" s="54" t="s">
        <v>2</v>
      </c>
      <c r="AC2532" s="54" t="s">
        <v>2</v>
      </c>
      <c r="AD2532" s="54" t="s">
        <v>2</v>
      </c>
      <c r="AE2532" s="54" t="s">
        <v>2</v>
      </c>
      <c r="AF2532" s="54" t="s">
        <v>2</v>
      </c>
      <c r="AG2532" s="54" t="s">
        <v>2</v>
      </c>
    </row>
    <row r="2533" ht="15.75" customHeight="1">
      <c r="B2533" s="56"/>
      <c r="U2533" s="46" t="str">
        <f t="array" ref="U2533">IF($D2533="","",IFERROR(_xlfn.XLOOKUP($D2533,'TIR店舗一覧'!$D:$D,'TIR店舗一覧'!$E:$E,""),""))</f>
        <v/>
      </c>
      <c r="V2533" s="54" t="s">
        <v>2</v>
      </c>
      <c r="W2533" s="54" t="s">
        <v>2</v>
      </c>
      <c r="X2533" s="54" t="s">
        <v>2</v>
      </c>
      <c r="Y2533" s="54" t="s">
        <v>2</v>
      </c>
      <c r="Z2533" s="54" t="s">
        <v>2</v>
      </c>
      <c r="AA2533" s="54" t="s">
        <v>2</v>
      </c>
      <c r="AB2533" s="54" t="s">
        <v>2</v>
      </c>
      <c r="AC2533" s="54" t="s">
        <v>2</v>
      </c>
      <c r="AD2533" s="54" t="s">
        <v>2</v>
      </c>
      <c r="AE2533" s="54" t="s">
        <v>2</v>
      </c>
      <c r="AF2533" s="54" t="s">
        <v>2</v>
      </c>
      <c r="AG2533" s="54" t="s">
        <v>2</v>
      </c>
    </row>
    <row r="2534" ht="15.75" customHeight="1">
      <c r="B2534" s="56"/>
      <c r="U2534" s="46" t="str">
        <f t="array" ref="U2534">IF($D2534="","",IFERROR(_xlfn.XLOOKUP($D2534,'TIR店舗一覧'!$D:$D,'TIR店舗一覧'!$E:$E,""),""))</f>
        <v/>
      </c>
      <c r="V2534" s="54" t="s">
        <v>2</v>
      </c>
      <c r="W2534" s="54" t="s">
        <v>2</v>
      </c>
      <c r="X2534" s="54" t="s">
        <v>2</v>
      </c>
      <c r="Y2534" s="54" t="s">
        <v>2</v>
      </c>
      <c r="Z2534" s="54" t="s">
        <v>2</v>
      </c>
      <c r="AA2534" s="54" t="s">
        <v>2</v>
      </c>
      <c r="AB2534" s="54" t="s">
        <v>2</v>
      </c>
      <c r="AC2534" s="54" t="s">
        <v>2</v>
      </c>
      <c r="AD2534" s="54" t="s">
        <v>2</v>
      </c>
      <c r="AE2534" s="54" t="s">
        <v>2</v>
      </c>
      <c r="AF2534" s="54" t="s">
        <v>2</v>
      </c>
      <c r="AG2534" s="54" t="s">
        <v>2</v>
      </c>
    </row>
    <row r="2535" ht="15.75" customHeight="1">
      <c r="B2535" s="56"/>
      <c r="U2535" s="46" t="str">
        <f t="array" ref="U2535">IF($D2535="","",IFERROR(_xlfn.XLOOKUP($D2535,'TIR店舗一覧'!$D:$D,'TIR店舗一覧'!$E:$E,""),""))</f>
        <v/>
      </c>
      <c r="V2535" s="54" t="s">
        <v>2</v>
      </c>
      <c r="W2535" s="54" t="s">
        <v>2</v>
      </c>
      <c r="X2535" s="54" t="s">
        <v>2</v>
      </c>
      <c r="Y2535" s="54" t="s">
        <v>2</v>
      </c>
      <c r="Z2535" s="54" t="s">
        <v>2</v>
      </c>
      <c r="AA2535" s="54" t="s">
        <v>2</v>
      </c>
      <c r="AB2535" s="54" t="s">
        <v>2</v>
      </c>
      <c r="AC2535" s="54" t="s">
        <v>2</v>
      </c>
      <c r="AD2535" s="54" t="s">
        <v>2</v>
      </c>
      <c r="AE2535" s="54" t="s">
        <v>2</v>
      </c>
      <c r="AF2535" s="54" t="s">
        <v>2</v>
      </c>
      <c r="AG2535" s="54" t="s">
        <v>2</v>
      </c>
    </row>
    <row r="2536" ht="15.75" customHeight="1">
      <c r="B2536" s="56"/>
      <c r="U2536" s="46" t="str">
        <f t="array" ref="U2536">IF($D2536="","",IFERROR(_xlfn.XLOOKUP($D2536,'TIR店舗一覧'!$D:$D,'TIR店舗一覧'!$E:$E,""),""))</f>
        <v/>
      </c>
      <c r="V2536" s="54" t="s">
        <v>2</v>
      </c>
      <c r="W2536" s="54" t="s">
        <v>2</v>
      </c>
      <c r="X2536" s="54" t="s">
        <v>2</v>
      </c>
      <c r="Y2536" s="54" t="s">
        <v>2</v>
      </c>
      <c r="Z2536" s="54" t="s">
        <v>2</v>
      </c>
      <c r="AA2536" s="54" t="s">
        <v>2</v>
      </c>
      <c r="AB2536" s="54" t="s">
        <v>2</v>
      </c>
      <c r="AC2536" s="54" t="s">
        <v>2</v>
      </c>
      <c r="AD2536" s="54" t="s">
        <v>2</v>
      </c>
      <c r="AE2536" s="54" t="s">
        <v>2</v>
      </c>
      <c r="AF2536" s="54" t="s">
        <v>2</v>
      </c>
      <c r="AG2536" s="54" t="s">
        <v>2</v>
      </c>
    </row>
    <row r="2537" ht="15.75" customHeight="1">
      <c r="B2537" s="56"/>
      <c r="U2537" s="46" t="str">
        <f t="array" ref="U2537">IF($D2537="","",IFERROR(_xlfn.XLOOKUP($D2537,'TIR店舗一覧'!$D:$D,'TIR店舗一覧'!$E:$E,""),""))</f>
        <v/>
      </c>
      <c r="V2537" s="54" t="s">
        <v>2</v>
      </c>
      <c r="W2537" s="54" t="s">
        <v>2</v>
      </c>
      <c r="X2537" s="54" t="s">
        <v>2</v>
      </c>
      <c r="Y2537" s="54" t="s">
        <v>2</v>
      </c>
      <c r="Z2537" s="54" t="s">
        <v>2</v>
      </c>
      <c r="AA2537" s="54" t="s">
        <v>2</v>
      </c>
      <c r="AB2537" s="54" t="s">
        <v>2</v>
      </c>
      <c r="AC2537" s="54" t="s">
        <v>2</v>
      </c>
      <c r="AD2537" s="54" t="s">
        <v>2</v>
      </c>
      <c r="AE2537" s="54" t="s">
        <v>2</v>
      </c>
      <c r="AF2537" s="54" t="s">
        <v>2</v>
      </c>
      <c r="AG2537" s="54" t="s">
        <v>2</v>
      </c>
    </row>
    <row r="2538" ht="15.75" customHeight="1">
      <c r="B2538" s="56"/>
      <c r="U2538" s="46" t="str">
        <f t="array" ref="U2538">IF($D2538="","",IFERROR(_xlfn.XLOOKUP($D2538,'TIR店舗一覧'!$D:$D,'TIR店舗一覧'!$E:$E,""),""))</f>
        <v/>
      </c>
      <c r="V2538" s="54" t="s">
        <v>2</v>
      </c>
      <c r="W2538" s="54" t="s">
        <v>2</v>
      </c>
      <c r="X2538" s="54" t="s">
        <v>2</v>
      </c>
      <c r="Y2538" s="54" t="s">
        <v>2</v>
      </c>
      <c r="Z2538" s="54" t="s">
        <v>2</v>
      </c>
      <c r="AA2538" s="54" t="s">
        <v>2</v>
      </c>
      <c r="AB2538" s="54" t="s">
        <v>2</v>
      </c>
      <c r="AC2538" s="54" t="s">
        <v>2</v>
      </c>
      <c r="AD2538" s="54" t="s">
        <v>2</v>
      </c>
      <c r="AE2538" s="54" t="s">
        <v>2</v>
      </c>
      <c r="AF2538" s="54" t="s">
        <v>2</v>
      </c>
      <c r="AG2538" s="54" t="s">
        <v>2</v>
      </c>
    </row>
    <row r="2539" ht="15.75" customHeight="1">
      <c r="B2539" s="56"/>
      <c r="U2539" s="46" t="str">
        <f t="array" ref="U2539">IF($D2539="","",IFERROR(_xlfn.XLOOKUP($D2539,'TIR店舗一覧'!$D:$D,'TIR店舗一覧'!$E:$E,""),""))</f>
        <v/>
      </c>
      <c r="V2539" s="54" t="s">
        <v>2</v>
      </c>
      <c r="W2539" s="54" t="s">
        <v>2</v>
      </c>
      <c r="X2539" s="54" t="s">
        <v>2</v>
      </c>
      <c r="Y2539" s="54" t="s">
        <v>2</v>
      </c>
      <c r="Z2539" s="54" t="s">
        <v>2</v>
      </c>
      <c r="AA2539" s="54" t="s">
        <v>2</v>
      </c>
      <c r="AB2539" s="54" t="s">
        <v>2</v>
      </c>
      <c r="AC2539" s="54" t="s">
        <v>2</v>
      </c>
      <c r="AD2539" s="54" t="s">
        <v>2</v>
      </c>
      <c r="AE2539" s="54" t="s">
        <v>2</v>
      </c>
      <c r="AF2539" s="54" t="s">
        <v>2</v>
      </c>
      <c r="AG2539" s="54" t="s">
        <v>2</v>
      </c>
    </row>
    <row r="2540" ht="15.75" customHeight="1">
      <c r="B2540" s="56"/>
      <c r="U2540" s="46" t="str">
        <f t="array" ref="U2540">IF($D2540="","",IFERROR(_xlfn.XLOOKUP($D2540,'TIR店舗一覧'!$D:$D,'TIR店舗一覧'!$E:$E,""),""))</f>
        <v/>
      </c>
      <c r="V2540" s="54" t="s">
        <v>2</v>
      </c>
      <c r="W2540" s="54" t="s">
        <v>2</v>
      </c>
      <c r="X2540" s="54" t="s">
        <v>2</v>
      </c>
      <c r="Y2540" s="54" t="s">
        <v>2</v>
      </c>
      <c r="Z2540" s="54" t="s">
        <v>2</v>
      </c>
      <c r="AA2540" s="54" t="s">
        <v>2</v>
      </c>
      <c r="AB2540" s="54" t="s">
        <v>2</v>
      </c>
      <c r="AC2540" s="54" t="s">
        <v>2</v>
      </c>
      <c r="AD2540" s="54" t="s">
        <v>2</v>
      </c>
      <c r="AE2540" s="54" t="s">
        <v>2</v>
      </c>
      <c r="AF2540" s="54" t="s">
        <v>2</v>
      </c>
      <c r="AG2540" s="54" t="s">
        <v>2</v>
      </c>
    </row>
    <row r="2541" ht="15.75" customHeight="1">
      <c r="B2541" s="56"/>
      <c r="U2541" s="46" t="str">
        <f t="array" ref="U2541">IF($D2541="","",IFERROR(_xlfn.XLOOKUP($D2541,'TIR店舗一覧'!$D:$D,'TIR店舗一覧'!$E:$E,""),""))</f>
        <v/>
      </c>
      <c r="V2541" s="54" t="s">
        <v>2</v>
      </c>
      <c r="W2541" s="54" t="s">
        <v>2</v>
      </c>
      <c r="X2541" s="54" t="s">
        <v>2</v>
      </c>
      <c r="Y2541" s="54" t="s">
        <v>2</v>
      </c>
      <c r="Z2541" s="54" t="s">
        <v>2</v>
      </c>
      <c r="AA2541" s="54" t="s">
        <v>2</v>
      </c>
      <c r="AB2541" s="54" t="s">
        <v>2</v>
      </c>
      <c r="AC2541" s="54" t="s">
        <v>2</v>
      </c>
      <c r="AD2541" s="54" t="s">
        <v>2</v>
      </c>
      <c r="AE2541" s="54" t="s">
        <v>2</v>
      </c>
      <c r="AF2541" s="54" t="s">
        <v>2</v>
      </c>
      <c r="AG2541" s="54" t="s">
        <v>2</v>
      </c>
    </row>
    <row r="2542" ht="15.75" customHeight="1">
      <c r="B2542" s="56"/>
      <c r="U2542" s="46" t="str">
        <f t="array" ref="U2542">IF($D2542="","",IFERROR(_xlfn.XLOOKUP($D2542,'TIR店舗一覧'!$D:$D,'TIR店舗一覧'!$E:$E,""),""))</f>
        <v/>
      </c>
      <c r="V2542" s="54" t="s">
        <v>2</v>
      </c>
      <c r="W2542" s="54" t="s">
        <v>2</v>
      </c>
      <c r="X2542" s="54" t="s">
        <v>2</v>
      </c>
      <c r="Y2542" s="54" t="s">
        <v>2</v>
      </c>
      <c r="Z2542" s="54" t="s">
        <v>2</v>
      </c>
      <c r="AA2542" s="54" t="s">
        <v>2</v>
      </c>
      <c r="AB2542" s="54" t="s">
        <v>2</v>
      </c>
      <c r="AC2542" s="54" t="s">
        <v>2</v>
      </c>
      <c r="AD2542" s="54" t="s">
        <v>2</v>
      </c>
      <c r="AE2542" s="54" t="s">
        <v>2</v>
      </c>
      <c r="AF2542" s="54" t="s">
        <v>2</v>
      </c>
      <c r="AG2542" s="54" t="s">
        <v>2</v>
      </c>
    </row>
    <row r="2543" ht="15.75" customHeight="1">
      <c r="B2543" s="56"/>
      <c r="U2543" s="46" t="str">
        <f t="array" ref="U2543">IF($D2543="","",IFERROR(_xlfn.XLOOKUP($D2543,'TIR店舗一覧'!$D:$D,'TIR店舗一覧'!$E:$E,""),""))</f>
        <v/>
      </c>
      <c r="V2543" s="54" t="s">
        <v>2</v>
      </c>
      <c r="W2543" s="54" t="s">
        <v>2</v>
      </c>
      <c r="X2543" s="54" t="s">
        <v>2</v>
      </c>
      <c r="Y2543" s="54" t="s">
        <v>2</v>
      </c>
      <c r="Z2543" s="54" t="s">
        <v>2</v>
      </c>
      <c r="AA2543" s="54" t="s">
        <v>2</v>
      </c>
      <c r="AB2543" s="54" t="s">
        <v>2</v>
      </c>
      <c r="AC2543" s="54" t="s">
        <v>2</v>
      </c>
      <c r="AD2543" s="54" t="s">
        <v>2</v>
      </c>
      <c r="AE2543" s="54" t="s">
        <v>2</v>
      </c>
      <c r="AF2543" s="54" t="s">
        <v>2</v>
      </c>
      <c r="AG2543" s="54" t="s">
        <v>2</v>
      </c>
    </row>
    <row r="2544" ht="15.75" customHeight="1">
      <c r="B2544" s="56"/>
      <c r="U2544" s="46" t="str">
        <f t="array" ref="U2544">IF($D2544="","",IFERROR(_xlfn.XLOOKUP($D2544,'TIR店舗一覧'!$D:$D,'TIR店舗一覧'!$E:$E,""),""))</f>
        <v/>
      </c>
      <c r="V2544" s="54" t="s">
        <v>2</v>
      </c>
      <c r="W2544" s="54" t="s">
        <v>2</v>
      </c>
      <c r="X2544" s="54" t="s">
        <v>2</v>
      </c>
      <c r="Y2544" s="54" t="s">
        <v>2</v>
      </c>
      <c r="Z2544" s="54" t="s">
        <v>2</v>
      </c>
      <c r="AA2544" s="54" t="s">
        <v>2</v>
      </c>
      <c r="AB2544" s="54" t="s">
        <v>2</v>
      </c>
      <c r="AC2544" s="54" t="s">
        <v>2</v>
      </c>
      <c r="AD2544" s="54" t="s">
        <v>2</v>
      </c>
      <c r="AE2544" s="54" t="s">
        <v>2</v>
      </c>
      <c r="AF2544" s="54" t="s">
        <v>2</v>
      </c>
      <c r="AG2544" s="54" t="s">
        <v>2</v>
      </c>
    </row>
    <row r="2545" ht="15.75" customHeight="1">
      <c r="B2545" s="56"/>
      <c r="U2545" s="46" t="str">
        <f t="array" ref="U2545">IF($D2545="","",IFERROR(_xlfn.XLOOKUP($D2545,'TIR店舗一覧'!$D:$D,'TIR店舗一覧'!$E:$E,""),""))</f>
        <v/>
      </c>
      <c r="V2545" s="54" t="s">
        <v>2</v>
      </c>
      <c r="W2545" s="54" t="s">
        <v>2</v>
      </c>
      <c r="X2545" s="54" t="s">
        <v>2</v>
      </c>
      <c r="Y2545" s="54" t="s">
        <v>2</v>
      </c>
      <c r="Z2545" s="54" t="s">
        <v>2</v>
      </c>
      <c r="AA2545" s="54" t="s">
        <v>2</v>
      </c>
      <c r="AB2545" s="54" t="s">
        <v>2</v>
      </c>
      <c r="AC2545" s="54" t="s">
        <v>2</v>
      </c>
      <c r="AD2545" s="54" t="s">
        <v>2</v>
      </c>
      <c r="AE2545" s="54" t="s">
        <v>2</v>
      </c>
      <c r="AF2545" s="54" t="s">
        <v>2</v>
      </c>
      <c r="AG2545" s="54" t="s">
        <v>2</v>
      </c>
    </row>
    <row r="2546" ht="15.75" customHeight="1">
      <c r="B2546" s="56"/>
      <c r="U2546" s="46" t="str">
        <f t="array" ref="U2546">IF($D2546="","",IFERROR(_xlfn.XLOOKUP($D2546,'TIR店舗一覧'!$D:$D,'TIR店舗一覧'!$E:$E,""),""))</f>
        <v/>
      </c>
      <c r="V2546" s="54" t="s">
        <v>2</v>
      </c>
      <c r="W2546" s="54" t="s">
        <v>2</v>
      </c>
      <c r="X2546" s="54" t="s">
        <v>2</v>
      </c>
      <c r="Y2546" s="54" t="s">
        <v>2</v>
      </c>
      <c r="Z2546" s="54" t="s">
        <v>2</v>
      </c>
      <c r="AA2546" s="54" t="s">
        <v>2</v>
      </c>
      <c r="AB2546" s="54" t="s">
        <v>2</v>
      </c>
      <c r="AC2546" s="54" t="s">
        <v>2</v>
      </c>
      <c r="AD2546" s="54" t="s">
        <v>2</v>
      </c>
      <c r="AE2546" s="54" t="s">
        <v>2</v>
      </c>
      <c r="AF2546" s="54" t="s">
        <v>2</v>
      </c>
      <c r="AG2546" s="54" t="s">
        <v>2</v>
      </c>
    </row>
    <row r="2547" ht="15.75" customHeight="1">
      <c r="B2547" s="56"/>
      <c r="U2547" s="46" t="str">
        <f t="array" ref="U2547">IF($D2547="","",IFERROR(_xlfn.XLOOKUP($D2547,'TIR店舗一覧'!$D:$D,'TIR店舗一覧'!$E:$E,""),""))</f>
        <v/>
      </c>
      <c r="V2547" s="54" t="s">
        <v>2</v>
      </c>
      <c r="W2547" s="54" t="s">
        <v>2</v>
      </c>
      <c r="X2547" s="54" t="s">
        <v>2</v>
      </c>
      <c r="Y2547" s="54" t="s">
        <v>2</v>
      </c>
      <c r="Z2547" s="54" t="s">
        <v>2</v>
      </c>
      <c r="AA2547" s="54" t="s">
        <v>2</v>
      </c>
      <c r="AB2547" s="54" t="s">
        <v>2</v>
      </c>
      <c r="AC2547" s="54" t="s">
        <v>2</v>
      </c>
      <c r="AD2547" s="54" t="s">
        <v>2</v>
      </c>
      <c r="AE2547" s="54" t="s">
        <v>2</v>
      </c>
      <c r="AF2547" s="54" t="s">
        <v>2</v>
      </c>
      <c r="AG2547" s="54" t="s">
        <v>2</v>
      </c>
    </row>
    <row r="2548" ht="15.75" customHeight="1">
      <c r="B2548" s="56"/>
      <c r="U2548" s="46" t="str">
        <f t="array" ref="U2548">IF($D2548="","",IFERROR(_xlfn.XLOOKUP($D2548,'TIR店舗一覧'!$D:$D,'TIR店舗一覧'!$E:$E,""),""))</f>
        <v/>
      </c>
      <c r="V2548" s="54" t="s">
        <v>2</v>
      </c>
      <c r="W2548" s="54" t="s">
        <v>2</v>
      </c>
      <c r="X2548" s="54" t="s">
        <v>2</v>
      </c>
      <c r="Y2548" s="54" t="s">
        <v>2</v>
      </c>
      <c r="Z2548" s="54" t="s">
        <v>2</v>
      </c>
      <c r="AA2548" s="54" t="s">
        <v>2</v>
      </c>
      <c r="AB2548" s="54" t="s">
        <v>2</v>
      </c>
      <c r="AC2548" s="54" t="s">
        <v>2</v>
      </c>
      <c r="AD2548" s="54" t="s">
        <v>2</v>
      </c>
      <c r="AE2548" s="54" t="s">
        <v>2</v>
      </c>
      <c r="AF2548" s="54" t="s">
        <v>2</v>
      </c>
      <c r="AG2548" s="54" t="s">
        <v>2</v>
      </c>
    </row>
    <row r="2549" ht="15.75" customHeight="1">
      <c r="B2549" s="56"/>
      <c r="U2549" s="46" t="str">
        <f t="array" ref="U2549">IF($D2549="","",IFERROR(_xlfn.XLOOKUP($D2549,'TIR店舗一覧'!$D:$D,'TIR店舗一覧'!$E:$E,""),""))</f>
        <v/>
      </c>
      <c r="V2549" s="54" t="s">
        <v>2</v>
      </c>
      <c r="W2549" s="54" t="s">
        <v>2</v>
      </c>
      <c r="X2549" s="54" t="s">
        <v>2</v>
      </c>
      <c r="Y2549" s="54" t="s">
        <v>2</v>
      </c>
      <c r="Z2549" s="54" t="s">
        <v>2</v>
      </c>
      <c r="AA2549" s="54" t="s">
        <v>2</v>
      </c>
      <c r="AB2549" s="54" t="s">
        <v>2</v>
      </c>
      <c r="AC2549" s="54" t="s">
        <v>2</v>
      </c>
      <c r="AD2549" s="54" t="s">
        <v>2</v>
      </c>
      <c r="AE2549" s="54" t="s">
        <v>2</v>
      </c>
      <c r="AF2549" s="54" t="s">
        <v>2</v>
      </c>
      <c r="AG2549" s="54" t="s">
        <v>2</v>
      </c>
    </row>
    <row r="2550" ht="15.75" customHeight="1">
      <c r="B2550" s="56"/>
      <c r="U2550" s="46" t="str">
        <f t="array" ref="U2550">IF($D2550="","",IFERROR(_xlfn.XLOOKUP($D2550,'TIR店舗一覧'!$D:$D,'TIR店舗一覧'!$E:$E,""),""))</f>
        <v/>
      </c>
      <c r="V2550" s="54" t="s">
        <v>2</v>
      </c>
      <c r="W2550" s="54" t="s">
        <v>2</v>
      </c>
      <c r="X2550" s="54" t="s">
        <v>2</v>
      </c>
      <c r="Y2550" s="54" t="s">
        <v>2</v>
      </c>
      <c r="Z2550" s="54" t="s">
        <v>2</v>
      </c>
      <c r="AA2550" s="54" t="s">
        <v>2</v>
      </c>
      <c r="AB2550" s="54" t="s">
        <v>2</v>
      </c>
      <c r="AC2550" s="54" t="s">
        <v>2</v>
      </c>
      <c r="AD2550" s="54" t="s">
        <v>2</v>
      </c>
      <c r="AE2550" s="54" t="s">
        <v>2</v>
      </c>
      <c r="AF2550" s="54" t="s">
        <v>2</v>
      </c>
      <c r="AG2550" s="54" t="s">
        <v>2</v>
      </c>
    </row>
    <row r="2551" ht="15.75" customHeight="1">
      <c r="B2551" s="56"/>
      <c r="U2551" s="46" t="str">
        <f t="array" ref="U2551">IF($D2551="","",IFERROR(_xlfn.XLOOKUP($D2551,'TIR店舗一覧'!$D:$D,'TIR店舗一覧'!$E:$E,""),""))</f>
        <v/>
      </c>
      <c r="V2551" s="54" t="s">
        <v>2</v>
      </c>
      <c r="W2551" s="54" t="s">
        <v>2</v>
      </c>
      <c r="X2551" s="54" t="s">
        <v>2</v>
      </c>
      <c r="Y2551" s="54" t="s">
        <v>2</v>
      </c>
      <c r="Z2551" s="54" t="s">
        <v>2</v>
      </c>
      <c r="AA2551" s="54" t="s">
        <v>2</v>
      </c>
      <c r="AB2551" s="54" t="s">
        <v>2</v>
      </c>
      <c r="AC2551" s="54" t="s">
        <v>2</v>
      </c>
      <c r="AD2551" s="54" t="s">
        <v>2</v>
      </c>
      <c r="AE2551" s="54" t="s">
        <v>2</v>
      </c>
      <c r="AF2551" s="54" t="s">
        <v>2</v>
      </c>
      <c r="AG2551" s="54" t="s">
        <v>2</v>
      </c>
    </row>
    <row r="2552" ht="15.75" customHeight="1">
      <c r="B2552" s="56"/>
      <c r="U2552" s="46" t="str">
        <f t="array" ref="U2552">IF($D2552="","",IFERROR(_xlfn.XLOOKUP($D2552,'TIR店舗一覧'!$D:$D,'TIR店舗一覧'!$E:$E,""),""))</f>
        <v/>
      </c>
      <c r="V2552" s="54" t="s">
        <v>2</v>
      </c>
      <c r="W2552" s="54" t="s">
        <v>2</v>
      </c>
      <c r="X2552" s="54" t="s">
        <v>2</v>
      </c>
      <c r="Y2552" s="54" t="s">
        <v>2</v>
      </c>
      <c r="Z2552" s="54" t="s">
        <v>2</v>
      </c>
      <c r="AA2552" s="54" t="s">
        <v>2</v>
      </c>
      <c r="AB2552" s="54" t="s">
        <v>2</v>
      </c>
      <c r="AC2552" s="54" t="s">
        <v>2</v>
      </c>
      <c r="AD2552" s="54" t="s">
        <v>2</v>
      </c>
      <c r="AE2552" s="54" t="s">
        <v>2</v>
      </c>
      <c r="AF2552" s="54" t="s">
        <v>2</v>
      </c>
      <c r="AG2552" s="54" t="s">
        <v>2</v>
      </c>
    </row>
    <row r="2553" ht="15.75" customHeight="1">
      <c r="B2553" s="56"/>
      <c r="U2553" s="46" t="str">
        <f t="array" ref="U2553">IF($D2553="","",IFERROR(_xlfn.XLOOKUP($D2553,'TIR店舗一覧'!$D:$D,'TIR店舗一覧'!$E:$E,""),""))</f>
        <v/>
      </c>
      <c r="V2553" s="54" t="s">
        <v>2</v>
      </c>
      <c r="W2553" s="54" t="s">
        <v>2</v>
      </c>
      <c r="X2553" s="54" t="s">
        <v>2</v>
      </c>
      <c r="Y2553" s="54" t="s">
        <v>2</v>
      </c>
      <c r="Z2553" s="54" t="s">
        <v>2</v>
      </c>
      <c r="AA2553" s="54" t="s">
        <v>2</v>
      </c>
      <c r="AB2553" s="54" t="s">
        <v>2</v>
      </c>
      <c r="AC2553" s="54" t="s">
        <v>2</v>
      </c>
      <c r="AD2553" s="54" t="s">
        <v>2</v>
      </c>
      <c r="AE2553" s="54" t="s">
        <v>2</v>
      </c>
      <c r="AF2553" s="54" t="s">
        <v>2</v>
      </c>
      <c r="AG2553" s="54" t="s">
        <v>2</v>
      </c>
    </row>
    <row r="2554" ht="15.75" customHeight="1">
      <c r="B2554" s="56"/>
      <c r="U2554" s="46" t="str">
        <f t="array" ref="U2554">IF($D2554="","",IFERROR(_xlfn.XLOOKUP($D2554,'TIR店舗一覧'!$D:$D,'TIR店舗一覧'!$E:$E,""),""))</f>
        <v/>
      </c>
      <c r="V2554" s="54" t="s">
        <v>2</v>
      </c>
      <c r="W2554" s="54" t="s">
        <v>2</v>
      </c>
      <c r="X2554" s="54" t="s">
        <v>2</v>
      </c>
      <c r="Y2554" s="54" t="s">
        <v>2</v>
      </c>
      <c r="Z2554" s="54" t="s">
        <v>2</v>
      </c>
      <c r="AA2554" s="54" t="s">
        <v>2</v>
      </c>
      <c r="AB2554" s="54" t="s">
        <v>2</v>
      </c>
      <c r="AC2554" s="54" t="s">
        <v>2</v>
      </c>
      <c r="AD2554" s="54" t="s">
        <v>2</v>
      </c>
      <c r="AE2554" s="54" t="s">
        <v>2</v>
      </c>
      <c r="AF2554" s="54" t="s">
        <v>2</v>
      </c>
      <c r="AG2554" s="54" t="s">
        <v>2</v>
      </c>
    </row>
    <row r="2555" ht="15.75" customHeight="1">
      <c r="B2555" s="56"/>
      <c r="U2555" s="46" t="str">
        <f t="array" ref="U2555">IF($D2555="","",IFERROR(_xlfn.XLOOKUP($D2555,'TIR店舗一覧'!$D:$D,'TIR店舗一覧'!$E:$E,""),""))</f>
        <v/>
      </c>
      <c r="V2555" s="54" t="s">
        <v>2</v>
      </c>
      <c r="W2555" s="54" t="s">
        <v>2</v>
      </c>
      <c r="X2555" s="54" t="s">
        <v>2</v>
      </c>
      <c r="Y2555" s="54" t="s">
        <v>2</v>
      </c>
      <c r="Z2555" s="54" t="s">
        <v>2</v>
      </c>
      <c r="AA2555" s="54" t="s">
        <v>2</v>
      </c>
      <c r="AB2555" s="54" t="s">
        <v>2</v>
      </c>
      <c r="AC2555" s="54" t="s">
        <v>2</v>
      </c>
      <c r="AD2555" s="54" t="s">
        <v>2</v>
      </c>
      <c r="AE2555" s="54" t="s">
        <v>2</v>
      </c>
      <c r="AF2555" s="54" t="s">
        <v>2</v>
      </c>
      <c r="AG2555" s="54" t="s">
        <v>2</v>
      </c>
    </row>
    <row r="2556" ht="15.75" customHeight="1">
      <c r="B2556" s="56"/>
      <c r="U2556" s="46" t="str">
        <f t="array" ref="U2556">IF($D2556="","",IFERROR(_xlfn.XLOOKUP($D2556,'TIR店舗一覧'!$D:$D,'TIR店舗一覧'!$E:$E,""),""))</f>
        <v/>
      </c>
      <c r="V2556" s="54" t="s">
        <v>2</v>
      </c>
      <c r="W2556" s="54" t="s">
        <v>2</v>
      </c>
      <c r="X2556" s="54" t="s">
        <v>2</v>
      </c>
      <c r="Y2556" s="54" t="s">
        <v>2</v>
      </c>
      <c r="Z2556" s="54" t="s">
        <v>2</v>
      </c>
      <c r="AA2556" s="54" t="s">
        <v>2</v>
      </c>
      <c r="AB2556" s="54" t="s">
        <v>2</v>
      </c>
      <c r="AC2556" s="54" t="s">
        <v>2</v>
      </c>
      <c r="AD2556" s="54" t="s">
        <v>2</v>
      </c>
      <c r="AE2556" s="54" t="s">
        <v>2</v>
      </c>
      <c r="AF2556" s="54" t="s">
        <v>2</v>
      </c>
      <c r="AG2556" s="54" t="s">
        <v>2</v>
      </c>
    </row>
    <row r="2557" ht="15.75" customHeight="1">
      <c r="B2557" s="56"/>
      <c r="U2557" s="46" t="str">
        <f t="array" ref="U2557">IF($D2557="","",IFERROR(_xlfn.XLOOKUP($D2557,'TIR店舗一覧'!$D:$D,'TIR店舗一覧'!$E:$E,""),""))</f>
        <v/>
      </c>
      <c r="V2557" s="54" t="s">
        <v>2</v>
      </c>
      <c r="W2557" s="54" t="s">
        <v>2</v>
      </c>
      <c r="X2557" s="54" t="s">
        <v>2</v>
      </c>
      <c r="Y2557" s="54" t="s">
        <v>2</v>
      </c>
      <c r="Z2557" s="54" t="s">
        <v>2</v>
      </c>
      <c r="AA2557" s="54" t="s">
        <v>2</v>
      </c>
      <c r="AB2557" s="54" t="s">
        <v>2</v>
      </c>
      <c r="AC2557" s="54" t="s">
        <v>2</v>
      </c>
      <c r="AD2557" s="54" t="s">
        <v>2</v>
      </c>
      <c r="AE2557" s="54" t="s">
        <v>2</v>
      </c>
      <c r="AF2557" s="54" t="s">
        <v>2</v>
      </c>
      <c r="AG2557" s="54" t="s">
        <v>2</v>
      </c>
    </row>
    <row r="2558" ht="15.75" customHeight="1">
      <c r="B2558" s="56"/>
      <c r="U2558" s="46" t="str">
        <f t="array" ref="U2558">IF($D2558="","",IFERROR(_xlfn.XLOOKUP($D2558,'TIR店舗一覧'!$D:$D,'TIR店舗一覧'!$E:$E,""),""))</f>
        <v/>
      </c>
      <c r="V2558" s="54" t="s">
        <v>2</v>
      </c>
      <c r="W2558" s="54" t="s">
        <v>2</v>
      </c>
      <c r="X2558" s="54" t="s">
        <v>2</v>
      </c>
      <c r="Y2558" s="54" t="s">
        <v>2</v>
      </c>
      <c r="Z2558" s="54" t="s">
        <v>2</v>
      </c>
      <c r="AA2558" s="54" t="s">
        <v>2</v>
      </c>
      <c r="AB2558" s="54" t="s">
        <v>2</v>
      </c>
      <c r="AC2558" s="54" t="s">
        <v>2</v>
      </c>
      <c r="AD2558" s="54" t="s">
        <v>2</v>
      </c>
      <c r="AE2558" s="54" t="s">
        <v>2</v>
      </c>
      <c r="AF2558" s="54" t="s">
        <v>2</v>
      </c>
      <c r="AG2558" s="54" t="s">
        <v>2</v>
      </c>
    </row>
    <row r="2559" ht="15.75" customHeight="1">
      <c r="B2559" s="56"/>
      <c r="U2559" s="46" t="str">
        <f t="array" ref="U2559">IF($D2559="","",IFERROR(_xlfn.XLOOKUP($D2559,'TIR店舗一覧'!$D:$D,'TIR店舗一覧'!$E:$E,""),""))</f>
        <v/>
      </c>
      <c r="V2559" s="54" t="s">
        <v>2</v>
      </c>
      <c r="W2559" s="54" t="s">
        <v>2</v>
      </c>
      <c r="X2559" s="54" t="s">
        <v>2</v>
      </c>
      <c r="Y2559" s="54" t="s">
        <v>2</v>
      </c>
      <c r="Z2559" s="54" t="s">
        <v>2</v>
      </c>
      <c r="AA2559" s="54" t="s">
        <v>2</v>
      </c>
      <c r="AB2559" s="54" t="s">
        <v>2</v>
      </c>
      <c r="AC2559" s="54" t="s">
        <v>2</v>
      </c>
      <c r="AD2559" s="54" t="s">
        <v>2</v>
      </c>
      <c r="AE2559" s="54" t="s">
        <v>2</v>
      </c>
      <c r="AF2559" s="54" t="s">
        <v>2</v>
      </c>
      <c r="AG2559" s="54" t="s">
        <v>2</v>
      </c>
    </row>
    <row r="2560" ht="15.75" customHeight="1">
      <c r="B2560" s="56"/>
      <c r="U2560" s="46" t="str">
        <f t="array" ref="U2560">IF($D2560="","",IFERROR(_xlfn.XLOOKUP($D2560,'TIR店舗一覧'!$D:$D,'TIR店舗一覧'!$E:$E,""),""))</f>
        <v/>
      </c>
      <c r="V2560" s="54" t="s">
        <v>2</v>
      </c>
      <c r="W2560" s="54" t="s">
        <v>2</v>
      </c>
      <c r="X2560" s="54" t="s">
        <v>2</v>
      </c>
      <c r="Y2560" s="54" t="s">
        <v>2</v>
      </c>
      <c r="Z2560" s="54" t="s">
        <v>2</v>
      </c>
      <c r="AA2560" s="54" t="s">
        <v>2</v>
      </c>
      <c r="AB2560" s="54" t="s">
        <v>2</v>
      </c>
      <c r="AC2560" s="54" t="s">
        <v>2</v>
      </c>
      <c r="AD2560" s="54" t="s">
        <v>2</v>
      </c>
      <c r="AE2560" s="54" t="s">
        <v>2</v>
      </c>
      <c r="AF2560" s="54" t="s">
        <v>2</v>
      </c>
      <c r="AG2560" s="54" t="s">
        <v>2</v>
      </c>
    </row>
    <row r="2561" ht="15.75" customHeight="1">
      <c r="B2561" s="56"/>
      <c r="U2561" s="46" t="str">
        <f t="array" ref="U2561">IF($D2561="","",IFERROR(_xlfn.XLOOKUP($D2561,'TIR店舗一覧'!$D:$D,'TIR店舗一覧'!$E:$E,""),""))</f>
        <v/>
      </c>
      <c r="V2561" s="54" t="s">
        <v>2</v>
      </c>
      <c r="W2561" s="54" t="s">
        <v>2</v>
      </c>
      <c r="X2561" s="54" t="s">
        <v>2</v>
      </c>
      <c r="Y2561" s="54" t="s">
        <v>2</v>
      </c>
      <c r="Z2561" s="54" t="s">
        <v>2</v>
      </c>
      <c r="AA2561" s="54" t="s">
        <v>2</v>
      </c>
      <c r="AB2561" s="54" t="s">
        <v>2</v>
      </c>
      <c r="AC2561" s="54" t="s">
        <v>2</v>
      </c>
      <c r="AD2561" s="54" t="s">
        <v>2</v>
      </c>
      <c r="AE2561" s="54" t="s">
        <v>2</v>
      </c>
      <c r="AF2561" s="54" t="s">
        <v>2</v>
      </c>
      <c r="AG2561" s="54" t="s">
        <v>2</v>
      </c>
    </row>
    <row r="2562" ht="15.75" customHeight="1">
      <c r="B2562" s="56"/>
      <c r="U2562" s="46" t="str">
        <f t="array" ref="U2562">IF($D2562="","",IFERROR(_xlfn.XLOOKUP($D2562,'TIR店舗一覧'!$D:$D,'TIR店舗一覧'!$E:$E,""),""))</f>
        <v/>
      </c>
      <c r="V2562" s="54" t="s">
        <v>2</v>
      </c>
      <c r="W2562" s="54" t="s">
        <v>2</v>
      </c>
      <c r="X2562" s="54" t="s">
        <v>2</v>
      </c>
      <c r="Y2562" s="54" t="s">
        <v>2</v>
      </c>
      <c r="Z2562" s="54" t="s">
        <v>2</v>
      </c>
      <c r="AA2562" s="54" t="s">
        <v>2</v>
      </c>
      <c r="AB2562" s="54" t="s">
        <v>2</v>
      </c>
      <c r="AC2562" s="54" t="s">
        <v>2</v>
      </c>
      <c r="AD2562" s="54" t="s">
        <v>2</v>
      </c>
      <c r="AE2562" s="54" t="s">
        <v>2</v>
      </c>
      <c r="AF2562" s="54" t="s">
        <v>2</v>
      </c>
      <c r="AG2562" s="54" t="s">
        <v>2</v>
      </c>
    </row>
    <row r="2563" ht="15.75" customHeight="1">
      <c r="B2563" s="56"/>
      <c r="U2563" s="46" t="str">
        <f t="array" ref="U2563">IF($D2563="","",IFERROR(_xlfn.XLOOKUP($D2563,'TIR店舗一覧'!$D:$D,'TIR店舗一覧'!$E:$E,""),""))</f>
        <v/>
      </c>
      <c r="V2563" s="54" t="s">
        <v>2</v>
      </c>
      <c r="W2563" s="54" t="s">
        <v>2</v>
      </c>
      <c r="X2563" s="54" t="s">
        <v>2</v>
      </c>
      <c r="Y2563" s="54" t="s">
        <v>2</v>
      </c>
      <c r="Z2563" s="54" t="s">
        <v>2</v>
      </c>
      <c r="AA2563" s="54" t="s">
        <v>2</v>
      </c>
      <c r="AB2563" s="54" t="s">
        <v>2</v>
      </c>
      <c r="AC2563" s="54" t="s">
        <v>2</v>
      </c>
      <c r="AD2563" s="54" t="s">
        <v>2</v>
      </c>
      <c r="AE2563" s="54" t="s">
        <v>2</v>
      </c>
      <c r="AF2563" s="54" t="s">
        <v>2</v>
      </c>
      <c r="AG2563" s="54" t="s">
        <v>2</v>
      </c>
    </row>
    <row r="2564" ht="15.75" customHeight="1">
      <c r="B2564" s="56"/>
      <c r="U2564" s="46" t="str">
        <f t="array" ref="U2564">IF($D2564="","",IFERROR(_xlfn.XLOOKUP($D2564,'TIR店舗一覧'!$D:$D,'TIR店舗一覧'!$E:$E,""),""))</f>
        <v/>
      </c>
      <c r="V2564" s="54" t="s">
        <v>2</v>
      </c>
      <c r="W2564" s="54" t="s">
        <v>2</v>
      </c>
      <c r="X2564" s="54" t="s">
        <v>2</v>
      </c>
      <c r="Y2564" s="54" t="s">
        <v>2</v>
      </c>
      <c r="Z2564" s="54" t="s">
        <v>2</v>
      </c>
      <c r="AA2564" s="54" t="s">
        <v>2</v>
      </c>
      <c r="AB2564" s="54" t="s">
        <v>2</v>
      </c>
      <c r="AC2564" s="54" t="s">
        <v>2</v>
      </c>
      <c r="AD2564" s="54" t="s">
        <v>2</v>
      </c>
      <c r="AE2564" s="54" t="s">
        <v>2</v>
      </c>
      <c r="AF2564" s="54" t="s">
        <v>2</v>
      </c>
      <c r="AG2564" s="54" t="s">
        <v>2</v>
      </c>
    </row>
    <row r="2565" ht="15.75" customHeight="1">
      <c r="B2565" s="56"/>
      <c r="U2565" s="46" t="str">
        <f t="array" ref="U2565">IF($D2565="","",IFERROR(_xlfn.XLOOKUP($D2565,'TIR店舗一覧'!$D:$D,'TIR店舗一覧'!$E:$E,""),""))</f>
        <v/>
      </c>
      <c r="V2565" s="54" t="s">
        <v>2</v>
      </c>
      <c r="W2565" s="54" t="s">
        <v>2</v>
      </c>
      <c r="X2565" s="54" t="s">
        <v>2</v>
      </c>
      <c r="Y2565" s="54" t="s">
        <v>2</v>
      </c>
      <c r="Z2565" s="54" t="s">
        <v>2</v>
      </c>
      <c r="AA2565" s="54" t="s">
        <v>2</v>
      </c>
      <c r="AB2565" s="54" t="s">
        <v>2</v>
      </c>
      <c r="AC2565" s="54" t="s">
        <v>2</v>
      </c>
      <c r="AD2565" s="54" t="s">
        <v>2</v>
      </c>
      <c r="AE2565" s="54" t="s">
        <v>2</v>
      </c>
      <c r="AF2565" s="54" t="s">
        <v>2</v>
      </c>
      <c r="AG2565" s="54" t="s">
        <v>2</v>
      </c>
    </row>
    <row r="2566" ht="15.75" customHeight="1">
      <c r="B2566" s="56"/>
      <c r="U2566" s="46" t="str">
        <f t="array" ref="U2566">IF($D2566="","",IFERROR(_xlfn.XLOOKUP($D2566,'TIR店舗一覧'!$D:$D,'TIR店舗一覧'!$E:$E,""),""))</f>
        <v/>
      </c>
      <c r="V2566" s="54" t="s">
        <v>2</v>
      </c>
      <c r="W2566" s="54" t="s">
        <v>2</v>
      </c>
      <c r="X2566" s="54" t="s">
        <v>2</v>
      </c>
      <c r="Y2566" s="54" t="s">
        <v>2</v>
      </c>
      <c r="Z2566" s="54" t="s">
        <v>2</v>
      </c>
      <c r="AA2566" s="54" t="s">
        <v>2</v>
      </c>
      <c r="AB2566" s="54" t="s">
        <v>2</v>
      </c>
      <c r="AC2566" s="54" t="s">
        <v>2</v>
      </c>
      <c r="AD2566" s="54" t="s">
        <v>2</v>
      </c>
      <c r="AE2566" s="54" t="s">
        <v>2</v>
      </c>
      <c r="AF2566" s="54" t="s">
        <v>2</v>
      </c>
      <c r="AG2566" s="54" t="s">
        <v>2</v>
      </c>
    </row>
    <row r="2567" ht="15.75" customHeight="1">
      <c r="B2567" s="56"/>
      <c r="U2567" s="46" t="str">
        <f t="array" ref="U2567">IF($D2567="","",IFERROR(_xlfn.XLOOKUP($D2567,'TIR店舗一覧'!$D:$D,'TIR店舗一覧'!$E:$E,""),""))</f>
        <v/>
      </c>
      <c r="V2567" s="54" t="s">
        <v>2</v>
      </c>
      <c r="W2567" s="54" t="s">
        <v>2</v>
      </c>
      <c r="X2567" s="54" t="s">
        <v>2</v>
      </c>
      <c r="Y2567" s="54" t="s">
        <v>2</v>
      </c>
      <c r="Z2567" s="54" t="s">
        <v>2</v>
      </c>
      <c r="AA2567" s="54" t="s">
        <v>2</v>
      </c>
      <c r="AB2567" s="54" t="s">
        <v>2</v>
      </c>
      <c r="AC2567" s="54" t="s">
        <v>2</v>
      </c>
      <c r="AD2567" s="54" t="s">
        <v>2</v>
      </c>
      <c r="AE2567" s="54" t="s">
        <v>2</v>
      </c>
      <c r="AF2567" s="54" t="s">
        <v>2</v>
      </c>
      <c r="AG2567" s="54" t="s">
        <v>2</v>
      </c>
    </row>
    <row r="2568" ht="15.75" customHeight="1">
      <c r="B2568" s="56"/>
      <c r="U2568" s="46" t="str">
        <f t="array" ref="U2568">IF($D2568="","",IFERROR(_xlfn.XLOOKUP($D2568,'TIR店舗一覧'!$D:$D,'TIR店舗一覧'!$E:$E,""),""))</f>
        <v/>
      </c>
      <c r="V2568" s="54" t="s">
        <v>2</v>
      </c>
      <c r="W2568" s="54" t="s">
        <v>2</v>
      </c>
      <c r="X2568" s="54" t="s">
        <v>2</v>
      </c>
      <c r="Y2568" s="54" t="s">
        <v>2</v>
      </c>
      <c r="Z2568" s="54" t="s">
        <v>2</v>
      </c>
      <c r="AA2568" s="54" t="s">
        <v>2</v>
      </c>
      <c r="AB2568" s="54" t="s">
        <v>2</v>
      </c>
      <c r="AC2568" s="54" t="s">
        <v>2</v>
      </c>
      <c r="AD2568" s="54" t="s">
        <v>2</v>
      </c>
      <c r="AE2568" s="54" t="s">
        <v>2</v>
      </c>
      <c r="AF2568" s="54" t="s">
        <v>2</v>
      </c>
      <c r="AG2568" s="54" t="s">
        <v>2</v>
      </c>
    </row>
    <row r="2569" ht="15.75" customHeight="1">
      <c r="B2569" s="56"/>
      <c r="U2569" s="46" t="str">
        <f t="array" ref="U2569">IF($D2569="","",IFERROR(_xlfn.XLOOKUP($D2569,'TIR店舗一覧'!$D:$D,'TIR店舗一覧'!$E:$E,""),""))</f>
        <v/>
      </c>
      <c r="V2569" s="54" t="s">
        <v>2</v>
      </c>
      <c r="W2569" s="54" t="s">
        <v>2</v>
      </c>
      <c r="X2569" s="54" t="s">
        <v>2</v>
      </c>
      <c r="Y2569" s="54" t="s">
        <v>2</v>
      </c>
      <c r="Z2569" s="54" t="s">
        <v>2</v>
      </c>
      <c r="AA2569" s="54" t="s">
        <v>2</v>
      </c>
      <c r="AB2569" s="54" t="s">
        <v>2</v>
      </c>
      <c r="AC2569" s="54" t="s">
        <v>2</v>
      </c>
      <c r="AD2569" s="54" t="s">
        <v>2</v>
      </c>
      <c r="AE2569" s="54" t="s">
        <v>2</v>
      </c>
      <c r="AF2569" s="54" t="s">
        <v>2</v>
      </c>
      <c r="AG2569" s="54" t="s">
        <v>2</v>
      </c>
    </row>
    <row r="2570" ht="15.75" customHeight="1">
      <c r="B2570" s="56"/>
      <c r="U2570" s="46" t="str">
        <f t="array" ref="U2570">IF($D2570="","",IFERROR(_xlfn.XLOOKUP($D2570,'TIR店舗一覧'!$D:$D,'TIR店舗一覧'!$E:$E,""),""))</f>
        <v/>
      </c>
      <c r="V2570" s="54" t="s">
        <v>2</v>
      </c>
      <c r="W2570" s="54" t="s">
        <v>2</v>
      </c>
      <c r="X2570" s="54" t="s">
        <v>2</v>
      </c>
      <c r="Y2570" s="54" t="s">
        <v>2</v>
      </c>
      <c r="Z2570" s="54" t="s">
        <v>2</v>
      </c>
      <c r="AA2570" s="54" t="s">
        <v>2</v>
      </c>
      <c r="AB2570" s="54" t="s">
        <v>2</v>
      </c>
      <c r="AC2570" s="54" t="s">
        <v>2</v>
      </c>
      <c r="AD2570" s="54" t="s">
        <v>2</v>
      </c>
      <c r="AE2570" s="54" t="s">
        <v>2</v>
      </c>
      <c r="AF2570" s="54" t="s">
        <v>2</v>
      </c>
      <c r="AG2570" s="54" t="s">
        <v>2</v>
      </c>
    </row>
    <row r="2571" ht="15.75" customHeight="1">
      <c r="B2571" s="56"/>
      <c r="U2571" s="46" t="str">
        <f t="array" ref="U2571">IF($D2571="","",IFERROR(_xlfn.XLOOKUP($D2571,'TIR店舗一覧'!$D:$D,'TIR店舗一覧'!$E:$E,""),""))</f>
        <v/>
      </c>
      <c r="V2571" s="54" t="s">
        <v>2</v>
      </c>
      <c r="W2571" s="54" t="s">
        <v>2</v>
      </c>
      <c r="X2571" s="54" t="s">
        <v>2</v>
      </c>
      <c r="Y2571" s="54" t="s">
        <v>2</v>
      </c>
      <c r="Z2571" s="54" t="s">
        <v>2</v>
      </c>
      <c r="AA2571" s="54" t="s">
        <v>2</v>
      </c>
      <c r="AB2571" s="54" t="s">
        <v>2</v>
      </c>
      <c r="AC2571" s="54" t="s">
        <v>2</v>
      </c>
      <c r="AD2571" s="54" t="s">
        <v>2</v>
      </c>
      <c r="AE2571" s="54" t="s">
        <v>2</v>
      </c>
      <c r="AF2571" s="54" t="s">
        <v>2</v>
      </c>
      <c r="AG2571" s="54" t="s">
        <v>2</v>
      </c>
    </row>
    <row r="2572" ht="15.75" customHeight="1">
      <c r="B2572" s="56"/>
      <c r="U2572" s="46" t="str">
        <f t="array" ref="U2572">IF($D2572="","",IFERROR(_xlfn.XLOOKUP($D2572,'TIR店舗一覧'!$D:$D,'TIR店舗一覧'!$E:$E,""),""))</f>
        <v/>
      </c>
      <c r="V2572" s="54" t="s">
        <v>2</v>
      </c>
      <c r="W2572" s="54" t="s">
        <v>2</v>
      </c>
      <c r="X2572" s="54" t="s">
        <v>2</v>
      </c>
      <c r="Y2572" s="54" t="s">
        <v>2</v>
      </c>
      <c r="Z2572" s="54" t="s">
        <v>2</v>
      </c>
      <c r="AA2572" s="54" t="s">
        <v>2</v>
      </c>
      <c r="AB2572" s="54" t="s">
        <v>2</v>
      </c>
      <c r="AC2572" s="54" t="s">
        <v>2</v>
      </c>
      <c r="AD2572" s="54" t="s">
        <v>2</v>
      </c>
      <c r="AE2572" s="54" t="s">
        <v>2</v>
      </c>
      <c r="AF2572" s="54" t="s">
        <v>2</v>
      </c>
      <c r="AG2572" s="54" t="s">
        <v>2</v>
      </c>
    </row>
    <row r="2573" ht="15.75" customHeight="1">
      <c r="B2573" s="56"/>
      <c r="U2573" s="46" t="str">
        <f t="array" ref="U2573">IF($D2573="","",IFERROR(_xlfn.XLOOKUP($D2573,'TIR店舗一覧'!$D:$D,'TIR店舗一覧'!$E:$E,""),""))</f>
        <v/>
      </c>
      <c r="V2573" s="54" t="s">
        <v>2</v>
      </c>
      <c r="W2573" s="54" t="s">
        <v>2</v>
      </c>
      <c r="X2573" s="54" t="s">
        <v>2</v>
      </c>
      <c r="Y2573" s="54" t="s">
        <v>2</v>
      </c>
      <c r="Z2573" s="54" t="s">
        <v>2</v>
      </c>
      <c r="AA2573" s="54" t="s">
        <v>2</v>
      </c>
      <c r="AB2573" s="54" t="s">
        <v>2</v>
      </c>
      <c r="AC2573" s="54" t="s">
        <v>2</v>
      </c>
      <c r="AD2573" s="54" t="s">
        <v>2</v>
      </c>
      <c r="AE2573" s="54" t="s">
        <v>2</v>
      </c>
      <c r="AF2573" s="54" t="s">
        <v>2</v>
      </c>
      <c r="AG2573" s="54" t="s">
        <v>2</v>
      </c>
    </row>
    <row r="2574" ht="15.75" customHeight="1">
      <c r="B2574" s="56"/>
      <c r="U2574" s="46" t="str">
        <f t="array" ref="U2574">IF($D2574="","",IFERROR(_xlfn.XLOOKUP($D2574,'TIR店舗一覧'!$D:$D,'TIR店舗一覧'!$E:$E,""),""))</f>
        <v/>
      </c>
      <c r="V2574" s="54" t="s">
        <v>2</v>
      </c>
      <c r="W2574" s="54" t="s">
        <v>2</v>
      </c>
      <c r="X2574" s="54" t="s">
        <v>2</v>
      </c>
      <c r="Y2574" s="54" t="s">
        <v>2</v>
      </c>
      <c r="Z2574" s="54" t="s">
        <v>2</v>
      </c>
      <c r="AA2574" s="54" t="s">
        <v>2</v>
      </c>
      <c r="AB2574" s="54" t="s">
        <v>2</v>
      </c>
      <c r="AC2574" s="54" t="s">
        <v>2</v>
      </c>
      <c r="AD2574" s="54" t="s">
        <v>2</v>
      </c>
      <c r="AE2574" s="54" t="s">
        <v>2</v>
      </c>
      <c r="AF2574" s="54" t="s">
        <v>2</v>
      </c>
      <c r="AG2574" s="54" t="s">
        <v>2</v>
      </c>
    </row>
    <row r="2575" ht="15.75" customHeight="1">
      <c r="B2575" s="56"/>
      <c r="U2575" s="46" t="str">
        <f t="array" ref="U2575">IF($D2575="","",IFERROR(_xlfn.XLOOKUP($D2575,'TIR店舗一覧'!$D:$D,'TIR店舗一覧'!$E:$E,""),""))</f>
        <v/>
      </c>
      <c r="V2575" s="54" t="s">
        <v>2</v>
      </c>
      <c r="W2575" s="54" t="s">
        <v>2</v>
      </c>
      <c r="X2575" s="54" t="s">
        <v>2</v>
      </c>
      <c r="Y2575" s="54" t="s">
        <v>2</v>
      </c>
      <c r="Z2575" s="54" t="s">
        <v>2</v>
      </c>
      <c r="AA2575" s="54" t="s">
        <v>2</v>
      </c>
      <c r="AB2575" s="54" t="s">
        <v>2</v>
      </c>
      <c r="AC2575" s="54" t="s">
        <v>2</v>
      </c>
      <c r="AD2575" s="54" t="s">
        <v>2</v>
      </c>
      <c r="AE2575" s="54" t="s">
        <v>2</v>
      </c>
      <c r="AF2575" s="54" t="s">
        <v>2</v>
      </c>
      <c r="AG2575" s="54" t="s">
        <v>2</v>
      </c>
    </row>
    <row r="2576" ht="15.75" customHeight="1">
      <c r="B2576" s="56"/>
      <c r="U2576" s="46" t="str">
        <f t="array" ref="U2576">IF($D2576="","",IFERROR(_xlfn.XLOOKUP($D2576,'TIR店舗一覧'!$D:$D,'TIR店舗一覧'!$E:$E,""),""))</f>
        <v/>
      </c>
      <c r="V2576" s="54" t="s">
        <v>2</v>
      </c>
      <c r="W2576" s="54" t="s">
        <v>2</v>
      </c>
      <c r="X2576" s="54" t="s">
        <v>2</v>
      </c>
      <c r="Y2576" s="54" t="s">
        <v>2</v>
      </c>
      <c r="Z2576" s="54" t="s">
        <v>2</v>
      </c>
      <c r="AA2576" s="54" t="s">
        <v>2</v>
      </c>
      <c r="AB2576" s="54" t="s">
        <v>2</v>
      </c>
      <c r="AC2576" s="54" t="s">
        <v>2</v>
      </c>
      <c r="AD2576" s="54" t="s">
        <v>2</v>
      </c>
      <c r="AE2576" s="54" t="s">
        <v>2</v>
      </c>
      <c r="AF2576" s="54" t="s">
        <v>2</v>
      </c>
      <c r="AG2576" s="54" t="s">
        <v>2</v>
      </c>
    </row>
    <row r="2577" ht="15.75" customHeight="1">
      <c r="B2577" s="56"/>
      <c r="U2577" s="46" t="str">
        <f t="array" ref="U2577">IF($D2577="","",IFERROR(_xlfn.XLOOKUP($D2577,'TIR店舗一覧'!$D:$D,'TIR店舗一覧'!$E:$E,""),""))</f>
        <v/>
      </c>
      <c r="V2577" s="54" t="s">
        <v>2</v>
      </c>
      <c r="W2577" s="54" t="s">
        <v>2</v>
      </c>
      <c r="X2577" s="54" t="s">
        <v>2</v>
      </c>
      <c r="Y2577" s="54" t="s">
        <v>2</v>
      </c>
      <c r="Z2577" s="54" t="s">
        <v>2</v>
      </c>
      <c r="AA2577" s="54" t="s">
        <v>2</v>
      </c>
      <c r="AB2577" s="54" t="s">
        <v>2</v>
      </c>
      <c r="AC2577" s="54" t="s">
        <v>2</v>
      </c>
      <c r="AD2577" s="54" t="s">
        <v>2</v>
      </c>
      <c r="AE2577" s="54" t="s">
        <v>2</v>
      </c>
      <c r="AF2577" s="54" t="s">
        <v>2</v>
      </c>
      <c r="AG2577" s="54" t="s">
        <v>2</v>
      </c>
    </row>
    <row r="2578" ht="15.75" customHeight="1">
      <c r="B2578" s="56"/>
      <c r="U2578" s="46" t="str">
        <f t="array" ref="U2578">IF($D2578="","",IFERROR(_xlfn.XLOOKUP($D2578,'TIR店舗一覧'!$D:$D,'TIR店舗一覧'!$E:$E,""),""))</f>
        <v/>
      </c>
      <c r="V2578" s="54" t="s">
        <v>2</v>
      </c>
      <c r="W2578" s="54" t="s">
        <v>2</v>
      </c>
      <c r="X2578" s="54" t="s">
        <v>2</v>
      </c>
      <c r="Y2578" s="54" t="s">
        <v>2</v>
      </c>
      <c r="Z2578" s="54" t="s">
        <v>2</v>
      </c>
      <c r="AA2578" s="54" t="s">
        <v>2</v>
      </c>
      <c r="AB2578" s="54" t="s">
        <v>2</v>
      </c>
      <c r="AC2578" s="54" t="s">
        <v>2</v>
      </c>
      <c r="AD2578" s="54" t="s">
        <v>2</v>
      </c>
      <c r="AE2578" s="54" t="s">
        <v>2</v>
      </c>
      <c r="AF2578" s="54" t="s">
        <v>2</v>
      </c>
      <c r="AG2578" s="54" t="s">
        <v>2</v>
      </c>
    </row>
    <row r="2579" ht="15.75" customHeight="1">
      <c r="B2579" s="56"/>
      <c r="U2579" s="46" t="str">
        <f t="array" ref="U2579">IF($D2579="","",IFERROR(_xlfn.XLOOKUP($D2579,'TIR店舗一覧'!$D:$D,'TIR店舗一覧'!$E:$E,""),""))</f>
        <v/>
      </c>
      <c r="V2579" s="54" t="s">
        <v>2</v>
      </c>
      <c r="W2579" s="54" t="s">
        <v>2</v>
      </c>
      <c r="X2579" s="54" t="s">
        <v>2</v>
      </c>
      <c r="Y2579" s="54" t="s">
        <v>2</v>
      </c>
      <c r="Z2579" s="54" t="s">
        <v>2</v>
      </c>
      <c r="AA2579" s="54" t="s">
        <v>2</v>
      </c>
      <c r="AB2579" s="54" t="s">
        <v>2</v>
      </c>
      <c r="AC2579" s="54" t="s">
        <v>2</v>
      </c>
      <c r="AD2579" s="54" t="s">
        <v>2</v>
      </c>
      <c r="AE2579" s="54" t="s">
        <v>2</v>
      </c>
      <c r="AF2579" s="54" t="s">
        <v>2</v>
      </c>
      <c r="AG2579" s="54" t="s">
        <v>2</v>
      </c>
    </row>
    <row r="2580" ht="15.75" customHeight="1">
      <c r="B2580" s="56"/>
      <c r="U2580" s="46" t="str">
        <f t="array" ref="U2580">IF($D2580="","",IFERROR(_xlfn.XLOOKUP($D2580,'TIR店舗一覧'!$D:$D,'TIR店舗一覧'!$E:$E,""),""))</f>
        <v/>
      </c>
      <c r="V2580" s="54" t="s">
        <v>2</v>
      </c>
      <c r="W2580" s="54" t="s">
        <v>2</v>
      </c>
      <c r="X2580" s="54" t="s">
        <v>2</v>
      </c>
      <c r="Y2580" s="54" t="s">
        <v>2</v>
      </c>
      <c r="Z2580" s="54" t="s">
        <v>2</v>
      </c>
      <c r="AA2580" s="54" t="s">
        <v>2</v>
      </c>
      <c r="AB2580" s="54" t="s">
        <v>2</v>
      </c>
      <c r="AC2580" s="54" t="s">
        <v>2</v>
      </c>
      <c r="AD2580" s="54" t="s">
        <v>2</v>
      </c>
      <c r="AE2580" s="54" t="s">
        <v>2</v>
      </c>
      <c r="AF2580" s="54" t="s">
        <v>2</v>
      </c>
      <c r="AG2580" s="54" t="s">
        <v>2</v>
      </c>
    </row>
    <row r="2581" ht="15.75" customHeight="1">
      <c r="B2581" s="56"/>
      <c r="U2581" s="46" t="str">
        <f t="array" ref="U2581">IF($D2581="","",IFERROR(_xlfn.XLOOKUP($D2581,'TIR店舗一覧'!$D:$D,'TIR店舗一覧'!$E:$E,""),""))</f>
        <v/>
      </c>
      <c r="V2581" s="54" t="s">
        <v>2</v>
      </c>
      <c r="W2581" s="54" t="s">
        <v>2</v>
      </c>
      <c r="X2581" s="54" t="s">
        <v>2</v>
      </c>
      <c r="Y2581" s="54" t="s">
        <v>2</v>
      </c>
      <c r="Z2581" s="54" t="s">
        <v>2</v>
      </c>
      <c r="AA2581" s="54" t="s">
        <v>2</v>
      </c>
      <c r="AB2581" s="54" t="s">
        <v>2</v>
      </c>
      <c r="AC2581" s="54" t="s">
        <v>2</v>
      </c>
      <c r="AD2581" s="54" t="s">
        <v>2</v>
      </c>
      <c r="AE2581" s="54" t="s">
        <v>2</v>
      </c>
      <c r="AF2581" s="54" t="s">
        <v>2</v>
      </c>
      <c r="AG2581" s="54" t="s">
        <v>2</v>
      </c>
    </row>
    <row r="2582" ht="15.75" customHeight="1">
      <c r="B2582" s="56"/>
      <c r="U2582" s="46" t="str">
        <f t="array" ref="U2582">IF($D2582="","",IFERROR(_xlfn.XLOOKUP($D2582,'TIR店舗一覧'!$D:$D,'TIR店舗一覧'!$E:$E,""),""))</f>
        <v/>
      </c>
      <c r="V2582" s="54" t="s">
        <v>2</v>
      </c>
      <c r="W2582" s="54" t="s">
        <v>2</v>
      </c>
      <c r="X2582" s="54" t="s">
        <v>2</v>
      </c>
      <c r="Y2582" s="54" t="s">
        <v>2</v>
      </c>
      <c r="Z2582" s="54" t="s">
        <v>2</v>
      </c>
      <c r="AA2582" s="54" t="s">
        <v>2</v>
      </c>
      <c r="AB2582" s="54" t="s">
        <v>2</v>
      </c>
      <c r="AC2582" s="54" t="s">
        <v>2</v>
      </c>
      <c r="AD2582" s="54" t="s">
        <v>2</v>
      </c>
      <c r="AE2582" s="54" t="s">
        <v>2</v>
      </c>
      <c r="AF2582" s="54" t="s">
        <v>2</v>
      </c>
      <c r="AG2582" s="54" t="s">
        <v>2</v>
      </c>
    </row>
    <row r="2583" ht="15.75" customHeight="1">
      <c r="B2583" s="56"/>
      <c r="U2583" s="46" t="str">
        <f t="array" ref="U2583">IF($D2583="","",IFERROR(_xlfn.XLOOKUP($D2583,'TIR店舗一覧'!$D:$D,'TIR店舗一覧'!$E:$E,""),""))</f>
        <v/>
      </c>
      <c r="V2583" s="54" t="s">
        <v>2</v>
      </c>
      <c r="W2583" s="54" t="s">
        <v>2</v>
      </c>
      <c r="X2583" s="54" t="s">
        <v>2</v>
      </c>
      <c r="Y2583" s="54" t="s">
        <v>2</v>
      </c>
      <c r="Z2583" s="54" t="s">
        <v>2</v>
      </c>
      <c r="AA2583" s="54" t="s">
        <v>2</v>
      </c>
      <c r="AB2583" s="54" t="s">
        <v>2</v>
      </c>
      <c r="AC2583" s="54" t="s">
        <v>2</v>
      </c>
      <c r="AD2583" s="54" t="s">
        <v>2</v>
      </c>
      <c r="AE2583" s="54" t="s">
        <v>2</v>
      </c>
      <c r="AF2583" s="54" t="s">
        <v>2</v>
      </c>
      <c r="AG2583" s="54" t="s">
        <v>2</v>
      </c>
    </row>
    <row r="2584" ht="15.75" customHeight="1">
      <c r="B2584" s="56"/>
      <c r="U2584" s="46" t="str">
        <f t="array" ref="U2584">IF($D2584="","",IFERROR(_xlfn.XLOOKUP($D2584,'TIR店舗一覧'!$D:$D,'TIR店舗一覧'!$E:$E,""),""))</f>
        <v/>
      </c>
      <c r="V2584" s="54" t="s">
        <v>2</v>
      </c>
      <c r="W2584" s="54" t="s">
        <v>2</v>
      </c>
      <c r="X2584" s="54" t="s">
        <v>2</v>
      </c>
      <c r="Y2584" s="54" t="s">
        <v>2</v>
      </c>
      <c r="Z2584" s="54" t="s">
        <v>2</v>
      </c>
      <c r="AA2584" s="54" t="s">
        <v>2</v>
      </c>
      <c r="AB2584" s="54" t="s">
        <v>2</v>
      </c>
      <c r="AC2584" s="54" t="s">
        <v>2</v>
      </c>
      <c r="AD2584" s="54" t="s">
        <v>2</v>
      </c>
      <c r="AE2584" s="54" t="s">
        <v>2</v>
      </c>
      <c r="AF2584" s="54" t="s">
        <v>2</v>
      </c>
      <c r="AG2584" s="54" t="s">
        <v>2</v>
      </c>
    </row>
    <row r="2585" ht="15.75" customHeight="1">
      <c r="B2585" s="56"/>
      <c r="U2585" s="46" t="str">
        <f t="array" ref="U2585">IF($D2585="","",IFERROR(_xlfn.XLOOKUP($D2585,'TIR店舗一覧'!$D:$D,'TIR店舗一覧'!$E:$E,""),""))</f>
        <v/>
      </c>
      <c r="V2585" s="54" t="s">
        <v>2</v>
      </c>
      <c r="W2585" s="54" t="s">
        <v>2</v>
      </c>
      <c r="X2585" s="54" t="s">
        <v>2</v>
      </c>
      <c r="Y2585" s="54" t="s">
        <v>2</v>
      </c>
      <c r="Z2585" s="54" t="s">
        <v>2</v>
      </c>
      <c r="AA2585" s="54" t="s">
        <v>2</v>
      </c>
      <c r="AB2585" s="54" t="s">
        <v>2</v>
      </c>
      <c r="AC2585" s="54" t="s">
        <v>2</v>
      </c>
      <c r="AD2585" s="54" t="s">
        <v>2</v>
      </c>
      <c r="AE2585" s="54" t="s">
        <v>2</v>
      </c>
      <c r="AF2585" s="54" t="s">
        <v>2</v>
      </c>
      <c r="AG2585" s="54" t="s">
        <v>2</v>
      </c>
    </row>
    <row r="2586" ht="15.75" customHeight="1">
      <c r="B2586" s="56"/>
      <c r="U2586" s="46" t="str">
        <f t="array" ref="U2586">IF($D2586="","",IFERROR(_xlfn.XLOOKUP($D2586,'TIR店舗一覧'!$D:$D,'TIR店舗一覧'!$E:$E,""),""))</f>
        <v/>
      </c>
      <c r="V2586" s="54" t="s">
        <v>2</v>
      </c>
      <c r="W2586" s="54" t="s">
        <v>2</v>
      </c>
      <c r="X2586" s="54" t="s">
        <v>2</v>
      </c>
      <c r="Y2586" s="54" t="s">
        <v>2</v>
      </c>
      <c r="Z2586" s="54" t="s">
        <v>2</v>
      </c>
      <c r="AA2586" s="54" t="s">
        <v>2</v>
      </c>
      <c r="AB2586" s="54" t="s">
        <v>2</v>
      </c>
      <c r="AC2586" s="54" t="s">
        <v>2</v>
      </c>
      <c r="AD2586" s="54" t="s">
        <v>2</v>
      </c>
      <c r="AE2586" s="54" t="s">
        <v>2</v>
      </c>
      <c r="AF2586" s="54" t="s">
        <v>2</v>
      </c>
      <c r="AG2586" s="54" t="s">
        <v>2</v>
      </c>
    </row>
    <row r="2587" ht="15.75" customHeight="1">
      <c r="B2587" s="56"/>
      <c r="U2587" s="46" t="str">
        <f t="array" ref="U2587">IF($D2587="","",IFERROR(_xlfn.XLOOKUP($D2587,'TIR店舗一覧'!$D:$D,'TIR店舗一覧'!$E:$E,""),""))</f>
        <v/>
      </c>
      <c r="V2587" s="54" t="s">
        <v>2</v>
      </c>
      <c r="W2587" s="54" t="s">
        <v>2</v>
      </c>
      <c r="X2587" s="54" t="s">
        <v>2</v>
      </c>
      <c r="Y2587" s="54" t="s">
        <v>2</v>
      </c>
      <c r="Z2587" s="54" t="s">
        <v>2</v>
      </c>
      <c r="AA2587" s="54" t="s">
        <v>2</v>
      </c>
      <c r="AB2587" s="54" t="s">
        <v>2</v>
      </c>
      <c r="AC2587" s="54" t="s">
        <v>2</v>
      </c>
      <c r="AD2587" s="54" t="s">
        <v>2</v>
      </c>
      <c r="AE2587" s="54" t="s">
        <v>2</v>
      </c>
      <c r="AF2587" s="54" t="s">
        <v>2</v>
      </c>
      <c r="AG2587" s="54" t="s">
        <v>2</v>
      </c>
    </row>
    <row r="2588" ht="15.75" customHeight="1">
      <c r="B2588" s="56"/>
      <c r="U2588" s="46" t="str">
        <f t="array" ref="U2588">IF($D2588="","",IFERROR(_xlfn.XLOOKUP($D2588,'TIR店舗一覧'!$D:$D,'TIR店舗一覧'!$E:$E,""),""))</f>
        <v/>
      </c>
      <c r="V2588" s="54" t="s">
        <v>2</v>
      </c>
      <c r="W2588" s="54" t="s">
        <v>2</v>
      </c>
      <c r="X2588" s="54" t="s">
        <v>2</v>
      </c>
      <c r="Y2588" s="54" t="s">
        <v>2</v>
      </c>
      <c r="Z2588" s="54" t="s">
        <v>2</v>
      </c>
      <c r="AA2588" s="54" t="s">
        <v>2</v>
      </c>
      <c r="AB2588" s="54" t="s">
        <v>2</v>
      </c>
      <c r="AC2588" s="54" t="s">
        <v>2</v>
      </c>
      <c r="AD2588" s="54" t="s">
        <v>2</v>
      </c>
      <c r="AE2588" s="54" t="s">
        <v>2</v>
      </c>
      <c r="AF2588" s="54" t="s">
        <v>2</v>
      </c>
      <c r="AG2588" s="54" t="s">
        <v>2</v>
      </c>
    </row>
    <row r="2589" ht="15.75" customHeight="1">
      <c r="B2589" s="56"/>
      <c r="U2589" s="46" t="str">
        <f t="array" ref="U2589">IF($D2589="","",IFERROR(_xlfn.XLOOKUP($D2589,'TIR店舗一覧'!$D:$D,'TIR店舗一覧'!$E:$E,""),""))</f>
        <v/>
      </c>
      <c r="V2589" s="54" t="s">
        <v>2</v>
      </c>
      <c r="W2589" s="54" t="s">
        <v>2</v>
      </c>
      <c r="X2589" s="54" t="s">
        <v>2</v>
      </c>
      <c r="Y2589" s="54" t="s">
        <v>2</v>
      </c>
      <c r="Z2589" s="54" t="s">
        <v>2</v>
      </c>
      <c r="AA2589" s="54" t="s">
        <v>2</v>
      </c>
      <c r="AB2589" s="54" t="s">
        <v>2</v>
      </c>
      <c r="AC2589" s="54" t="s">
        <v>2</v>
      </c>
      <c r="AD2589" s="54" t="s">
        <v>2</v>
      </c>
      <c r="AE2589" s="54" t="s">
        <v>2</v>
      </c>
      <c r="AF2589" s="54" t="s">
        <v>2</v>
      </c>
      <c r="AG2589" s="54" t="s">
        <v>2</v>
      </c>
    </row>
    <row r="2590" ht="15.75" customHeight="1">
      <c r="B2590" s="56"/>
      <c r="U2590" s="46" t="str">
        <f t="array" ref="U2590">IF($D2590="","",IFERROR(_xlfn.XLOOKUP($D2590,'TIR店舗一覧'!$D:$D,'TIR店舗一覧'!$E:$E,""),""))</f>
        <v/>
      </c>
      <c r="V2590" s="54" t="s">
        <v>2</v>
      </c>
      <c r="W2590" s="54" t="s">
        <v>2</v>
      </c>
      <c r="X2590" s="54" t="s">
        <v>2</v>
      </c>
      <c r="Y2590" s="54" t="s">
        <v>2</v>
      </c>
      <c r="Z2590" s="54" t="s">
        <v>2</v>
      </c>
      <c r="AA2590" s="54" t="s">
        <v>2</v>
      </c>
      <c r="AB2590" s="54" t="s">
        <v>2</v>
      </c>
      <c r="AC2590" s="54" t="s">
        <v>2</v>
      </c>
      <c r="AD2590" s="54" t="s">
        <v>2</v>
      </c>
      <c r="AE2590" s="54" t="s">
        <v>2</v>
      </c>
      <c r="AF2590" s="54" t="s">
        <v>2</v>
      </c>
      <c r="AG2590" s="54" t="s">
        <v>2</v>
      </c>
    </row>
    <row r="2591" ht="15.75" customHeight="1">
      <c r="B2591" s="56"/>
      <c r="U2591" s="46" t="str">
        <f t="array" ref="U2591">IF($D2591="","",IFERROR(_xlfn.XLOOKUP($D2591,'TIR店舗一覧'!$D:$D,'TIR店舗一覧'!$E:$E,""),""))</f>
        <v/>
      </c>
      <c r="V2591" s="54" t="s">
        <v>2</v>
      </c>
      <c r="W2591" s="54" t="s">
        <v>2</v>
      </c>
      <c r="X2591" s="54" t="s">
        <v>2</v>
      </c>
      <c r="Y2591" s="54" t="s">
        <v>2</v>
      </c>
      <c r="Z2591" s="54" t="s">
        <v>2</v>
      </c>
      <c r="AA2591" s="54" t="s">
        <v>2</v>
      </c>
      <c r="AB2591" s="54" t="s">
        <v>2</v>
      </c>
      <c r="AC2591" s="54" t="s">
        <v>2</v>
      </c>
      <c r="AD2591" s="54" t="s">
        <v>2</v>
      </c>
      <c r="AE2591" s="54" t="s">
        <v>2</v>
      </c>
      <c r="AF2591" s="54" t="s">
        <v>2</v>
      </c>
      <c r="AG2591" s="54" t="s">
        <v>2</v>
      </c>
    </row>
    <row r="2592" ht="15.75" customHeight="1">
      <c r="B2592" s="56"/>
      <c r="U2592" s="46" t="str">
        <f t="array" ref="U2592">IF($D2592="","",IFERROR(_xlfn.XLOOKUP($D2592,'TIR店舗一覧'!$D:$D,'TIR店舗一覧'!$E:$E,""),""))</f>
        <v/>
      </c>
      <c r="V2592" s="54" t="s">
        <v>2</v>
      </c>
      <c r="W2592" s="54" t="s">
        <v>2</v>
      </c>
      <c r="X2592" s="54" t="s">
        <v>2</v>
      </c>
      <c r="Y2592" s="54" t="s">
        <v>2</v>
      </c>
      <c r="Z2592" s="54" t="s">
        <v>2</v>
      </c>
      <c r="AA2592" s="54" t="s">
        <v>2</v>
      </c>
      <c r="AB2592" s="54" t="s">
        <v>2</v>
      </c>
      <c r="AC2592" s="54" t="s">
        <v>2</v>
      </c>
      <c r="AD2592" s="54" t="s">
        <v>2</v>
      </c>
      <c r="AE2592" s="54" t="s">
        <v>2</v>
      </c>
      <c r="AF2592" s="54" t="s">
        <v>2</v>
      </c>
      <c r="AG2592" s="54" t="s">
        <v>2</v>
      </c>
    </row>
    <row r="2593" ht="15.75" customHeight="1">
      <c r="B2593" s="56"/>
      <c r="U2593" s="46" t="str">
        <f t="array" ref="U2593">IF($D2593="","",IFERROR(_xlfn.XLOOKUP($D2593,'TIR店舗一覧'!$D:$D,'TIR店舗一覧'!$E:$E,""),""))</f>
        <v/>
      </c>
      <c r="V2593" s="54" t="s">
        <v>2</v>
      </c>
      <c r="W2593" s="54" t="s">
        <v>2</v>
      </c>
      <c r="X2593" s="54" t="s">
        <v>2</v>
      </c>
      <c r="Y2593" s="54" t="s">
        <v>2</v>
      </c>
      <c r="Z2593" s="54" t="s">
        <v>2</v>
      </c>
      <c r="AA2593" s="54" t="s">
        <v>2</v>
      </c>
      <c r="AB2593" s="54" t="s">
        <v>2</v>
      </c>
      <c r="AC2593" s="54" t="s">
        <v>2</v>
      </c>
      <c r="AD2593" s="54" t="s">
        <v>2</v>
      </c>
      <c r="AE2593" s="54" t="s">
        <v>2</v>
      </c>
      <c r="AF2593" s="54" t="s">
        <v>2</v>
      </c>
      <c r="AG2593" s="54" t="s">
        <v>2</v>
      </c>
    </row>
    <row r="2594" ht="15.75" customHeight="1">
      <c r="B2594" s="56"/>
      <c r="U2594" s="46" t="str">
        <f t="array" ref="U2594">IF($D2594="","",IFERROR(_xlfn.XLOOKUP($D2594,'TIR店舗一覧'!$D:$D,'TIR店舗一覧'!$E:$E,""),""))</f>
        <v/>
      </c>
      <c r="V2594" s="54" t="s">
        <v>2</v>
      </c>
      <c r="W2594" s="54" t="s">
        <v>2</v>
      </c>
      <c r="X2594" s="54" t="s">
        <v>2</v>
      </c>
      <c r="Y2594" s="54" t="s">
        <v>2</v>
      </c>
      <c r="Z2594" s="54" t="s">
        <v>2</v>
      </c>
      <c r="AA2594" s="54" t="s">
        <v>2</v>
      </c>
      <c r="AB2594" s="54" t="s">
        <v>2</v>
      </c>
      <c r="AC2594" s="54" t="s">
        <v>2</v>
      </c>
      <c r="AD2594" s="54" t="s">
        <v>2</v>
      </c>
      <c r="AE2594" s="54" t="s">
        <v>2</v>
      </c>
      <c r="AF2594" s="54" t="s">
        <v>2</v>
      </c>
      <c r="AG2594" s="54" t="s">
        <v>2</v>
      </c>
    </row>
    <row r="2595" ht="15.75" customHeight="1">
      <c r="B2595" s="56"/>
      <c r="U2595" s="46" t="str">
        <f t="array" ref="U2595">IF($D2595="","",IFERROR(_xlfn.XLOOKUP($D2595,'TIR店舗一覧'!$D:$D,'TIR店舗一覧'!$E:$E,""),""))</f>
        <v/>
      </c>
      <c r="V2595" s="54" t="s">
        <v>2</v>
      </c>
      <c r="W2595" s="54" t="s">
        <v>2</v>
      </c>
      <c r="X2595" s="54" t="s">
        <v>2</v>
      </c>
      <c r="Y2595" s="54" t="s">
        <v>2</v>
      </c>
      <c r="Z2595" s="54" t="s">
        <v>2</v>
      </c>
      <c r="AA2595" s="54" t="s">
        <v>2</v>
      </c>
      <c r="AB2595" s="54" t="s">
        <v>2</v>
      </c>
      <c r="AC2595" s="54" t="s">
        <v>2</v>
      </c>
      <c r="AD2595" s="54" t="s">
        <v>2</v>
      </c>
      <c r="AE2595" s="54" t="s">
        <v>2</v>
      </c>
      <c r="AF2595" s="54" t="s">
        <v>2</v>
      </c>
      <c r="AG2595" s="54" t="s">
        <v>2</v>
      </c>
    </row>
    <row r="2596" ht="15.75" customHeight="1">
      <c r="B2596" s="56"/>
      <c r="U2596" s="46" t="str">
        <f t="array" ref="U2596">IF($D2596="","",IFERROR(_xlfn.XLOOKUP($D2596,'TIR店舗一覧'!$D:$D,'TIR店舗一覧'!$E:$E,""),""))</f>
        <v/>
      </c>
      <c r="V2596" s="54" t="s">
        <v>2</v>
      </c>
      <c r="W2596" s="54" t="s">
        <v>2</v>
      </c>
      <c r="X2596" s="54" t="s">
        <v>2</v>
      </c>
      <c r="Y2596" s="54" t="s">
        <v>2</v>
      </c>
      <c r="Z2596" s="54" t="s">
        <v>2</v>
      </c>
      <c r="AA2596" s="54" t="s">
        <v>2</v>
      </c>
      <c r="AB2596" s="54" t="s">
        <v>2</v>
      </c>
      <c r="AC2596" s="54" t="s">
        <v>2</v>
      </c>
      <c r="AD2596" s="54" t="s">
        <v>2</v>
      </c>
      <c r="AE2596" s="54" t="s">
        <v>2</v>
      </c>
      <c r="AF2596" s="54" t="s">
        <v>2</v>
      </c>
      <c r="AG2596" s="54" t="s">
        <v>2</v>
      </c>
    </row>
    <row r="2597" ht="15.75" customHeight="1">
      <c r="B2597" s="56"/>
      <c r="U2597" s="46" t="str">
        <f t="array" ref="U2597">IF($D2597="","",IFERROR(_xlfn.XLOOKUP($D2597,'TIR店舗一覧'!$D:$D,'TIR店舗一覧'!$E:$E,""),""))</f>
        <v/>
      </c>
      <c r="V2597" s="54" t="s">
        <v>2</v>
      </c>
      <c r="W2597" s="54" t="s">
        <v>2</v>
      </c>
      <c r="X2597" s="54" t="s">
        <v>2</v>
      </c>
      <c r="Y2597" s="54" t="s">
        <v>2</v>
      </c>
      <c r="Z2597" s="54" t="s">
        <v>2</v>
      </c>
      <c r="AA2597" s="54" t="s">
        <v>2</v>
      </c>
      <c r="AB2597" s="54" t="s">
        <v>2</v>
      </c>
      <c r="AC2597" s="54" t="s">
        <v>2</v>
      </c>
      <c r="AD2597" s="54" t="s">
        <v>2</v>
      </c>
      <c r="AE2597" s="54" t="s">
        <v>2</v>
      </c>
      <c r="AF2597" s="54" t="s">
        <v>2</v>
      </c>
      <c r="AG2597" s="54" t="s">
        <v>2</v>
      </c>
    </row>
    <row r="2598" ht="15.75" customHeight="1">
      <c r="B2598" s="56"/>
      <c r="U2598" s="46" t="str">
        <f t="array" ref="U2598">IF($D2598="","",IFERROR(_xlfn.XLOOKUP($D2598,'TIR店舗一覧'!$D:$D,'TIR店舗一覧'!$E:$E,""),""))</f>
        <v/>
      </c>
      <c r="V2598" s="54" t="s">
        <v>2</v>
      </c>
      <c r="W2598" s="54" t="s">
        <v>2</v>
      </c>
      <c r="X2598" s="54" t="s">
        <v>2</v>
      </c>
      <c r="Y2598" s="54" t="s">
        <v>2</v>
      </c>
      <c r="Z2598" s="54" t="s">
        <v>2</v>
      </c>
      <c r="AA2598" s="54" t="s">
        <v>2</v>
      </c>
      <c r="AB2598" s="54" t="s">
        <v>2</v>
      </c>
      <c r="AC2598" s="54" t="s">
        <v>2</v>
      </c>
      <c r="AD2598" s="54" t="s">
        <v>2</v>
      </c>
      <c r="AE2598" s="54" t="s">
        <v>2</v>
      </c>
      <c r="AF2598" s="54" t="s">
        <v>2</v>
      </c>
      <c r="AG2598" s="54" t="s">
        <v>2</v>
      </c>
    </row>
    <row r="2599" ht="15.75" customHeight="1">
      <c r="B2599" s="56"/>
      <c r="U2599" s="46" t="str">
        <f t="array" ref="U2599">IF($D2599="","",IFERROR(_xlfn.XLOOKUP($D2599,'TIR店舗一覧'!$D:$D,'TIR店舗一覧'!$E:$E,""),""))</f>
        <v/>
      </c>
      <c r="V2599" s="54" t="s">
        <v>2</v>
      </c>
      <c r="W2599" s="54" t="s">
        <v>2</v>
      </c>
      <c r="X2599" s="54" t="s">
        <v>2</v>
      </c>
      <c r="Y2599" s="54" t="s">
        <v>2</v>
      </c>
      <c r="Z2599" s="54" t="s">
        <v>2</v>
      </c>
      <c r="AA2599" s="54" t="s">
        <v>2</v>
      </c>
      <c r="AB2599" s="54" t="s">
        <v>2</v>
      </c>
      <c r="AC2599" s="54" t="s">
        <v>2</v>
      </c>
      <c r="AD2599" s="54" t="s">
        <v>2</v>
      </c>
      <c r="AE2599" s="54" t="s">
        <v>2</v>
      </c>
      <c r="AF2599" s="54" t="s">
        <v>2</v>
      </c>
      <c r="AG2599" s="54" t="s">
        <v>2</v>
      </c>
    </row>
    <row r="2600" ht="15.75" customHeight="1">
      <c r="B2600" s="56"/>
      <c r="U2600" s="46" t="str">
        <f t="array" ref="U2600">IF($D2600="","",IFERROR(_xlfn.XLOOKUP($D2600,'TIR店舗一覧'!$D:$D,'TIR店舗一覧'!$E:$E,""),""))</f>
        <v/>
      </c>
      <c r="V2600" s="54" t="s">
        <v>2</v>
      </c>
      <c r="W2600" s="54" t="s">
        <v>2</v>
      </c>
      <c r="X2600" s="54" t="s">
        <v>2</v>
      </c>
      <c r="Y2600" s="54" t="s">
        <v>2</v>
      </c>
      <c r="Z2600" s="54" t="s">
        <v>2</v>
      </c>
      <c r="AA2600" s="54" t="s">
        <v>2</v>
      </c>
      <c r="AB2600" s="54" t="s">
        <v>2</v>
      </c>
      <c r="AC2600" s="54" t="s">
        <v>2</v>
      </c>
      <c r="AD2600" s="54" t="s">
        <v>2</v>
      </c>
      <c r="AE2600" s="54" t="s">
        <v>2</v>
      </c>
      <c r="AF2600" s="54" t="s">
        <v>2</v>
      </c>
      <c r="AG2600" s="54" t="s">
        <v>2</v>
      </c>
    </row>
    <row r="2601" ht="15.75" customHeight="1">
      <c r="B2601" s="56"/>
      <c r="U2601" s="46" t="str">
        <f t="array" ref="U2601">IF($D2601="","",IFERROR(_xlfn.XLOOKUP($D2601,'TIR店舗一覧'!$D:$D,'TIR店舗一覧'!$E:$E,""),""))</f>
        <v/>
      </c>
      <c r="V2601" s="54" t="s">
        <v>2</v>
      </c>
      <c r="W2601" s="54" t="s">
        <v>2</v>
      </c>
      <c r="X2601" s="54" t="s">
        <v>2</v>
      </c>
      <c r="Y2601" s="54" t="s">
        <v>2</v>
      </c>
      <c r="Z2601" s="54" t="s">
        <v>2</v>
      </c>
      <c r="AA2601" s="54" t="s">
        <v>2</v>
      </c>
      <c r="AB2601" s="54" t="s">
        <v>2</v>
      </c>
      <c r="AC2601" s="54" t="s">
        <v>2</v>
      </c>
      <c r="AD2601" s="54" t="s">
        <v>2</v>
      </c>
      <c r="AE2601" s="54" t="s">
        <v>2</v>
      </c>
      <c r="AF2601" s="54" t="s">
        <v>2</v>
      </c>
      <c r="AG2601" s="54" t="s">
        <v>2</v>
      </c>
    </row>
    <row r="2602" ht="15.75" customHeight="1">
      <c r="B2602" s="56"/>
      <c r="U2602" s="46" t="str">
        <f t="array" ref="U2602">IF($D2602="","",IFERROR(_xlfn.XLOOKUP($D2602,'TIR店舗一覧'!$D:$D,'TIR店舗一覧'!$E:$E,""),""))</f>
        <v/>
      </c>
      <c r="V2602" s="54" t="s">
        <v>2</v>
      </c>
      <c r="W2602" s="54" t="s">
        <v>2</v>
      </c>
      <c r="X2602" s="54" t="s">
        <v>2</v>
      </c>
      <c r="Y2602" s="54" t="s">
        <v>2</v>
      </c>
      <c r="Z2602" s="54" t="s">
        <v>2</v>
      </c>
      <c r="AA2602" s="54" t="s">
        <v>2</v>
      </c>
      <c r="AB2602" s="54" t="s">
        <v>2</v>
      </c>
      <c r="AC2602" s="54" t="s">
        <v>2</v>
      </c>
      <c r="AD2602" s="54" t="s">
        <v>2</v>
      </c>
      <c r="AE2602" s="54" t="s">
        <v>2</v>
      </c>
      <c r="AF2602" s="54" t="s">
        <v>2</v>
      </c>
      <c r="AG2602" s="54" t="s">
        <v>2</v>
      </c>
    </row>
    <row r="2603" ht="15.75" customHeight="1">
      <c r="B2603" s="56"/>
      <c r="U2603" s="46" t="str">
        <f t="array" ref="U2603">IF($D2603="","",IFERROR(_xlfn.XLOOKUP($D2603,'TIR店舗一覧'!$D:$D,'TIR店舗一覧'!$E:$E,""),""))</f>
        <v/>
      </c>
      <c r="V2603" s="54" t="s">
        <v>2</v>
      </c>
      <c r="W2603" s="54" t="s">
        <v>2</v>
      </c>
      <c r="X2603" s="54" t="s">
        <v>2</v>
      </c>
      <c r="Y2603" s="54" t="s">
        <v>2</v>
      </c>
      <c r="Z2603" s="54" t="s">
        <v>2</v>
      </c>
      <c r="AA2603" s="54" t="s">
        <v>2</v>
      </c>
      <c r="AB2603" s="54" t="s">
        <v>2</v>
      </c>
      <c r="AC2603" s="54" t="s">
        <v>2</v>
      </c>
      <c r="AD2603" s="54" t="s">
        <v>2</v>
      </c>
      <c r="AE2603" s="54" t="s">
        <v>2</v>
      </c>
      <c r="AF2603" s="54" t="s">
        <v>2</v>
      </c>
      <c r="AG2603" s="54" t="s">
        <v>2</v>
      </c>
    </row>
    <row r="2604" ht="15.75" customHeight="1">
      <c r="B2604" s="56"/>
      <c r="U2604" s="46" t="str">
        <f t="array" ref="U2604">IF($D2604="","",IFERROR(_xlfn.XLOOKUP($D2604,'TIR店舗一覧'!$D:$D,'TIR店舗一覧'!$E:$E,""),""))</f>
        <v/>
      </c>
      <c r="V2604" s="54" t="s">
        <v>2</v>
      </c>
      <c r="W2604" s="54" t="s">
        <v>2</v>
      </c>
      <c r="X2604" s="54" t="s">
        <v>2</v>
      </c>
      <c r="Y2604" s="54" t="s">
        <v>2</v>
      </c>
      <c r="Z2604" s="54" t="s">
        <v>2</v>
      </c>
      <c r="AA2604" s="54" t="s">
        <v>2</v>
      </c>
      <c r="AB2604" s="54" t="s">
        <v>2</v>
      </c>
      <c r="AC2604" s="54" t="s">
        <v>2</v>
      </c>
      <c r="AD2604" s="54" t="s">
        <v>2</v>
      </c>
      <c r="AE2604" s="54" t="s">
        <v>2</v>
      </c>
      <c r="AF2604" s="54" t="s">
        <v>2</v>
      </c>
      <c r="AG2604" s="54" t="s">
        <v>2</v>
      </c>
    </row>
    <row r="2605" ht="15.75" customHeight="1">
      <c r="B2605" s="56"/>
      <c r="U2605" s="46" t="str">
        <f t="array" ref="U2605">IF($D2605="","",IFERROR(_xlfn.XLOOKUP($D2605,'TIR店舗一覧'!$D:$D,'TIR店舗一覧'!$E:$E,""),""))</f>
        <v/>
      </c>
      <c r="V2605" s="54" t="s">
        <v>2</v>
      </c>
      <c r="W2605" s="54" t="s">
        <v>2</v>
      </c>
      <c r="X2605" s="54" t="s">
        <v>2</v>
      </c>
      <c r="Y2605" s="54" t="s">
        <v>2</v>
      </c>
      <c r="Z2605" s="54" t="s">
        <v>2</v>
      </c>
      <c r="AA2605" s="54" t="s">
        <v>2</v>
      </c>
      <c r="AB2605" s="54" t="s">
        <v>2</v>
      </c>
      <c r="AC2605" s="54" t="s">
        <v>2</v>
      </c>
      <c r="AD2605" s="54" t="s">
        <v>2</v>
      </c>
      <c r="AE2605" s="54" t="s">
        <v>2</v>
      </c>
      <c r="AF2605" s="54" t="s">
        <v>2</v>
      </c>
      <c r="AG2605" s="54" t="s">
        <v>2</v>
      </c>
    </row>
    <row r="2606" ht="15.75" customHeight="1">
      <c r="B2606" s="56"/>
      <c r="U2606" s="46" t="str">
        <f t="array" ref="U2606">IF($D2606="","",IFERROR(_xlfn.XLOOKUP($D2606,'TIR店舗一覧'!$D:$D,'TIR店舗一覧'!$E:$E,""),""))</f>
        <v/>
      </c>
      <c r="V2606" s="54" t="s">
        <v>2</v>
      </c>
      <c r="W2606" s="54" t="s">
        <v>2</v>
      </c>
      <c r="X2606" s="54" t="s">
        <v>2</v>
      </c>
      <c r="Y2606" s="54" t="s">
        <v>2</v>
      </c>
      <c r="Z2606" s="54" t="s">
        <v>2</v>
      </c>
      <c r="AA2606" s="54" t="s">
        <v>2</v>
      </c>
      <c r="AB2606" s="54" t="s">
        <v>2</v>
      </c>
      <c r="AC2606" s="54" t="s">
        <v>2</v>
      </c>
      <c r="AD2606" s="54" t="s">
        <v>2</v>
      </c>
      <c r="AE2606" s="54" t="s">
        <v>2</v>
      </c>
      <c r="AF2606" s="54" t="s">
        <v>2</v>
      </c>
      <c r="AG2606" s="54" t="s">
        <v>2</v>
      </c>
    </row>
    <row r="2607" ht="15.75" customHeight="1">
      <c r="B2607" s="56"/>
      <c r="U2607" s="46" t="str">
        <f t="array" ref="U2607">IF($D2607="","",IFERROR(_xlfn.XLOOKUP($D2607,'TIR店舗一覧'!$D:$D,'TIR店舗一覧'!$E:$E,""),""))</f>
        <v/>
      </c>
      <c r="V2607" s="54" t="s">
        <v>2</v>
      </c>
      <c r="W2607" s="54" t="s">
        <v>2</v>
      </c>
      <c r="X2607" s="54" t="s">
        <v>2</v>
      </c>
      <c r="Y2607" s="54" t="s">
        <v>2</v>
      </c>
      <c r="Z2607" s="54" t="s">
        <v>2</v>
      </c>
      <c r="AA2607" s="54" t="s">
        <v>2</v>
      </c>
      <c r="AB2607" s="54" t="s">
        <v>2</v>
      </c>
      <c r="AC2607" s="54" t="s">
        <v>2</v>
      </c>
      <c r="AD2607" s="54" t="s">
        <v>2</v>
      </c>
      <c r="AE2607" s="54" t="s">
        <v>2</v>
      </c>
      <c r="AF2607" s="54" t="s">
        <v>2</v>
      </c>
      <c r="AG2607" s="54" t="s">
        <v>2</v>
      </c>
    </row>
    <row r="2608" ht="15.75" customHeight="1">
      <c r="B2608" s="56"/>
      <c r="U2608" s="46" t="str">
        <f t="array" ref="U2608">IF($D2608="","",IFERROR(_xlfn.XLOOKUP($D2608,'TIR店舗一覧'!$D:$D,'TIR店舗一覧'!$E:$E,""),""))</f>
        <v/>
      </c>
      <c r="V2608" s="54" t="s">
        <v>2</v>
      </c>
      <c r="W2608" s="54" t="s">
        <v>2</v>
      </c>
      <c r="X2608" s="54" t="s">
        <v>2</v>
      </c>
      <c r="Y2608" s="54" t="s">
        <v>2</v>
      </c>
      <c r="Z2608" s="54" t="s">
        <v>2</v>
      </c>
      <c r="AA2608" s="54" t="s">
        <v>2</v>
      </c>
      <c r="AB2608" s="54" t="s">
        <v>2</v>
      </c>
      <c r="AC2608" s="54" t="s">
        <v>2</v>
      </c>
      <c r="AD2608" s="54" t="s">
        <v>2</v>
      </c>
      <c r="AE2608" s="54" t="s">
        <v>2</v>
      </c>
      <c r="AF2608" s="54" t="s">
        <v>2</v>
      </c>
      <c r="AG2608" s="54" t="s">
        <v>2</v>
      </c>
    </row>
    <row r="2609" ht="15.75" customHeight="1">
      <c r="B2609" s="56"/>
      <c r="U2609" s="46" t="str">
        <f t="array" ref="U2609">IF($D2609="","",IFERROR(_xlfn.XLOOKUP($D2609,'TIR店舗一覧'!$D:$D,'TIR店舗一覧'!$E:$E,""),""))</f>
        <v/>
      </c>
      <c r="V2609" s="54" t="s">
        <v>2</v>
      </c>
      <c r="W2609" s="54" t="s">
        <v>2</v>
      </c>
      <c r="X2609" s="54" t="s">
        <v>2</v>
      </c>
      <c r="Y2609" s="54" t="s">
        <v>2</v>
      </c>
      <c r="Z2609" s="54" t="s">
        <v>2</v>
      </c>
      <c r="AA2609" s="54" t="s">
        <v>2</v>
      </c>
      <c r="AB2609" s="54" t="s">
        <v>2</v>
      </c>
      <c r="AC2609" s="54" t="s">
        <v>2</v>
      </c>
      <c r="AD2609" s="54" t="s">
        <v>2</v>
      </c>
      <c r="AE2609" s="54" t="s">
        <v>2</v>
      </c>
      <c r="AF2609" s="54" t="s">
        <v>2</v>
      </c>
      <c r="AG2609" s="54" t="s">
        <v>2</v>
      </c>
    </row>
    <row r="2610" ht="15.75" customHeight="1">
      <c r="B2610" s="56"/>
      <c r="U2610" s="46" t="str">
        <f t="array" ref="U2610">IF($D2610="","",IFERROR(_xlfn.XLOOKUP($D2610,'TIR店舗一覧'!$D:$D,'TIR店舗一覧'!$E:$E,""),""))</f>
        <v/>
      </c>
      <c r="V2610" s="54" t="s">
        <v>2</v>
      </c>
      <c r="W2610" s="54" t="s">
        <v>2</v>
      </c>
      <c r="X2610" s="54" t="s">
        <v>2</v>
      </c>
      <c r="Y2610" s="54" t="s">
        <v>2</v>
      </c>
      <c r="Z2610" s="54" t="s">
        <v>2</v>
      </c>
      <c r="AA2610" s="54" t="s">
        <v>2</v>
      </c>
      <c r="AB2610" s="54" t="s">
        <v>2</v>
      </c>
      <c r="AC2610" s="54" t="s">
        <v>2</v>
      </c>
      <c r="AD2610" s="54" t="s">
        <v>2</v>
      </c>
      <c r="AE2610" s="54" t="s">
        <v>2</v>
      </c>
      <c r="AF2610" s="54" t="s">
        <v>2</v>
      </c>
      <c r="AG2610" s="54" t="s">
        <v>2</v>
      </c>
    </row>
    <row r="2611" ht="15.75" customHeight="1">
      <c r="B2611" s="56"/>
      <c r="U2611" s="46" t="str">
        <f t="array" ref="U2611">IF($D2611="","",IFERROR(_xlfn.XLOOKUP($D2611,'TIR店舗一覧'!$D:$D,'TIR店舗一覧'!$E:$E,""),""))</f>
        <v/>
      </c>
      <c r="V2611" s="54" t="s">
        <v>2</v>
      </c>
      <c r="W2611" s="54" t="s">
        <v>2</v>
      </c>
      <c r="X2611" s="54" t="s">
        <v>2</v>
      </c>
      <c r="Y2611" s="54" t="s">
        <v>2</v>
      </c>
      <c r="Z2611" s="54" t="s">
        <v>2</v>
      </c>
      <c r="AA2611" s="54" t="s">
        <v>2</v>
      </c>
      <c r="AB2611" s="54" t="s">
        <v>2</v>
      </c>
      <c r="AC2611" s="54" t="s">
        <v>2</v>
      </c>
      <c r="AD2611" s="54" t="s">
        <v>2</v>
      </c>
      <c r="AE2611" s="54" t="s">
        <v>2</v>
      </c>
      <c r="AF2611" s="54" t="s">
        <v>2</v>
      </c>
      <c r="AG2611" s="54" t="s">
        <v>2</v>
      </c>
    </row>
    <row r="2612" ht="15.75" customHeight="1">
      <c r="B2612" s="56"/>
      <c r="U2612" s="46" t="str">
        <f t="array" ref="U2612">IF($D2612="","",IFERROR(_xlfn.XLOOKUP($D2612,'TIR店舗一覧'!$D:$D,'TIR店舗一覧'!$E:$E,""),""))</f>
        <v/>
      </c>
      <c r="V2612" s="54" t="s">
        <v>2</v>
      </c>
      <c r="W2612" s="54" t="s">
        <v>2</v>
      </c>
      <c r="X2612" s="54" t="s">
        <v>2</v>
      </c>
      <c r="Y2612" s="54" t="s">
        <v>2</v>
      </c>
      <c r="Z2612" s="54" t="s">
        <v>2</v>
      </c>
      <c r="AA2612" s="54" t="s">
        <v>2</v>
      </c>
      <c r="AB2612" s="54" t="s">
        <v>2</v>
      </c>
      <c r="AC2612" s="54" t="s">
        <v>2</v>
      </c>
      <c r="AD2612" s="54" t="s">
        <v>2</v>
      </c>
      <c r="AE2612" s="54" t="s">
        <v>2</v>
      </c>
      <c r="AF2612" s="54" t="s">
        <v>2</v>
      </c>
      <c r="AG2612" s="54" t="s">
        <v>2</v>
      </c>
    </row>
    <row r="2613" ht="15.75" customHeight="1">
      <c r="B2613" s="56"/>
      <c r="U2613" s="46" t="str">
        <f t="array" ref="U2613">IF($D2613="","",IFERROR(_xlfn.XLOOKUP($D2613,'TIR店舗一覧'!$D:$D,'TIR店舗一覧'!$E:$E,""),""))</f>
        <v/>
      </c>
      <c r="V2613" s="54" t="s">
        <v>2</v>
      </c>
      <c r="W2613" s="54" t="s">
        <v>2</v>
      </c>
      <c r="X2613" s="54" t="s">
        <v>2</v>
      </c>
      <c r="Y2613" s="54" t="s">
        <v>2</v>
      </c>
      <c r="Z2613" s="54" t="s">
        <v>2</v>
      </c>
      <c r="AA2613" s="54" t="s">
        <v>2</v>
      </c>
      <c r="AB2613" s="54" t="s">
        <v>2</v>
      </c>
      <c r="AC2613" s="54" t="s">
        <v>2</v>
      </c>
      <c r="AD2613" s="54" t="s">
        <v>2</v>
      </c>
      <c r="AE2613" s="54" t="s">
        <v>2</v>
      </c>
      <c r="AF2613" s="54" t="s">
        <v>2</v>
      </c>
      <c r="AG2613" s="54" t="s">
        <v>2</v>
      </c>
    </row>
    <row r="2614" ht="15.75" customHeight="1">
      <c r="B2614" s="56"/>
      <c r="U2614" s="46" t="str">
        <f t="array" ref="U2614">IF($D2614="","",IFERROR(_xlfn.XLOOKUP($D2614,'TIR店舗一覧'!$D:$D,'TIR店舗一覧'!$E:$E,""),""))</f>
        <v/>
      </c>
      <c r="V2614" s="54" t="s">
        <v>2</v>
      </c>
      <c r="W2614" s="54" t="s">
        <v>2</v>
      </c>
      <c r="X2614" s="54" t="s">
        <v>2</v>
      </c>
      <c r="Y2614" s="54" t="s">
        <v>2</v>
      </c>
      <c r="Z2614" s="54" t="s">
        <v>2</v>
      </c>
      <c r="AA2614" s="54" t="s">
        <v>2</v>
      </c>
      <c r="AB2614" s="54" t="s">
        <v>2</v>
      </c>
      <c r="AC2614" s="54" t="s">
        <v>2</v>
      </c>
      <c r="AD2614" s="54" t="s">
        <v>2</v>
      </c>
      <c r="AE2614" s="54" t="s">
        <v>2</v>
      </c>
      <c r="AF2614" s="54" t="s">
        <v>2</v>
      </c>
      <c r="AG2614" s="54" t="s">
        <v>2</v>
      </c>
    </row>
    <row r="2615" ht="15.75" customHeight="1">
      <c r="B2615" s="56"/>
      <c r="U2615" s="46" t="str">
        <f t="array" ref="U2615">IF($D2615="","",IFERROR(_xlfn.XLOOKUP($D2615,'TIR店舗一覧'!$D:$D,'TIR店舗一覧'!$E:$E,""),""))</f>
        <v/>
      </c>
      <c r="V2615" s="54" t="s">
        <v>2</v>
      </c>
      <c r="W2615" s="54" t="s">
        <v>2</v>
      </c>
      <c r="X2615" s="54" t="s">
        <v>2</v>
      </c>
      <c r="Y2615" s="54" t="s">
        <v>2</v>
      </c>
      <c r="Z2615" s="54" t="s">
        <v>2</v>
      </c>
      <c r="AA2615" s="54" t="s">
        <v>2</v>
      </c>
      <c r="AB2615" s="54" t="s">
        <v>2</v>
      </c>
      <c r="AC2615" s="54" t="s">
        <v>2</v>
      </c>
      <c r="AD2615" s="54" t="s">
        <v>2</v>
      </c>
      <c r="AE2615" s="54" t="s">
        <v>2</v>
      </c>
      <c r="AF2615" s="54" t="s">
        <v>2</v>
      </c>
      <c r="AG2615" s="54" t="s">
        <v>2</v>
      </c>
    </row>
    <row r="2616" ht="15.75" customHeight="1">
      <c r="B2616" s="56"/>
      <c r="U2616" s="46" t="str">
        <f t="array" ref="U2616">IF($D2616="","",IFERROR(_xlfn.XLOOKUP($D2616,'TIR店舗一覧'!$D:$D,'TIR店舗一覧'!$E:$E,""),""))</f>
        <v/>
      </c>
      <c r="V2616" s="54" t="s">
        <v>2</v>
      </c>
      <c r="W2616" s="54" t="s">
        <v>2</v>
      </c>
      <c r="X2616" s="54" t="s">
        <v>2</v>
      </c>
      <c r="Y2616" s="54" t="s">
        <v>2</v>
      </c>
      <c r="Z2616" s="54" t="s">
        <v>2</v>
      </c>
      <c r="AA2616" s="54" t="s">
        <v>2</v>
      </c>
      <c r="AB2616" s="54" t="s">
        <v>2</v>
      </c>
      <c r="AC2616" s="54" t="s">
        <v>2</v>
      </c>
      <c r="AD2616" s="54" t="s">
        <v>2</v>
      </c>
      <c r="AE2616" s="54" t="s">
        <v>2</v>
      </c>
      <c r="AF2616" s="54" t="s">
        <v>2</v>
      </c>
      <c r="AG2616" s="54" t="s">
        <v>2</v>
      </c>
    </row>
    <row r="2617" ht="15.75" customHeight="1">
      <c r="B2617" s="56"/>
      <c r="U2617" s="46" t="str">
        <f t="array" ref="U2617">IF($D2617="","",IFERROR(_xlfn.XLOOKUP($D2617,'TIR店舗一覧'!$D:$D,'TIR店舗一覧'!$E:$E,""),""))</f>
        <v/>
      </c>
      <c r="V2617" s="54" t="s">
        <v>2</v>
      </c>
      <c r="W2617" s="54" t="s">
        <v>2</v>
      </c>
      <c r="X2617" s="54" t="s">
        <v>2</v>
      </c>
      <c r="Y2617" s="54" t="s">
        <v>2</v>
      </c>
      <c r="Z2617" s="54" t="s">
        <v>2</v>
      </c>
      <c r="AA2617" s="54" t="s">
        <v>2</v>
      </c>
      <c r="AB2617" s="54" t="s">
        <v>2</v>
      </c>
      <c r="AC2617" s="54" t="s">
        <v>2</v>
      </c>
      <c r="AD2617" s="54" t="s">
        <v>2</v>
      </c>
      <c r="AE2617" s="54" t="s">
        <v>2</v>
      </c>
      <c r="AF2617" s="54" t="s">
        <v>2</v>
      </c>
      <c r="AG2617" s="54" t="s">
        <v>2</v>
      </c>
    </row>
    <row r="2618" ht="15.75" customHeight="1">
      <c r="B2618" s="56"/>
      <c r="U2618" s="46" t="str">
        <f t="array" ref="U2618">IF($D2618="","",IFERROR(_xlfn.XLOOKUP($D2618,'TIR店舗一覧'!$D:$D,'TIR店舗一覧'!$E:$E,""),""))</f>
        <v/>
      </c>
      <c r="V2618" s="54" t="s">
        <v>2</v>
      </c>
      <c r="W2618" s="54" t="s">
        <v>2</v>
      </c>
      <c r="X2618" s="54" t="s">
        <v>2</v>
      </c>
      <c r="Y2618" s="54" t="s">
        <v>2</v>
      </c>
      <c r="Z2618" s="54" t="s">
        <v>2</v>
      </c>
      <c r="AA2618" s="54" t="s">
        <v>2</v>
      </c>
      <c r="AB2618" s="54" t="s">
        <v>2</v>
      </c>
      <c r="AC2618" s="54" t="s">
        <v>2</v>
      </c>
      <c r="AD2618" s="54" t="s">
        <v>2</v>
      </c>
      <c r="AE2618" s="54" t="s">
        <v>2</v>
      </c>
      <c r="AF2618" s="54" t="s">
        <v>2</v>
      </c>
      <c r="AG2618" s="54" t="s">
        <v>2</v>
      </c>
    </row>
    <row r="2619" ht="15.75" customHeight="1">
      <c r="B2619" s="56"/>
      <c r="U2619" s="46" t="str">
        <f t="array" ref="U2619">IF($D2619="","",IFERROR(_xlfn.XLOOKUP($D2619,'TIR店舗一覧'!$D:$D,'TIR店舗一覧'!$E:$E,""),""))</f>
        <v/>
      </c>
      <c r="V2619" s="54" t="s">
        <v>2</v>
      </c>
      <c r="W2619" s="54" t="s">
        <v>2</v>
      </c>
      <c r="X2619" s="54" t="s">
        <v>2</v>
      </c>
      <c r="Y2619" s="54" t="s">
        <v>2</v>
      </c>
      <c r="Z2619" s="54" t="s">
        <v>2</v>
      </c>
      <c r="AA2619" s="54" t="s">
        <v>2</v>
      </c>
      <c r="AB2619" s="54" t="s">
        <v>2</v>
      </c>
      <c r="AC2619" s="54" t="s">
        <v>2</v>
      </c>
      <c r="AD2619" s="54" t="s">
        <v>2</v>
      </c>
      <c r="AE2619" s="54" t="s">
        <v>2</v>
      </c>
      <c r="AF2619" s="54" t="s">
        <v>2</v>
      </c>
      <c r="AG2619" s="54" t="s">
        <v>2</v>
      </c>
    </row>
    <row r="2620" ht="15.75" customHeight="1">
      <c r="B2620" s="56"/>
      <c r="U2620" s="46" t="str">
        <f t="array" ref="U2620">IF($D2620="","",IFERROR(_xlfn.XLOOKUP($D2620,'TIR店舗一覧'!$D:$D,'TIR店舗一覧'!$E:$E,""),""))</f>
        <v/>
      </c>
      <c r="V2620" s="54" t="s">
        <v>2</v>
      </c>
      <c r="W2620" s="54" t="s">
        <v>2</v>
      </c>
      <c r="X2620" s="54" t="s">
        <v>2</v>
      </c>
      <c r="Y2620" s="54" t="s">
        <v>2</v>
      </c>
      <c r="Z2620" s="54" t="s">
        <v>2</v>
      </c>
      <c r="AA2620" s="54" t="s">
        <v>2</v>
      </c>
      <c r="AB2620" s="54" t="s">
        <v>2</v>
      </c>
      <c r="AC2620" s="54" t="s">
        <v>2</v>
      </c>
      <c r="AD2620" s="54" t="s">
        <v>2</v>
      </c>
      <c r="AE2620" s="54" t="s">
        <v>2</v>
      </c>
      <c r="AF2620" s="54" t="s">
        <v>2</v>
      </c>
      <c r="AG2620" s="54" t="s">
        <v>2</v>
      </c>
    </row>
    <row r="2621" ht="15.75" customHeight="1">
      <c r="B2621" s="56"/>
      <c r="U2621" s="46" t="str">
        <f t="array" ref="U2621">IF($D2621="","",IFERROR(_xlfn.XLOOKUP($D2621,'TIR店舗一覧'!$D:$D,'TIR店舗一覧'!$E:$E,""),""))</f>
        <v/>
      </c>
      <c r="V2621" s="54" t="s">
        <v>2</v>
      </c>
      <c r="W2621" s="54" t="s">
        <v>2</v>
      </c>
      <c r="X2621" s="54" t="s">
        <v>2</v>
      </c>
      <c r="Y2621" s="54" t="s">
        <v>2</v>
      </c>
      <c r="Z2621" s="54" t="s">
        <v>2</v>
      </c>
      <c r="AA2621" s="54" t="s">
        <v>2</v>
      </c>
      <c r="AB2621" s="54" t="s">
        <v>2</v>
      </c>
      <c r="AC2621" s="54" t="s">
        <v>2</v>
      </c>
      <c r="AD2621" s="54" t="s">
        <v>2</v>
      </c>
      <c r="AE2621" s="54" t="s">
        <v>2</v>
      </c>
      <c r="AF2621" s="54" t="s">
        <v>2</v>
      </c>
      <c r="AG2621" s="54" t="s">
        <v>2</v>
      </c>
    </row>
    <row r="2622" ht="15.75" customHeight="1">
      <c r="B2622" s="56"/>
      <c r="U2622" s="46" t="str">
        <f t="array" ref="U2622">IF($D2622="","",IFERROR(_xlfn.XLOOKUP($D2622,'TIR店舗一覧'!$D:$D,'TIR店舗一覧'!$E:$E,""),""))</f>
        <v/>
      </c>
      <c r="V2622" s="54" t="s">
        <v>2</v>
      </c>
      <c r="W2622" s="54" t="s">
        <v>2</v>
      </c>
      <c r="X2622" s="54" t="s">
        <v>2</v>
      </c>
      <c r="Y2622" s="54" t="s">
        <v>2</v>
      </c>
      <c r="Z2622" s="54" t="s">
        <v>2</v>
      </c>
      <c r="AA2622" s="54" t="s">
        <v>2</v>
      </c>
      <c r="AB2622" s="54" t="s">
        <v>2</v>
      </c>
      <c r="AC2622" s="54" t="s">
        <v>2</v>
      </c>
      <c r="AD2622" s="54" t="s">
        <v>2</v>
      </c>
      <c r="AE2622" s="54" t="s">
        <v>2</v>
      </c>
      <c r="AF2622" s="54" t="s">
        <v>2</v>
      </c>
      <c r="AG2622" s="54" t="s">
        <v>2</v>
      </c>
    </row>
    <row r="2623" ht="15.75" customHeight="1">
      <c r="B2623" s="56"/>
      <c r="U2623" s="46" t="str">
        <f t="array" ref="U2623">IF($D2623="","",IFERROR(_xlfn.XLOOKUP($D2623,'TIR店舗一覧'!$D:$D,'TIR店舗一覧'!$E:$E,""),""))</f>
        <v/>
      </c>
      <c r="V2623" s="54" t="s">
        <v>2</v>
      </c>
      <c r="W2623" s="54" t="s">
        <v>2</v>
      </c>
      <c r="X2623" s="54" t="s">
        <v>2</v>
      </c>
      <c r="Y2623" s="54" t="s">
        <v>2</v>
      </c>
      <c r="Z2623" s="54" t="s">
        <v>2</v>
      </c>
      <c r="AA2623" s="54" t="s">
        <v>2</v>
      </c>
      <c r="AB2623" s="54" t="s">
        <v>2</v>
      </c>
      <c r="AC2623" s="54" t="s">
        <v>2</v>
      </c>
      <c r="AD2623" s="54" t="s">
        <v>2</v>
      </c>
      <c r="AE2623" s="54" t="s">
        <v>2</v>
      </c>
      <c r="AF2623" s="54" t="s">
        <v>2</v>
      </c>
      <c r="AG2623" s="54" t="s">
        <v>2</v>
      </c>
    </row>
    <row r="2624" ht="15.75" customHeight="1">
      <c r="B2624" s="56"/>
      <c r="U2624" s="46" t="str">
        <f t="array" ref="U2624">IF($D2624="","",IFERROR(_xlfn.XLOOKUP($D2624,'TIR店舗一覧'!$D:$D,'TIR店舗一覧'!$E:$E,""),""))</f>
        <v/>
      </c>
      <c r="V2624" s="54" t="s">
        <v>2</v>
      </c>
      <c r="W2624" s="54" t="s">
        <v>2</v>
      </c>
      <c r="X2624" s="54" t="s">
        <v>2</v>
      </c>
      <c r="Y2624" s="54" t="s">
        <v>2</v>
      </c>
      <c r="Z2624" s="54" t="s">
        <v>2</v>
      </c>
      <c r="AA2624" s="54" t="s">
        <v>2</v>
      </c>
      <c r="AB2624" s="54" t="s">
        <v>2</v>
      </c>
      <c r="AC2624" s="54" t="s">
        <v>2</v>
      </c>
      <c r="AD2624" s="54" t="s">
        <v>2</v>
      </c>
      <c r="AE2624" s="54" t="s">
        <v>2</v>
      </c>
      <c r="AF2624" s="54" t="s">
        <v>2</v>
      </c>
      <c r="AG2624" s="54" t="s">
        <v>2</v>
      </c>
    </row>
    <row r="2625" ht="15.75" customHeight="1">
      <c r="B2625" s="56"/>
      <c r="U2625" s="46" t="str">
        <f t="array" ref="U2625">IF($D2625="","",IFERROR(_xlfn.XLOOKUP($D2625,'TIR店舗一覧'!$D:$D,'TIR店舗一覧'!$E:$E,""),""))</f>
        <v/>
      </c>
      <c r="V2625" s="54" t="s">
        <v>2</v>
      </c>
      <c r="W2625" s="54" t="s">
        <v>2</v>
      </c>
      <c r="X2625" s="54" t="s">
        <v>2</v>
      </c>
      <c r="Y2625" s="54" t="s">
        <v>2</v>
      </c>
      <c r="Z2625" s="54" t="s">
        <v>2</v>
      </c>
      <c r="AA2625" s="54" t="s">
        <v>2</v>
      </c>
      <c r="AB2625" s="54" t="s">
        <v>2</v>
      </c>
      <c r="AC2625" s="54" t="s">
        <v>2</v>
      </c>
      <c r="AD2625" s="54" t="s">
        <v>2</v>
      </c>
      <c r="AE2625" s="54" t="s">
        <v>2</v>
      </c>
      <c r="AF2625" s="54" t="s">
        <v>2</v>
      </c>
      <c r="AG2625" s="54" t="s">
        <v>2</v>
      </c>
    </row>
    <row r="2626" ht="15.75" customHeight="1">
      <c r="B2626" s="56"/>
      <c r="U2626" s="46" t="str">
        <f t="array" ref="U2626">IF($D2626="","",IFERROR(_xlfn.XLOOKUP($D2626,'TIR店舗一覧'!$D:$D,'TIR店舗一覧'!$E:$E,""),""))</f>
        <v/>
      </c>
      <c r="V2626" s="54" t="s">
        <v>2</v>
      </c>
      <c r="W2626" s="54" t="s">
        <v>2</v>
      </c>
      <c r="X2626" s="54" t="s">
        <v>2</v>
      </c>
      <c r="Y2626" s="54" t="s">
        <v>2</v>
      </c>
      <c r="Z2626" s="54" t="s">
        <v>2</v>
      </c>
      <c r="AA2626" s="54" t="s">
        <v>2</v>
      </c>
      <c r="AB2626" s="54" t="s">
        <v>2</v>
      </c>
      <c r="AC2626" s="54" t="s">
        <v>2</v>
      </c>
      <c r="AD2626" s="54" t="s">
        <v>2</v>
      </c>
      <c r="AE2626" s="54" t="s">
        <v>2</v>
      </c>
      <c r="AF2626" s="54" t="s">
        <v>2</v>
      </c>
      <c r="AG2626" s="54" t="s">
        <v>2</v>
      </c>
    </row>
    <row r="2627" ht="15.75" customHeight="1">
      <c r="B2627" s="56"/>
      <c r="U2627" s="46" t="str">
        <f t="array" ref="U2627">IF($D2627="","",IFERROR(_xlfn.XLOOKUP($D2627,'TIR店舗一覧'!$D:$D,'TIR店舗一覧'!$E:$E,""),""))</f>
        <v/>
      </c>
      <c r="V2627" s="54" t="s">
        <v>2</v>
      </c>
      <c r="W2627" s="54" t="s">
        <v>2</v>
      </c>
      <c r="X2627" s="54" t="s">
        <v>2</v>
      </c>
      <c r="Y2627" s="54" t="s">
        <v>2</v>
      </c>
      <c r="Z2627" s="54" t="s">
        <v>2</v>
      </c>
      <c r="AA2627" s="54" t="s">
        <v>2</v>
      </c>
      <c r="AB2627" s="54" t="s">
        <v>2</v>
      </c>
      <c r="AC2627" s="54" t="s">
        <v>2</v>
      </c>
      <c r="AD2627" s="54" t="s">
        <v>2</v>
      </c>
      <c r="AE2627" s="54" t="s">
        <v>2</v>
      </c>
      <c r="AF2627" s="54" t="s">
        <v>2</v>
      </c>
      <c r="AG2627" s="54" t="s">
        <v>2</v>
      </c>
    </row>
    <row r="2628" ht="15.75" customHeight="1">
      <c r="B2628" s="56"/>
      <c r="U2628" s="46" t="str">
        <f t="array" ref="U2628">IF($D2628="","",IFERROR(_xlfn.XLOOKUP($D2628,'TIR店舗一覧'!$D:$D,'TIR店舗一覧'!$E:$E,""),""))</f>
        <v/>
      </c>
      <c r="V2628" s="54" t="s">
        <v>2</v>
      </c>
      <c r="W2628" s="54" t="s">
        <v>2</v>
      </c>
      <c r="X2628" s="54" t="s">
        <v>2</v>
      </c>
      <c r="Y2628" s="54" t="s">
        <v>2</v>
      </c>
      <c r="Z2628" s="54" t="s">
        <v>2</v>
      </c>
      <c r="AA2628" s="54" t="s">
        <v>2</v>
      </c>
      <c r="AB2628" s="54" t="s">
        <v>2</v>
      </c>
      <c r="AC2628" s="54" t="s">
        <v>2</v>
      </c>
      <c r="AD2628" s="54" t="s">
        <v>2</v>
      </c>
      <c r="AE2628" s="54" t="s">
        <v>2</v>
      </c>
      <c r="AF2628" s="54" t="s">
        <v>2</v>
      </c>
      <c r="AG2628" s="54" t="s">
        <v>2</v>
      </c>
    </row>
    <row r="2629" ht="15.75" customHeight="1">
      <c r="B2629" s="56"/>
      <c r="U2629" s="46" t="str">
        <f t="array" ref="U2629">IF($D2629="","",IFERROR(_xlfn.XLOOKUP($D2629,'TIR店舗一覧'!$D:$D,'TIR店舗一覧'!$E:$E,""),""))</f>
        <v/>
      </c>
      <c r="V2629" s="54" t="s">
        <v>2</v>
      </c>
      <c r="W2629" s="54" t="s">
        <v>2</v>
      </c>
      <c r="X2629" s="54" t="s">
        <v>2</v>
      </c>
      <c r="Y2629" s="54" t="s">
        <v>2</v>
      </c>
      <c r="Z2629" s="54" t="s">
        <v>2</v>
      </c>
      <c r="AA2629" s="54" t="s">
        <v>2</v>
      </c>
      <c r="AB2629" s="54" t="s">
        <v>2</v>
      </c>
      <c r="AC2629" s="54" t="s">
        <v>2</v>
      </c>
      <c r="AD2629" s="54" t="s">
        <v>2</v>
      </c>
      <c r="AE2629" s="54" t="s">
        <v>2</v>
      </c>
      <c r="AF2629" s="54" t="s">
        <v>2</v>
      </c>
      <c r="AG2629" s="54" t="s">
        <v>2</v>
      </c>
    </row>
    <row r="2630" ht="15.75" customHeight="1">
      <c r="B2630" s="56"/>
      <c r="U2630" s="46" t="str">
        <f t="array" ref="U2630">IF($D2630="","",IFERROR(_xlfn.XLOOKUP($D2630,'TIR店舗一覧'!$D:$D,'TIR店舗一覧'!$E:$E,""),""))</f>
        <v/>
      </c>
      <c r="V2630" s="54" t="s">
        <v>2</v>
      </c>
      <c r="W2630" s="54" t="s">
        <v>2</v>
      </c>
      <c r="X2630" s="54" t="s">
        <v>2</v>
      </c>
      <c r="Y2630" s="54" t="s">
        <v>2</v>
      </c>
      <c r="Z2630" s="54" t="s">
        <v>2</v>
      </c>
      <c r="AA2630" s="54" t="s">
        <v>2</v>
      </c>
      <c r="AB2630" s="54" t="s">
        <v>2</v>
      </c>
      <c r="AC2630" s="54" t="s">
        <v>2</v>
      </c>
      <c r="AD2630" s="54" t="s">
        <v>2</v>
      </c>
      <c r="AE2630" s="54" t="s">
        <v>2</v>
      </c>
      <c r="AF2630" s="54" t="s">
        <v>2</v>
      </c>
      <c r="AG2630" s="54" t="s">
        <v>2</v>
      </c>
    </row>
    <row r="2631" ht="15.75" customHeight="1">
      <c r="B2631" s="56"/>
      <c r="U2631" s="46" t="str">
        <f t="array" ref="U2631">IF($D2631="","",IFERROR(_xlfn.XLOOKUP($D2631,'TIR店舗一覧'!$D:$D,'TIR店舗一覧'!$E:$E,""),""))</f>
        <v/>
      </c>
      <c r="V2631" s="54" t="s">
        <v>2</v>
      </c>
      <c r="W2631" s="54" t="s">
        <v>2</v>
      </c>
      <c r="X2631" s="54" t="s">
        <v>2</v>
      </c>
      <c r="Y2631" s="54" t="s">
        <v>2</v>
      </c>
      <c r="Z2631" s="54" t="s">
        <v>2</v>
      </c>
      <c r="AA2631" s="54" t="s">
        <v>2</v>
      </c>
      <c r="AB2631" s="54" t="s">
        <v>2</v>
      </c>
      <c r="AC2631" s="54" t="s">
        <v>2</v>
      </c>
      <c r="AD2631" s="54" t="s">
        <v>2</v>
      </c>
      <c r="AE2631" s="54" t="s">
        <v>2</v>
      </c>
      <c r="AF2631" s="54" t="s">
        <v>2</v>
      </c>
      <c r="AG2631" s="54" t="s">
        <v>2</v>
      </c>
    </row>
    <row r="2632" ht="15.75" customHeight="1">
      <c r="B2632" s="56"/>
      <c r="U2632" s="46" t="str">
        <f t="array" ref="U2632">IF($D2632="","",IFERROR(_xlfn.XLOOKUP($D2632,'TIR店舗一覧'!$D:$D,'TIR店舗一覧'!$E:$E,""),""))</f>
        <v/>
      </c>
      <c r="V2632" s="54" t="s">
        <v>2</v>
      </c>
      <c r="W2632" s="54" t="s">
        <v>2</v>
      </c>
      <c r="X2632" s="54" t="s">
        <v>2</v>
      </c>
      <c r="Y2632" s="54" t="s">
        <v>2</v>
      </c>
      <c r="Z2632" s="54" t="s">
        <v>2</v>
      </c>
      <c r="AA2632" s="54" t="s">
        <v>2</v>
      </c>
      <c r="AB2632" s="54" t="s">
        <v>2</v>
      </c>
      <c r="AC2632" s="54" t="s">
        <v>2</v>
      </c>
      <c r="AD2632" s="54" t="s">
        <v>2</v>
      </c>
      <c r="AE2632" s="54" t="s">
        <v>2</v>
      </c>
      <c r="AF2632" s="54" t="s">
        <v>2</v>
      </c>
      <c r="AG2632" s="54" t="s">
        <v>2</v>
      </c>
    </row>
    <row r="2633" ht="15.75" customHeight="1">
      <c r="B2633" s="56"/>
      <c r="U2633" s="46" t="str">
        <f t="array" ref="U2633">IF($D2633="","",IFERROR(_xlfn.XLOOKUP($D2633,'TIR店舗一覧'!$D:$D,'TIR店舗一覧'!$E:$E,""),""))</f>
        <v/>
      </c>
      <c r="V2633" s="54" t="s">
        <v>2</v>
      </c>
      <c r="W2633" s="54" t="s">
        <v>2</v>
      </c>
      <c r="X2633" s="54" t="s">
        <v>2</v>
      </c>
      <c r="Y2633" s="54" t="s">
        <v>2</v>
      </c>
      <c r="Z2633" s="54" t="s">
        <v>2</v>
      </c>
      <c r="AA2633" s="54" t="s">
        <v>2</v>
      </c>
      <c r="AB2633" s="54" t="s">
        <v>2</v>
      </c>
      <c r="AC2633" s="54" t="s">
        <v>2</v>
      </c>
      <c r="AD2633" s="54" t="s">
        <v>2</v>
      </c>
      <c r="AE2633" s="54" t="s">
        <v>2</v>
      </c>
      <c r="AF2633" s="54" t="s">
        <v>2</v>
      </c>
      <c r="AG2633" s="54" t="s">
        <v>2</v>
      </c>
    </row>
    <row r="2634" ht="15.75" customHeight="1">
      <c r="B2634" s="56"/>
      <c r="U2634" s="46" t="str">
        <f t="array" ref="U2634">IF($D2634="","",IFERROR(_xlfn.XLOOKUP($D2634,'TIR店舗一覧'!$D:$D,'TIR店舗一覧'!$E:$E,""),""))</f>
        <v/>
      </c>
      <c r="V2634" s="54" t="s">
        <v>2</v>
      </c>
      <c r="W2634" s="54" t="s">
        <v>2</v>
      </c>
      <c r="X2634" s="54" t="s">
        <v>2</v>
      </c>
      <c r="Y2634" s="54" t="s">
        <v>2</v>
      </c>
      <c r="Z2634" s="54" t="s">
        <v>2</v>
      </c>
      <c r="AA2634" s="54" t="s">
        <v>2</v>
      </c>
      <c r="AB2634" s="54" t="s">
        <v>2</v>
      </c>
      <c r="AC2634" s="54" t="s">
        <v>2</v>
      </c>
      <c r="AD2634" s="54" t="s">
        <v>2</v>
      </c>
      <c r="AE2634" s="54" t="s">
        <v>2</v>
      </c>
      <c r="AF2634" s="54" t="s">
        <v>2</v>
      </c>
      <c r="AG2634" s="54" t="s">
        <v>2</v>
      </c>
    </row>
    <row r="2635" ht="15.75" customHeight="1">
      <c r="B2635" s="56"/>
      <c r="U2635" s="46" t="str">
        <f t="array" ref="U2635">IF($D2635="","",IFERROR(_xlfn.XLOOKUP($D2635,'TIR店舗一覧'!$D:$D,'TIR店舗一覧'!$E:$E,""),""))</f>
        <v/>
      </c>
      <c r="V2635" s="54" t="s">
        <v>2</v>
      </c>
      <c r="W2635" s="54" t="s">
        <v>2</v>
      </c>
      <c r="X2635" s="54" t="s">
        <v>2</v>
      </c>
      <c r="Y2635" s="54" t="s">
        <v>2</v>
      </c>
      <c r="Z2635" s="54" t="s">
        <v>2</v>
      </c>
      <c r="AA2635" s="54" t="s">
        <v>2</v>
      </c>
      <c r="AB2635" s="54" t="s">
        <v>2</v>
      </c>
      <c r="AC2635" s="54" t="s">
        <v>2</v>
      </c>
      <c r="AD2635" s="54" t="s">
        <v>2</v>
      </c>
      <c r="AE2635" s="54" t="s">
        <v>2</v>
      </c>
      <c r="AF2635" s="54" t="s">
        <v>2</v>
      </c>
      <c r="AG2635" s="54" t="s">
        <v>2</v>
      </c>
    </row>
    <row r="2636" ht="15.75" customHeight="1">
      <c r="B2636" s="56"/>
      <c r="U2636" s="46" t="str">
        <f t="array" ref="U2636">IF($D2636="","",IFERROR(_xlfn.XLOOKUP($D2636,'TIR店舗一覧'!$D:$D,'TIR店舗一覧'!$E:$E,""),""))</f>
        <v/>
      </c>
      <c r="V2636" s="54" t="s">
        <v>2</v>
      </c>
      <c r="W2636" s="54" t="s">
        <v>2</v>
      </c>
      <c r="X2636" s="54" t="s">
        <v>2</v>
      </c>
      <c r="Y2636" s="54" t="s">
        <v>2</v>
      </c>
      <c r="Z2636" s="54" t="s">
        <v>2</v>
      </c>
      <c r="AA2636" s="54" t="s">
        <v>2</v>
      </c>
      <c r="AB2636" s="54" t="s">
        <v>2</v>
      </c>
      <c r="AC2636" s="54" t="s">
        <v>2</v>
      </c>
      <c r="AD2636" s="54" t="s">
        <v>2</v>
      </c>
      <c r="AE2636" s="54" t="s">
        <v>2</v>
      </c>
      <c r="AF2636" s="54" t="s">
        <v>2</v>
      </c>
      <c r="AG2636" s="54" t="s">
        <v>2</v>
      </c>
    </row>
    <row r="2637" ht="15.75" customHeight="1">
      <c r="B2637" s="56"/>
      <c r="U2637" s="46" t="str">
        <f t="array" ref="U2637">IF($D2637="","",IFERROR(_xlfn.XLOOKUP($D2637,'TIR店舗一覧'!$D:$D,'TIR店舗一覧'!$E:$E,""),""))</f>
        <v/>
      </c>
      <c r="V2637" s="54" t="s">
        <v>2</v>
      </c>
      <c r="W2637" s="54" t="s">
        <v>2</v>
      </c>
      <c r="X2637" s="54" t="s">
        <v>2</v>
      </c>
      <c r="Y2637" s="54" t="s">
        <v>2</v>
      </c>
      <c r="Z2637" s="54" t="s">
        <v>2</v>
      </c>
      <c r="AA2637" s="54" t="s">
        <v>2</v>
      </c>
      <c r="AB2637" s="54" t="s">
        <v>2</v>
      </c>
      <c r="AC2637" s="54" t="s">
        <v>2</v>
      </c>
      <c r="AD2637" s="54" t="s">
        <v>2</v>
      </c>
      <c r="AE2637" s="54" t="s">
        <v>2</v>
      </c>
      <c r="AF2637" s="54" t="s">
        <v>2</v>
      </c>
      <c r="AG2637" s="54" t="s">
        <v>2</v>
      </c>
    </row>
    <row r="2638" ht="15.75" customHeight="1">
      <c r="B2638" s="56"/>
      <c r="U2638" s="46" t="str">
        <f t="array" ref="U2638">IF($D2638="","",IFERROR(_xlfn.XLOOKUP($D2638,'TIR店舗一覧'!$D:$D,'TIR店舗一覧'!$E:$E,""),""))</f>
        <v/>
      </c>
      <c r="V2638" s="54" t="s">
        <v>2</v>
      </c>
      <c r="W2638" s="54" t="s">
        <v>2</v>
      </c>
      <c r="X2638" s="54" t="s">
        <v>2</v>
      </c>
      <c r="Y2638" s="54" t="s">
        <v>2</v>
      </c>
      <c r="Z2638" s="54" t="s">
        <v>2</v>
      </c>
      <c r="AA2638" s="54" t="s">
        <v>2</v>
      </c>
      <c r="AB2638" s="54" t="s">
        <v>2</v>
      </c>
      <c r="AC2638" s="54" t="s">
        <v>2</v>
      </c>
      <c r="AD2638" s="54" t="s">
        <v>2</v>
      </c>
      <c r="AE2638" s="54" t="s">
        <v>2</v>
      </c>
      <c r="AF2638" s="54" t="s">
        <v>2</v>
      </c>
      <c r="AG2638" s="54" t="s">
        <v>2</v>
      </c>
    </row>
    <row r="2639" ht="15.75" customHeight="1">
      <c r="B2639" s="56"/>
      <c r="U2639" s="46" t="str">
        <f t="array" ref="U2639">IF($D2639="","",IFERROR(_xlfn.XLOOKUP($D2639,'TIR店舗一覧'!$D:$D,'TIR店舗一覧'!$E:$E,""),""))</f>
        <v/>
      </c>
      <c r="V2639" s="54" t="s">
        <v>2</v>
      </c>
      <c r="W2639" s="54" t="s">
        <v>2</v>
      </c>
      <c r="X2639" s="54" t="s">
        <v>2</v>
      </c>
      <c r="Y2639" s="54" t="s">
        <v>2</v>
      </c>
      <c r="Z2639" s="54" t="s">
        <v>2</v>
      </c>
      <c r="AA2639" s="54" t="s">
        <v>2</v>
      </c>
      <c r="AB2639" s="54" t="s">
        <v>2</v>
      </c>
      <c r="AC2639" s="54" t="s">
        <v>2</v>
      </c>
      <c r="AD2639" s="54" t="s">
        <v>2</v>
      </c>
      <c r="AE2639" s="54" t="s">
        <v>2</v>
      </c>
      <c r="AF2639" s="54" t="s">
        <v>2</v>
      </c>
      <c r="AG2639" s="54" t="s">
        <v>2</v>
      </c>
    </row>
    <row r="2640" ht="15.75" customHeight="1">
      <c r="B2640" s="56"/>
      <c r="U2640" s="46" t="str">
        <f t="array" ref="U2640">IF($D2640="","",IFERROR(_xlfn.XLOOKUP($D2640,'TIR店舗一覧'!$D:$D,'TIR店舗一覧'!$E:$E,""),""))</f>
        <v/>
      </c>
      <c r="V2640" s="54" t="s">
        <v>2</v>
      </c>
      <c r="W2640" s="54" t="s">
        <v>2</v>
      </c>
      <c r="X2640" s="54" t="s">
        <v>2</v>
      </c>
      <c r="Y2640" s="54" t="s">
        <v>2</v>
      </c>
      <c r="Z2640" s="54" t="s">
        <v>2</v>
      </c>
      <c r="AA2640" s="54" t="s">
        <v>2</v>
      </c>
      <c r="AB2640" s="54" t="s">
        <v>2</v>
      </c>
      <c r="AC2640" s="54" t="s">
        <v>2</v>
      </c>
      <c r="AD2640" s="54" t="s">
        <v>2</v>
      </c>
      <c r="AE2640" s="54" t="s">
        <v>2</v>
      </c>
      <c r="AF2640" s="54" t="s">
        <v>2</v>
      </c>
      <c r="AG2640" s="54" t="s">
        <v>2</v>
      </c>
    </row>
    <row r="2641" ht="15.75" customHeight="1">
      <c r="B2641" s="56"/>
      <c r="U2641" s="46" t="str">
        <f t="array" ref="U2641">IF($D2641="","",IFERROR(_xlfn.XLOOKUP($D2641,'TIR店舗一覧'!$D:$D,'TIR店舗一覧'!$E:$E,""),""))</f>
        <v/>
      </c>
      <c r="V2641" s="54" t="s">
        <v>2</v>
      </c>
      <c r="W2641" s="54" t="s">
        <v>2</v>
      </c>
      <c r="X2641" s="54" t="s">
        <v>2</v>
      </c>
      <c r="Y2641" s="54" t="s">
        <v>2</v>
      </c>
      <c r="Z2641" s="54" t="s">
        <v>2</v>
      </c>
      <c r="AA2641" s="54" t="s">
        <v>2</v>
      </c>
      <c r="AB2641" s="54" t="s">
        <v>2</v>
      </c>
      <c r="AC2641" s="54" t="s">
        <v>2</v>
      </c>
      <c r="AD2641" s="54" t="s">
        <v>2</v>
      </c>
      <c r="AE2641" s="54" t="s">
        <v>2</v>
      </c>
      <c r="AF2641" s="54" t="s">
        <v>2</v>
      </c>
      <c r="AG2641" s="54" t="s">
        <v>2</v>
      </c>
    </row>
    <row r="2642" ht="15.75" customHeight="1">
      <c r="B2642" s="56"/>
      <c r="U2642" s="46" t="str">
        <f t="array" ref="U2642">IF($D2642="","",IFERROR(_xlfn.XLOOKUP($D2642,'TIR店舗一覧'!$D:$D,'TIR店舗一覧'!$E:$E,""),""))</f>
        <v/>
      </c>
      <c r="V2642" s="54" t="s">
        <v>2</v>
      </c>
      <c r="W2642" s="54" t="s">
        <v>2</v>
      </c>
      <c r="X2642" s="54" t="s">
        <v>2</v>
      </c>
      <c r="Y2642" s="54" t="s">
        <v>2</v>
      </c>
      <c r="Z2642" s="54" t="s">
        <v>2</v>
      </c>
      <c r="AA2642" s="54" t="s">
        <v>2</v>
      </c>
      <c r="AB2642" s="54" t="s">
        <v>2</v>
      </c>
      <c r="AC2642" s="54" t="s">
        <v>2</v>
      </c>
      <c r="AD2642" s="54" t="s">
        <v>2</v>
      </c>
      <c r="AE2642" s="54" t="s">
        <v>2</v>
      </c>
      <c r="AF2642" s="54" t="s">
        <v>2</v>
      </c>
      <c r="AG2642" s="54" t="s">
        <v>2</v>
      </c>
    </row>
    <row r="2643" ht="15.75" customHeight="1">
      <c r="B2643" s="56"/>
      <c r="U2643" s="46" t="str">
        <f t="array" ref="U2643">IF($D2643="","",IFERROR(_xlfn.XLOOKUP($D2643,'TIR店舗一覧'!$D:$D,'TIR店舗一覧'!$E:$E,""),""))</f>
        <v/>
      </c>
      <c r="V2643" s="54" t="s">
        <v>2</v>
      </c>
      <c r="W2643" s="54" t="s">
        <v>2</v>
      </c>
      <c r="X2643" s="54" t="s">
        <v>2</v>
      </c>
      <c r="Y2643" s="54" t="s">
        <v>2</v>
      </c>
      <c r="Z2643" s="54" t="s">
        <v>2</v>
      </c>
      <c r="AA2643" s="54" t="s">
        <v>2</v>
      </c>
      <c r="AB2643" s="54" t="s">
        <v>2</v>
      </c>
      <c r="AC2643" s="54" t="s">
        <v>2</v>
      </c>
      <c r="AD2643" s="54" t="s">
        <v>2</v>
      </c>
      <c r="AE2643" s="54" t="s">
        <v>2</v>
      </c>
      <c r="AF2643" s="54" t="s">
        <v>2</v>
      </c>
      <c r="AG2643" s="54" t="s">
        <v>2</v>
      </c>
    </row>
    <row r="2644" ht="15.75" customHeight="1">
      <c r="B2644" s="56"/>
      <c r="U2644" s="46" t="str">
        <f t="array" ref="U2644">IF($D2644="","",IFERROR(_xlfn.XLOOKUP($D2644,'TIR店舗一覧'!$D:$D,'TIR店舗一覧'!$E:$E,""),""))</f>
        <v/>
      </c>
      <c r="V2644" s="54" t="s">
        <v>2</v>
      </c>
      <c r="W2644" s="54" t="s">
        <v>2</v>
      </c>
      <c r="X2644" s="54" t="s">
        <v>2</v>
      </c>
      <c r="Y2644" s="54" t="s">
        <v>2</v>
      </c>
      <c r="Z2644" s="54" t="s">
        <v>2</v>
      </c>
      <c r="AA2644" s="54" t="s">
        <v>2</v>
      </c>
      <c r="AB2644" s="54" t="s">
        <v>2</v>
      </c>
      <c r="AC2644" s="54" t="s">
        <v>2</v>
      </c>
      <c r="AD2644" s="54" t="s">
        <v>2</v>
      </c>
      <c r="AE2644" s="54" t="s">
        <v>2</v>
      </c>
      <c r="AF2644" s="54" t="s">
        <v>2</v>
      </c>
      <c r="AG2644" s="54" t="s">
        <v>2</v>
      </c>
    </row>
    <row r="2645" ht="15.75" customHeight="1">
      <c r="B2645" s="56"/>
      <c r="U2645" s="46" t="str">
        <f t="array" ref="U2645">IF($D2645="","",IFERROR(_xlfn.XLOOKUP($D2645,'TIR店舗一覧'!$D:$D,'TIR店舗一覧'!$E:$E,""),""))</f>
        <v/>
      </c>
      <c r="V2645" s="54" t="s">
        <v>2</v>
      </c>
      <c r="W2645" s="54" t="s">
        <v>2</v>
      </c>
      <c r="X2645" s="54" t="s">
        <v>2</v>
      </c>
      <c r="Y2645" s="54" t="s">
        <v>2</v>
      </c>
      <c r="Z2645" s="54" t="s">
        <v>2</v>
      </c>
      <c r="AA2645" s="54" t="s">
        <v>2</v>
      </c>
      <c r="AB2645" s="54" t="s">
        <v>2</v>
      </c>
      <c r="AC2645" s="54" t="s">
        <v>2</v>
      </c>
      <c r="AD2645" s="54" t="s">
        <v>2</v>
      </c>
      <c r="AE2645" s="54" t="s">
        <v>2</v>
      </c>
      <c r="AF2645" s="54" t="s">
        <v>2</v>
      </c>
      <c r="AG2645" s="54" t="s">
        <v>2</v>
      </c>
    </row>
    <row r="2646" ht="15.75" customHeight="1">
      <c r="B2646" s="56"/>
      <c r="U2646" s="46" t="str">
        <f t="array" ref="U2646">IF($D2646="","",IFERROR(_xlfn.XLOOKUP($D2646,'TIR店舗一覧'!$D:$D,'TIR店舗一覧'!$E:$E,""),""))</f>
        <v/>
      </c>
      <c r="V2646" s="54" t="s">
        <v>2</v>
      </c>
      <c r="W2646" s="54" t="s">
        <v>2</v>
      </c>
      <c r="X2646" s="54" t="s">
        <v>2</v>
      </c>
      <c r="Y2646" s="54" t="s">
        <v>2</v>
      </c>
      <c r="Z2646" s="54" t="s">
        <v>2</v>
      </c>
      <c r="AA2646" s="54" t="s">
        <v>2</v>
      </c>
      <c r="AB2646" s="54" t="s">
        <v>2</v>
      </c>
      <c r="AC2646" s="54" t="s">
        <v>2</v>
      </c>
      <c r="AD2646" s="54" t="s">
        <v>2</v>
      </c>
      <c r="AE2646" s="54" t="s">
        <v>2</v>
      </c>
      <c r="AF2646" s="54" t="s">
        <v>2</v>
      </c>
      <c r="AG2646" s="54" t="s">
        <v>2</v>
      </c>
    </row>
    <row r="2647" ht="15.75" customHeight="1">
      <c r="B2647" s="56"/>
      <c r="U2647" s="46" t="str">
        <f t="array" ref="U2647">IF($D2647="","",IFERROR(_xlfn.XLOOKUP($D2647,'TIR店舗一覧'!$D:$D,'TIR店舗一覧'!$E:$E,""),""))</f>
        <v/>
      </c>
      <c r="V2647" s="54" t="s">
        <v>2</v>
      </c>
      <c r="W2647" s="54" t="s">
        <v>2</v>
      </c>
      <c r="X2647" s="54" t="s">
        <v>2</v>
      </c>
      <c r="Y2647" s="54" t="s">
        <v>2</v>
      </c>
      <c r="Z2647" s="54" t="s">
        <v>2</v>
      </c>
      <c r="AA2647" s="54" t="s">
        <v>2</v>
      </c>
      <c r="AB2647" s="54" t="s">
        <v>2</v>
      </c>
      <c r="AC2647" s="54" t="s">
        <v>2</v>
      </c>
      <c r="AD2647" s="54" t="s">
        <v>2</v>
      </c>
      <c r="AE2647" s="54" t="s">
        <v>2</v>
      </c>
      <c r="AF2647" s="54" t="s">
        <v>2</v>
      </c>
      <c r="AG2647" s="54" t="s">
        <v>2</v>
      </c>
    </row>
    <row r="2648" ht="15.75" customHeight="1">
      <c r="B2648" s="56"/>
      <c r="U2648" s="46" t="str">
        <f t="array" ref="U2648">IF($D2648="","",IFERROR(_xlfn.XLOOKUP($D2648,'TIR店舗一覧'!$D:$D,'TIR店舗一覧'!$E:$E,""),""))</f>
        <v/>
      </c>
      <c r="V2648" s="54" t="s">
        <v>2</v>
      </c>
      <c r="W2648" s="54" t="s">
        <v>2</v>
      </c>
      <c r="X2648" s="54" t="s">
        <v>2</v>
      </c>
      <c r="Y2648" s="54" t="s">
        <v>2</v>
      </c>
      <c r="Z2648" s="54" t="s">
        <v>2</v>
      </c>
      <c r="AA2648" s="54" t="s">
        <v>2</v>
      </c>
      <c r="AB2648" s="54" t="s">
        <v>2</v>
      </c>
      <c r="AC2648" s="54" t="s">
        <v>2</v>
      </c>
      <c r="AD2648" s="54" t="s">
        <v>2</v>
      </c>
      <c r="AE2648" s="54" t="s">
        <v>2</v>
      </c>
      <c r="AF2648" s="54" t="s">
        <v>2</v>
      </c>
      <c r="AG2648" s="54" t="s">
        <v>2</v>
      </c>
    </row>
    <row r="2649" ht="15.75" customHeight="1">
      <c r="B2649" s="56"/>
      <c r="U2649" s="46" t="str">
        <f t="array" ref="U2649">IF($D2649="","",IFERROR(_xlfn.XLOOKUP($D2649,'TIR店舗一覧'!$D:$D,'TIR店舗一覧'!$E:$E,""),""))</f>
        <v/>
      </c>
      <c r="V2649" s="54" t="s">
        <v>2</v>
      </c>
      <c r="W2649" s="54" t="s">
        <v>2</v>
      </c>
      <c r="X2649" s="54" t="s">
        <v>2</v>
      </c>
      <c r="Y2649" s="54" t="s">
        <v>2</v>
      </c>
      <c r="Z2649" s="54" t="s">
        <v>2</v>
      </c>
      <c r="AA2649" s="54" t="s">
        <v>2</v>
      </c>
      <c r="AB2649" s="54" t="s">
        <v>2</v>
      </c>
      <c r="AC2649" s="54" t="s">
        <v>2</v>
      </c>
      <c r="AD2649" s="54" t="s">
        <v>2</v>
      </c>
      <c r="AE2649" s="54" t="s">
        <v>2</v>
      </c>
      <c r="AF2649" s="54" t="s">
        <v>2</v>
      </c>
      <c r="AG2649" s="54" t="s">
        <v>2</v>
      </c>
    </row>
    <row r="2650" ht="15.75" customHeight="1">
      <c r="B2650" s="56"/>
      <c r="U2650" s="46" t="str">
        <f t="array" ref="U2650">IF($D2650="","",IFERROR(_xlfn.XLOOKUP($D2650,'TIR店舗一覧'!$D:$D,'TIR店舗一覧'!$E:$E,""),""))</f>
        <v/>
      </c>
      <c r="V2650" s="54" t="s">
        <v>2</v>
      </c>
      <c r="W2650" s="54" t="s">
        <v>2</v>
      </c>
      <c r="X2650" s="54" t="s">
        <v>2</v>
      </c>
      <c r="Y2650" s="54" t="s">
        <v>2</v>
      </c>
      <c r="Z2650" s="54" t="s">
        <v>2</v>
      </c>
      <c r="AA2650" s="54" t="s">
        <v>2</v>
      </c>
      <c r="AB2650" s="54" t="s">
        <v>2</v>
      </c>
      <c r="AC2650" s="54" t="s">
        <v>2</v>
      </c>
      <c r="AD2650" s="54" t="s">
        <v>2</v>
      </c>
      <c r="AE2650" s="54" t="s">
        <v>2</v>
      </c>
      <c r="AF2650" s="54" t="s">
        <v>2</v>
      </c>
      <c r="AG2650" s="54" t="s">
        <v>2</v>
      </c>
    </row>
    <row r="2651" ht="15.75" customHeight="1">
      <c r="B2651" s="56"/>
      <c r="U2651" s="46" t="str">
        <f t="array" ref="U2651">IF($D2651="","",IFERROR(_xlfn.XLOOKUP($D2651,'TIR店舗一覧'!$D:$D,'TIR店舗一覧'!$E:$E,""),""))</f>
        <v/>
      </c>
      <c r="V2651" s="54" t="s">
        <v>2</v>
      </c>
      <c r="W2651" s="54" t="s">
        <v>2</v>
      </c>
      <c r="X2651" s="54" t="s">
        <v>2</v>
      </c>
      <c r="Y2651" s="54" t="s">
        <v>2</v>
      </c>
      <c r="Z2651" s="54" t="s">
        <v>2</v>
      </c>
      <c r="AA2651" s="54" t="s">
        <v>2</v>
      </c>
      <c r="AB2651" s="54" t="s">
        <v>2</v>
      </c>
      <c r="AC2651" s="54" t="s">
        <v>2</v>
      </c>
      <c r="AD2651" s="54" t="s">
        <v>2</v>
      </c>
      <c r="AE2651" s="54" t="s">
        <v>2</v>
      </c>
      <c r="AF2651" s="54" t="s">
        <v>2</v>
      </c>
      <c r="AG2651" s="54" t="s">
        <v>2</v>
      </c>
    </row>
    <row r="2652" ht="15.75" customHeight="1">
      <c r="B2652" s="56"/>
      <c r="U2652" s="46" t="str">
        <f t="array" ref="U2652">IF($D2652="","",IFERROR(_xlfn.XLOOKUP($D2652,'TIR店舗一覧'!$D:$D,'TIR店舗一覧'!$E:$E,""),""))</f>
        <v/>
      </c>
      <c r="V2652" s="54" t="s">
        <v>2</v>
      </c>
      <c r="W2652" s="54" t="s">
        <v>2</v>
      </c>
      <c r="X2652" s="54" t="s">
        <v>2</v>
      </c>
      <c r="Y2652" s="54" t="s">
        <v>2</v>
      </c>
      <c r="Z2652" s="54" t="s">
        <v>2</v>
      </c>
      <c r="AA2652" s="54" t="s">
        <v>2</v>
      </c>
      <c r="AB2652" s="54" t="s">
        <v>2</v>
      </c>
      <c r="AC2652" s="54" t="s">
        <v>2</v>
      </c>
      <c r="AD2652" s="54" t="s">
        <v>2</v>
      </c>
      <c r="AE2652" s="54" t="s">
        <v>2</v>
      </c>
      <c r="AF2652" s="54" t="s">
        <v>2</v>
      </c>
      <c r="AG2652" s="54" t="s">
        <v>2</v>
      </c>
    </row>
    <row r="2653" ht="15.75" customHeight="1">
      <c r="B2653" s="56"/>
      <c r="U2653" s="46" t="str">
        <f t="array" ref="U2653">IF($D2653="","",IFERROR(_xlfn.XLOOKUP($D2653,'TIR店舗一覧'!$D:$D,'TIR店舗一覧'!$E:$E,""),""))</f>
        <v/>
      </c>
      <c r="V2653" s="54" t="s">
        <v>2</v>
      </c>
      <c r="W2653" s="54" t="s">
        <v>2</v>
      </c>
      <c r="X2653" s="54" t="s">
        <v>2</v>
      </c>
      <c r="Y2653" s="54" t="s">
        <v>2</v>
      </c>
      <c r="Z2653" s="54" t="s">
        <v>2</v>
      </c>
      <c r="AA2653" s="54" t="s">
        <v>2</v>
      </c>
      <c r="AB2653" s="54" t="s">
        <v>2</v>
      </c>
      <c r="AC2653" s="54" t="s">
        <v>2</v>
      </c>
      <c r="AD2653" s="54" t="s">
        <v>2</v>
      </c>
      <c r="AE2653" s="54" t="s">
        <v>2</v>
      </c>
      <c r="AF2653" s="54" t="s">
        <v>2</v>
      </c>
      <c r="AG2653" s="54" t="s">
        <v>2</v>
      </c>
    </row>
    <row r="2654" ht="15.75" customHeight="1">
      <c r="B2654" s="56"/>
      <c r="U2654" s="46" t="str">
        <f t="array" ref="U2654">IF($D2654="","",IFERROR(_xlfn.XLOOKUP($D2654,'TIR店舗一覧'!$D:$D,'TIR店舗一覧'!$E:$E,""),""))</f>
        <v/>
      </c>
      <c r="V2654" s="54" t="s">
        <v>2</v>
      </c>
      <c r="W2654" s="54" t="s">
        <v>2</v>
      </c>
      <c r="X2654" s="54" t="s">
        <v>2</v>
      </c>
      <c r="Y2654" s="54" t="s">
        <v>2</v>
      </c>
      <c r="Z2654" s="54" t="s">
        <v>2</v>
      </c>
      <c r="AA2654" s="54" t="s">
        <v>2</v>
      </c>
      <c r="AB2654" s="54" t="s">
        <v>2</v>
      </c>
      <c r="AC2654" s="54" t="s">
        <v>2</v>
      </c>
      <c r="AD2654" s="54" t="s">
        <v>2</v>
      </c>
      <c r="AE2654" s="54" t="s">
        <v>2</v>
      </c>
      <c r="AF2654" s="54" t="s">
        <v>2</v>
      </c>
      <c r="AG2654" s="54" t="s">
        <v>2</v>
      </c>
    </row>
    <row r="2655" ht="15.75" customHeight="1">
      <c r="B2655" s="56"/>
      <c r="U2655" s="46" t="str">
        <f t="array" ref="U2655">IF($D2655="","",IFERROR(_xlfn.XLOOKUP($D2655,'TIR店舗一覧'!$D:$D,'TIR店舗一覧'!$E:$E,""),""))</f>
        <v/>
      </c>
      <c r="V2655" s="54" t="s">
        <v>2</v>
      </c>
      <c r="W2655" s="54" t="s">
        <v>2</v>
      </c>
      <c r="X2655" s="54" t="s">
        <v>2</v>
      </c>
      <c r="Y2655" s="54" t="s">
        <v>2</v>
      </c>
      <c r="Z2655" s="54" t="s">
        <v>2</v>
      </c>
      <c r="AA2655" s="54" t="s">
        <v>2</v>
      </c>
      <c r="AB2655" s="54" t="s">
        <v>2</v>
      </c>
      <c r="AC2655" s="54" t="s">
        <v>2</v>
      </c>
      <c r="AD2655" s="54" t="s">
        <v>2</v>
      </c>
      <c r="AE2655" s="54" t="s">
        <v>2</v>
      </c>
      <c r="AF2655" s="54" t="s">
        <v>2</v>
      </c>
      <c r="AG2655" s="54" t="s">
        <v>2</v>
      </c>
    </row>
    <row r="2656" ht="15.75" customHeight="1">
      <c r="B2656" s="56"/>
      <c r="U2656" s="46" t="str">
        <f t="array" ref="U2656">IF($D2656="","",IFERROR(_xlfn.XLOOKUP($D2656,'TIR店舗一覧'!$D:$D,'TIR店舗一覧'!$E:$E,""),""))</f>
        <v/>
      </c>
      <c r="V2656" s="54" t="s">
        <v>2</v>
      </c>
      <c r="W2656" s="54" t="s">
        <v>2</v>
      </c>
      <c r="X2656" s="54" t="s">
        <v>2</v>
      </c>
      <c r="Y2656" s="54" t="s">
        <v>2</v>
      </c>
      <c r="Z2656" s="54" t="s">
        <v>2</v>
      </c>
      <c r="AA2656" s="54" t="s">
        <v>2</v>
      </c>
      <c r="AB2656" s="54" t="s">
        <v>2</v>
      </c>
      <c r="AC2656" s="54" t="s">
        <v>2</v>
      </c>
      <c r="AD2656" s="54" t="s">
        <v>2</v>
      </c>
      <c r="AE2656" s="54" t="s">
        <v>2</v>
      </c>
      <c r="AF2656" s="54" t="s">
        <v>2</v>
      </c>
      <c r="AG2656" s="54" t="s">
        <v>2</v>
      </c>
    </row>
    <row r="2657" ht="15.75" customHeight="1">
      <c r="B2657" s="56"/>
      <c r="U2657" s="46" t="str">
        <f t="array" ref="U2657">IF($D2657="","",IFERROR(_xlfn.XLOOKUP($D2657,'TIR店舗一覧'!$D:$D,'TIR店舗一覧'!$E:$E,""),""))</f>
        <v/>
      </c>
      <c r="V2657" s="54" t="s">
        <v>2</v>
      </c>
      <c r="W2657" s="54" t="s">
        <v>2</v>
      </c>
      <c r="X2657" s="54" t="s">
        <v>2</v>
      </c>
      <c r="Y2657" s="54" t="s">
        <v>2</v>
      </c>
      <c r="Z2657" s="54" t="s">
        <v>2</v>
      </c>
      <c r="AA2657" s="54" t="s">
        <v>2</v>
      </c>
      <c r="AB2657" s="54" t="s">
        <v>2</v>
      </c>
      <c r="AC2657" s="54" t="s">
        <v>2</v>
      </c>
      <c r="AD2657" s="54" t="s">
        <v>2</v>
      </c>
      <c r="AE2657" s="54" t="s">
        <v>2</v>
      </c>
      <c r="AF2657" s="54" t="s">
        <v>2</v>
      </c>
      <c r="AG2657" s="54" t="s">
        <v>2</v>
      </c>
    </row>
    <row r="2658" ht="15.75" customHeight="1">
      <c r="B2658" s="56"/>
      <c r="U2658" s="46" t="str">
        <f t="array" ref="U2658">IF($D2658="","",IFERROR(_xlfn.XLOOKUP($D2658,'TIR店舗一覧'!$D:$D,'TIR店舗一覧'!$E:$E,""),""))</f>
        <v/>
      </c>
      <c r="V2658" s="54" t="s">
        <v>2</v>
      </c>
      <c r="W2658" s="54" t="s">
        <v>2</v>
      </c>
      <c r="X2658" s="54" t="s">
        <v>2</v>
      </c>
      <c r="Y2658" s="54" t="s">
        <v>2</v>
      </c>
      <c r="Z2658" s="54" t="s">
        <v>2</v>
      </c>
      <c r="AA2658" s="54" t="s">
        <v>2</v>
      </c>
      <c r="AB2658" s="54" t="s">
        <v>2</v>
      </c>
      <c r="AC2658" s="54" t="s">
        <v>2</v>
      </c>
      <c r="AD2658" s="54" t="s">
        <v>2</v>
      </c>
      <c r="AE2658" s="54" t="s">
        <v>2</v>
      </c>
      <c r="AF2658" s="54" t="s">
        <v>2</v>
      </c>
      <c r="AG2658" s="54" t="s">
        <v>2</v>
      </c>
    </row>
    <row r="2659" ht="15.75" customHeight="1">
      <c r="B2659" s="56"/>
      <c r="U2659" s="46" t="str">
        <f t="array" ref="U2659">IF($D2659="","",IFERROR(_xlfn.XLOOKUP($D2659,'TIR店舗一覧'!$D:$D,'TIR店舗一覧'!$E:$E,""),""))</f>
        <v/>
      </c>
      <c r="V2659" s="54" t="s">
        <v>2</v>
      </c>
      <c r="W2659" s="54" t="s">
        <v>2</v>
      </c>
      <c r="X2659" s="54" t="s">
        <v>2</v>
      </c>
      <c r="Y2659" s="54" t="s">
        <v>2</v>
      </c>
      <c r="Z2659" s="54" t="s">
        <v>2</v>
      </c>
      <c r="AA2659" s="54" t="s">
        <v>2</v>
      </c>
      <c r="AB2659" s="54" t="s">
        <v>2</v>
      </c>
      <c r="AC2659" s="54" t="s">
        <v>2</v>
      </c>
      <c r="AD2659" s="54" t="s">
        <v>2</v>
      </c>
      <c r="AE2659" s="54" t="s">
        <v>2</v>
      </c>
      <c r="AF2659" s="54" t="s">
        <v>2</v>
      </c>
      <c r="AG2659" s="54" t="s">
        <v>2</v>
      </c>
    </row>
    <row r="2660" ht="15.75" customHeight="1">
      <c r="B2660" s="56"/>
      <c r="U2660" s="46" t="str">
        <f t="array" ref="U2660">IF($D2660="","",IFERROR(_xlfn.XLOOKUP($D2660,'TIR店舗一覧'!$D:$D,'TIR店舗一覧'!$E:$E,""),""))</f>
        <v/>
      </c>
      <c r="V2660" s="54" t="s">
        <v>2</v>
      </c>
      <c r="W2660" s="54" t="s">
        <v>2</v>
      </c>
      <c r="X2660" s="54" t="s">
        <v>2</v>
      </c>
      <c r="Y2660" s="54" t="s">
        <v>2</v>
      </c>
      <c r="Z2660" s="54" t="s">
        <v>2</v>
      </c>
      <c r="AA2660" s="54" t="s">
        <v>2</v>
      </c>
      <c r="AB2660" s="54" t="s">
        <v>2</v>
      </c>
      <c r="AC2660" s="54" t="s">
        <v>2</v>
      </c>
      <c r="AD2660" s="54" t="s">
        <v>2</v>
      </c>
      <c r="AE2660" s="54" t="s">
        <v>2</v>
      </c>
      <c r="AF2660" s="54" t="s">
        <v>2</v>
      </c>
      <c r="AG2660" s="54" t="s">
        <v>2</v>
      </c>
    </row>
    <row r="2661" ht="15.75" customHeight="1">
      <c r="B2661" s="56"/>
      <c r="U2661" s="46" t="str">
        <f t="array" ref="U2661">IF($D2661="","",IFERROR(_xlfn.XLOOKUP($D2661,'TIR店舗一覧'!$D:$D,'TIR店舗一覧'!$E:$E,""),""))</f>
        <v/>
      </c>
      <c r="V2661" s="54" t="s">
        <v>2</v>
      </c>
      <c r="W2661" s="54" t="s">
        <v>2</v>
      </c>
      <c r="X2661" s="54" t="s">
        <v>2</v>
      </c>
      <c r="Y2661" s="54" t="s">
        <v>2</v>
      </c>
      <c r="Z2661" s="54" t="s">
        <v>2</v>
      </c>
      <c r="AA2661" s="54" t="s">
        <v>2</v>
      </c>
      <c r="AB2661" s="54" t="s">
        <v>2</v>
      </c>
      <c r="AC2661" s="54" t="s">
        <v>2</v>
      </c>
      <c r="AD2661" s="54" t="s">
        <v>2</v>
      </c>
      <c r="AE2661" s="54" t="s">
        <v>2</v>
      </c>
      <c r="AF2661" s="54" t="s">
        <v>2</v>
      </c>
      <c r="AG2661" s="54" t="s">
        <v>2</v>
      </c>
    </row>
    <row r="2662" ht="15.75" customHeight="1">
      <c r="B2662" s="56"/>
      <c r="U2662" s="46" t="str">
        <f t="array" ref="U2662">IF($D2662="","",IFERROR(_xlfn.XLOOKUP($D2662,'TIR店舗一覧'!$D:$D,'TIR店舗一覧'!$E:$E,""),""))</f>
        <v/>
      </c>
      <c r="V2662" s="54" t="s">
        <v>2</v>
      </c>
      <c r="W2662" s="54" t="s">
        <v>2</v>
      </c>
      <c r="X2662" s="54" t="s">
        <v>2</v>
      </c>
      <c r="Y2662" s="54" t="s">
        <v>2</v>
      </c>
      <c r="Z2662" s="54" t="s">
        <v>2</v>
      </c>
      <c r="AA2662" s="54" t="s">
        <v>2</v>
      </c>
      <c r="AB2662" s="54" t="s">
        <v>2</v>
      </c>
      <c r="AC2662" s="54" t="s">
        <v>2</v>
      </c>
      <c r="AD2662" s="54" t="s">
        <v>2</v>
      </c>
      <c r="AE2662" s="54" t="s">
        <v>2</v>
      </c>
      <c r="AF2662" s="54" t="s">
        <v>2</v>
      </c>
      <c r="AG2662" s="54" t="s">
        <v>2</v>
      </c>
    </row>
    <row r="2663" ht="15.75" customHeight="1">
      <c r="B2663" s="56"/>
      <c r="U2663" s="46" t="str">
        <f t="array" ref="U2663">IF($D2663="","",IFERROR(_xlfn.XLOOKUP($D2663,'TIR店舗一覧'!$D:$D,'TIR店舗一覧'!$E:$E,""),""))</f>
        <v/>
      </c>
      <c r="V2663" s="54" t="s">
        <v>2</v>
      </c>
      <c r="W2663" s="54" t="s">
        <v>2</v>
      </c>
      <c r="X2663" s="54" t="s">
        <v>2</v>
      </c>
      <c r="Y2663" s="54" t="s">
        <v>2</v>
      </c>
      <c r="Z2663" s="54" t="s">
        <v>2</v>
      </c>
      <c r="AA2663" s="54" t="s">
        <v>2</v>
      </c>
      <c r="AB2663" s="54" t="s">
        <v>2</v>
      </c>
      <c r="AC2663" s="54" t="s">
        <v>2</v>
      </c>
      <c r="AD2663" s="54" t="s">
        <v>2</v>
      </c>
      <c r="AE2663" s="54" t="s">
        <v>2</v>
      </c>
      <c r="AF2663" s="54" t="s">
        <v>2</v>
      </c>
      <c r="AG2663" s="54" t="s">
        <v>2</v>
      </c>
    </row>
    <row r="2664" ht="15.75" customHeight="1">
      <c r="B2664" s="56"/>
      <c r="U2664" s="46" t="str">
        <f t="array" ref="U2664">IF($D2664="","",IFERROR(_xlfn.XLOOKUP($D2664,'TIR店舗一覧'!$D:$D,'TIR店舗一覧'!$E:$E,""),""))</f>
        <v/>
      </c>
      <c r="V2664" s="54" t="s">
        <v>2</v>
      </c>
      <c r="W2664" s="54" t="s">
        <v>2</v>
      </c>
      <c r="X2664" s="54" t="s">
        <v>2</v>
      </c>
      <c r="Y2664" s="54" t="s">
        <v>2</v>
      </c>
      <c r="Z2664" s="54" t="s">
        <v>2</v>
      </c>
      <c r="AA2664" s="54" t="s">
        <v>2</v>
      </c>
      <c r="AB2664" s="54" t="s">
        <v>2</v>
      </c>
      <c r="AC2664" s="54" t="s">
        <v>2</v>
      </c>
      <c r="AD2664" s="54" t="s">
        <v>2</v>
      </c>
      <c r="AE2664" s="54" t="s">
        <v>2</v>
      </c>
      <c r="AF2664" s="54" t="s">
        <v>2</v>
      </c>
      <c r="AG2664" s="54" t="s">
        <v>2</v>
      </c>
    </row>
    <row r="2665" ht="15.75" customHeight="1">
      <c r="B2665" s="56"/>
      <c r="U2665" s="46" t="str">
        <f t="array" ref="U2665">IF($D2665="","",IFERROR(_xlfn.XLOOKUP($D2665,'TIR店舗一覧'!$D:$D,'TIR店舗一覧'!$E:$E,""),""))</f>
        <v/>
      </c>
      <c r="V2665" s="54" t="s">
        <v>2</v>
      </c>
      <c r="W2665" s="54" t="s">
        <v>2</v>
      </c>
      <c r="X2665" s="54" t="s">
        <v>2</v>
      </c>
      <c r="Y2665" s="54" t="s">
        <v>2</v>
      </c>
      <c r="Z2665" s="54" t="s">
        <v>2</v>
      </c>
      <c r="AA2665" s="54" t="s">
        <v>2</v>
      </c>
      <c r="AB2665" s="54" t="s">
        <v>2</v>
      </c>
      <c r="AC2665" s="54" t="s">
        <v>2</v>
      </c>
      <c r="AD2665" s="54" t="s">
        <v>2</v>
      </c>
      <c r="AE2665" s="54" t="s">
        <v>2</v>
      </c>
      <c r="AF2665" s="54" t="s">
        <v>2</v>
      </c>
      <c r="AG2665" s="54" t="s">
        <v>2</v>
      </c>
    </row>
    <row r="2666" ht="15.75" customHeight="1">
      <c r="B2666" s="56"/>
      <c r="U2666" s="46" t="str">
        <f t="array" ref="U2666">IF($D2666="","",IFERROR(_xlfn.XLOOKUP($D2666,'TIR店舗一覧'!$D:$D,'TIR店舗一覧'!$E:$E,""),""))</f>
        <v/>
      </c>
      <c r="V2666" s="54" t="s">
        <v>2</v>
      </c>
      <c r="W2666" s="54" t="s">
        <v>2</v>
      </c>
      <c r="X2666" s="54" t="s">
        <v>2</v>
      </c>
      <c r="Y2666" s="54" t="s">
        <v>2</v>
      </c>
      <c r="Z2666" s="54" t="s">
        <v>2</v>
      </c>
      <c r="AA2666" s="54" t="s">
        <v>2</v>
      </c>
      <c r="AB2666" s="54" t="s">
        <v>2</v>
      </c>
      <c r="AC2666" s="54" t="s">
        <v>2</v>
      </c>
      <c r="AD2666" s="54" t="s">
        <v>2</v>
      </c>
      <c r="AE2666" s="54" t="s">
        <v>2</v>
      </c>
      <c r="AF2666" s="54" t="s">
        <v>2</v>
      </c>
      <c r="AG2666" s="54" t="s">
        <v>2</v>
      </c>
    </row>
    <row r="2667" ht="15.75" customHeight="1">
      <c r="B2667" s="56"/>
      <c r="U2667" s="46" t="str">
        <f t="array" ref="U2667">IF($D2667="","",IFERROR(_xlfn.XLOOKUP($D2667,'TIR店舗一覧'!$D:$D,'TIR店舗一覧'!$E:$E,""),""))</f>
        <v/>
      </c>
      <c r="V2667" s="54" t="s">
        <v>2</v>
      </c>
      <c r="W2667" s="54" t="s">
        <v>2</v>
      </c>
      <c r="X2667" s="54" t="s">
        <v>2</v>
      </c>
      <c r="Y2667" s="54" t="s">
        <v>2</v>
      </c>
      <c r="Z2667" s="54" t="s">
        <v>2</v>
      </c>
      <c r="AA2667" s="54" t="s">
        <v>2</v>
      </c>
      <c r="AB2667" s="54" t="s">
        <v>2</v>
      </c>
      <c r="AC2667" s="54" t="s">
        <v>2</v>
      </c>
      <c r="AD2667" s="54" t="s">
        <v>2</v>
      </c>
      <c r="AE2667" s="54" t="s">
        <v>2</v>
      </c>
      <c r="AF2667" s="54" t="s">
        <v>2</v>
      </c>
      <c r="AG2667" s="54" t="s">
        <v>2</v>
      </c>
    </row>
    <row r="2668" ht="15.75" customHeight="1">
      <c r="B2668" s="56"/>
      <c r="U2668" s="46" t="str">
        <f t="array" ref="U2668">IF($D2668="","",IFERROR(_xlfn.XLOOKUP($D2668,'TIR店舗一覧'!$D:$D,'TIR店舗一覧'!$E:$E,""),""))</f>
        <v/>
      </c>
      <c r="V2668" s="54" t="s">
        <v>2</v>
      </c>
      <c r="W2668" s="54" t="s">
        <v>2</v>
      </c>
      <c r="X2668" s="54" t="s">
        <v>2</v>
      </c>
      <c r="Y2668" s="54" t="s">
        <v>2</v>
      </c>
      <c r="Z2668" s="54" t="s">
        <v>2</v>
      </c>
      <c r="AA2668" s="54" t="s">
        <v>2</v>
      </c>
      <c r="AB2668" s="54" t="s">
        <v>2</v>
      </c>
      <c r="AC2668" s="54" t="s">
        <v>2</v>
      </c>
      <c r="AD2668" s="54" t="s">
        <v>2</v>
      </c>
      <c r="AE2668" s="54" t="s">
        <v>2</v>
      </c>
      <c r="AF2668" s="54" t="s">
        <v>2</v>
      </c>
      <c r="AG2668" s="54" t="s">
        <v>2</v>
      </c>
    </row>
    <row r="2669" ht="15.75" customHeight="1">
      <c r="B2669" s="56"/>
      <c r="U2669" s="46" t="str">
        <f t="array" ref="U2669">IF($D2669="","",IFERROR(_xlfn.XLOOKUP($D2669,'TIR店舗一覧'!$D:$D,'TIR店舗一覧'!$E:$E,""),""))</f>
        <v/>
      </c>
      <c r="V2669" s="54" t="s">
        <v>2</v>
      </c>
      <c r="W2669" s="54" t="s">
        <v>2</v>
      </c>
      <c r="X2669" s="54" t="s">
        <v>2</v>
      </c>
      <c r="Y2669" s="54" t="s">
        <v>2</v>
      </c>
      <c r="Z2669" s="54" t="s">
        <v>2</v>
      </c>
      <c r="AA2669" s="54" t="s">
        <v>2</v>
      </c>
      <c r="AB2669" s="54" t="s">
        <v>2</v>
      </c>
      <c r="AC2669" s="54" t="s">
        <v>2</v>
      </c>
      <c r="AD2669" s="54" t="s">
        <v>2</v>
      </c>
      <c r="AE2669" s="54" t="s">
        <v>2</v>
      </c>
      <c r="AF2669" s="54" t="s">
        <v>2</v>
      </c>
      <c r="AG2669" s="54" t="s">
        <v>2</v>
      </c>
    </row>
    <row r="2670" ht="15.75" customHeight="1">
      <c r="B2670" s="56"/>
      <c r="U2670" s="46" t="str">
        <f t="array" ref="U2670">IF($D2670="","",IFERROR(_xlfn.XLOOKUP($D2670,'TIR店舗一覧'!$D:$D,'TIR店舗一覧'!$E:$E,""),""))</f>
        <v/>
      </c>
      <c r="V2670" s="54" t="s">
        <v>2</v>
      </c>
      <c r="W2670" s="54" t="s">
        <v>2</v>
      </c>
      <c r="X2670" s="54" t="s">
        <v>2</v>
      </c>
      <c r="Y2670" s="54" t="s">
        <v>2</v>
      </c>
      <c r="Z2670" s="54" t="s">
        <v>2</v>
      </c>
      <c r="AA2670" s="54" t="s">
        <v>2</v>
      </c>
      <c r="AB2670" s="54" t="s">
        <v>2</v>
      </c>
      <c r="AC2670" s="54" t="s">
        <v>2</v>
      </c>
      <c r="AD2670" s="54" t="s">
        <v>2</v>
      </c>
      <c r="AE2670" s="54" t="s">
        <v>2</v>
      </c>
      <c r="AF2670" s="54" t="s">
        <v>2</v>
      </c>
      <c r="AG2670" s="54" t="s">
        <v>2</v>
      </c>
    </row>
    <row r="2671" ht="15.75" customHeight="1">
      <c r="B2671" s="56"/>
      <c r="U2671" s="46" t="str">
        <f t="array" ref="U2671">IF($D2671="","",IFERROR(_xlfn.XLOOKUP($D2671,'TIR店舗一覧'!$D:$D,'TIR店舗一覧'!$E:$E,""),""))</f>
        <v/>
      </c>
      <c r="V2671" s="54" t="s">
        <v>2</v>
      </c>
      <c r="W2671" s="54" t="s">
        <v>2</v>
      </c>
      <c r="X2671" s="54" t="s">
        <v>2</v>
      </c>
      <c r="Y2671" s="54" t="s">
        <v>2</v>
      </c>
      <c r="Z2671" s="54" t="s">
        <v>2</v>
      </c>
      <c r="AA2671" s="54" t="s">
        <v>2</v>
      </c>
      <c r="AB2671" s="54" t="s">
        <v>2</v>
      </c>
      <c r="AC2671" s="54" t="s">
        <v>2</v>
      </c>
      <c r="AD2671" s="54" t="s">
        <v>2</v>
      </c>
      <c r="AE2671" s="54" t="s">
        <v>2</v>
      </c>
      <c r="AF2671" s="54" t="s">
        <v>2</v>
      </c>
      <c r="AG2671" s="54" t="s">
        <v>2</v>
      </c>
    </row>
    <row r="2672" ht="15.75" customHeight="1">
      <c r="B2672" s="56"/>
      <c r="U2672" s="46" t="str">
        <f t="array" ref="U2672">IF($D2672="","",IFERROR(_xlfn.XLOOKUP($D2672,'TIR店舗一覧'!$D:$D,'TIR店舗一覧'!$E:$E,""),""))</f>
        <v/>
      </c>
      <c r="V2672" s="54" t="s">
        <v>2</v>
      </c>
      <c r="W2672" s="54" t="s">
        <v>2</v>
      </c>
      <c r="X2672" s="54" t="s">
        <v>2</v>
      </c>
      <c r="Y2672" s="54" t="s">
        <v>2</v>
      </c>
      <c r="Z2672" s="54" t="s">
        <v>2</v>
      </c>
      <c r="AA2672" s="54" t="s">
        <v>2</v>
      </c>
      <c r="AB2672" s="54" t="s">
        <v>2</v>
      </c>
      <c r="AC2672" s="54" t="s">
        <v>2</v>
      </c>
      <c r="AD2672" s="54" t="s">
        <v>2</v>
      </c>
      <c r="AE2672" s="54" t="s">
        <v>2</v>
      </c>
      <c r="AF2672" s="54" t="s">
        <v>2</v>
      </c>
      <c r="AG2672" s="54" t="s">
        <v>2</v>
      </c>
    </row>
    <row r="2673" ht="15.75" customHeight="1">
      <c r="B2673" s="56"/>
      <c r="U2673" s="46" t="str">
        <f t="array" ref="U2673">IF($D2673="","",IFERROR(_xlfn.XLOOKUP($D2673,'TIR店舗一覧'!$D:$D,'TIR店舗一覧'!$E:$E,""),""))</f>
        <v/>
      </c>
      <c r="V2673" s="54" t="s">
        <v>2</v>
      </c>
      <c r="W2673" s="54" t="s">
        <v>2</v>
      </c>
      <c r="X2673" s="54" t="s">
        <v>2</v>
      </c>
      <c r="Y2673" s="54" t="s">
        <v>2</v>
      </c>
      <c r="Z2673" s="54" t="s">
        <v>2</v>
      </c>
      <c r="AA2673" s="54" t="s">
        <v>2</v>
      </c>
      <c r="AB2673" s="54" t="s">
        <v>2</v>
      </c>
      <c r="AC2673" s="54" t="s">
        <v>2</v>
      </c>
      <c r="AD2673" s="54" t="s">
        <v>2</v>
      </c>
      <c r="AE2673" s="54" t="s">
        <v>2</v>
      </c>
      <c r="AF2673" s="54" t="s">
        <v>2</v>
      </c>
      <c r="AG2673" s="54" t="s">
        <v>2</v>
      </c>
    </row>
    <row r="2674" ht="15.75" customHeight="1">
      <c r="B2674" s="56"/>
      <c r="U2674" s="46" t="str">
        <f t="array" ref="U2674">IF($D2674="","",IFERROR(_xlfn.XLOOKUP($D2674,'TIR店舗一覧'!$D:$D,'TIR店舗一覧'!$E:$E,""),""))</f>
        <v/>
      </c>
      <c r="V2674" s="54" t="s">
        <v>2</v>
      </c>
      <c r="W2674" s="54" t="s">
        <v>2</v>
      </c>
      <c r="X2674" s="54" t="s">
        <v>2</v>
      </c>
      <c r="Y2674" s="54" t="s">
        <v>2</v>
      </c>
      <c r="Z2674" s="54" t="s">
        <v>2</v>
      </c>
      <c r="AA2674" s="54" t="s">
        <v>2</v>
      </c>
      <c r="AB2674" s="54" t="s">
        <v>2</v>
      </c>
      <c r="AC2674" s="54" t="s">
        <v>2</v>
      </c>
      <c r="AD2674" s="54" t="s">
        <v>2</v>
      </c>
      <c r="AE2674" s="54" t="s">
        <v>2</v>
      </c>
      <c r="AF2674" s="54" t="s">
        <v>2</v>
      </c>
      <c r="AG2674" s="54" t="s">
        <v>2</v>
      </c>
    </row>
    <row r="2675" ht="15.75" customHeight="1">
      <c r="B2675" s="56"/>
      <c r="U2675" s="46" t="str">
        <f t="array" ref="U2675">IF($D2675="","",IFERROR(_xlfn.XLOOKUP($D2675,'TIR店舗一覧'!$D:$D,'TIR店舗一覧'!$E:$E,""),""))</f>
        <v/>
      </c>
      <c r="V2675" s="54" t="s">
        <v>2</v>
      </c>
      <c r="W2675" s="54" t="s">
        <v>2</v>
      </c>
      <c r="X2675" s="54" t="s">
        <v>2</v>
      </c>
      <c r="Y2675" s="54" t="s">
        <v>2</v>
      </c>
      <c r="Z2675" s="54" t="s">
        <v>2</v>
      </c>
      <c r="AA2675" s="54" t="s">
        <v>2</v>
      </c>
      <c r="AB2675" s="54" t="s">
        <v>2</v>
      </c>
      <c r="AC2675" s="54" t="s">
        <v>2</v>
      </c>
      <c r="AD2675" s="54" t="s">
        <v>2</v>
      </c>
      <c r="AE2675" s="54" t="s">
        <v>2</v>
      </c>
      <c r="AF2675" s="54" t="s">
        <v>2</v>
      </c>
      <c r="AG2675" s="54" t="s">
        <v>2</v>
      </c>
    </row>
    <row r="2676" ht="15.75" customHeight="1">
      <c r="B2676" s="56"/>
      <c r="U2676" s="46" t="str">
        <f t="array" ref="U2676">IF($D2676="","",IFERROR(_xlfn.XLOOKUP($D2676,'TIR店舗一覧'!$D:$D,'TIR店舗一覧'!$E:$E,""),""))</f>
        <v/>
      </c>
      <c r="V2676" s="54" t="s">
        <v>2</v>
      </c>
      <c r="W2676" s="54" t="s">
        <v>2</v>
      </c>
      <c r="X2676" s="54" t="s">
        <v>2</v>
      </c>
      <c r="Y2676" s="54" t="s">
        <v>2</v>
      </c>
      <c r="Z2676" s="54" t="s">
        <v>2</v>
      </c>
      <c r="AA2676" s="54" t="s">
        <v>2</v>
      </c>
      <c r="AB2676" s="54" t="s">
        <v>2</v>
      </c>
      <c r="AC2676" s="54" t="s">
        <v>2</v>
      </c>
      <c r="AD2676" s="54" t="s">
        <v>2</v>
      </c>
      <c r="AE2676" s="54" t="s">
        <v>2</v>
      </c>
      <c r="AF2676" s="54" t="s">
        <v>2</v>
      </c>
      <c r="AG2676" s="54" t="s">
        <v>2</v>
      </c>
    </row>
    <row r="2677" ht="15.75" customHeight="1">
      <c r="B2677" s="56"/>
      <c r="U2677" s="46" t="str">
        <f t="array" ref="U2677">IF($D2677="","",IFERROR(_xlfn.XLOOKUP($D2677,'TIR店舗一覧'!$D:$D,'TIR店舗一覧'!$E:$E,""),""))</f>
        <v/>
      </c>
      <c r="V2677" s="54" t="s">
        <v>2</v>
      </c>
      <c r="W2677" s="54" t="s">
        <v>2</v>
      </c>
      <c r="X2677" s="54" t="s">
        <v>2</v>
      </c>
      <c r="Y2677" s="54" t="s">
        <v>2</v>
      </c>
      <c r="Z2677" s="54" t="s">
        <v>2</v>
      </c>
      <c r="AA2677" s="54" t="s">
        <v>2</v>
      </c>
      <c r="AB2677" s="54" t="s">
        <v>2</v>
      </c>
      <c r="AC2677" s="54" t="s">
        <v>2</v>
      </c>
      <c r="AD2677" s="54" t="s">
        <v>2</v>
      </c>
      <c r="AE2677" s="54" t="s">
        <v>2</v>
      </c>
      <c r="AF2677" s="54" t="s">
        <v>2</v>
      </c>
      <c r="AG2677" s="54" t="s">
        <v>2</v>
      </c>
    </row>
    <row r="2678" ht="15.75" customHeight="1">
      <c r="B2678" s="56"/>
      <c r="U2678" s="46" t="str">
        <f t="array" ref="U2678">IF($D2678="","",IFERROR(_xlfn.XLOOKUP($D2678,'TIR店舗一覧'!$D:$D,'TIR店舗一覧'!$E:$E,""),""))</f>
        <v/>
      </c>
      <c r="V2678" s="54" t="s">
        <v>2</v>
      </c>
      <c r="W2678" s="54" t="s">
        <v>2</v>
      </c>
      <c r="X2678" s="54" t="s">
        <v>2</v>
      </c>
      <c r="Y2678" s="54" t="s">
        <v>2</v>
      </c>
      <c r="Z2678" s="54" t="s">
        <v>2</v>
      </c>
      <c r="AA2678" s="54" t="s">
        <v>2</v>
      </c>
      <c r="AB2678" s="54" t="s">
        <v>2</v>
      </c>
      <c r="AC2678" s="54" t="s">
        <v>2</v>
      </c>
      <c r="AD2678" s="54" t="s">
        <v>2</v>
      </c>
      <c r="AE2678" s="54" t="s">
        <v>2</v>
      </c>
      <c r="AF2678" s="54" t="s">
        <v>2</v>
      </c>
      <c r="AG2678" s="54" t="s">
        <v>2</v>
      </c>
    </row>
    <row r="2679" ht="15.75" customHeight="1">
      <c r="B2679" s="56"/>
      <c r="U2679" s="46" t="str">
        <f t="array" ref="U2679">IF($D2679="","",IFERROR(_xlfn.XLOOKUP($D2679,'TIR店舗一覧'!$D:$D,'TIR店舗一覧'!$E:$E,""),""))</f>
        <v/>
      </c>
      <c r="V2679" s="54" t="s">
        <v>2</v>
      </c>
      <c r="W2679" s="54" t="s">
        <v>2</v>
      </c>
      <c r="X2679" s="54" t="s">
        <v>2</v>
      </c>
      <c r="Y2679" s="54" t="s">
        <v>2</v>
      </c>
      <c r="Z2679" s="54" t="s">
        <v>2</v>
      </c>
      <c r="AA2679" s="54" t="s">
        <v>2</v>
      </c>
      <c r="AB2679" s="54" t="s">
        <v>2</v>
      </c>
      <c r="AC2679" s="54" t="s">
        <v>2</v>
      </c>
      <c r="AD2679" s="54" t="s">
        <v>2</v>
      </c>
      <c r="AE2679" s="54" t="s">
        <v>2</v>
      </c>
      <c r="AF2679" s="54" t="s">
        <v>2</v>
      </c>
      <c r="AG2679" s="54" t="s">
        <v>2</v>
      </c>
    </row>
    <row r="2680" ht="15.75" customHeight="1">
      <c r="B2680" s="56"/>
      <c r="U2680" s="46" t="str">
        <f t="array" ref="U2680">IF($D2680="","",IFERROR(_xlfn.XLOOKUP($D2680,'TIR店舗一覧'!$D:$D,'TIR店舗一覧'!$E:$E,""),""))</f>
        <v/>
      </c>
      <c r="V2680" s="54" t="s">
        <v>2</v>
      </c>
      <c r="W2680" s="54" t="s">
        <v>2</v>
      </c>
      <c r="X2680" s="54" t="s">
        <v>2</v>
      </c>
      <c r="Y2680" s="54" t="s">
        <v>2</v>
      </c>
      <c r="Z2680" s="54" t="s">
        <v>2</v>
      </c>
      <c r="AA2680" s="54" t="s">
        <v>2</v>
      </c>
      <c r="AB2680" s="54" t="s">
        <v>2</v>
      </c>
      <c r="AC2680" s="54" t="s">
        <v>2</v>
      </c>
      <c r="AD2680" s="54" t="s">
        <v>2</v>
      </c>
      <c r="AE2680" s="54" t="s">
        <v>2</v>
      </c>
      <c r="AF2680" s="54" t="s">
        <v>2</v>
      </c>
      <c r="AG2680" s="54" t="s">
        <v>2</v>
      </c>
    </row>
    <row r="2681" ht="15.75" customHeight="1">
      <c r="B2681" s="56"/>
      <c r="U2681" s="46" t="str">
        <f t="array" ref="U2681">IF($D2681="","",IFERROR(_xlfn.XLOOKUP($D2681,'TIR店舗一覧'!$D:$D,'TIR店舗一覧'!$E:$E,""),""))</f>
        <v/>
      </c>
      <c r="V2681" s="54" t="s">
        <v>2</v>
      </c>
      <c r="W2681" s="54" t="s">
        <v>2</v>
      </c>
      <c r="X2681" s="54" t="s">
        <v>2</v>
      </c>
      <c r="Y2681" s="54" t="s">
        <v>2</v>
      </c>
      <c r="Z2681" s="54" t="s">
        <v>2</v>
      </c>
      <c r="AA2681" s="54" t="s">
        <v>2</v>
      </c>
      <c r="AB2681" s="54" t="s">
        <v>2</v>
      </c>
      <c r="AC2681" s="54" t="s">
        <v>2</v>
      </c>
      <c r="AD2681" s="54" t="s">
        <v>2</v>
      </c>
      <c r="AE2681" s="54" t="s">
        <v>2</v>
      </c>
      <c r="AF2681" s="54" t="s">
        <v>2</v>
      </c>
      <c r="AG2681" s="54" t="s">
        <v>2</v>
      </c>
    </row>
    <row r="2682" ht="15.75" customHeight="1">
      <c r="B2682" s="56"/>
      <c r="U2682" s="46" t="str">
        <f t="array" ref="U2682">IF($D2682="","",IFERROR(_xlfn.XLOOKUP($D2682,'TIR店舗一覧'!$D:$D,'TIR店舗一覧'!$E:$E,""),""))</f>
        <v/>
      </c>
      <c r="V2682" s="54" t="s">
        <v>2</v>
      </c>
      <c r="W2682" s="54" t="s">
        <v>2</v>
      </c>
      <c r="X2682" s="54" t="s">
        <v>2</v>
      </c>
      <c r="Y2682" s="54" t="s">
        <v>2</v>
      </c>
      <c r="Z2682" s="54" t="s">
        <v>2</v>
      </c>
      <c r="AA2682" s="54" t="s">
        <v>2</v>
      </c>
      <c r="AB2682" s="54" t="s">
        <v>2</v>
      </c>
      <c r="AC2682" s="54" t="s">
        <v>2</v>
      </c>
      <c r="AD2682" s="54" t="s">
        <v>2</v>
      </c>
      <c r="AE2682" s="54" t="s">
        <v>2</v>
      </c>
      <c r="AF2682" s="54" t="s">
        <v>2</v>
      </c>
      <c r="AG2682" s="54" t="s">
        <v>2</v>
      </c>
    </row>
    <row r="2683" ht="15.75" customHeight="1">
      <c r="B2683" s="56"/>
      <c r="U2683" s="46" t="str">
        <f t="array" ref="U2683">IF($D2683="","",IFERROR(_xlfn.XLOOKUP($D2683,'TIR店舗一覧'!$D:$D,'TIR店舗一覧'!$E:$E,""),""))</f>
        <v/>
      </c>
      <c r="V2683" s="54" t="s">
        <v>2</v>
      </c>
      <c r="W2683" s="54" t="s">
        <v>2</v>
      </c>
      <c r="X2683" s="54" t="s">
        <v>2</v>
      </c>
      <c r="Y2683" s="54" t="s">
        <v>2</v>
      </c>
      <c r="Z2683" s="54" t="s">
        <v>2</v>
      </c>
      <c r="AA2683" s="54" t="s">
        <v>2</v>
      </c>
      <c r="AB2683" s="54" t="s">
        <v>2</v>
      </c>
      <c r="AC2683" s="54" t="s">
        <v>2</v>
      </c>
      <c r="AD2683" s="54" t="s">
        <v>2</v>
      </c>
      <c r="AE2683" s="54" t="s">
        <v>2</v>
      </c>
      <c r="AF2683" s="54" t="s">
        <v>2</v>
      </c>
      <c r="AG2683" s="54" t="s">
        <v>2</v>
      </c>
    </row>
    <row r="2684" ht="15.75" customHeight="1">
      <c r="B2684" s="56"/>
      <c r="U2684" s="46" t="str">
        <f t="array" ref="U2684">IF($D2684="","",IFERROR(_xlfn.XLOOKUP($D2684,'TIR店舗一覧'!$D:$D,'TIR店舗一覧'!$E:$E,""),""))</f>
        <v/>
      </c>
      <c r="V2684" s="54" t="s">
        <v>2</v>
      </c>
      <c r="W2684" s="54" t="s">
        <v>2</v>
      </c>
      <c r="X2684" s="54" t="s">
        <v>2</v>
      </c>
      <c r="Y2684" s="54" t="s">
        <v>2</v>
      </c>
      <c r="Z2684" s="54" t="s">
        <v>2</v>
      </c>
      <c r="AA2684" s="54" t="s">
        <v>2</v>
      </c>
      <c r="AB2684" s="54" t="s">
        <v>2</v>
      </c>
      <c r="AC2684" s="54" t="s">
        <v>2</v>
      </c>
      <c r="AD2684" s="54" t="s">
        <v>2</v>
      </c>
      <c r="AE2684" s="54" t="s">
        <v>2</v>
      </c>
      <c r="AF2684" s="54" t="s">
        <v>2</v>
      </c>
      <c r="AG2684" s="54" t="s">
        <v>2</v>
      </c>
    </row>
    <row r="2685" ht="15.75" customHeight="1">
      <c r="B2685" s="56"/>
      <c r="U2685" s="46" t="str">
        <f t="array" ref="U2685">IF($D2685="","",IFERROR(_xlfn.XLOOKUP($D2685,'TIR店舗一覧'!$D:$D,'TIR店舗一覧'!$E:$E,""),""))</f>
        <v/>
      </c>
      <c r="V2685" s="54" t="s">
        <v>2</v>
      </c>
      <c r="W2685" s="54" t="s">
        <v>2</v>
      </c>
      <c r="X2685" s="54" t="s">
        <v>2</v>
      </c>
      <c r="Y2685" s="54" t="s">
        <v>2</v>
      </c>
      <c r="Z2685" s="54" t="s">
        <v>2</v>
      </c>
      <c r="AA2685" s="54" t="s">
        <v>2</v>
      </c>
      <c r="AB2685" s="54" t="s">
        <v>2</v>
      </c>
      <c r="AC2685" s="54" t="s">
        <v>2</v>
      </c>
      <c r="AD2685" s="54" t="s">
        <v>2</v>
      </c>
      <c r="AE2685" s="54" t="s">
        <v>2</v>
      </c>
      <c r="AF2685" s="54" t="s">
        <v>2</v>
      </c>
      <c r="AG2685" s="54" t="s">
        <v>2</v>
      </c>
    </row>
    <row r="2686" ht="15.75" customHeight="1">
      <c r="B2686" s="56"/>
      <c r="U2686" s="46" t="str">
        <f t="array" ref="U2686">IF($D2686="","",IFERROR(_xlfn.XLOOKUP($D2686,'TIR店舗一覧'!$D:$D,'TIR店舗一覧'!$E:$E,""),""))</f>
        <v/>
      </c>
      <c r="V2686" s="54" t="s">
        <v>2</v>
      </c>
      <c r="W2686" s="54" t="s">
        <v>2</v>
      </c>
      <c r="X2686" s="54" t="s">
        <v>2</v>
      </c>
      <c r="Y2686" s="54" t="s">
        <v>2</v>
      </c>
      <c r="Z2686" s="54" t="s">
        <v>2</v>
      </c>
      <c r="AA2686" s="54" t="s">
        <v>2</v>
      </c>
      <c r="AB2686" s="54" t="s">
        <v>2</v>
      </c>
      <c r="AC2686" s="54" t="s">
        <v>2</v>
      </c>
      <c r="AD2686" s="54" t="s">
        <v>2</v>
      </c>
      <c r="AE2686" s="54" t="s">
        <v>2</v>
      </c>
      <c r="AF2686" s="54" t="s">
        <v>2</v>
      </c>
      <c r="AG2686" s="54" t="s">
        <v>2</v>
      </c>
    </row>
    <row r="2687" ht="15.75" customHeight="1">
      <c r="B2687" s="56"/>
      <c r="U2687" s="46" t="str">
        <f t="array" ref="U2687">IF($D2687="","",IFERROR(_xlfn.XLOOKUP($D2687,'TIR店舗一覧'!$D:$D,'TIR店舗一覧'!$E:$E,""),""))</f>
        <v/>
      </c>
      <c r="V2687" s="54" t="s">
        <v>2</v>
      </c>
      <c r="W2687" s="54" t="s">
        <v>2</v>
      </c>
      <c r="X2687" s="54" t="s">
        <v>2</v>
      </c>
      <c r="Y2687" s="54" t="s">
        <v>2</v>
      </c>
      <c r="Z2687" s="54" t="s">
        <v>2</v>
      </c>
      <c r="AA2687" s="54" t="s">
        <v>2</v>
      </c>
      <c r="AB2687" s="54" t="s">
        <v>2</v>
      </c>
      <c r="AC2687" s="54" t="s">
        <v>2</v>
      </c>
      <c r="AD2687" s="54" t="s">
        <v>2</v>
      </c>
      <c r="AE2687" s="54" t="s">
        <v>2</v>
      </c>
      <c r="AF2687" s="54" t="s">
        <v>2</v>
      </c>
      <c r="AG2687" s="54" t="s">
        <v>2</v>
      </c>
    </row>
    <row r="2688" ht="15.75" customHeight="1">
      <c r="B2688" s="56"/>
      <c r="U2688" s="46" t="str">
        <f t="array" ref="U2688">IF($D2688="","",IFERROR(_xlfn.XLOOKUP($D2688,'TIR店舗一覧'!$D:$D,'TIR店舗一覧'!$E:$E,""),""))</f>
        <v/>
      </c>
      <c r="V2688" s="54" t="s">
        <v>2</v>
      </c>
      <c r="W2688" s="54" t="s">
        <v>2</v>
      </c>
      <c r="X2688" s="54" t="s">
        <v>2</v>
      </c>
      <c r="Y2688" s="54" t="s">
        <v>2</v>
      </c>
      <c r="Z2688" s="54" t="s">
        <v>2</v>
      </c>
      <c r="AA2688" s="54" t="s">
        <v>2</v>
      </c>
      <c r="AB2688" s="54" t="s">
        <v>2</v>
      </c>
      <c r="AC2688" s="54" t="s">
        <v>2</v>
      </c>
      <c r="AD2688" s="54" t="s">
        <v>2</v>
      </c>
      <c r="AE2688" s="54" t="s">
        <v>2</v>
      </c>
      <c r="AF2688" s="54" t="s">
        <v>2</v>
      </c>
      <c r="AG2688" s="54" t="s">
        <v>2</v>
      </c>
    </row>
    <row r="2689" ht="15.75" customHeight="1">
      <c r="B2689" s="56"/>
      <c r="U2689" s="46" t="str">
        <f t="array" ref="U2689">IF($D2689="","",IFERROR(_xlfn.XLOOKUP($D2689,'TIR店舗一覧'!$D:$D,'TIR店舗一覧'!$E:$E,""),""))</f>
        <v/>
      </c>
      <c r="V2689" s="54" t="s">
        <v>2</v>
      </c>
      <c r="W2689" s="54" t="s">
        <v>2</v>
      </c>
      <c r="X2689" s="54" t="s">
        <v>2</v>
      </c>
      <c r="Y2689" s="54" t="s">
        <v>2</v>
      </c>
      <c r="Z2689" s="54" t="s">
        <v>2</v>
      </c>
      <c r="AA2689" s="54" t="s">
        <v>2</v>
      </c>
      <c r="AB2689" s="54" t="s">
        <v>2</v>
      </c>
      <c r="AC2689" s="54" t="s">
        <v>2</v>
      </c>
      <c r="AD2689" s="54" t="s">
        <v>2</v>
      </c>
      <c r="AE2689" s="54" t="s">
        <v>2</v>
      </c>
      <c r="AF2689" s="54" t="s">
        <v>2</v>
      </c>
      <c r="AG2689" s="54" t="s">
        <v>2</v>
      </c>
    </row>
    <row r="2690" ht="15.75" customHeight="1">
      <c r="B2690" s="56"/>
      <c r="U2690" s="46" t="str">
        <f t="array" ref="U2690">IF($D2690="","",IFERROR(_xlfn.XLOOKUP($D2690,'TIR店舗一覧'!$D:$D,'TIR店舗一覧'!$E:$E,""),""))</f>
        <v/>
      </c>
      <c r="V2690" s="54" t="s">
        <v>2</v>
      </c>
      <c r="W2690" s="54" t="s">
        <v>2</v>
      </c>
      <c r="X2690" s="54" t="s">
        <v>2</v>
      </c>
      <c r="Y2690" s="54" t="s">
        <v>2</v>
      </c>
      <c r="Z2690" s="54" t="s">
        <v>2</v>
      </c>
      <c r="AA2690" s="54" t="s">
        <v>2</v>
      </c>
      <c r="AB2690" s="54" t="s">
        <v>2</v>
      </c>
      <c r="AC2690" s="54" t="s">
        <v>2</v>
      </c>
      <c r="AD2690" s="54" t="s">
        <v>2</v>
      </c>
      <c r="AE2690" s="54" t="s">
        <v>2</v>
      </c>
      <c r="AF2690" s="54" t="s">
        <v>2</v>
      </c>
      <c r="AG2690" s="54" t="s">
        <v>2</v>
      </c>
    </row>
    <row r="2691" ht="15.75" customHeight="1">
      <c r="B2691" s="56"/>
      <c r="U2691" s="46" t="str">
        <f t="array" ref="U2691">IF($D2691="","",IFERROR(_xlfn.XLOOKUP($D2691,'TIR店舗一覧'!$D:$D,'TIR店舗一覧'!$E:$E,""),""))</f>
        <v/>
      </c>
      <c r="V2691" s="54" t="s">
        <v>2</v>
      </c>
      <c r="W2691" s="54" t="s">
        <v>2</v>
      </c>
      <c r="X2691" s="54" t="s">
        <v>2</v>
      </c>
      <c r="Y2691" s="54" t="s">
        <v>2</v>
      </c>
      <c r="Z2691" s="54" t="s">
        <v>2</v>
      </c>
      <c r="AA2691" s="54" t="s">
        <v>2</v>
      </c>
      <c r="AB2691" s="54" t="s">
        <v>2</v>
      </c>
      <c r="AC2691" s="54" t="s">
        <v>2</v>
      </c>
      <c r="AD2691" s="54" t="s">
        <v>2</v>
      </c>
      <c r="AE2691" s="54" t="s">
        <v>2</v>
      </c>
      <c r="AF2691" s="54" t="s">
        <v>2</v>
      </c>
      <c r="AG2691" s="54" t="s">
        <v>2</v>
      </c>
    </row>
    <row r="2692" ht="15.75" customHeight="1">
      <c r="B2692" s="56"/>
      <c r="U2692" s="46" t="str">
        <f t="array" ref="U2692">IF($D2692="","",IFERROR(_xlfn.XLOOKUP($D2692,'TIR店舗一覧'!$D:$D,'TIR店舗一覧'!$E:$E,""),""))</f>
        <v/>
      </c>
      <c r="V2692" s="54" t="s">
        <v>2</v>
      </c>
      <c r="W2692" s="54" t="s">
        <v>2</v>
      </c>
      <c r="X2692" s="54" t="s">
        <v>2</v>
      </c>
      <c r="Y2692" s="54" t="s">
        <v>2</v>
      </c>
      <c r="Z2692" s="54" t="s">
        <v>2</v>
      </c>
      <c r="AA2692" s="54" t="s">
        <v>2</v>
      </c>
      <c r="AB2692" s="54" t="s">
        <v>2</v>
      </c>
      <c r="AC2692" s="54" t="s">
        <v>2</v>
      </c>
      <c r="AD2692" s="54" t="s">
        <v>2</v>
      </c>
      <c r="AE2692" s="54" t="s">
        <v>2</v>
      </c>
      <c r="AF2692" s="54" t="s">
        <v>2</v>
      </c>
      <c r="AG2692" s="54" t="s">
        <v>2</v>
      </c>
    </row>
    <row r="2693" ht="15.75" customHeight="1">
      <c r="B2693" s="56"/>
      <c r="U2693" s="46" t="str">
        <f t="array" ref="U2693">IF($D2693="","",IFERROR(_xlfn.XLOOKUP($D2693,'TIR店舗一覧'!$D:$D,'TIR店舗一覧'!$E:$E,""),""))</f>
        <v/>
      </c>
      <c r="V2693" s="54" t="s">
        <v>2</v>
      </c>
      <c r="W2693" s="54" t="s">
        <v>2</v>
      </c>
      <c r="X2693" s="54" t="s">
        <v>2</v>
      </c>
      <c r="Y2693" s="54" t="s">
        <v>2</v>
      </c>
      <c r="Z2693" s="54" t="s">
        <v>2</v>
      </c>
      <c r="AA2693" s="54" t="s">
        <v>2</v>
      </c>
      <c r="AB2693" s="54" t="s">
        <v>2</v>
      </c>
      <c r="AC2693" s="54" t="s">
        <v>2</v>
      </c>
      <c r="AD2693" s="54" t="s">
        <v>2</v>
      </c>
      <c r="AE2693" s="54" t="s">
        <v>2</v>
      </c>
      <c r="AF2693" s="54" t="s">
        <v>2</v>
      </c>
      <c r="AG2693" s="54" t="s">
        <v>2</v>
      </c>
    </row>
    <row r="2694" ht="15.75" customHeight="1">
      <c r="B2694" s="56"/>
      <c r="U2694" s="46" t="str">
        <f t="array" ref="U2694">IF($D2694="","",IFERROR(_xlfn.XLOOKUP($D2694,'TIR店舗一覧'!$D:$D,'TIR店舗一覧'!$E:$E,""),""))</f>
        <v/>
      </c>
      <c r="V2694" s="54" t="s">
        <v>2</v>
      </c>
      <c r="W2694" s="54" t="s">
        <v>2</v>
      </c>
      <c r="X2694" s="54" t="s">
        <v>2</v>
      </c>
      <c r="Y2694" s="54" t="s">
        <v>2</v>
      </c>
      <c r="Z2694" s="54" t="s">
        <v>2</v>
      </c>
      <c r="AA2694" s="54" t="s">
        <v>2</v>
      </c>
      <c r="AB2694" s="54" t="s">
        <v>2</v>
      </c>
      <c r="AC2694" s="54" t="s">
        <v>2</v>
      </c>
      <c r="AD2694" s="54" t="s">
        <v>2</v>
      </c>
      <c r="AE2694" s="54" t="s">
        <v>2</v>
      </c>
      <c r="AF2694" s="54" t="s">
        <v>2</v>
      </c>
      <c r="AG2694" s="54" t="s">
        <v>2</v>
      </c>
    </row>
    <row r="2695" ht="15.75" customHeight="1">
      <c r="B2695" s="56"/>
      <c r="U2695" s="46" t="str">
        <f t="array" ref="U2695">IF($D2695="","",IFERROR(_xlfn.XLOOKUP($D2695,'TIR店舗一覧'!$D:$D,'TIR店舗一覧'!$E:$E,""),""))</f>
        <v/>
      </c>
      <c r="V2695" s="54" t="s">
        <v>2</v>
      </c>
      <c r="W2695" s="54" t="s">
        <v>2</v>
      </c>
      <c r="X2695" s="54" t="s">
        <v>2</v>
      </c>
      <c r="Y2695" s="54" t="s">
        <v>2</v>
      </c>
      <c r="Z2695" s="54" t="s">
        <v>2</v>
      </c>
      <c r="AA2695" s="54" t="s">
        <v>2</v>
      </c>
      <c r="AB2695" s="54" t="s">
        <v>2</v>
      </c>
      <c r="AC2695" s="54" t="s">
        <v>2</v>
      </c>
      <c r="AD2695" s="54" t="s">
        <v>2</v>
      </c>
      <c r="AE2695" s="54" t="s">
        <v>2</v>
      </c>
      <c r="AF2695" s="54" t="s">
        <v>2</v>
      </c>
      <c r="AG2695" s="54" t="s">
        <v>2</v>
      </c>
    </row>
    <row r="2696" ht="15.75" customHeight="1">
      <c r="B2696" s="56"/>
      <c r="U2696" s="46" t="str">
        <f t="array" ref="U2696">IF($D2696="","",IFERROR(_xlfn.XLOOKUP($D2696,'TIR店舗一覧'!$D:$D,'TIR店舗一覧'!$E:$E,""),""))</f>
        <v/>
      </c>
      <c r="V2696" s="54" t="s">
        <v>2</v>
      </c>
      <c r="W2696" s="54" t="s">
        <v>2</v>
      </c>
      <c r="X2696" s="54" t="s">
        <v>2</v>
      </c>
      <c r="Y2696" s="54" t="s">
        <v>2</v>
      </c>
      <c r="Z2696" s="54" t="s">
        <v>2</v>
      </c>
      <c r="AA2696" s="54" t="s">
        <v>2</v>
      </c>
      <c r="AB2696" s="54" t="s">
        <v>2</v>
      </c>
      <c r="AC2696" s="54" t="s">
        <v>2</v>
      </c>
      <c r="AD2696" s="54" t="s">
        <v>2</v>
      </c>
      <c r="AE2696" s="54" t="s">
        <v>2</v>
      </c>
      <c r="AF2696" s="54" t="s">
        <v>2</v>
      </c>
      <c r="AG2696" s="54" t="s">
        <v>2</v>
      </c>
    </row>
    <row r="2697" ht="15.75" customHeight="1">
      <c r="B2697" s="56"/>
      <c r="U2697" s="46" t="str">
        <f t="array" ref="U2697">IF($D2697="","",IFERROR(_xlfn.XLOOKUP($D2697,'TIR店舗一覧'!$D:$D,'TIR店舗一覧'!$E:$E,""),""))</f>
        <v/>
      </c>
      <c r="V2697" s="54" t="s">
        <v>2</v>
      </c>
      <c r="W2697" s="54" t="s">
        <v>2</v>
      </c>
      <c r="X2697" s="54" t="s">
        <v>2</v>
      </c>
      <c r="Y2697" s="54" t="s">
        <v>2</v>
      </c>
      <c r="Z2697" s="54" t="s">
        <v>2</v>
      </c>
      <c r="AA2697" s="54" t="s">
        <v>2</v>
      </c>
      <c r="AB2697" s="54" t="s">
        <v>2</v>
      </c>
      <c r="AC2697" s="54" t="s">
        <v>2</v>
      </c>
      <c r="AD2697" s="54" t="s">
        <v>2</v>
      </c>
      <c r="AE2697" s="54" t="s">
        <v>2</v>
      </c>
      <c r="AF2697" s="54" t="s">
        <v>2</v>
      </c>
      <c r="AG2697" s="54" t="s">
        <v>2</v>
      </c>
    </row>
    <row r="2698" ht="15.75" customHeight="1">
      <c r="B2698" s="56"/>
      <c r="U2698" s="46" t="str">
        <f t="array" ref="U2698">IF($D2698="","",IFERROR(_xlfn.XLOOKUP($D2698,'TIR店舗一覧'!$D:$D,'TIR店舗一覧'!$E:$E,""),""))</f>
        <v/>
      </c>
      <c r="V2698" s="54" t="s">
        <v>2</v>
      </c>
      <c r="W2698" s="54" t="s">
        <v>2</v>
      </c>
      <c r="X2698" s="54" t="s">
        <v>2</v>
      </c>
      <c r="Y2698" s="54" t="s">
        <v>2</v>
      </c>
      <c r="Z2698" s="54" t="s">
        <v>2</v>
      </c>
      <c r="AA2698" s="54" t="s">
        <v>2</v>
      </c>
      <c r="AB2698" s="54" t="s">
        <v>2</v>
      </c>
      <c r="AC2698" s="54" t="s">
        <v>2</v>
      </c>
      <c r="AD2698" s="54" t="s">
        <v>2</v>
      </c>
      <c r="AE2698" s="54" t="s">
        <v>2</v>
      </c>
      <c r="AF2698" s="54" t="s">
        <v>2</v>
      </c>
      <c r="AG2698" s="54" t="s">
        <v>2</v>
      </c>
    </row>
    <row r="2699" ht="15.75" customHeight="1">
      <c r="B2699" s="56"/>
      <c r="U2699" s="46" t="str">
        <f t="array" ref="U2699">IF($D2699="","",IFERROR(_xlfn.XLOOKUP($D2699,'TIR店舗一覧'!$D:$D,'TIR店舗一覧'!$E:$E,""),""))</f>
        <v/>
      </c>
      <c r="V2699" s="54" t="s">
        <v>2</v>
      </c>
      <c r="W2699" s="54" t="s">
        <v>2</v>
      </c>
      <c r="X2699" s="54" t="s">
        <v>2</v>
      </c>
      <c r="Y2699" s="54" t="s">
        <v>2</v>
      </c>
      <c r="Z2699" s="54" t="s">
        <v>2</v>
      </c>
      <c r="AA2699" s="54" t="s">
        <v>2</v>
      </c>
      <c r="AB2699" s="54" t="s">
        <v>2</v>
      </c>
      <c r="AC2699" s="54" t="s">
        <v>2</v>
      </c>
      <c r="AD2699" s="54" t="s">
        <v>2</v>
      </c>
      <c r="AE2699" s="54" t="s">
        <v>2</v>
      </c>
      <c r="AF2699" s="54" t="s">
        <v>2</v>
      </c>
      <c r="AG2699" s="54" t="s">
        <v>2</v>
      </c>
    </row>
    <row r="2700" ht="15.75" customHeight="1">
      <c r="B2700" s="56"/>
      <c r="U2700" s="46" t="str">
        <f t="array" ref="U2700">IF($D2700="","",IFERROR(_xlfn.XLOOKUP($D2700,'TIR店舗一覧'!$D:$D,'TIR店舗一覧'!$E:$E,""),""))</f>
        <v/>
      </c>
      <c r="V2700" s="54" t="s">
        <v>2</v>
      </c>
      <c r="W2700" s="54" t="s">
        <v>2</v>
      </c>
      <c r="X2700" s="54" t="s">
        <v>2</v>
      </c>
      <c r="Y2700" s="54" t="s">
        <v>2</v>
      </c>
      <c r="Z2700" s="54" t="s">
        <v>2</v>
      </c>
      <c r="AA2700" s="54" t="s">
        <v>2</v>
      </c>
      <c r="AB2700" s="54" t="s">
        <v>2</v>
      </c>
      <c r="AC2700" s="54" t="s">
        <v>2</v>
      </c>
      <c r="AD2700" s="54" t="s">
        <v>2</v>
      </c>
      <c r="AE2700" s="54" t="s">
        <v>2</v>
      </c>
      <c r="AF2700" s="54" t="s">
        <v>2</v>
      </c>
      <c r="AG2700" s="54" t="s">
        <v>2</v>
      </c>
    </row>
    <row r="2701" ht="15.75" customHeight="1">
      <c r="B2701" s="56"/>
      <c r="U2701" s="46" t="str">
        <f t="array" ref="U2701">IF($D2701="","",IFERROR(_xlfn.XLOOKUP($D2701,'TIR店舗一覧'!$D:$D,'TIR店舗一覧'!$E:$E,""),""))</f>
        <v/>
      </c>
      <c r="V2701" s="54" t="s">
        <v>2</v>
      </c>
      <c r="W2701" s="54" t="s">
        <v>2</v>
      </c>
      <c r="X2701" s="54" t="s">
        <v>2</v>
      </c>
      <c r="Y2701" s="54" t="s">
        <v>2</v>
      </c>
      <c r="Z2701" s="54" t="s">
        <v>2</v>
      </c>
      <c r="AA2701" s="54" t="s">
        <v>2</v>
      </c>
      <c r="AB2701" s="54" t="s">
        <v>2</v>
      </c>
      <c r="AC2701" s="54" t="s">
        <v>2</v>
      </c>
      <c r="AD2701" s="54" t="s">
        <v>2</v>
      </c>
      <c r="AE2701" s="54" t="s">
        <v>2</v>
      </c>
      <c r="AF2701" s="54" t="s">
        <v>2</v>
      </c>
      <c r="AG2701" s="54" t="s">
        <v>2</v>
      </c>
    </row>
    <row r="2702" ht="15.75" customHeight="1">
      <c r="B2702" s="56"/>
      <c r="U2702" s="46" t="str">
        <f t="array" ref="U2702">IF($D2702="","",IFERROR(_xlfn.XLOOKUP($D2702,'TIR店舗一覧'!$D:$D,'TIR店舗一覧'!$E:$E,""),""))</f>
        <v/>
      </c>
      <c r="V2702" s="54" t="s">
        <v>2</v>
      </c>
      <c r="W2702" s="54" t="s">
        <v>2</v>
      </c>
      <c r="X2702" s="54" t="s">
        <v>2</v>
      </c>
      <c r="Y2702" s="54" t="s">
        <v>2</v>
      </c>
      <c r="Z2702" s="54" t="s">
        <v>2</v>
      </c>
      <c r="AA2702" s="54" t="s">
        <v>2</v>
      </c>
      <c r="AB2702" s="54" t="s">
        <v>2</v>
      </c>
      <c r="AC2702" s="54" t="s">
        <v>2</v>
      </c>
      <c r="AD2702" s="54" t="s">
        <v>2</v>
      </c>
      <c r="AE2702" s="54" t="s">
        <v>2</v>
      </c>
      <c r="AF2702" s="54" t="s">
        <v>2</v>
      </c>
      <c r="AG2702" s="54" t="s">
        <v>2</v>
      </c>
    </row>
    <row r="2703" ht="15.75" customHeight="1">
      <c r="B2703" s="56"/>
      <c r="U2703" s="46" t="str">
        <f t="array" ref="U2703">IF($D2703="","",IFERROR(_xlfn.XLOOKUP($D2703,'TIR店舗一覧'!$D:$D,'TIR店舗一覧'!$E:$E,""),""))</f>
        <v/>
      </c>
      <c r="V2703" s="54" t="s">
        <v>2</v>
      </c>
      <c r="W2703" s="54" t="s">
        <v>2</v>
      </c>
      <c r="X2703" s="54" t="s">
        <v>2</v>
      </c>
      <c r="Y2703" s="54" t="s">
        <v>2</v>
      </c>
      <c r="Z2703" s="54" t="s">
        <v>2</v>
      </c>
      <c r="AA2703" s="54" t="s">
        <v>2</v>
      </c>
      <c r="AB2703" s="54" t="s">
        <v>2</v>
      </c>
      <c r="AC2703" s="54" t="s">
        <v>2</v>
      </c>
      <c r="AD2703" s="54" t="s">
        <v>2</v>
      </c>
      <c r="AE2703" s="54" t="s">
        <v>2</v>
      </c>
      <c r="AF2703" s="54" t="s">
        <v>2</v>
      </c>
      <c r="AG2703" s="54" t="s">
        <v>2</v>
      </c>
    </row>
    <row r="2704" ht="15.75" customHeight="1">
      <c r="B2704" s="56"/>
      <c r="U2704" s="46" t="str">
        <f t="array" ref="U2704">IF($D2704="","",IFERROR(_xlfn.XLOOKUP($D2704,'TIR店舗一覧'!$D:$D,'TIR店舗一覧'!$E:$E,""),""))</f>
        <v/>
      </c>
      <c r="V2704" s="54" t="s">
        <v>2</v>
      </c>
      <c r="W2704" s="54" t="s">
        <v>2</v>
      </c>
      <c r="X2704" s="54" t="s">
        <v>2</v>
      </c>
      <c r="Y2704" s="54" t="s">
        <v>2</v>
      </c>
      <c r="Z2704" s="54" t="s">
        <v>2</v>
      </c>
      <c r="AA2704" s="54" t="s">
        <v>2</v>
      </c>
      <c r="AB2704" s="54" t="s">
        <v>2</v>
      </c>
      <c r="AC2704" s="54" t="s">
        <v>2</v>
      </c>
      <c r="AD2704" s="54" t="s">
        <v>2</v>
      </c>
      <c r="AE2704" s="54" t="s">
        <v>2</v>
      </c>
      <c r="AF2704" s="54" t="s">
        <v>2</v>
      </c>
      <c r="AG2704" s="54" t="s">
        <v>2</v>
      </c>
    </row>
    <row r="2705" ht="15.75" customHeight="1">
      <c r="B2705" s="56"/>
      <c r="U2705" s="46" t="str">
        <f t="array" ref="U2705">IF($D2705="","",IFERROR(_xlfn.XLOOKUP($D2705,'TIR店舗一覧'!$D:$D,'TIR店舗一覧'!$E:$E,""),""))</f>
        <v/>
      </c>
      <c r="V2705" s="54" t="s">
        <v>2</v>
      </c>
      <c r="W2705" s="54" t="s">
        <v>2</v>
      </c>
      <c r="X2705" s="54" t="s">
        <v>2</v>
      </c>
      <c r="Y2705" s="54" t="s">
        <v>2</v>
      </c>
      <c r="Z2705" s="54" t="s">
        <v>2</v>
      </c>
      <c r="AA2705" s="54" t="s">
        <v>2</v>
      </c>
      <c r="AB2705" s="54" t="s">
        <v>2</v>
      </c>
      <c r="AC2705" s="54" t="s">
        <v>2</v>
      </c>
      <c r="AD2705" s="54" t="s">
        <v>2</v>
      </c>
      <c r="AE2705" s="54" t="s">
        <v>2</v>
      </c>
      <c r="AF2705" s="54" t="s">
        <v>2</v>
      </c>
      <c r="AG2705" s="54" t="s">
        <v>2</v>
      </c>
    </row>
    <row r="2706" ht="15.75" customHeight="1">
      <c r="B2706" s="56"/>
      <c r="U2706" s="46" t="str">
        <f t="array" ref="U2706">IF($D2706="","",IFERROR(_xlfn.XLOOKUP($D2706,'TIR店舗一覧'!$D:$D,'TIR店舗一覧'!$E:$E,""),""))</f>
        <v/>
      </c>
      <c r="V2706" s="54" t="s">
        <v>2</v>
      </c>
      <c r="W2706" s="54" t="s">
        <v>2</v>
      </c>
      <c r="X2706" s="54" t="s">
        <v>2</v>
      </c>
      <c r="Y2706" s="54" t="s">
        <v>2</v>
      </c>
      <c r="Z2706" s="54" t="s">
        <v>2</v>
      </c>
      <c r="AA2706" s="54" t="s">
        <v>2</v>
      </c>
      <c r="AB2706" s="54" t="s">
        <v>2</v>
      </c>
      <c r="AC2706" s="54" t="s">
        <v>2</v>
      </c>
      <c r="AD2706" s="54" t="s">
        <v>2</v>
      </c>
      <c r="AE2706" s="54" t="s">
        <v>2</v>
      </c>
      <c r="AF2706" s="54" t="s">
        <v>2</v>
      </c>
      <c r="AG2706" s="54" t="s">
        <v>2</v>
      </c>
    </row>
    <row r="2707" ht="15.75" customHeight="1">
      <c r="B2707" s="56"/>
      <c r="U2707" s="46" t="str">
        <f t="array" ref="U2707">IF($D2707="","",IFERROR(_xlfn.XLOOKUP($D2707,'TIR店舗一覧'!$D:$D,'TIR店舗一覧'!$E:$E,""),""))</f>
        <v/>
      </c>
      <c r="V2707" s="54" t="s">
        <v>2</v>
      </c>
      <c r="W2707" s="54" t="s">
        <v>2</v>
      </c>
      <c r="X2707" s="54" t="s">
        <v>2</v>
      </c>
      <c r="Y2707" s="54" t="s">
        <v>2</v>
      </c>
      <c r="Z2707" s="54" t="s">
        <v>2</v>
      </c>
      <c r="AA2707" s="54" t="s">
        <v>2</v>
      </c>
      <c r="AB2707" s="54" t="s">
        <v>2</v>
      </c>
      <c r="AC2707" s="54" t="s">
        <v>2</v>
      </c>
      <c r="AD2707" s="54" t="s">
        <v>2</v>
      </c>
      <c r="AE2707" s="54" t="s">
        <v>2</v>
      </c>
      <c r="AF2707" s="54" t="s">
        <v>2</v>
      </c>
      <c r="AG2707" s="54" t="s">
        <v>2</v>
      </c>
    </row>
    <row r="2708" ht="15.75" customHeight="1">
      <c r="B2708" s="56"/>
      <c r="U2708" s="46" t="str">
        <f t="array" ref="U2708">IF($D2708="","",IFERROR(_xlfn.XLOOKUP($D2708,'TIR店舗一覧'!$D:$D,'TIR店舗一覧'!$E:$E,""),""))</f>
        <v/>
      </c>
      <c r="V2708" s="54" t="s">
        <v>2</v>
      </c>
      <c r="W2708" s="54" t="s">
        <v>2</v>
      </c>
      <c r="X2708" s="54" t="s">
        <v>2</v>
      </c>
      <c r="Y2708" s="54" t="s">
        <v>2</v>
      </c>
      <c r="Z2708" s="54" t="s">
        <v>2</v>
      </c>
      <c r="AA2708" s="54" t="s">
        <v>2</v>
      </c>
      <c r="AB2708" s="54" t="s">
        <v>2</v>
      </c>
      <c r="AC2708" s="54" t="s">
        <v>2</v>
      </c>
      <c r="AD2708" s="54" t="s">
        <v>2</v>
      </c>
      <c r="AE2708" s="54" t="s">
        <v>2</v>
      </c>
      <c r="AF2708" s="54" t="s">
        <v>2</v>
      </c>
      <c r="AG2708" s="54" t="s">
        <v>2</v>
      </c>
    </row>
    <row r="2709" ht="15.75" customHeight="1">
      <c r="B2709" s="56"/>
      <c r="U2709" s="46" t="str">
        <f t="array" ref="U2709">IF($D2709="","",IFERROR(_xlfn.XLOOKUP($D2709,'TIR店舗一覧'!$D:$D,'TIR店舗一覧'!$E:$E,""),""))</f>
        <v/>
      </c>
      <c r="V2709" s="54" t="s">
        <v>2</v>
      </c>
      <c r="W2709" s="54" t="s">
        <v>2</v>
      </c>
      <c r="X2709" s="54" t="s">
        <v>2</v>
      </c>
      <c r="Y2709" s="54" t="s">
        <v>2</v>
      </c>
      <c r="Z2709" s="54" t="s">
        <v>2</v>
      </c>
      <c r="AA2709" s="54" t="s">
        <v>2</v>
      </c>
      <c r="AB2709" s="54" t="s">
        <v>2</v>
      </c>
      <c r="AC2709" s="54" t="s">
        <v>2</v>
      </c>
      <c r="AD2709" s="54" t="s">
        <v>2</v>
      </c>
      <c r="AE2709" s="54" t="s">
        <v>2</v>
      </c>
      <c r="AF2709" s="54" t="s">
        <v>2</v>
      </c>
      <c r="AG2709" s="54" t="s">
        <v>2</v>
      </c>
    </row>
    <row r="2710" ht="15.75" customHeight="1">
      <c r="B2710" s="56"/>
      <c r="U2710" s="46" t="str">
        <f t="array" ref="U2710">IF($D2710="","",IFERROR(_xlfn.XLOOKUP($D2710,'TIR店舗一覧'!$D:$D,'TIR店舗一覧'!$E:$E,""),""))</f>
        <v/>
      </c>
      <c r="V2710" s="54" t="s">
        <v>2</v>
      </c>
      <c r="W2710" s="54" t="s">
        <v>2</v>
      </c>
      <c r="X2710" s="54" t="s">
        <v>2</v>
      </c>
      <c r="Y2710" s="54" t="s">
        <v>2</v>
      </c>
      <c r="Z2710" s="54" t="s">
        <v>2</v>
      </c>
      <c r="AA2710" s="54" t="s">
        <v>2</v>
      </c>
      <c r="AB2710" s="54" t="s">
        <v>2</v>
      </c>
      <c r="AC2710" s="54" t="s">
        <v>2</v>
      </c>
      <c r="AD2710" s="54" t="s">
        <v>2</v>
      </c>
      <c r="AE2710" s="54" t="s">
        <v>2</v>
      </c>
      <c r="AF2710" s="54" t="s">
        <v>2</v>
      </c>
      <c r="AG2710" s="54" t="s">
        <v>2</v>
      </c>
    </row>
    <row r="2711" ht="15.75" customHeight="1">
      <c r="B2711" s="56"/>
      <c r="U2711" s="46" t="str">
        <f t="array" ref="U2711">IF($D2711="","",IFERROR(_xlfn.XLOOKUP($D2711,'TIR店舗一覧'!$D:$D,'TIR店舗一覧'!$E:$E,""),""))</f>
        <v/>
      </c>
      <c r="V2711" s="54" t="s">
        <v>2</v>
      </c>
      <c r="W2711" s="54" t="s">
        <v>2</v>
      </c>
      <c r="X2711" s="54" t="s">
        <v>2</v>
      </c>
      <c r="Y2711" s="54" t="s">
        <v>2</v>
      </c>
      <c r="Z2711" s="54" t="s">
        <v>2</v>
      </c>
      <c r="AA2711" s="54" t="s">
        <v>2</v>
      </c>
      <c r="AB2711" s="54" t="s">
        <v>2</v>
      </c>
      <c r="AC2711" s="54" t="s">
        <v>2</v>
      </c>
      <c r="AD2711" s="54" t="s">
        <v>2</v>
      </c>
      <c r="AE2711" s="54" t="s">
        <v>2</v>
      </c>
      <c r="AF2711" s="54" t="s">
        <v>2</v>
      </c>
      <c r="AG2711" s="54" t="s">
        <v>2</v>
      </c>
    </row>
    <row r="2712" ht="15.75" customHeight="1">
      <c r="B2712" s="56"/>
      <c r="U2712" s="46" t="str">
        <f t="array" ref="U2712">IF($D2712="","",IFERROR(_xlfn.XLOOKUP($D2712,'TIR店舗一覧'!$D:$D,'TIR店舗一覧'!$E:$E,""),""))</f>
        <v/>
      </c>
      <c r="V2712" s="54" t="s">
        <v>2</v>
      </c>
      <c r="W2712" s="54" t="s">
        <v>2</v>
      </c>
      <c r="X2712" s="54" t="s">
        <v>2</v>
      </c>
      <c r="Y2712" s="54" t="s">
        <v>2</v>
      </c>
      <c r="Z2712" s="54" t="s">
        <v>2</v>
      </c>
      <c r="AA2712" s="54" t="s">
        <v>2</v>
      </c>
      <c r="AB2712" s="54" t="s">
        <v>2</v>
      </c>
      <c r="AC2712" s="54" t="s">
        <v>2</v>
      </c>
      <c r="AD2712" s="54" t="s">
        <v>2</v>
      </c>
      <c r="AE2712" s="54" t="s">
        <v>2</v>
      </c>
      <c r="AF2712" s="54" t="s">
        <v>2</v>
      </c>
      <c r="AG2712" s="54" t="s">
        <v>2</v>
      </c>
    </row>
    <row r="2713" ht="15.75" customHeight="1">
      <c r="B2713" s="56"/>
      <c r="U2713" s="46" t="str">
        <f t="array" ref="U2713">IF($D2713="","",IFERROR(_xlfn.XLOOKUP($D2713,'TIR店舗一覧'!$D:$D,'TIR店舗一覧'!$E:$E,""),""))</f>
        <v/>
      </c>
      <c r="V2713" s="54" t="s">
        <v>2</v>
      </c>
      <c r="W2713" s="54" t="s">
        <v>2</v>
      </c>
      <c r="X2713" s="54" t="s">
        <v>2</v>
      </c>
      <c r="Y2713" s="54" t="s">
        <v>2</v>
      </c>
      <c r="Z2713" s="54" t="s">
        <v>2</v>
      </c>
      <c r="AA2713" s="54" t="s">
        <v>2</v>
      </c>
      <c r="AB2713" s="54" t="s">
        <v>2</v>
      </c>
      <c r="AC2713" s="54" t="s">
        <v>2</v>
      </c>
      <c r="AD2713" s="54" t="s">
        <v>2</v>
      </c>
      <c r="AE2713" s="54" t="s">
        <v>2</v>
      </c>
      <c r="AF2713" s="54" t="s">
        <v>2</v>
      </c>
      <c r="AG2713" s="54" t="s">
        <v>2</v>
      </c>
    </row>
    <row r="2714" ht="15.75" customHeight="1">
      <c r="B2714" s="56"/>
      <c r="U2714" s="46" t="str">
        <f t="array" ref="U2714">IF($D2714="","",IFERROR(_xlfn.XLOOKUP($D2714,'TIR店舗一覧'!$D:$D,'TIR店舗一覧'!$E:$E,""),""))</f>
        <v/>
      </c>
      <c r="V2714" s="54" t="s">
        <v>2</v>
      </c>
      <c r="W2714" s="54" t="s">
        <v>2</v>
      </c>
      <c r="X2714" s="54" t="s">
        <v>2</v>
      </c>
      <c r="Y2714" s="54" t="s">
        <v>2</v>
      </c>
      <c r="Z2714" s="54" t="s">
        <v>2</v>
      </c>
      <c r="AA2714" s="54" t="s">
        <v>2</v>
      </c>
      <c r="AB2714" s="54" t="s">
        <v>2</v>
      </c>
      <c r="AC2714" s="54" t="s">
        <v>2</v>
      </c>
      <c r="AD2714" s="54" t="s">
        <v>2</v>
      </c>
      <c r="AE2714" s="54" t="s">
        <v>2</v>
      </c>
      <c r="AF2714" s="54" t="s">
        <v>2</v>
      </c>
      <c r="AG2714" s="54" t="s">
        <v>2</v>
      </c>
    </row>
    <row r="2715" ht="15.75" customHeight="1">
      <c r="B2715" s="56"/>
      <c r="U2715" s="46" t="str">
        <f t="array" ref="U2715">IF($D2715="","",IFERROR(_xlfn.XLOOKUP($D2715,'TIR店舗一覧'!$D:$D,'TIR店舗一覧'!$E:$E,""),""))</f>
        <v/>
      </c>
      <c r="V2715" s="54" t="s">
        <v>2</v>
      </c>
      <c r="W2715" s="54" t="s">
        <v>2</v>
      </c>
      <c r="X2715" s="54" t="s">
        <v>2</v>
      </c>
      <c r="Y2715" s="54" t="s">
        <v>2</v>
      </c>
      <c r="Z2715" s="54" t="s">
        <v>2</v>
      </c>
      <c r="AA2715" s="54" t="s">
        <v>2</v>
      </c>
      <c r="AB2715" s="54" t="s">
        <v>2</v>
      </c>
      <c r="AC2715" s="54" t="s">
        <v>2</v>
      </c>
      <c r="AD2715" s="54" t="s">
        <v>2</v>
      </c>
      <c r="AE2715" s="54" t="s">
        <v>2</v>
      </c>
      <c r="AF2715" s="54" t="s">
        <v>2</v>
      </c>
      <c r="AG2715" s="54" t="s">
        <v>2</v>
      </c>
    </row>
    <row r="2716" ht="15.75" customHeight="1">
      <c r="B2716" s="56"/>
      <c r="U2716" s="46" t="str">
        <f t="array" ref="U2716">IF($D2716="","",IFERROR(_xlfn.XLOOKUP($D2716,'TIR店舗一覧'!$D:$D,'TIR店舗一覧'!$E:$E,""),""))</f>
        <v/>
      </c>
      <c r="V2716" s="54" t="s">
        <v>2</v>
      </c>
      <c r="W2716" s="54" t="s">
        <v>2</v>
      </c>
      <c r="X2716" s="54" t="s">
        <v>2</v>
      </c>
      <c r="Y2716" s="54" t="s">
        <v>2</v>
      </c>
      <c r="Z2716" s="54" t="s">
        <v>2</v>
      </c>
      <c r="AA2716" s="54" t="s">
        <v>2</v>
      </c>
      <c r="AB2716" s="54" t="s">
        <v>2</v>
      </c>
      <c r="AC2716" s="54" t="s">
        <v>2</v>
      </c>
      <c r="AD2716" s="54" t="s">
        <v>2</v>
      </c>
      <c r="AE2716" s="54" t="s">
        <v>2</v>
      </c>
      <c r="AF2716" s="54" t="s">
        <v>2</v>
      </c>
      <c r="AG2716" s="54" t="s">
        <v>2</v>
      </c>
    </row>
    <row r="2717" ht="15.75" customHeight="1">
      <c r="B2717" s="56"/>
      <c r="U2717" s="46" t="str">
        <f t="array" ref="U2717">IF($D2717="","",IFERROR(_xlfn.XLOOKUP($D2717,'TIR店舗一覧'!$D:$D,'TIR店舗一覧'!$E:$E,""),""))</f>
        <v/>
      </c>
      <c r="V2717" s="54" t="s">
        <v>2</v>
      </c>
      <c r="W2717" s="54" t="s">
        <v>2</v>
      </c>
      <c r="X2717" s="54" t="s">
        <v>2</v>
      </c>
      <c r="Y2717" s="54" t="s">
        <v>2</v>
      </c>
      <c r="Z2717" s="54" t="s">
        <v>2</v>
      </c>
      <c r="AA2717" s="54" t="s">
        <v>2</v>
      </c>
      <c r="AB2717" s="54" t="s">
        <v>2</v>
      </c>
      <c r="AC2717" s="54" t="s">
        <v>2</v>
      </c>
      <c r="AD2717" s="54" t="s">
        <v>2</v>
      </c>
      <c r="AE2717" s="54" t="s">
        <v>2</v>
      </c>
      <c r="AF2717" s="54" t="s">
        <v>2</v>
      </c>
      <c r="AG2717" s="54" t="s">
        <v>2</v>
      </c>
    </row>
    <row r="2718" ht="15.75" customHeight="1">
      <c r="B2718" s="56"/>
      <c r="U2718" s="46" t="str">
        <f t="array" ref="U2718">IF($D2718="","",IFERROR(_xlfn.XLOOKUP($D2718,'TIR店舗一覧'!$D:$D,'TIR店舗一覧'!$E:$E,""),""))</f>
        <v/>
      </c>
      <c r="V2718" s="54" t="s">
        <v>2</v>
      </c>
      <c r="W2718" s="54" t="s">
        <v>2</v>
      </c>
      <c r="X2718" s="54" t="s">
        <v>2</v>
      </c>
      <c r="Y2718" s="54" t="s">
        <v>2</v>
      </c>
      <c r="Z2718" s="54" t="s">
        <v>2</v>
      </c>
      <c r="AA2718" s="54" t="s">
        <v>2</v>
      </c>
      <c r="AB2718" s="54" t="s">
        <v>2</v>
      </c>
      <c r="AC2718" s="54" t="s">
        <v>2</v>
      </c>
      <c r="AD2718" s="54" t="s">
        <v>2</v>
      </c>
      <c r="AE2718" s="54" t="s">
        <v>2</v>
      </c>
      <c r="AF2718" s="54" t="s">
        <v>2</v>
      </c>
      <c r="AG2718" s="54" t="s">
        <v>2</v>
      </c>
    </row>
    <row r="2719" ht="15.75" customHeight="1">
      <c r="B2719" s="56"/>
      <c r="U2719" s="46" t="str">
        <f t="array" ref="U2719">IF($D2719="","",IFERROR(_xlfn.XLOOKUP($D2719,'TIR店舗一覧'!$D:$D,'TIR店舗一覧'!$E:$E,""),""))</f>
        <v/>
      </c>
      <c r="V2719" s="54" t="s">
        <v>2</v>
      </c>
      <c r="W2719" s="54" t="s">
        <v>2</v>
      </c>
      <c r="X2719" s="54" t="s">
        <v>2</v>
      </c>
      <c r="Y2719" s="54" t="s">
        <v>2</v>
      </c>
      <c r="Z2719" s="54" t="s">
        <v>2</v>
      </c>
      <c r="AA2719" s="54" t="s">
        <v>2</v>
      </c>
      <c r="AB2719" s="54" t="s">
        <v>2</v>
      </c>
      <c r="AC2719" s="54" t="s">
        <v>2</v>
      </c>
      <c r="AD2719" s="54" t="s">
        <v>2</v>
      </c>
      <c r="AE2719" s="54" t="s">
        <v>2</v>
      </c>
      <c r="AF2719" s="54" t="s">
        <v>2</v>
      </c>
      <c r="AG2719" s="54" t="s">
        <v>2</v>
      </c>
    </row>
    <row r="2720" ht="15.75" customHeight="1">
      <c r="B2720" s="56"/>
      <c r="U2720" s="46" t="str">
        <f t="array" ref="U2720">IF($D2720="","",IFERROR(_xlfn.XLOOKUP($D2720,'TIR店舗一覧'!$D:$D,'TIR店舗一覧'!$E:$E,""),""))</f>
        <v/>
      </c>
      <c r="V2720" s="54" t="s">
        <v>2</v>
      </c>
      <c r="W2720" s="54" t="s">
        <v>2</v>
      </c>
      <c r="X2720" s="54" t="s">
        <v>2</v>
      </c>
      <c r="Y2720" s="54" t="s">
        <v>2</v>
      </c>
      <c r="Z2720" s="54" t="s">
        <v>2</v>
      </c>
      <c r="AA2720" s="54" t="s">
        <v>2</v>
      </c>
      <c r="AB2720" s="54" t="s">
        <v>2</v>
      </c>
      <c r="AC2720" s="54" t="s">
        <v>2</v>
      </c>
      <c r="AD2720" s="54" t="s">
        <v>2</v>
      </c>
      <c r="AE2720" s="54" t="s">
        <v>2</v>
      </c>
      <c r="AF2720" s="54" t="s">
        <v>2</v>
      </c>
      <c r="AG2720" s="54" t="s">
        <v>2</v>
      </c>
    </row>
    <row r="2721" ht="15.75" customHeight="1">
      <c r="B2721" s="56"/>
      <c r="U2721" s="46" t="str">
        <f t="array" ref="U2721">IF($D2721="","",IFERROR(_xlfn.XLOOKUP($D2721,'TIR店舗一覧'!$D:$D,'TIR店舗一覧'!$E:$E,""),""))</f>
        <v/>
      </c>
      <c r="V2721" s="54" t="s">
        <v>2</v>
      </c>
      <c r="W2721" s="54" t="s">
        <v>2</v>
      </c>
      <c r="X2721" s="54" t="s">
        <v>2</v>
      </c>
      <c r="Y2721" s="54" t="s">
        <v>2</v>
      </c>
      <c r="Z2721" s="54" t="s">
        <v>2</v>
      </c>
      <c r="AA2721" s="54" t="s">
        <v>2</v>
      </c>
      <c r="AB2721" s="54" t="s">
        <v>2</v>
      </c>
      <c r="AC2721" s="54" t="s">
        <v>2</v>
      </c>
      <c r="AD2721" s="54" t="s">
        <v>2</v>
      </c>
      <c r="AE2721" s="54" t="s">
        <v>2</v>
      </c>
      <c r="AF2721" s="54" t="s">
        <v>2</v>
      </c>
      <c r="AG2721" s="54" t="s">
        <v>2</v>
      </c>
    </row>
    <row r="2722" ht="15.75" customHeight="1">
      <c r="B2722" s="56"/>
      <c r="U2722" s="46" t="str">
        <f t="array" ref="U2722">IF($D2722="","",IFERROR(_xlfn.XLOOKUP($D2722,'TIR店舗一覧'!$D:$D,'TIR店舗一覧'!$E:$E,""),""))</f>
        <v/>
      </c>
      <c r="V2722" s="54" t="s">
        <v>2</v>
      </c>
      <c r="W2722" s="54" t="s">
        <v>2</v>
      </c>
      <c r="X2722" s="54" t="s">
        <v>2</v>
      </c>
      <c r="Y2722" s="54" t="s">
        <v>2</v>
      </c>
      <c r="Z2722" s="54" t="s">
        <v>2</v>
      </c>
      <c r="AA2722" s="54" t="s">
        <v>2</v>
      </c>
      <c r="AB2722" s="54" t="s">
        <v>2</v>
      </c>
      <c r="AC2722" s="54" t="s">
        <v>2</v>
      </c>
      <c r="AD2722" s="54" t="s">
        <v>2</v>
      </c>
      <c r="AE2722" s="54" t="s">
        <v>2</v>
      </c>
      <c r="AF2722" s="54" t="s">
        <v>2</v>
      </c>
      <c r="AG2722" s="54" t="s">
        <v>2</v>
      </c>
    </row>
    <row r="2723" ht="15.75" customHeight="1">
      <c r="B2723" s="56"/>
      <c r="U2723" s="46" t="str">
        <f t="array" ref="U2723">IF($D2723="","",IFERROR(_xlfn.XLOOKUP($D2723,'TIR店舗一覧'!$D:$D,'TIR店舗一覧'!$E:$E,""),""))</f>
        <v/>
      </c>
      <c r="V2723" s="54" t="s">
        <v>2</v>
      </c>
      <c r="W2723" s="54" t="s">
        <v>2</v>
      </c>
      <c r="X2723" s="54" t="s">
        <v>2</v>
      </c>
      <c r="Y2723" s="54" t="s">
        <v>2</v>
      </c>
      <c r="Z2723" s="54" t="s">
        <v>2</v>
      </c>
      <c r="AA2723" s="54" t="s">
        <v>2</v>
      </c>
      <c r="AB2723" s="54" t="s">
        <v>2</v>
      </c>
      <c r="AC2723" s="54" t="s">
        <v>2</v>
      </c>
      <c r="AD2723" s="54" t="s">
        <v>2</v>
      </c>
      <c r="AE2723" s="54" t="s">
        <v>2</v>
      </c>
      <c r="AF2723" s="54" t="s">
        <v>2</v>
      </c>
      <c r="AG2723" s="54" t="s">
        <v>2</v>
      </c>
    </row>
    <row r="2724" ht="15.75" customHeight="1">
      <c r="B2724" s="56"/>
      <c r="U2724" s="46" t="str">
        <f t="array" ref="U2724">IF($D2724="","",IFERROR(_xlfn.XLOOKUP($D2724,'TIR店舗一覧'!$D:$D,'TIR店舗一覧'!$E:$E,""),""))</f>
        <v/>
      </c>
      <c r="V2724" s="54" t="s">
        <v>2</v>
      </c>
      <c r="W2724" s="54" t="s">
        <v>2</v>
      </c>
      <c r="X2724" s="54" t="s">
        <v>2</v>
      </c>
      <c r="Y2724" s="54" t="s">
        <v>2</v>
      </c>
      <c r="Z2724" s="54" t="s">
        <v>2</v>
      </c>
      <c r="AA2724" s="54" t="s">
        <v>2</v>
      </c>
      <c r="AB2724" s="54" t="s">
        <v>2</v>
      </c>
      <c r="AC2724" s="54" t="s">
        <v>2</v>
      </c>
      <c r="AD2724" s="54" t="s">
        <v>2</v>
      </c>
      <c r="AE2724" s="54" t="s">
        <v>2</v>
      </c>
      <c r="AF2724" s="54" t="s">
        <v>2</v>
      </c>
      <c r="AG2724" s="54" t="s">
        <v>2</v>
      </c>
    </row>
    <row r="2725" ht="15.75" customHeight="1">
      <c r="B2725" s="56"/>
      <c r="U2725" s="46" t="str">
        <f t="array" ref="U2725">IF($D2725="","",IFERROR(_xlfn.XLOOKUP($D2725,'TIR店舗一覧'!$D:$D,'TIR店舗一覧'!$E:$E,""),""))</f>
        <v/>
      </c>
      <c r="V2725" s="54" t="s">
        <v>2</v>
      </c>
      <c r="W2725" s="54" t="s">
        <v>2</v>
      </c>
      <c r="X2725" s="54" t="s">
        <v>2</v>
      </c>
      <c r="Y2725" s="54" t="s">
        <v>2</v>
      </c>
      <c r="Z2725" s="54" t="s">
        <v>2</v>
      </c>
      <c r="AA2725" s="54" t="s">
        <v>2</v>
      </c>
      <c r="AB2725" s="54" t="s">
        <v>2</v>
      </c>
      <c r="AC2725" s="54" t="s">
        <v>2</v>
      </c>
      <c r="AD2725" s="54" t="s">
        <v>2</v>
      </c>
      <c r="AE2725" s="54" t="s">
        <v>2</v>
      </c>
      <c r="AF2725" s="54" t="s">
        <v>2</v>
      </c>
      <c r="AG2725" s="54" t="s">
        <v>2</v>
      </c>
    </row>
    <row r="2726" ht="15.75" customHeight="1">
      <c r="B2726" s="56"/>
      <c r="U2726" s="46" t="str">
        <f t="array" ref="U2726">IF($D2726="","",IFERROR(_xlfn.XLOOKUP($D2726,'TIR店舗一覧'!$D:$D,'TIR店舗一覧'!$E:$E,""),""))</f>
        <v/>
      </c>
      <c r="V2726" s="54" t="s">
        <v>2</v>
      </c>
      <c r="W2726" s="54" t="s">
        <v>2</v>
      </c>
      <c r="X2726" s="54" t="s">
        <v>2</v>
      </c>
      <c r="Y2726" s="54" t="s">
        <v>2</v>
      </c>
      <c r="Z2726" s="54" t="s">
        <v>2</v>
      </c>
      <c r="AA2726" s="54" t="s">
        <v>2</v>
      </c>
      <c r="AB2726" s="54" t="s">
        <v>2</v>
      </c>
      <c r="AC2726" s="54" t="s">
        <v>2</v>
      </c>
      <c r="AD2726" s="54" t="s">
        <v>2</v>
      </c>
      <c r="AE2726" s="54" t="s">
        <v>2</v>
      </c>
      <c r="AF2726" s="54" t="s">
        <v>2</v>
      </c>
      <c r="AG2726" s="54" t="s">
        <v>2</v>
      </c>
    </row>
    <row r="2727" ht="15.75" customHeight="1">
      <c r="B2727" s="56"/>
      <c r="U2727" s="46" t="str">
        <f t="array" ref="U2727">IF($D2727="","",IFERROR(_xlfn.XLOOKUP($D2727,'TIR店舗一覧'!$D:$D,'TIR店舗一覧'!$E:$E,""),""))</f>
        <v/>
      </c>
      <c r="V2727" s="54" t="s">
        <v>2</v>
      </c>
      <c r="W2727" s="54" t="s">
        <v>2</v>
      </c>
      <c r="X2727" s="54" t="s">
        <v>2</v>
      </c>
      <c r="Y2727" s="54" t="s">
        <v>2</v>
      </c>
      <c r="Z2727" s="54" t="s">
        <v>2</v>
      </c>
      <c r="AA2727" s="54" t="s">
        <v>2</v>
      </c>
      <c r="AB2727" s="54" t="s">
        <v>2</v>
      </c>
      <c r="AC2727" s="54" t="s">
        <v>2</v>
      </c>
      <c r="AD2727" s="54" t="s">
        <v>2</v>
      </c>
      <c r="AE2727" s="54" t="s">
        <v>2</v>
      </c>
      <c r="AF2727" s="54" t="s">
        <v>2</v>
      </c>
      <c r="AG2727" s="54" t="s">
        <v>2</v>
      </c>
    </row>
    <row r="2728" ht="15.75" customHeight="1">
      <c r="B2728" s="56"/>
      <c r="U2728" s="46" t="str">
        <f t="array" ref="U2728">IF($D2728="","",IFERROR(_xlfn.XLOOKUP($D2728,'TIR店舗一覧'!$D:$D,'TIR店舗一覧'!$E:$E,""),""))</f>
        <v/>
      </c>
      <c r="V2728" s="54" t="s">
        <v>2</v>
      </c>
      <c r="W2728" s="54" t="s">
        <v>2</v>
      </c>
      <c r="X2728" s="54" t="s">
        <v>2</v>
      </c>
      <c r="Y2728" s="54" t="s">
        <v>2</v>
      </c>
      <c r="Z2728" s="54" t="s">
        <v>2</v>
      </c>
      <c r="AA2728" s="54" t="s">
        <v>2</v>
      </c>
      <c r="AB2728" s="54" t="s">
        <v>2</v>
      </c>
      <c r="AC2728" s="54" t="s">
        <v>2</v>
      </c>
      <c r="AD2728" s="54" t="s">
        <v>2</v>
      </c>
      <c r="AE2728" s="54" t="s">
        <v>2</v>
      </c>
      <c r="AF2728" s="54" t="s">
        <v>2</v>
      </c>
      <c r="AG2728" s="54" t="s">
        <v>2</v>
      </c>
    </row>
    <row r="2729" ht="15.75" customHeight="1">
      <c r="B2729" s="56"/>
      <c r="U2729" s="46" t="str">
        <f t="array" ref="U2729">IF($D2729="","",IFERROR(_xlfn.XLOOKUP($D2729,'TIR店舗一覧'!$D:$D,'TIR店舗一覧'!$E:$E,""),""))</f>
        <v/>
      </c>
      <c r="V2729" s="54" t="s">
        <v>2</v>
      </c>
      <c r="W2729" s="54" t="s">
        <v>2</v>
      </c>
      <c r="X2729" s="54" t="s">
        <v>2</v>
      </c>
      <c r="Y2729" s="54" t="s">
        <v>2</v>
      </c>
      <c r="Z2729" s="54" t="s">
        <v>2</v>
      </c>
      <c r="AA2729" s="54" t="s">
        <v>2</v>
      </c>
      <c r="AB2729" s="54" t="s">
        <v>2</v>
      </c>
      <c r="AC2729" s="54" t="s">
        <v>2</v>
      </c>
      <c r="AD2729" s="54" t="s">
        <v>2</v>
      </c>
      <c r="AE2729" s="54" t="s">
        <v>2</v>
      </c>
      <c r="AF2729" s="54" t="s">
        <v>2</v>
      </c>
      <c r="AG2729" s="54" t="s">
        <v>2</v>
      </c>
    </row>
    <row r="2730" ht="15.75" customHeight="1">
      <c r="B2730" s="56"/>
      <c r="U2730" s="46" t="str">
        <f t="array" ref="U2730">IF($D2730="","",IFERROR(_xlfn.XLOOKUP($D2730,'TIR店舗一覧'!$D:$D,'TIR店舗一覧'!$E:$E,""),""))</f>
        <v/>
      </c>
      <c r="V2730" s="54" t="s">
        <v>2</v>
      </c>
      <c r="W2730" s="54" t="s">
        <v>2</v>
      </c>
      <c r="X2730" s="54" t="s">
        <v>2</v>
      </c>
      <c r="Y2730" s="54" t="s">
        <v>2</v>
      </c>
      <c r="Z2730" s="54" t="s">
        <v>2</v>
      </c>
      <c r="AA2730" s="54" t="s">
        <v>2</v>
      </c>
      <c r="AB2730" s="54" t="s">
        <v>2</v>
      </c>
      <c r="AC2730" s="54" t="s">
        <v>2</v>
      </c>
      <c r="AD2730" s="54" t="s">
        <v>2</v>
      </c>
      <c r="AE2730" s="54" t="s">
        <v>2</v>
      </c>
      <c r="AF2730" s="54" t="s">
        <v>2</v>
      </c>
      <c r="AG2730" s="54" t="s">
        <v>2</v>
      </c>
    </row>
    <row r="2731" ht="15.75" customHeight="1">
      <c r="B2731" s="56"/>
      <c r="U2731" s="46" t="str">
        <f t="array" ref="U2731">IF($D2731="","",IFERROR(_xlfn.XLOOKUP($D2731,'TIR店舗一覧'!$D:$D,'TIR店舗一覧'!$E:$E,""),""))</f>
        <v/>
      </c>
      <c r="V2731" s="54" t="s">
        <v>2</v>
      </c>
      <c r="W2731" s="54" t="s">
        <v>2</v>
      </c>
      <c r="X2731" s="54" t="s">
        <v>2</v>
      </c>
      <c r="Y2731" s="54" t="s">
        <v>2</v>
      </c>
      <c r="Z2731" s="54" t="s">
        <v>2</v>
      </c>
      <c r="AA2731" s="54" t="s">
        <v>2</v>
      </c>
      <c r="AB2731" s="54" t="s">
        <v>2</v>
      </c>
      <c r="AC2731" s="54" t="s">
        <v>2</v>
      </c>
      <c r="AD2731" s="54" t="s">
        <v>2</v>
      </c>
      <c r="AE2731" s="54" t="s">
        <v>2</v>
      </c>
      <c r="AF2731" s="54" t="s">
        <v>2</v>
      </c>
      <c r="AG2731" s="54" t="s">
        <v>2</v>
      </c>
    </row>
    <row r="2732" ht="15.75" customHeight="1">
      <c r="B2732" s="56"/>
      <c r="U2732" s="46" t="str">
        <f t="array" ref="U2732">IF($D2732="","",IFERROR(_xlfn.XLOOKUP($D2732,'TIR店舗一覧'!$D:$D,'TIR店舗一覧'!$E:$E,""),""))</f>
        <v/>
      </c>
      <c r="V2732" s="54" t="s">
        <v>2</v>
      </c>
      <c r="W2732" s="54" t="s">
        <v>2</v>
      </c>
      <c r="X2732" s="54" t="s">
        <v>2</v>
      </c>
      <c r="Y2732" s="54" t="s">
        <v>2</v>
      </c>
      <c r="Z2732" s="54" t="s">
        <v>2</v>
      </c>
      <c r="AA2732" s="54" t="s">
        <v>2</v>
      </c>
      <c r="AB2732" s="54" t="s">
        <v>2</v>
      </c>
      <c r="AC2732" s="54" t="s">
        <v>2</v>
      </c>
      <c r="AD2732" s="54" t="s">
        <v>2</v>
      </c>
      <c r="AE2732" s="54" t="s">
        <v>2</v>
      </c>
      <c r="AF2732" s="54" t="s">
        <v>2</v>
      </c>
      <c r="AG2732" s="54" t="s">
        <v>2</v>
      </c>
    </row>
    <row r="2733" ht="15.75" customHeight="1">
      <c r="B2733" s="56"/>
      <c r="U2733" s="46" t="str">
        <f t="array" ref="U2733">IF($D2733="","",IFERROR(_xlfn.XLOOKUP($D2733,'TIR店舗一覧'!$D:$D,'TIR店舗一覧'!$E:$E,""),""))</f>
        <v/>
      </c>
      <c r="V2733" s="54" t="s">
        <v>2</v>
      </c>
      <c r="W2733" s="54" t="s">
        <v>2</v>
      </c>
      <c r="X2733" s="54" t="s">
        <v>2</v>
      </c>
      <c r="Y2733" s="54" t="s">
        <v>2</v>
      </c>
      <c r="Z2733" s="54" t="s">
        <v>2</v>
      </c>
      <c r="AA2733" s="54" t="s">
        <v>2</v>
      </c>
      <c r="AB2733" s="54" t="s">
        <v>2</v>
      </c>
      <c r="AC2733" s="54" t="s">
        <v>2</v>
      </c>
      <c r="AD2733" s="54" t="s">
        <v>2</v>
      </c>
      <c r="AE2733" s="54" t="s">
        <v>2</v>
      </c>
      <c r="AF2733" s="54" t="s">
        <v>2</v>
      </c>
      <c r="AG2733" s="54" t="s">
        <v>2</v>
      </c>
    </row>
    <row r="2734" ht="15.75" customHeight="1">
      <c r="B2734" s="56"/>
      <c r="U2734" s="46" t="str">
        <f t="array" ref="U2734">IF($D2734="","",IFERROR(_xlfn.XLOOKUP($D2734,'TIR店舗一覧'!$D:$D,'TIR店舗一覧'!$E:$E,""),""))</f>
        <v/>
      </c>
      <c r="V2734" s="54" t="s">
        <v>2</v>
      </c>
      <c r="W2734" s="54" t="s">
        <v>2</v>
      </c>
      <c r="X2734" s="54" t="s">
        <v>2</v>
      </c>
      <c r="Y2734" s="54" t="s">
        <v>2</v>
      </c>
      <c r="Z2734" s="54" t="s">
        <v>2</v>
      </c>
      <c r="AA2734" s="54" t="s">
        <v>2</v>
      </c>
      <c r="AB2734" s="54" t="s">
        <v>2</v>
      </c>
      <c r="AC2734" s="54" t="s">
        <v>2</v>
      </c>
      <c r="AD2734" s="54" t="s">
        <v>2</v>
      </c>
      <c r="AE2734" s="54" t="s">
        <v>2</v>
      </c>
      <c r="AF2734" s="54" t="s">
        <v>2</v>
      </c>
      <c r="AG2734" s="54" t="s">
        <v>2</v>
      </c>
    </row>
    <row r="2735" ht="15.75" customHeight="1">
      <c r="B2735" s="56"/>
      <c r="U2735" s="46" t="str">
        <f t="array" ref="U2735">IF($D2735="","",IFERROR(_xlfn.XLOOKUP($D2735,'TIR店舗一覧'!$D:$D,'TIR店舗一覧'!$E:$E,""),""))</f>
        <v/>
      </c>
      <c r="V2735" s="54" t="s">
        <v>2</v>
      </c>
      <c r="W2735" s="54" t="s">
        <v>2</v>
      </c>
      <c r="X2735" s="54" t="s">
        <v>2</v>
      </c>
      <c r="Y2735" s="54" t="s">
        <v>2</v>
      </c>
      <c r="Z2735" s="54" t="s">
        <v>2</v>
      </c>
      <c r="AA2735" s="54" t="s">
        <v>2</v>
      </c>
      <c r="AB2735" s="54" t="s">
        <v>2</v>
      </c>
      <c r="AC2735" s="54" t="s">
        <v>2</v>
      </c>
      <c r="AD2735" s="54" t="s">
        <v>2</v>
      </c>
      <c r="AE2735" s="54" t="s">
        <v>2</v>
      </c>
      <c r="AF2735" s="54" t="s">
        <v>2</v>
      </c>
      <c r="AG2735" s="54" t="s">
        <v>2</v>
      </c>
    </row>
    <row r="2736" ht="15.75" customHeight="1">
      <c r="B2736" s="56"/>
      <c r="U2736" s="46" t="str">
        <f t="array" ref="U2736">IF($D2736="","",IFERROR(_xlfn.XLOOKUP($D2736,'TIR店舗一覧'!$D:$D,'TIR店舗一覧'!$E:$E,""),""))</f>
        <v/>
      </c>
      <c r="V2736" s="54" t="s">
        <v>2</v>
      </c>
      <c r="W2736" s="54" t="s">
        <v>2</v>
      </c>
      <c r="X2736" s="54" t="s">
        <v>2</v>
      </c>
      <c r="Y2736" s="54" t="s">
        <v>2</v>
      </c>
      <c r="Z2736" s="54" t="s">
        <v>2</v>
      </c>
      <c r="AA2736" s="54" t="s">
        <v>2</v>
      </c>
      <c r="AB2736" s="54" t="s">
        <v>2</v>
      </c>
      <c r="AC2736" s="54" t="s">
        <v>2</v>
      </c>
      <c r="AD2736" s="54" t="s">
        <v>2</v>
      </c>
      <c r="AE2736" s="54" t="s">
        <v>2</v>
      </c>
      <c r="AF2736" s="54" t="s">
        <v>2</v>
      </c>
      <c r="AG2736" s="54" t="s">
        <v>2</v>
      </c>
    </row>
    <row r="2737" ht="15.75" customHeight="1">
      <c r="B2737" s="56"/>
      <c r="U2737" s="46" t="str">
        <f t="array" ref="U2737">IF($D2737="","",IFERROR(_xlfn.XLOOKUP($D2737,'TIR店舗一覧'!$D:$D,'TIR店舗一覧'!$E:$E,""),""))</f>
        <v/>
      </c>
      <c r="V2737" s="54" t="s">
        <v>2</v>
      </c>
      <c r="W2737" s="54" t="s">
        <v>2</v>
      </c>
      <c r="X2737" s="54" t="s">
        <v>2</v>
      </c>
      <c r="Y2737" s="54" t="s">
        <v>2</v>
      </c>
      <c r="Z2737" s="54" t="s">
        <v>2</v>
      </c>
      <c r="AA2737" s="54" t="s">
        <v>2</v>
      </c>
      <c r="AB2737" s="54" t="s">
        <v>2</v>
      </c>
      <c r="AC2737" s="54" t="s">
        <v>2</v>
      </c>
      <c r="AD2737" s="54" t="s">
        <v>2</v>
      </c>
      <c r="AE2737" s="54" t="s">
        <v>2</v>
      </c>
      <c r="AF2737" s="54" t="s">
        <v>2</v>
      </c>
      <c r="AG2737" s="54" t="s">
        <v>2</v>
      </c>
    </row>
    <row r="2738" ht="15.75" customHeight="1">
      <c r="B2738" s="56"/>
      <c r="U2738" s="46" t="str">
        <f t="array" ref="U2738">IF($D2738="","",IFERROR(_xlfn.XLOOKUP($D2738,'TIR店舗一覧'!$D:$D,'TIR店舗一覧'!$E:$E,""),""))</f>
        <v/>
      </c>
      <c r="V2738" s="54" t="s">
        <v>2</v>
      </c>
      <c r="W2738" s="54" t="s">
        <v>2</v>
      </c>
      <c r="X2738" s="54" t="s">
        <v>2</v>
      </c>
      <c r="Y2738" s="54" t="s">
        <v>2</v>
      </c>
      <c r="Z2738" s="54" t="s">
        <v>2</v>
      </c>
      <c r="AA2738" s="54" t="s">
        <v>2</v>
      </c>
      <c r="AB2738" s="54" t="s">
        <v>2</v>
      </c>
      <c r="AC2738" s="54" t="s">
        <v>2</v>
      </c>
      <c r="AD2738" s="54" t="s">
        <v>2</v>
      </c>
      <c r="AE2738" s="54" t="s">
        <v>2</v>
      </c>
      <c r="AF2738" s="54" t="s">
        <v>2</v>
      </c>
      <c r="AG2738" s="54" t="s">
        <v>2</v>
      </c>
    </row>
    <row r="2739" ht="15.75" customHeight="1">
      <c r="B2739" s="56"/>
      <c r="U2739" s="46" t="str">
        <f t="array" ref="U2739">IF($D2739="","",IFERROR(_xlfn.XLOOKUP($D2739,'TIR店舗一覧'!$D:$D,'TIR店舗一覧'!$E:$E,""),""))</f>
        <v/>
      </c>
      <c r="V2739" s="54" t="s">
        <v>2</v>
      </c>
      <c r="W2739" s="54" t="s">
        <v>2</v>
      </c>
      <c r="X2739" s="54" t="s">
        <v>2</v>
      </c>
      <c r="Y2739" s="54" t="s">
        <v>2</v>
      </c>
      <c r="Z2739" s="54" t="s">
        <v>2</v>
      </c>
      <c r="AA2739" s="54" t="s">
        <v>2</v>
      </c>
      <c r="AB2739" s="54" t="s">
        <v>2</v>
      </c>
      <c r="AC2739" s="54" t="s">
        <v>2</v>
      </c>
      <c r="AD2739" s="54" t="s">
        <v>2</v>
      </c>
      <c r="AE2739" s="54" t="s">
        <v>2</v>
      </c>
      <c r="AF2739" s="54" t="s">
        <v>2</v>
      </c>
      <c r="AG2739" s="54" t="s">
        <v>2</v>
      </c>
    </row>
    <row r="2740" ht="15.75" customHeight="1">
      <c r="B2740" s="56"/>
      <c r="U2740" s="46" t="str">
        <f t="array" ref="U2740">IF($D2740="","",IFERROR(_xlfn.XLOOKUP($D2740,'TIR店舗一覧'!$D:$D,'TIR店舗一覧'!$E:$E,""),""))</f>
        <v/>
      </c>
      <c r="V2740" s="54" t="s">
        <v>2</v>
      </c>
      <c r="W2740" s="54" t="s">
        <v>2</v>
      </c>
      <c r="X2740" s="54" t="s">
        <v>2</v>
      </c>
      <c r="Y2740" s="54" t="s">
        <v>2</v>
      </c>
      <c r="Z2740" s="54" t="s">
        <v>2</v>
      </c>
      <c r="AA2740" s="54" t="s">
        <v>2</v>
      </c>
      <c r="AB2740" s="54" t="s">
        <v>2</v>
      </c>
      <c r="AC2740" s="54" t="s">
        <v>2</v>
      </c>
      <c r="AD2740" s="54" t="s">
        <v>2</v>
      </c>
      <c r="AE2740" s="54" t="s">
        <v>2</v>
      </c>
      <c r="AF2740" s="54" t="s">
        <v>2</v>
      </c>
      <c r="AG2740" s="54" t="s">
        <v>2</v>
      </c>
    </row>
    <row r="2741" ht="15.75" customHeight="1">
      <c r="B2741" s="56"/>
      <c r="U2741" s="46" t="str">
        <f t="array" ref="U2741">IF($D2741="","",IFERROR(_xlfn.XLOOKUP($D2741,'TIR店舗一覧'!$D:$D,'TIR店舗一覧'!$E:$E,""),""))</f>
        <v/>
      </c>
      <c r="V2741" s="54" t="s">
        <v>2</v>
      </c>
      <c r="W2741" s="54" t="s">
        <v>2</v>
      </c>
      <c r="X2741" s="54" t="s">
        <v>2</v>
      </c>
      <c r="Y2741" s="54" t="s">
        <v>2</v>
      </c>
      <c r="Z2741" s="54" t="s">
        <v>2</v>
      </c>
      <c r="AA2741" s="54" t="s">
        <v>2</v>
      </c>
      <c r="AB2741" s="54" t="s">
        <v>2</v>
      </c>
      <c r="AC2741" s="54" t="s">
        <v>2</v>
      </c>
      <c r="AD2741" s="54" t="s">
        <v>2</v>
      </c>
      <c r="AE2741" s="54" t="s">
        <v>2</v>
      </c>
      <c r="AF2741" s="54" t="s">
        <v>2</v>
      </c>
      <c r="AG2741" s="54" t="s">
        <v>2</v>
      </c>
    </row>
    <row r="2742" ht="15.75" customHeight="1">
      <c r="B2742" s="56"/>
      <c r="U2742" s="46" t="str">
        <f t="array" ref="U2742">IF($D2742="","",IFERROR(_xlfn.XLOOKUP($D2742,'TIR店舗一覧'!$D:$D,'TIR店舗一覧'!$E:$E,""),""))</f>
        <v/>
      </c>
      <c r="V2742" s="54" t="s">
        <v>2</v>
      </c>
      <c r="W2742" s="54" t="s">
        <v>2</v>
      </c>
      <c r="X2742" s="54" t="s">
        <v>2</v>
      </c>
      <c r="Y2742" s="54" t="s">
        <v>2</v>
      </c>
      <c r="Z2742" s="54" t="s">
        <v>2</v>
      </c>
      <c r="AA2742" s="54" t="s">
        <v>2</v>
      </c>
      <c r="AB2742" s="54" t="s">
        <v>2</v>
      </c>
      <c r="AC2742" s="54" t="s">
        <v>2</v>
      </c>
      <c r="AD2742" s="54" t="s">
        <v>2</v>
      </c>
      <c r="AE2742" s="54" t="s">
        <v>2</v>
      </c>
      <c r="AF2742" s="54" t="s">
        <v>2</v>
      </c>
      <c r="AG2742" s="54" t="s">
        <v>2</v>
      </c>
    </row>
    <row r="2743" ht="15.75" customHeight="1">
      <c r="B2743" s="56"/>
      <c r="U2743" s="46" t="str">
        <f t="array" ref="U2743">IF($D2743="","",IFERROR(_xlfn.XLOOKUP($D2743,'TIR店舗一覧'!$D:$D,'TIR店舗一覧'!$E:$E,""),""))</f>
        <v/>
      </c>
      <c r="V2743" s="54" t="s">
        <v>2</v>
      </c>
      <c r="W2743" s="54" t="s">
        <v>2</v>
      </c>
      <c r="X2743" s="54" t="s">
        <v>2</v>
      </c>
      <c r="Y2743" s="54" t="s">
        <v>2</v>
      </c>
      <c r="Z2743" s="54" t="s">
        <v>2</v>
      </c>
      <c r="AA2743" s="54" t="s">
        <v>2</v>
      </c>
      <c r="AB2743" s="54" t="s">
        <v>2</v>
      </c>
      <c r="AC2743" s="54" t="s">
        <v>2</v>
      </c>
      <c r="AD2743" s="54" t="s">
        <v>2</v>
      </c>
      <c r="AE2743" s="54" t="s">
        <v>2</v>
      </c>
      <c r="AF2743" s="54" t="s">
        <v>2</v>
      </c>
      <c r="AG2743" s="54" t="s">
        <v>2</v>
      </c>
    </row>
    <row r="2744" ht="15.75" customHeight="1">
      <c r="B2744" s="56"/>
      <c r="U2744" s="46" t="str">
        <f t="array" ref="U2744">IF($D2744="","",IFERROR(_xlfn.XLOOKUP($D2744,'TIR店舗一覧'!$D:$D,'TIR店舗一覧'!$E:$E,""),""))</f>
        <v/>
      </c>
      <c r="V2744" s="54" t="s">
        <v>2</v>
      </c>
      <c r="W2744" s="54" t="s">
        <v>2</v>
      </c>
      <c r="X2744" s="54" t="s">
        <v>2</v>
      </c>
      <c r="Y2744" s="54" t="s">
        <v>2</v>
      </c>
      <c r="Z2744" s="54" t="s">
        <v>2</v>
      </c>
      <c r="AA2744" s="54" t="s">
        <v>2</v>
      </c>
      <c r="AB2744" s="54" t="s">
        <v>2</v>
      </c>
      <c r="AC2744" s="54" t="s">
        <v>2</v>
      </c>
      <c r="AD2744" s="54" t="s">
        <v>2</v>
      </c>
      <c r="AE2744" s="54" t="s">
        <v>2</v>
      </c>
      <c r="AF2744" s="54" t="s">
        <v>2</v>
      </c>
      <c r="AG2744" s="54" t="s">
        <v>2</v>
      </c>
    </row>
    <row r="2745" ht="15.75" customHeight="1">
      <c r="B2745" s="56"/>
      <c r="U2745" s="46" t="str">
        <f t="array" ref="U2745">IF($D2745="","",IFERROR(_xlfn.XLOOKUP($D2745,'TIR店舗一覧'!$D:$D,'TIR店舗一覧'!$E:$E,""),""))</f>
        <v/>
      </c>
      <c r="V2745" s="54" t="s">
        <v>2</v>
      </c>
      <c r="W2745" s="54" t="s">
        <v>2</v>
      </c>
      <c r="X2745" s="54" t="s">
        <v>2</v>
      </c>
      <c r="Y2745" s="54" t="s">
        <v>2</v>
      </c>
      <c r="Z2745" s="54" t="s">
        <v>2</v>
      </c>
      <c r="AA2745" s="54" t="s">
        <v>2</v>
      </c>
      <c r="AB2745" s="54" t="s">
        <v>2</v>
      </c>
      <c r="AC2745" s="54" t="s">
        <v>2</v>
      </c>
      <c r="AD2745" s="54" t="s">
        <v>2</v>
      </c>
      <c r="AE2745" s="54" t="s">
        <v>2</v>
      </c>
      <c r="AF2745" s="54" t="s">
        <v>2</v>
      </c>
      <c r="AG2745" s="54" t="s">
        <v>2</v>
      </c>
    </row>
    <row r="2746" ht="15.75" customHeight="1">
      <c r="B2746" s="56"/>
      <c r="U2746" s="46" t="str">
        <f t="array" ref="U2746">IF($D2746="","",IFERROR(_xlfn.XLOOKUP($D2746,'TIR店舗一覧'!$D:$D,'TIR店舗一覧'!$E:$E,""),""))</f>
        <v/>
      </c>
      <c r="V2746" s="54" t="s">
        <v>2</v>
      </c>
      <c r="W2746" s="54" t="s">
        <v>2</v>
      </c>
      <c r="X2746" s="54" t="s">
        <v>2</v>
      </c>
      <c r="Y2746" s="54" t="s">
        <v>2</v>
      </c>
      <c r="Z2746" s="54" t="s">
        <v>2</v>
      </c>
      <c r="AA2746" s="54" t="s">
        <v>2</v>
      </c>
      <c r="AB2746" s="54" t="s">
        <v>2</v>
      </c>
      <c r="AC2746" s="54" t="s">
        <v>2</v>
      </c>
      <c r="AD2746" s="54" t="s">
        <v>2</v>
      </c>
      <c r="AE2746" s="54" t="s">
        <v>2</v>
      </c>
      <c r="AF2746" s="54" t="s">
        <v>2</v>
      </c>
      <c r="AG2746" s="54" t="s">
        <v>2</v>
      </c>
    </row>
    <row r="2747" ht="15.75" customHeight="1">
      <c r="B2747" s="56"/>
      <c r="U2747" s="46" t="str">
        <f t="array" ref="U2747">IF($D2747="","",IFERROR(_xlfn.XLOOKUP($D2747,'TIR店舗一覧'!$D:$D,'TIR店舗一覧'!$E:$E,""),""))</f>
        <v/>
      </c>
      <c r="V2747" s="54" t="s">
        <v>2</v>
      </c>
      <c r="W2747" s="54" t="s">
        <v>2</v>
      </c>
      <c r="X2747" s="54" t="s">
        <v>2</v>
      </c>
      <c r="Y2747" s="54" t="s">
        <v>2</v>
      </c>
      <c r="Z2747" s="54" t="s">
        <v>2</v>
      </c>
      <c r="AA2747" s="54" t="s">
        <v>2</v>
      </c>
      <c r="AB2747" s="54" t="s">
        <v>2</v>
      </c>
      <c r="AC2747" s="54" t="s">
        <v>2</v>
      </c>
      <c r="AD2747" s="54" t="s">
        <v>2</v>
      </c>
      <c r="AE2747" s="54" t="s">
        <v>2</v>
      </c>
      <c r="AF2747" s="54" t="s">
        <v>2</v>
      </c>
      <c r="AG2747" s="54" t="s">
        <v>2</v>
      </c>
    </row>
    <row r="2748" ht="15.75" customHeight="1">
      <c r="B2748" s="56"/>
      <c r="U2748" s="46" t="str">
        <f t="array" ref="U2748">IF($D2748="","",IFERROR(_xlfn.XLOOKUP($D2748,'TIR店舗一覧'!$D:$D,'TIR店舗一覧'!$E:$E,""),""))</f>
        <v/>
      </c>
      <c r="V2748" s="54" t="s">
        <v>2</v>
      </c>
      <c r="W2748" s="54" t="s">
        <v>2</v>
      </c>
      <c r="X2748" s="54" t="s">
        <v>2</v>
      </c>
      <c r="Y2748" s="54" t="s">
        <v>2</v>
      </c>
      <c r="Z2748" s="54" t="s">
        <v>2</v>
      </c>
      <c r="AA2748" s="54" t="s">
        <v>2</v>
      </c>
      <c r="AB2748" s="54" t="s">
        <v>2</v>
      </c>
      <c r="AC2748" s="54" t="s">
        <v>2</v>
      </c>
      <c r="AD2748" s="54" t="s">
        <v>2</v>
      </c>
      <c r="AE2748" s="54" t="s">
        <v>2</v>
      </c>
      <c r="AF2748" s="54" t="s">
        <v>2</v>
      </c>
      <c r="AG2748" s="54" t="s">
        <v>2</v>
      </c>
    </row>
    <row r="2749" ht="15.75" customHeight="1">
      <c r="B2749" s="56"/>
      <c r="U2749" s="46" t="str">
        <f t="array" ref="U2749">IF($D2749="","",IFERROR(_xlfn.XLOOKUP($D2749,'TIR店舗一覧'!$D:$D,'TIR店舗一覧'!$E:$E,""),""))</f>
        <v/>
      </c>
      <c r="V2749" s="54" t="s">
        <v>2</v>
      </c>
      <c r="W2749" s="54" t="s">
        <v>2</v>
      </c>
      <c r="X2749" s="54" t="s">
        <v>2</v>
      </c>
      <c r="Y2749" s="54" t="s">
        <v>2</v>
      </c>
      <c r="Z2749" s="54" t="s">
        <v>2</v>
      </c>
      <c r="AA2749" s="54" t="s">
        <v>2</v>
      </c>
      <c r="AB2749" s="54" t="s">
        <v>2</v>
      </c>
      <c r="AC2749" s="54" t="s">
        <v>2</v>
      </c>
      <c r="AD2749" s="54" t="s">
        <v>2</v>
      </c>
      <c r="AE2749" s="54" t="s">
        <v>2</v>
      </c>
      <c r="AF2749" s="54" t="s">
        <v>2</v>
      </c>
      <c r="AG2749" s="54" t="s">
        <v>2</v>
      </c>
    </row>
    <row r="2750" ht="15.75" customHeight="1">
      <c r="B2750" s="56"/>
      <c r="U2750" s="46" t="str">
        <f t="array" ref="U2750">IF($D2750="","",IFERROR(_xlfn.XLOOKUP($D2750,'TIR店舗一覧'!$D:$D,'TIR店舗一覧'!$E:$E,""),""))</f>
        <v/>
      </c>
      <c r="V2750" s="54" t="s">
        <v>2</v>
      </c>
      <c r="W2750" s="54" t="s">
        <v>2</v>
      </c>
      <c r="X2750" s="54" t="s">
        <v>2</v>
      </c>
      <c r="Y2750" s="54" t="s">
        <v>2</v>
      </c>
      <c r="Z2750" s="54" t="s">
        <v>2</v>
      </c>
      <c r="AA2750" s="54" t="s">
        <v>2</v>
      </c>
      <c r="AB2750" s="54" t="s">
        <v>2</v>
      </c>
      <c r="AC2750" s="54" t="s">
        <v>2</v>
      </c>
      <c r="AD2750" s="54" t="s">
        <v>2</v>
      </c>
      <c r="AE2750" s="54" t="s">
        <v>2</v>
      </c>
      <c r="AF2750" s="54" t="s">
        <v>2</v>
      </c>
      <c r="AG2750" s="54" t="s">
        <v>2</v>
      </c>
    </row>
    <row r="2751" ht="15.75" customHeight="1">
      <c r="B2751" s="56"/>
      <c r="U2751" s="46" t="str">
        <f t="array" ref="U2751">IF($D2751="","",IFERROR(_xlfn.XLOOKUP($D2751,'TIR店舗一覧'!$D:$D,'TIR店舗一覧'!$E:$E,""),""))</f>
        <v/>
      </c>
      <c r="V2751" s="54" t="s">
        <v>2</v>
      </c>
      <c r="W2751" s="54" t="s">
        <v>2</v>
      </c>
      <c r="X2751" s="54" t="s">
        <v>2</v>
      </c>
      <c r="Y2751" s="54" t="s">
        <v>2</v>
      </c>
      <c r="Z2751" s="54" t="s">
        <v>2</v>
      </c>
      <c r="AA2751" s="54" t="s">
        <v>2</v>
      </c>
      <c r="AB2751" s="54" t="s">
        <v>2</v>
      </c>
      <c r="AC2751" s="54" t="s">
        <v>2</v>
      </c>
      <c r="AD2751" s="54" t="s">
        <v>2</v>
      </c>
      <c r="AE2751" s="54" t="s">
        <v>2</v>
      </c>
      <c r="AF2751" s="54" t="s">
        <v>2</v>
      </c>
      <c r="AG2751" s="54" t="s">
        <v>2</v>
      </c>
    </row>
    <row r="2752" ht="15.75" customHeight="1">
      <c r="B2752" s="56"/>
      <c r="U2752" s="46" t="str">
        <f t="array" ref="U2752">IF($D2752="","",IFERROR(_xlfn.XLOOKUP($D2752,'TIR店舗一覧'!$D:$D,'TIR店舗一覧'!$E:$E,""),""))</f>
        <v/>
      </c>
      <c r="V2752" s="54" t="s">
        <v>2</v>
      </c>
      <c r="W2752" s="54" t="s">
        <v>2</v>
      </c>
      <c r="X2752" s="54" t="s">
        <v>2</v>
      </c>
      <c r="Y2752" s="54" t="s">
        <v>2</v>
      </c>
      <c r="Z2752" s="54" t="s">
        <v>2</v>
      </c>
      <c r="AA2752" s="54" t="s">
        <v>2</v>
      </c>
      <c r="AB2752" s="54" t="s">
        <v>2</v>
      </c>
      <c r="AC2752" s="54" t="s">
        <v>2</v>
      </c>
      <c r="AD2752" s="54" t="s">
        <v>2</v>
      </c>
      <c r="AE2752" s="54" t="s">
        <v>2</v>
      </c>
      <c r="AF2752" s="54" t="s">
        <v>2</v>
      </c>
      <c r="AG2752" s="54" t="s">
        <v>2</v>
      </c>
    </row>
    <row r="2753" ht="15.75" customHeight="1">
      <c r="B2753" s="56"/>
      <c r="U2753" s="46" t="str">
        <f t="array" ref="U2753">IF($D2753="","",IFERROR(_xlfn.XLOOKUP($D2753,'TIR店舗一覧'!$D:$D,'TIR店舗一覧'!$E:$E,""),""))</f>
        <v/>
      </c>
      <c r="V2753" s="54" t="s">
        <v>2</v>
      </c>
      <c r="W2753" s="54" t="s">
        <v>2</v>
      </c>
      <c r="X2753" s="54" t="s">
        <v>2</v>
      </c>
      <c r="Y2753" s="54" t="s">
        <v>2</v>
      </c>
      <c r="Z2753" s="54" t="s">
        <v>2</v>
      </c>
      <c r="AA2753" s="54" t="s">
        <v>2</v>
      </c>
      <c r="AB2753" s="54" t="s">
        <v>2</v>
      </c>
      <c r="AC2753" s="54" t="s">
        <v>2</v>
      </c>
      <c r="AD2753" s="54" t="s">
        <v>2</v>
      </c>
      <c r="AE2753" s="54" t="s">
        <v>2</v>
      </c>
      <c r="AF2753" s="54" t="s">
        <v>2</v>
      </c>
      <c r="AG2753" s="54" t="s">
        <v>2</v>
      </c>
    </row>
    <row r="2754" ht="15.75" customHeight="1">
      <c r="B2754" s="56"/>
      <c r="U2754" s="46" t="str">
        <f t="array" ref="U2754">IF($D2754="","",IFERROR(_xlfn.XLOOKUP($D2754,'TIR店舗一覧'!$D:$D,'TIR店舗一覧'!$E:$E,""),""))</f>
        <v/>
      </c>
      <c r="V2754" s="54" t="s">
        <v>2</v>
      </c>
      <c r="W2754" s="54" t="s">
        <v>2</v>
      </c>
      <c r="X2754" s="54" t="s">
        <v>2</v>
      </c>
      <c r="Y2754" s="54" t="s">
        <v>2</v>
      </c>
      <c r="Z2754" s="54" t="s">
        <v>2</v>
      </c>
      <c r="AA2754" s="54" t="s">
        <v>2</v>
      </c>
      <c r="AB2754" s="54" t="s">
        <v>2</v>
      </c>
      <c r="AC2754" s="54" t="s">
        <v>2</v>
      </c>
      <c r="AD2754" s="54" t="s">
        <v>2</v>
      </c>
      <c r="AE2754" s="54" t="s">
        <v>2</v>
      </c>
      <c r="AF2754" s="54" t="s">
        <v>2</v>
      </c>
      <c r="AG2754" s="54" t="s">
        <v>2</v>
      </c>
    </row>
    <row r="2755" ht="15.75" customHeight="1">
      <c r="B2755" s="56"/>
      <c r="U2755" s="46" t="str">
        <f t="array" ref="U2755">IF($D2755="","",IFERROR(_xlfn.XLOOKUP($D2755,'TIR店舗一覧'!$D:$D,'TIR店舗一覧'!$E:$E,""),""))</f>
        <v/>
      </c>
      <c r="V2755" s="54" t="s">
        <v>2</v>
      </c>
      <c r="W2755" s="54" t="s">
        <v>2</v>
      </c>
      <c r="X2755" s="54" t="s">
        <v>2</v>
      </c>
      <c r="Y2755" s="54" t="s">
        <v>2</v>
      </c>
      <c r="Z2755" s="54" t="s">
        <v>2</v>
      </c>
      <c r="AA2755" s="54" t="s">
        <v>2</v>
      </c>
      <c r="AB2755" s="54" t="s">
        <v>2</v>
      </c>
      <c r="AC2755" s="54" t="s">
        <v>2</v>
      </c>
      <c r="AD2755" s="54" t="s">
        <v>2</v>
      </c>
      <c r="AE2755" s="54" t="s">
        <v>2</v>
      </c>
      <c r="AF2755" s="54" t="s">
        <v>2</v>
      </c>
      <c r="AG2755" s="54" t="s">
        <v>2</v>
      </c>
    </row>
    <row r="2756" ht="15.75" customHeight="1">
      <c r="B2756" s="56"/>
      <c r="U2756" s="46" t="str">
        <f t="array" ref="U2756">IF($D2756="","",IFERROR(_xlfn.XLOOKUP($D2756,'TIR店舗一覧'!$D:$D,'TIR店舗一覧'!$E:$E,""),""))</f>
        <v/>
      </c>
      <c r="V2756" s="54" t="s">
        <v>2</v>
      </c>
      <c r="W2756" s="54" t="s">
        <v>2</v>
      </c>
      <c r="X2756" s="54" t="s">
        <v>2</v>
      </c>
      <c r="Y2756" s="54" t="s">
        <v>2</v>
      </c>
      <c r="Z2756" s="54" t="s">
        <v>2</v>
      </c>
      <c r="AA2756" s="54" t="s">
        <v>2</v>
      </c>
      <c r="AB2756" s="54" t="s">
        <v>2</v>
      </c>
      <c r="AC2756" s="54" t="s">
        <v>2</v>
      </c>
      <c r="AD2756" s="54" t="s">
        <v>2</v>
      </c>
      <c r="AE2756" s="54" t="s">
        <v>2</v>
      </c>
      <c r="AF2756" s="54" t="s">
        <v>2</v>
      </c>
      <c r="AG2756" s="54" t="s">
        <v>2</v>
      </c>
    </row>
    <row r="2757" ht="15.75" customHeight="1">
      <c r="B2757" s="56"/>
      <c r="U2757" s="46" t="str">
        <f t="array" ref="U2757">IF($D2757="","",IFERROR(_xlfn.XLOOKUP($D2757,'TIR店舗一覧'!$D:$D,'TIR店舗一覧'!$E:$E,""),""))</f>
        <v/>
      </c>
      <c r="V2757" s="54" t="s">
        <v>2</v>
      </c>
      <c r="W2757" s="54" t="s">
        <v>2</v>
      </c>
      <c r="X2757" s="54" t="s">
        <v>2</v>
      </c>
      <c r="Y2757" s="54" t="s">
        <v>2</v>
      </c>
      <c r="Z2757" s="54" t="s">
        <v>2</v>
      </c>
      <c r="AA2757" s="54" t="s">
        <v>2</v>
      </c>
      <c r="AB2757" s="54" t="s">
        <v>2</v>
      </c>
      <c r="AC2757" s="54" t="s">
        <v>2</v>
      </c>
      <c r="AD2757" s="54" t="s">
        <v>2</v>
      </c>
      <c r="AE2757" s="54" t="s">
        <v>2</v>
      </c>
      <c r="AF2757" s="54" t="s">
        <v>2</v>
      </c>
      <c r="AG2757" s="54" t="s">
        <v>2</v>
      </c>
    </row>
    <row r="2758" ht="15.75" customHeight="1">
      <c r="B2758" s="56"/>
      <c r="U2758" s="46" t="str">
        <f t="array" ref="U2758">IF($D2758="","",IFERROR(_xlfn.XLOOKUP($D2758,'TIR店舗一覧'!$D:$D,'TIR店舗一覧'!$E:$E,""),""))</f>
        <v/>
      </c>
      <c r="V2758" s="54" t="s">
        <v>2</v>
      </c>
      <c r="W2758" s="54" t="s">
        <v>2</v>
      </c>
      <c r="X2758" s="54" t="s">
        <v>2</v>
      </c>
      <c r="Y2758" s="54" t="s">
        <v>2</v>
      </c>
      <c r="Z2758" s="54" t="s">
        <v>2</v>
      </c>
      <c r="AA2758" s="54" t="s">
        <v>2</v>
      </c>
      <c r="AB2758" s="54" t="s">
        <v>2</v>
      </c>
      <c r="AC2758" s="54" t="s">
        <v>2</v>
      </c>
      <c r="AD2758" s="54" t="s">
        <v>2</v>
      </c>
      <c r="AE2758" s="54" t="s">
        <v>2</v>
      </c>
      <c r="AF2758" s="54" t="s">
        <v>2</v>
      </c>
      <c r="AG2758" s="54" t="s">
        <v>2</v>
      </c>
    </row>
    <row r="2759" ht="15.75" customHeight="1">
      <c r="B2759" s="56"/>
      <c r="U2759" s="46" t="str">
        <f t="array" ref="U2759">IF($D2759="","",IFERROR(_xlfn.XLOOKUP($D2759,'TIR店舗一覧'!$D:$D,'TIR店舗一覧'!$E:$E,""),""))</f>
        <v/>
      </c>
      <c r="V2759" s="54" t="s">
        <v>2</v>
      </c>
      <c r="W2759" s="54" t="s">
        <v>2</v>
      </c>
      <c r="X2759" s="54" t="s">
        <v>2</v>
      </c>
      <c r="Y2759" s="54" t="s">
        <v>2</v>
      </c>
      <c r="Z2759" s="54" t="s">
        <v>2</v>
      </c>
      <c r="AA2759" s="54" t="s">
        <v>2</v>
      </c>
      <c r="AB2759" s="54" t="s">
        <v>2</v>
      </c>
      <c r="AC2759" s="54" t="s">
        <v>2</v>
      </c>
      <c r="AD2759" s="54" t="s">
        <v>2</v>
      </c>
      <c r="AE2759" s="54" t="s">
        <v>2</v>
      </c>
      <c r="AF2759" s="54" t="s">
        <v>2</v>
      </c>
      <c r="AG2759" s="54" t="s">
        <v>2</v>
      </c>
    </row>
    <row r="2760" ht="15.75" customHeight="1">
      <c r="B2760" s="56"/>
      <c r="U2760" s="46" t="str">
        <f t="array" ref="U2760">IF($D2760="","",IFERROR(_xlfn.XLOOKUP($D2760,'TIR店舗一覧'!$D:$D,'TIR店舗一覧'!$E:$E,""),""))</f>
        <v/>
      </c>
      <c r="V2760" s="54" t="s">
        <v>2</v>
      </c>
      <c r="W2760" s="54" t="s">
        <v>2</v>
      </c>
      <c r="X2760" s="54" t="s">
        <v>2</v>
      </c>
      <c r="Y2760" s="54" t="s">
        <v>2</v>
      </c>
      <c r="Z2760" s="54" t="s">
        <v>2</v>
      </c>
      <c r="AA2760" s="54" t="s">
        <v>2</v>
      </c>
      <c r="AB2760" s="54" t="s">
        <v>2</v>
      </c>
      <c r="AC2760" s="54" t="s">
        <v>2</v>
      </c>
      <c r="AD2760" s="54" t="s">
        <v>2</v>
      </c>
      <c r="AE2760" s="54" t="s">
        <v>2</v>
      </c>
      <c r="AF2760" s="54" t="s">
        <v>2</v>
      </c>
      <c r="AG2760" s="54" t="s">
        <v>2</v>
      </c>
    </row>
    <row r="2761" ht="15.75" customHeight="1">
      <c r="B2761" s="56"/>
      <c r="U2761" s="46" t="str">
        <f t="array" ref="U2761">IF($D2761="","",IFERROR(_xlfn.XLOOKUP($D2761,'TIR店舗一覧'!$D:$D,'TIR店舗一覧'!$E:$E,""),""))</f>
        <v/>
      </c>
      <c r="V2761" s="54" t="s">
        <v>2</v>
      </c>
      <c r="W2761" s="54" t="s">
        <v>2</v>
      </c>
      <c r="X2761" s="54" t="s">
        <v>2</v>
      </c>
      <c r="Y2761" s="54" t="s">
        <v>2</v>
      </c>
      <c r="Z2761" s="54" t="s">
        <v>2</v>
      </c>
      <c r="AA2761" s="54" t="s">
        <v>2</v>
      </c>
      <c r="AB2761" s="54" t="s">
        <v>2</v>
      </c>
      <c r="AC2761" s="54" t="s">
        <v>2</v>
      </c>
      <c r="AD2761" s="54" t="s">
        <v>2</v>
      </c>
      <c r="AE2761" s="54" t="s">
        <v>2</v>
      </c>
      <c r="AF2761" s="54" t="s">
        <v>2</v>
      </c>
      <c r="AG2761" s="54" t="s">
        <v>2</v>
      </c>
    </row>
    <row r="2762" ht="15.75" customHeight="1">
      <c r="B2762" s="56"/>
      <c r="U2762" s="46" t="str">
        <f t="array" ref="U2762">IF($D2762="","",IFERROR(_xlfn.XLOOKUP($D2762,'TIR店舗一覧'!$D:$D,'TIR店舗一覧'!$E:$E,""),""))</f>
        <v/>
      </c>
      <c r="V2762" s="54" t="s">
        <v>2</v>
      </c>
      <c r="W2762" s="54" t="s">
        <v>2</v>
      </c>
      <c r="X2762" s="54" t="s">
        <v>2</v>
      </c>
      <c r="Y2762" s="54" t="s">
        <v>2</v>
      </c>
      <c r="Z2762" s="54" t="s">
        <v>2</v>
      </c>
      <c r="AA2762" s="54" t="s">
        <v>2</v>
      </c>
      <c r="AB2762" s="54" t="s">
        <v>2</v>
      </c>
      <c r="AC2762" s="54" t="s">
        <v>2</v>
      </c>
      <c r="AD2762" s="54" t="s">
        <v>2</v>
      </c>
      <c r="AE2762" s="54" t="s">
        <v>2</v>
      </c>
      <c r="AF2762" s="54" t="s">
        <v>2</v>
      </c>
      <c r="AG2762" s="54" t="s">
        <v>2</v>
      </c>
    </row>
    <row r="2763" ht="15.75" customHeight="1">
      <c r="B2763" s="56"/>
      <c r="U2763" s="46" t="str">
        <f t="array" ref="U2763">IF($D2763="","",IFERROR(_xlfn.XLOOKUP($D2763,'TIR店舗一覧'!$D:$D,'TIR店舗一覧'!$E:$E,""),""))</f>
        <v/>
      </c>
      <c r="V2763" s="54" t="s">
        <v>2</v>
      </c>
      <c r="W2763" s="54" t="s">
        <v>2</v>
      </c>
      <c r="X2763" s="54" t="s">
        <v>2</v>
      </c>
      <c r="Y2763" s="54" t="s">
        <v>2</v>
      </c>
      <c r="Z2763" s="54" t="s">
        <v>2</v>
      </c>
      <c r="AA2763" s="54" t="s">
        <v>2</v>
      </c>
      <c r="AB2763" s="54" t="s">
        <v>2</v>
      </c>
      <c r="AC2763" s="54" t="s">
        <v>2</v>
      </c>
      <c r="AD2763" s="54" t="s">
        <v>2</v>
      </c>
      <c r="AE2763" s="54" t="s">
        <v>2</v>
      </c>
      <c r="AF2763" s="54" t="s">
        <v>2</v>
      </c>
      <c r="AG2763" s="54" t="s">
        <v>2</v>
      </c>
    </row>
    <row r="2764" ht="15.75" customHeight="1">
      <c r="B2764" s="56"/>
      <c r="U2764" s="46" t="str">
        <f t="array" ref="U2764">IF($D2764="","",IFERROR(_xlfn.XLOOKUP($D2764,'TIR店舗一覧'!$D:$D,'TIR店舗一覧'!$E:$E,""),""))</f>
        <v/>
      </c>
      <c r="V2764" s="54" t="s">
        <v>2</v>
      </c>
      <c r="W2764" s="54" t="s">
        <v>2</v>
      </c>
      <c r="X2764" s="54" t="s">
        <v>2</v>
      </c>
      <c r="Y2764" s="54" t="s">
        <v>2</v>
      </c>
      <c r="Z2764" s="54" t="s">
        <v>2</v>
      </c>
      <c r="AA2764" s="54" t="s">
        <v>2</v>
      </c>
      <c r="AB2764" s="54" t="s">
        <v>2</v>
      </c>
      <c r="AC2764" s="54" t="s">
        <v>2</v>
      </c>
      <c r="AD2764" s="54" t="s">
        <v>2</v>
      </c>
      <c r="AE2764" s="54" t="s">
        <v>2</v>
      </c>
      <c r="AF2764" s="54" t="s">
        <v>2</v>
      </c>
      <c r="AG2764" s="54" t="s">
        <v>2</v>
      </c>
    </row>
    <row r="2765" ht="15.75" customHeight="1">
      <c r="B2765" s="56"/>
      <c r="U2765" s="46" t="str">
        <f t="array" ref="U2765">IF($D2765="","",IFERROR(_xlfn.XLOOKUP($D2765,'TIR店舗一覧'!$D:$D,'TIR店舗一覧'!$E:$E,""),""))</f>
        <v/>
      </c>
      <c r="V2765" s="54" t="s">
        <v>2</v>
      </c>
      <c r="W2765" s="54" t="s">
        <v>2</v>
      </c>
      <c r="X2765" s="54" t="s">
        <v>2</v>
      </c>
      <c r="Y2765" s="54" t="s">
        <v>2</v>
      </c>
      <c r="Z2765" s="54" t="s">
        <v>2</v>
      </c>
      <c r="AA2765" s="54" t="s">
        <v>2</v>
      </c>
      <c r="AB2765" s="54" t="s">
        <v>2</v>
      </c>
      <c r="AC2765" s="54" t="s">
        <v>2</v>
      </c>
      <c r="AD2765" s="54" t="s">
        <v>2</v>
      </c>
      <c r="AE2765" s="54" t="s">
        <v>2</v>
      </c>
      <c r="AF2765" s="54" t="s">
        <v>2</v>
      </c>
      <c r="AG2765" s="54" t="s">
        <v>2</v>
      </c>
    </row>
    <row r="2766" ht="15.75" customHeight="1">
      <c r="B2766" s="56"/>
      <c r="U2766" s="46" t="str">
        <f t="array" ref="U2766">IF($D2766="","",IFERROR(_xlfn.XLOOKUP($D2766,'TIR店舗一覧'!$D:$D,'TIR店舗一覧'!$E:$E,""),""))</f>
        <v/>
      </c>
      <c r="V2766" s="54" t="s">
        <v>2</v>
      </c>
      <c r="W2766" s="54" t="s">
        <v>2</v>
      </c>
      <c r="X2766" s="54" t="s">
        <v>2</v>
      </c>
      <c r="Y2766" s="54" t="s">
        <v>2</v>
      </c>
      <c r="Z2766" s="54" t="s">
        <v>2</v>
      </c>
      <c r="AA2766" s="54" t="s">
        <v>2</v>
      </c>
      <c r="AB2766" s="54" t="s">
        <v>2</v>
      </c>
      <c r="AC2766" s="54" t="s">
        <v>2</v>
      </c>
      <c r="AD2766" s="54" t="s">
        <v>2</v>
      </c>
      <c r="AE2766" s="54" t="s">
        <v>2</v>
      </c>
      <c r="AF2766" s="54" t="s">
        <v>2</v>
      </c>
      <c r="AG2766" s="54" t="s">
        <v>2</v>
      </c>
    </row>
    <row r="2767" ht="15.75" customHeight="1">
      <c r="B2767" s="56"/>
      <c r="U2767" s="46" t="str">
        <f t="array" ref="U2767">IF($D2767="","",IFERROR(_xlfn.XLOOKUP($D2767,'TIR店舗一覧'!$D:$D,'TIR店舗一覧'!$E:$E,""),""))</f>
        <v/>
      </c>
      <c r="V2767" s="54" t="s">
        <v>2</v>
      </c>
      <c r="W2767" s="54" t="s">
        <v>2</v>
      </c>
      <c r="X2767" s="54" t="s">
        <v>2</v>
      </c>
      <c r="Y2767" s="54" t="s">
        <v>2</v>
      </c>
      <c r="Z2767" s="54" t="s">
        <v>2</v>
      </c>
      <c r="AA2767" s="54" t="s">
        <v>2</v>
      </c>
      <c r="AB2767" s="54" t="s">
        <v>2</v>
      </c>
      <c r="AC2767" s="54" t="s">
        <v>2</v>
      </c>
      <c r="AD2767" s="54" t="s">
        <v>2</v>
      </c>
      <c r="AE2767" s="54" t="s">
        <v>2</v>
      </c>
      <c r="AF2767" s="54" t="s">
        <v>2</v>
      </c>
      <c r="AG2767" s="54" t="s">
        <v>2</v>
      </c>
    </row>
    <row r="2768" ht="15.75" customHeight="1">
      <c r="B2768" s="56"/>
      <c r="U2768" s="46" t="str">
        <f t="array" ref="U2768">IF($D2768="","",IFERROR(_xlfn.XLOOKUP($D2768,'TIR店舗一覧'!$D:$D,'TIR店舗一覧'!$E:$E,""),""))</f>
        <v/>
      </c>
      <c r="V2768" s="54" t="s">
        <v>2</v>
      </c>
      <c r="W2768" s="54" t="s">
        <v>2</v>
      </c>
      <c r="X2768" s="54" t="s">
        <v>2</v>
      </c>
      <c r="Y2768" s="54" t="s">
        <v>2</v>
      </c>
      <c r="Z2768" s="54" t="s">
        <v>2</v>
      </c>
      <c r="AA2768" s="54" t="s">
        <v>2</v>
      </c>
      <c r="AB2768" s="54" t="s">
        <v>2</v>
      </c>
      <c r="AC2768" s="54" t="s">
        <v>2</v>
      </c>
      <c r="AD2768" s="54" t="s">
        <v>2</v>
      </c>
      <c r="AE2768" s="54" t="s">
        <v>2</v>
      </c>
      <c r="AF2768" s="54" t="s">
        <v>2</v>
      </c>
      <c r="AG2768" s="54" t="s">
        <v>2</v>
      </c>
    </row>
    <row r="2769" ht="15.75" customHeight="1">
      <c r="B2769" s="56"/>
      <c r="U2769" s="46" t="str">
        <f t="array" ref="U2769">IF($D2769="","",IFERROR(_xlfn.XLOOKUP($D2769,'TIR店舗一覧'!$D:$D,'TIR店舗一覧'!$E:$E,""),""))</f>
        <v/>
      </c>
      <c r="V2769" s="54" t="s">
        <v>2</v>
      </c>
      <c r="W2769" s="54" t="s">
        <v>2</v>
      </c>
      <c r="X2769" s="54" t="s">
        <v>2</v>
      </c>
      <c r="Y2769" s="54" t="s">
        <v>2</v>
      </c>
      <c r="Z2769" s="54" t="s">
        <v>2</v>
      </c>
      <c r="AA2769" s="54" t="s">
        <v>2</v>
      </c>
      <c r="AB2769" s="54" t="s">
        <v>2</v>
      </c>
      <c r="AC2769" s="54" t="s">
        <v>2</v>
      </c>
      <c r="AD2769" s="54" t="s">
        <v>2</v>
      </c>
      <c r="AE2769" s="54" t="s">
        <v>2</v>
      </c>
      <c r="AF2769" s="54" t="s">
        <v>2</v>
      </c>
      <c r="AG2769" s="54" t="s">
        <v>2</v>
      </c>
    </row>
    <row r="2770" ht="15.75" customHeight="1">
      <c r="B2770" s="56"/>
      <c r="U2770" s="46" t="str">
        <f t="array" ref="U2770">IF($D2770="","",IFERROR(_xlfn.XLOOKUP($D2770,'TIR店舗一覧'!$D:$D,'TIR店舗一覧'!$E:$E,""),""))</f>
        <v/>
      </c>
      <c r="V2770" s="54" t="s">
        <v>2</v>
      </c>
      <c r="W2770" s="54" t="s">
        <v>2</v>
      </c>
      <c r="X2770" s="54" t="s">
        <v>2</v>
      </c>
      <c r="Y2770" s="54" t="s">
        <v>2</v>
      </c>
      <c r="Z2770" s="54" t="s">
        <v>2</v>
      </c>
      <c r="AA2770" s="54" t="s">
        <v>2</v>
      </c>
      <c r="AB2770" s="54" t="s">
        <v>2</v>
      </c>
      <c r="AC2770" s="54" t="s">
        <v>2</v>
      </c>
      <c r="AD2770" s="54" t="s">
        <v>2</v>
      </c>
      <c r="AE2770" s="54" t="s">
        <v>2</v>
      </c>
      <c r="AF2770" s="54" t="s">
        <v>2</v>
      </c>
      <c r="AG2770" s="54" t="s">
        <v>2</v>
      </c>
    </row>
    <row r="2771" ht="15.75" customHeight="1">
      <c r="B2771" s="56"/>
      <c r="U2771" s="46" t="str">
        <f t="array" ref="U2771">IF($D2771="","",IFERROR(_xlfn.XLOOKUP($D2771,'TIR店舗一覧'!$D:$D,'TIR店舗一覧'!$E:$E,""),""))</f>
        <v/>
      </c>
      <c r="V2771" s="54" t="s">
        <v>2</v>
      </c>
      <c r="W2771" s="54" t="s">
        <v>2</v>
      </c>
      <c r="X2771" s="54" t="s">
        <v>2</v>
      </c>
      <c r="Y2771" s="54" t="s">
        <v>2</v>
      </c>
      <c r="Z2771" s="54" t="s">
        <v>2</v>
      </c>
      <c r="AA2771" s="54" t="s">
        <v>2</v>
      </c>
      <c r="AB2771" s="54" t="s">
        <v>2</v>
      </c>
      <c r="AC2771" s="54" t="s">
        <v>2</v>
      </c>
      <c r="AD2771" s="54" t="s">
        <v>2</v>
      </c>
      <c r="AE2771" s="54" t="s">
        <v>2</v>
      </c>
      <c r="AF2771" s="54" t="s">
        <v>2</v>
      </c>
      <c r="AG2771" s="54" t="s">
        <v>2</v>
      </c>
    </row>
    <row r="2772" ht="15.75" customHeight="1">
      <c r="B2772" s="56"/>
      <c r="U2772" s="46" t="str">
        <f t="array" ref="U2772">IF($D2772="","",IFERROR(_xlfn.XLOOKUP($D2772,'TIR店舗一覧'!$D:$D,'TIR店舗一覧'!$E:$E,""),""))</f>
        <v/>
      </c>
      <c r="V2772" s="54" t="s">
        <v>2</v>
      </c>
      <c r="W2772" s="54" t="s">
        <v>2</v>
      </c>
      <c r="X2772" s="54" t="s">
        <v>2</v>
      </c>
      <c r="Y2772" s="54" t="s">
        <v>2</v>
      </c>
      <c r="Z2772" s="54" t="s">
        <v>2</v>
      </c>
      <c r="AA2772" s="54" t="s">
        <v>2</v>
      </c>
      <c r="AB2772" s="54" t="s">
        <v>2</v>
      </c>
      <c r="AC2772" s="54" t="s">
        <v>2</v>
      </c>
      <c r="AD2772" s="54" t="s">
        <v>2</v>
      </c>
      <c r="AE2772" s="54" t="s">
        <v>2</v>
      </c>
      <c r="AF2772" s="54" t="s">
        <v>2</v>
      </c>
      <c r="AG2772" s="54" t="s">
        <v>2</v>
      </c>
    </row>
    <row r="2773" ht="15.75" customHeight="1">
      <c r="B2773" s="56"/>
      <c r="U2773" s="46" t="str">
        <f t="array" ref="U2773">IF($D2773="","",IFERROR(_xlfn.XLOOKUP($D2773,'TIR店舗一覧'!$D:$D,'TIR店舗一覧'!$E:$E,""),""))</f>
        <v/>
      </c>
      <c r="V2773" s="54" t="s">
        <v>2</v>
      </c>
      <c r="W2773" s="54" t="s">
        <v>2</v>
      </c>
      <c r="X2773" s="54" t="s">
        <v>2</v>
      </c>
      <c r="Y2773" s="54" t="s">
        <v>2</v>
      </c>
      <c r="Z2773" s="54" t="s">
        <v>2</v>
      </c>
      <c r="AA2773" s="54" t="s">
        <v>2</v>
      </c>
      <c r="AB2773" s="54" t="s">
        <v>2</v>
      </c>
      <c r="AC2773" s="54" t="s">
        <v>2</v>
      </c>
      <c r="AD2773" s="54" t="s">
        <v>2</v>
      </c>
      <c r="AE2773" s="54" t="s">
        <v>2</v>
      </c>
      <c r="AF2773" s="54" t="s">
        <v>2</v>
      </c>
      <c r="AG2773" s="54" t="s">
        <v>2</v>
      </c>
    </row>
    <row r="2774" ht="15.75" customHeight="1">
      <c r="B2774" s="56"/>
      <c r="U2774" s="46" t="str">
        <f t="array" ref="U2774">IF($D2774="","",IFERROR(_xlfn.XLOOKUP($D2774,'TIR店舗一覧'!$D:$D,'TIR店舗一覧'!$E:$E,""),""))</f>
        <v/>
      </c>
      <c r="V2774" s="54" t="s">
        <v>2</v>
      </c>
      <c r="W2774" s="54" t="s">
        <v>2</v>
      </c>
      <c r="X2774" s="54" t="s">
        <v>2</v>
      </c>
      <c r="Y2774" s="54" t="s">
        <v>2</v>
      </c>
      <c r="Z2774" s="54" t="s">
        <v>2</v>
      </c>
      <c r="AA2774" s="54" t="s">
        <v>2</v>
      </c>
      <c r="AB2774" s="54" t="s">
        <v>2</v>
      </c>
      <c r="AC2774" s="54" t="s">
        <v>2</v>
      </c>
      <c r="AD2774" s="54" t="s">
        <v>2</v>
      </c>
      <c r="AE2774" s="54" t="s">
        <v>2</v>
      </c>
      <c r="AF2774" s="54" t="s">
        <v>2</v>
      </c>
      <c r="AG2774" s="54" t="s">
        <v>2</v>
      </c>
    </row>
    <row r="2775" ht="15.75" customHeight="1">
      <c r="B2775" s="56"/>
      <c r="U2775" s="46" t="str">
        <f t="array" ref="U2775">IF($D2775="","",IFERROR(_xlfn.XLOOKUP($D2775,'TIR店舗一覧'!$D:$D,'TIR店舗一覧'!$E:$E,""),""))</f>
        <v/>
      </c>
      <c r="V2775" s="54" t="s">
        <v>2</v>
      </c>
      <c r="W2775" s="54" t="s">
        <v>2</v>
      </c>
      <c r="X2775" s="54" t="s">
        <v>2</v>
      </c>
      <c r="Y2775" s="54" t="s">
        <v>2</v>
      </c>
      <c r="Z2775" s="54" t="s">
        <v>2</v>
      </c>
      <c r="AA2775" s="54" t="s">
        <v>2</v>
      </c>
      <c r="AB2775" s="54" t="s">
        <v>2</v>
      </c>
      <c r="AC2775" s="54" t="s">
        <v>2</v>
      </c>
      <c r="AD2775" s="54" t="s">
        <v>2</v>
      </c>
      <c r="AE2775" s="54" t="s">
        <v>2</v>
      </c>
      <c r="AF2775" s="54" t="s">
        <v>2</v>
      </c>
      <c r="AG2775" s="54" t="s">
        <v>2</v>
      </c>
    </row>
    <row r="2776" ht="15.75" customHeight="1">
      <c r="B2776" s="56"/>
      <c r="U2776" s="46" t="str">
        <f t="array" ref="U2776">IF($D2776="","",IFERROR(_xlfn.XLOOKUP($D2776,'TIR店舗一覧'!$D:$D,'TIR店舗一覧'!$E:$E,""),""))</f>
        <v/>
      </c>
      <c r="V2776" s="54" t="s">
        <v>2</v>
      </c>
      <c r="W2776" s="54" t="s">
        <v>2</v>
      </c>
      <c r="X2776" s="54" t="s">
        <v>2</v>
      </c>
      <c r="Y2776" s="54" t="s">
        <v>2</v>
      </c>
      <c r="Z2776" s="54" t="s">
        <v>2</v>
      </c>
      <c r="AA2776" s="54" t="s">
        <v>2</v>
      </c>
      <c r="AB2776" s="54" t="s">
        <v>2</v>
      </c>
      <c r="AC2776" s="54" t="s">
        <v>2</v>
      </c>
      <c r="AD2776" s="54" t="s">
        <v>2</v>
      </c>
      <c r="AE2776" s="54" t="s">
        <v>2</v>
      </c>
      <c r="AF2776" s="54" t="s">
        <v>2</v>
      </c>
      <c r="AG2776" s="54" t="s">
        <v>2</v>
      </c>
    </row>
    <row r="2777" ht="15.75" customHeight="1">
      <c r="B2777" s="56"/>
      <c r="U2777" s="46" t="str">
        <f t="array" ref="U2777">IF($D2777="","",IFERROR(_xlfn.XLOOKUP($D2777,'TIR店舗一覧'!$D:$D,'TIR店舗一覧'!$E:$E,""),""))</f>
        <v/>
      </c>
      <c r="V2777" s="54" t="s">
        <v>2</v>
      </c>
      <c r="W2777" s="54" t="s">
        <v>2</v>
      </c>
      <c r="X2777" s="54" t="s">
        <v>2</v>
      </c>
      <c r="Y2777" s="54" t="s">
        <v>2</v>
      </c>
      <c r="Z2777" s="54" t="s">
        <v>2</v>
      </c>
      <c r="AA2777" s="54" t="s">
        <v>2</v>
      </c>
      <c r="AB2777" s="54" t="s">
        <v>2</v>
      </c>
      <c r="AC2777" s="54" t="s">
        <v>2</v>
      </c>
      <c r="AD2777" s="54" t="s">
        <v>2</v>
      </c>
      <c r="AE2777" s="54" t="s">
        <v>2</v>
      </c>
      <c r="AF2777" s="54" t="s">
        <v>2</v>
      </c>
      <c r="AG2777" s="54" t="s">
        <v>2</v>
      </c>
    </row>
    <row r="2778" ht="15.75" customHeight="1">
      <c r="B2778" s="56"/>
      <c r="U2778" s="46" t="str">
        <f t="array" ref="U2778">IF($D2778="","",IFERROR(_xlfn.XLOOKUP($D2778,'TIR店舗一覧'!$D:$D,'TIR店舗一覧'!$E:$E,""),""))</f>
        <v/>
      </c>
      <c r="V2778" s="54" t="s">
        <v>2</v>
      </c>
      <c r="W2778" s="54" t="s">
        <v>2</v>
      </c>
      <c r="X2778" s="54" t="s">
        <v>2</v>
      </c>
      <c r="Y2778" s="54" t="s">
        <v>2</v>
      </c>
      <c r="Z2778" s="54" t="s">
        <v>2</v>
      </c>
      <c r="AA2778" s="54" t="s">
        <v>2</v>
      </c>
      <c r="AB2778" s="54" t="s">
        <v>2</v>
      </c>
      <c r="AC2778" s="54" t="s">
        <v>2</v>
      </c>
      <c r="AD2778" s="54" t="s">
        <v>2</v>
      </c>
      <c r="AE2778" s="54" t="s">
        <v>2</v>
      </c>
      <c r="AF2778" s="54" t="s">
        <v>2</v>
      </c>
      <c r="AG2778" s="54" t="s">
        <v>2</v>
      </c>
    </row>
    <row r="2779" ht="15.75" customHeight="1">
      <c r="B2779" s="56"/>
      <c r="U2779" s="46" t="str">
        <f t="array" ref="U2779">IF($D2779="","",IFERROR(_xlfn.XLOOKUP($D2779,'TIR店舗一覧'!$D:$D,'TIR店舗一覧'!$E:$E,""),""))</f>
        <v/>
      </c>
      <c r="V2779" s="54" t="s">
        <v>2</v>
      </c>
      <c r="W2779" s="54" t="s">
        <v>2</v>
      </c>
      <c r="X2779" s="54" t="s">
        <v>2</v>
      </c>
      <c r="Y2779" s="54" t="s">
        <v>2</v>
      </c>
      <c r="Z2779" s="54" t="s">
        <v>2</v>
      </c>
      <c r="AA2779" s="54" t="s">
        <v>2</v>
      </c>
      <c r="AB2779" s="54" t="s">
        <v>2</v>
      </c>
      <c r="AC2779" s="54" t="s">
        <v>2</v>
      </c>
      <c r="AD2779" s="54" t="s">
        <v>2</v>
      </c>
      <c r="AE2779" s="54" t="s">
        <v>2</v>
      </c>
      <c r="AF2779" s="54" t="s">
        <v>2</v>
      </c>
      <c r="AG2779" s="54" t="s">
        <v>2</v>
      </c>
    </row>
    <row r="2780" ht="15.75" customHeight="1">
      <c r="B2780" s="56"/>
      <c r="U2780" s="46" t="str">
        <f t="array" ref="U2780">IF($D2780="","",IFERROR(_xlfn.XLOOKUP($D2780,'TIR店舗一覧'!$D:$D,'TIR店舗一覧'!$E:$E,""),""))</f>
        <v/>
      </c>
      <c r="V2780" s="54" t="s">
        <v>2</v>
      </c>
      <c r="W2780" s="54" t="s">
        <v>2</v>
      </c>
      <c r="X2780" s="54" t="s">
        <v>2</v>
      </c>
      <c r="Y2780" s="54" t="s">
        <v>2</v>
      </c>
      <c r="Z2780" s="54" t="s">
        <v>2</v>
      </c>
      <c r="AA2780" s="54" t="s">
        <v>2</v>
      </c>
      <c r="AB2780" s="54" t="s">
        <v>2</v>
      </c>
      <c r="AC2780" s="54" t="s">
        <v>2</v>
      </c>
      <c r="AD2780" s="54" t="s">
        <v>2</v>
      </c>
      <c r="AE2780" s="54" t="s">
        <v>2</v>
      </c>
      <c r="AF2780" s="54" t="s">
        <v>2</v>
      </c>
      <c r="AG2780" s="54" t="s">
        <v>2</v>
      </c>
    </row>
    <row r="2781" ht="15.75" customHeight="1">
      <c r="B2781" s="56"/>
      <c r="U2781" s="46" t="str">
        <f t="array" ref="U2781">IF($D2781="","",IFERROR(_xlfn.XLOOKUP($D2781,'TIR店舗一覧'!$D:$D,'TIR店舗一覧'!$E:$E,""),""))</f>
        <v/>
      </c>
      <c r="V2781" s="54" t="s">
        <v>2</v>
      </c>
      <c r="W2781" s="54" t="s">
        <v>2</v>
      </c>
      <c r="X2781" s="54" t="s">
        <v>2</v>
      </c>
      <c r="Y2781" s="54" t="s">
        <v>2</v>
      </c>
      <c r="Z2781" s="54" t="s">
        <v>2</v>
      </c>
      <c r="AA2781" s="54" t="s">
        <v>2</v>
      </c>
      <c r="AB2781" s="54" t="s">
        <v>2</v>
      </c>
      <c r="AC2781" s="54" t="s">
        <v>2</v>
      </c>
      <c r="AD2781" s="54" t="s">
        <v>2</v>
      </c>
      <c r="AE2781" s="54" t="s">
        <v>2</v>
      </c>
      <c r="AF2781" s="54" t="s">
        <v>2</v>
      </c>
      <c r="AG2781" s="54" t="s">
        <v>2</v>
      </c>
    </row>
    <row r="2782" ht="15.75" customHeight="1">
      <c r="B2782" s="56"/>
      <c r="U2782" s="46" t="str">
        <f t="array" ref="U2782">IF($D2782="","",IFERROR(_xlfn.XLOOKUP($D2782,'TIR店舗一覧'!$D:$D,'TIR店舗一覧'!$E:$E,""),""))</f>
        <v/>
      </c>
      <c r="V2782" s="54" t="s">
        <v>2</v>
      </c>
      <c r="W2782" s="54" t="s">
        <v>2</v>
      </c>
      <c r="X2782" s="54" t="s">
        <v>2</v>
      </c>
      <c r="Y2782" s="54" t="s">
        <v>2</v>
      </c>
      <c r="Z2782" s="54" t="s">
        <v>2</v>
      </c>
      <c r="AA2782" s="54" t="s">
        <v>2</v>
      </c>
      <c r="AB2782" s="54" t="s">
        <v>2</v>
      </c>
      <c r="AC2782" s="54" t="s">
        <v>2</v>
      </c>
      <c r="AD2782" s="54" t="s">
        <v>2</v>
      </c>
      <c r="AE2782" s="54" t="s">
        <v>2</v>
      </c>
      <c r="AF2782" s="54" t="s">
        <v>2</v>
      </c>
      <c r="AG2782" s="54" t="s">
        <v>2</v>
      </c>
    </row>
    <row r="2783" ht="15.75" customHeight="1">
      <c r="B2783" s="56"/>
      <c r="U2783" s="46" t="str">
        <f t="array" ref="U2783">IF($D2783="","",IFERROR(_xlfn.XLOOKUP($D2783,'TIR店舗一覧'!$D:$D,'TIR店舗一覧'!$E:$E,""),""))</f>
        <v/>
      </c>
      <c r="V2783" s="54" t="s">
        <v>2</v>
      </c>
      <c r="W2783" s="54" t="s">
        <v>2</v>
      </c>
      <c r="X2783" s="54" t="s">
        <v>2</v>
      </c>
      <c r="Y2783" s="54" t="s">
        <v>2</v>
      </c>
      <c r="Z2783" s="54" t="s">
        <v>2</v>
      </c>
      <c r="AA2783" s="54" t="s">
        <v>2</v>
      </c>
      <c r="AB2783" s="54" t="s">
        <v>2</v>
      </c>
      <c r="AC2783" s="54" t="s">
        <v>2</v>
      </c>
      <c r="AD2783" s="54" t="s">
        <v>2</v>
      </c>
      <c r="AE2783" s="54" t="s">
        <v>2</v>
      </c>
      <c r="AF2783" s="54" t="s">
        <v>2</v>
      </c>
      <c r="AG2783" s="54" t="s">
        <v>2</v>
      </c>
    </row>
    <row r="2784" ht="15.75" customHeight="1">
      <c r="B2784" s="56"/>
      <c r="U2784" s="46" t="str">
        <f t="array" ref="U2784">IF($D2784="","",IFERROR(_xlfn.XLOOKUP($D2784,'TIR店舗一覧'!$D:$D,'TIR店舗一覧'!$E:$E,""),""))</f>
        <v/>
      </c>
      <c r="V2784" s="54" t="s">
        <v>2</v>
      </c>
      <c r="W2784" s="54" t="s">
        <v>2</v>
      </c>
      <c r="X2784" s="54" t="s">
        <v>2</v>
      </c>
      <c r="Y2784" s="54" t="s">
        <v>2</v>
      </c>
      <c r="Z2784" s="54" t="s">
        <v>2</v>
      </c>
      <c r="AA2784" s="54" t="s">
        <v>2</v>
      </c>
      <c r="AB2784" s="54" t="s">
        <v>2</v>
      </c>
      <c r="AC2784" s="54" t="s">
        <v>2</v>
      </c>
      <c r="AD2784" s="54" t="s">
        <v>2</v>
      </c>
      <c r="AE2784" s="54" t="s">
        <v>2</v>
      </c>
      <c r="AF2784" s="54" t="s">
        <v>2</v>
      </c>
      <c r="AG2784" s="54" t="s">
        <v>2</v>
      </c>
    </row>
    <row r="2785" ht="15.75" customHeight="1">
      <c r="B2785" s="56"/>
      <c r="U2785" s="46" t="str">
        <f t="array" ref="U2785">IF($D2785="","",IFERROR(_xlfn.XLOOKUP($D2785,'TIR店舗一覧'!$D:$D,'TIR店舗一覧'!$E:$E,""),""))</f>
        <v/>
      </c>
      <c r="V2785" s="54" t="s">
        <v>2</v>
      </c>
      <c r="W2785" s="54" t="s">
        <v>2</v>
      </c>
      <c r="X2785" s="54" t="s">
        <v>2</v>
      </c>
      <c r="Y2785" s="54" t="s">
        <v>2</v>
      </c>
      <c r="Z2785" s="54" t="s">
        <v>2</v>
      </c>
      <c r="AA2785" s="54" t="s">
        <v>2</v>
      </c>
      <c r="AB2785" s="54" t="s">
        <v>2</v>
      </c>
      <c r="AC2785" s="54" t="s">
        <v>2</v>
      </c>
      <c r="AD2785" s="54" t="s">
        <v>2</v>
      </c>
      <c r="AE2785" s="54" t="s">
        <v>2</v>
      </c>
      <c r="AF2785" s="54" t="s">
        <v>2</v>
      </c>
      <c r="AG2785" s="54" t="s">
        <v>2</v>
      </c>
    </row>
    <row r="2786" ht="15.75" customHeight="1">
      <c r="B2786" s="56"/>
      <c r="U2786" s="46" t="str">
        <f t="array" ref="U2786">IF($D2786="","",IFERROR(_xlfn.XLOOKUP($D2786,'TIR店舗一覧'!$D:$D,'TIR店舗一覧'!$E:$E,""),""))</f>
        <v/>
      </c>
      <c r="V2786" s="54" t="s">
        <v>2</v>
      </c>
      <c r="W2786" s="54" t="s">
        <v>2</v>
      </c>
      <c r="X2786" s="54" t="s">
        <v>2</v>
      </c>
      <c r="Y2786" s="54" t="s">
        <v>2</v>
      </c>
      <c r="Z2786" s="54" t="s">
        <v>2</v>
      </c>
      <c r="AA2786" s="54" t="s">
        <v>2</v>
      </c>
      <c r="AB2786" s="54" t="s">
        <v>2</v>
      </c>
      <c r="AC2786" s="54" t="s">
        <v>2</v>
      </c>
      <c r="AD2786" s="54" t="s">
        <v>2</v>
      </c>
      <c r="AE2786" s="54" t="s">
        <v>2</v>
      </c>
      <c r="AF2786" s="54" t="s">
        <v>2</v>
      </c>
      <c r="AG2786" s="54" t="s">
        <v>2</v>
      </c>
    </row>
    <row r="2787" ht="15.75" customHeight="1">
      <c r="B2787" s="56"/>
      <c r="U2787" s="46" t="str">
        <f t="array" ref="U2787">IF($D2787="","",IFERROR(_xlfn.XLOOKUP($D2787,'TIR店舗一覧'!$D:$D,'TIR店舗一覧'!$E:$E,""),""))</f>
        <v/>
      </c>
      <c r="V2787" s="54" t="s">
        <v>2</v>
      </c>
      <c r="W2787" s="54" t="s">
        <v>2</v>
      </c>
      <c r="X2787" s="54" t="s">
        <v>2</v>
      </c>
      <c r="Y2787" s="54" t="s">
        <v>2</v>
      </c>
      <c r="Z2787" s="54" t="s">
        <v>2</v>
      </c>
      <c r="AA2787" s="54" t="s">
        <v>2</v>
      </c>
      <c r="AB2787" s="54" t="s">
        <v>2</v>
      </c>
      <c r="AC2787" s="54" t="s">
        <v>2</v>
      </c>
      <c r="AD2787" s="54" t="s">
        <v>2</v>
      </c>
      <c r="AE2787" s="54" t="s">
        <v>2</v>
      </c>
      <c r="AF2787" s="54" t="s">
        <v>2</v>
      </c>
      <c r="AG2787" s="54" t="s">
        <v>2</v>
      </c>
    </row>
    <row r="2788" ht="15.75" customHeight="1">
      <c r="B2788" s="56"/>
      <c r="U2788" s="46" t="str">
        <f t="array" ref="U2788">IF($D2788="","",IFERROR(_xlfn.XLOOKUP($D2788,'TIR店舗一覧'!$D:$D,'TIR店舗一覧'!$E:$E,""),""))</f>
        <v/>
      </c>
      <c r="V2788" s="54" t="s">
        <v>2</v>
      </c>
      <c r="W2788" s="54" t="s">
        <v>2</v>
      </c>
      <c r="X2788" s="54" t="s">
        <v>2</v>
      </c>
      <c r="Y2788" s="54" t="s">
        <v>2</v>
      </c>
      <c r="Z2788" s="54" t="s">
        <v>2</v>
      </c>
      <c r="AA2788" s="54" t="s">
        <v>2</v>
      </c>
      <c r="AB2788" s="54" t="s">
        <v>2</v>
      </c>
      <c r="AC2788" s="54" t="s">
        <v>2</v>
      </c>
      <c r="AD2788" s="54" t="s">
        <v>2</v>
      </c>
      <c r="AE2788" s="54" t="s">
        <v>2</v>
      </c>
      <c r="AF2788" s="54" t="s">
        <v>2</v>
      </c>
      <c r="AG2788" s="54" t="s">
        <v>2</v>
      </c>
    </row>
    <row r="2789" ht="15.75" customHeight="1">
      <c r="B2789" s="56"/>
      <c r="U2789" s="46" t="str">
        <f t="array" ref="U2789">IF($D2789="","",IFERROR(_xlfn.XLOOKUP($D2789,'TIR店舗一覧'!$D:$D,'TIR店舗一覧'!$E:$E,""),""))</f>
        <v/>
      </c>
      <c r="V2789" s="54" t="s">
        <v>2</v>
      </c>
      <c r="W2789" s="54" t="s">
        <v>2</v>
      </c>
      <c r="X2789" s="54" t="s">
        <v>2</v>
      </c>
      <c r="Y2789" s="54" t="s">
        <v>2</v>
      </c>
      <c r="Z2789" s="54" t="s">
        <v>2</v>
      </c>
      <c r="AA2789" s="54" t="s">
        <v>2</v>
      </c>
      <c r="AB2789" s="54" t="s">
        <v>2</v>
      </c>
      <c r="AC2789" s="54" t="s">
        <v>2</v>
      </c>
      <c r="AD2789" s="54" t="s">
        <v>2</v>
      </c>
      <c r="AE2789" s="54" t="s">
        <v>2</v>
      </c>
      <c r="AF2789" s="54" t="s">
        <v>2</v>
      </c>
      <c r="AG2789" s="54" t="s">
        <v>2</v>
      </c>
    </row>
    <row r="2790" ht="15.75" customHeight="1">
      <c r="B2790" s="56"/>
      <c r="U2790" s="46" t="str">
        <f t="array" ref="U2790">IF($D2790="","",IFERROR(_xlfn.XLOOKUP($D2790,'TIR店舗一覧'!$D:$D,'TIR店舗一覧'!$E:$E,""),""))</f>
        <v/>
      </c>
      <c r="V2790" s="54" t="s">
        <v>2</v>
      </c>
      <c r="W2790" s="54" t="s">
        <v>2</v>
      </c>
      <c r="X2790" s="54" t="s">
        <v>2</v>
      </c>
      <c r="Y2790" s="54" t="s">
        <v>2</v>
      </c>
      <c r="Z2790" s="54" t="s">
        <v>2</v>
      </c>
      <c r="AA2790" s="54" t="s">
        <v>2</v>
      </c>
      <c r="AB2790" s="54" t="s">
        <v>2</v>
      </c>
      <c r="AC2790" s="54" t="s">
        <v>2</v>
      </c>
      <c r="AD2790" s="54" t="s">
        <v>2</v>
      </c>
      <c r="AE2790" s="54" t="s">
        <v>2</v>
      </c>
      <c r="AF2790" s="54" t="s">
        <v>2</v>
      </c>
      <c r="AG2790" s="54" t="s">
        <v>2</v>
      </c>
    </row>
    <row r="2791" ht="15.75" customHeight="1">
      <c r="B2791" s="56"/>
      <c r="U2791" s="46" t="str">
        <f t="array" ref="U2791">IF($D2791="","",IFERROR(_xlfn.XLOOKUP($D2791,'TIR店舗一覧'!$D:$D,'TIR店舗一覧'!$E:$E,""),""))</f>
        <v/>
      </c>
      <c r="V2791" s="54" t="s">
        <v>2</v>
      </c>
      <c r="W2791" s="54" t="s">
        <v>2</v>
      </c>
      <c r="X2791" s="54" t="s">
        <v>2</v>
      </c>
      <c r="Y2791" s="54" t="s">
        <v>2</v>
      </c>
      <c r="Z2791" s="54" t="s">
        <v>2</v>
      </c>
      <c r="AA2791" s="54" t="s">
        <v>2</v>
      </c>
      <c r="AB2791" s="54" t="s">
        <v>2</v>
      </c>
      <c r="AC2791" s="54" t="s">
        <v>2</v>
      </c>
      <c r="AD2791" s="54" t="s">
        <v>2</v>
      </c>
      <c r="AE2791" s="54" t="s">
        <v>2</v>
      </c>
      <c r="AF2791" s="54" t="s">
        <v>2</v>
      </c>
      <c r="AG2791" s="54" t="s">
        <v>2</v>
      </c>
    </row>
    <row r="2792" ht="15.75" customHeight="1">
      <c r="B2792" s="56"/>
      <c r="U2792" s="46" t="str">
        <f t="array" ref="U2792">IF($D2792="","",IFERROR(_xlfn.XLOOKUP($D2792,'TIR店舗一覧'!$D:$D,'TIR店舗一覧'!$E:$E,""),""))</f>
        <v/>
      </c>
      <c r="V2792" s="54" t="s">
        <v>2</v>
      </c>
      <c r="W2792" s="54" t="s">
        <v>2</v>
      </c>
      <c r="X2792" s="54" t="s">
        <v>2</v>
      </c>
      <c r="Y2792" s="54" t="s">
        <v>2</v>
      </c>
      <c r="Z2792" s="54" t="s">
        <v>2</v>
      </c>
      <c r="AA2792" s="54" t="s">
        <v>2</v>
      </c>
      <c r="AB2792" s="54" t="s">
        <v>2</v>
      </c>
      <c r="AC2792" s="54" t="s">
        <v>2</v>
      </c>
      <c r="AD2792" s="54" t="s">
        <v>2</v>
      </c>
      <c r="AE2792" s="54" t="s">
        <v>2</v>
      </c>
      <c r="AF2792" s="54" t="s">
        <v>2</v>
      </c>
      <c r="AG2792" s="54" t="s">
        <v>2</v>
      </c>
    </row>
    <row r="2793" ht="15.75" customHeight="1">
      <c r="B2793" s="56"/>
      <c r="U2793" s="46" t="str">
        <f t="array" ref="U2793">IF($D2793="","",IFERROR(_xlfn.XLOOKUP($D2793,'TIR店舗一覧'!$D:$D,'TIR店舗一覧'!$E:$E,""),""))</f>
        <v/>
      </c>
      <c r="V2793" s="54" t="s">
        <v>2</v>
      </c>
      <c r="W2793" s="54" t="s">
        <v>2</v>
      </c>
      <c r="X2793" s="54" t="s">
        <v>2</v>
      </c>
      <c r="Y2793" s="54" t="s">
        <v>2</v>
      </c>
      <c r="Z2793" s="54" t="s">
        <v>2</v>
      </c>
      <c r="AA2793" s="54" t="s">
        <v>2</v>
      </c>
      <c r="AB2793" s="54" t="s">
        <v>2</v>
      </c>
      <c r="AC2793" s="54" t="s">
        <v>2</v>
      </c>
      <c r="AD2793" s="54" t="s">
        <v>2</v>
      </c>
      <c r="AE2793" s="54" t="s">
        <v>2</v>
      </c>
      <c r="AF2793" s="54" t="s">
        <v>2</v>
      </c>
      <c r="AG2793" s="54" t="s">
        <v>2</v>
      </c>
    </row>
    <row r="2794" ht="15.75" customHeight="1">
      <c r="B2794" s="56"/>
      <c r="U2794" s="46" t="str">
        <f t="array" ref="U2794">IF($D2794="","",IFERROR(_xlfn.XLOOKUP($D2794,'TIR店舗一覧'!$D:$D,'TIR店舗一覧'!$E:$E,""),""))</f>
        <v/>
      </c>
      <c r="V2794" s="54" t="s">
        <v>2</v>
      </c>
      <c r="W2794" s="54" t="s">
        <v>2</v>
      </c>
      <c r="X2794" s="54" t="s">
        <v>2</v>
      </c>
      <c r="Y2794" s="54" t="s">
        <v>2</v>
      </c>
      <c r="Z2794" s="54" t="s">
        <v>2</v>
      </c>
      <c r="AA2794" s="54" t="s">
        <v>2</v>
      </c>
      <c r="AB2794" s="54" t="s">
        <v>2</v>
      </c>
      <c r="AC2794" s="54" t="s">
        <v>2</v>
      </c>
      <c r="AD2794" s="54" t="s">
        <v>2</v>
      </c>
      <c r="AE2794" s="54" t="s">
        <v>2</v>
      </c>
      <c r="AF2794" s="54" t="s">
        <v>2</v>
      </c>
      <c r="AG2794" s="54" t="s">
        <v>2</v>
      </c>
    </row>
    <row r="2795" ht="15.75" customHeight="1">
      <c r="B2795" s="56"/>
      <c r="U2795" s="46" t="str">
        <f t="array" ref="U2795">IF($D2795="","",IFERROR(_xlfn.XLOOKUP($D2795,'TIR店舗一覧'!$D:$D,'TIR店舗一覧'!$E:$E,""),""))</f>
        <v/>
      </c>
      <c r="V2795" s="54" t="s">
        <v>2</v>
      </c>
      <c r="W2795" s="54" t="s">
        <v>2</v>
      </c>
      <c r="X2795" s="54" t="s">
        <v>2</v>
      </c>
      <c r="Y2795" s="54" t="s">
        <v>2</v>
      </c>
      <c r="Z2795" s="54" t="s">
        <v>2</v>
      </c>
      <c r="AA2795" s="54" t="s">
        <v>2</v>
      </c>
      <c r="AB2795" s="54" t="s">
        <v>2</v>
      </c>
      <c r="AC2795" s="54" t="s">
        <v>2</v>
      </c>
      <c r="AD2795" s="54" t="s">
        <v>2</v>
      </c>
      <c r="AE2795" s="54" t="s">
        <v>2</v>
      </c>
      <c r="AF2795" s="54" t="s">
        <v>2</v>
      </c>
      <c r="AG2795" s="54" t="s">
        <v>2</v>
      </c>
    </row>
    <row r="2796" ht="15.75" customHeight="1">
      <c r="B2796" s="56"/>
      <c r="U2796" s="46" t="str">
        <f t="array" ref="U2796">IF($D2796="","",IFERROR(_xlfn.XLOOKUP($D2796,'TIR店舗一覧'!$D:$D,'TIR店舗一覧'!$E:$E,""),""))</f>
        <v/>
      </c>
      <c r="V2796" s="54" t="s">
        <v>2</v>
      </c>
      <c r="W2796" s="54" t="s">
        <v>2</v>
      </c>
      <c r="X2796" s="54" t="s">
        <v>2</v>
      </c>
      <c r="Y2796" s="54" t="s">
        <v>2</v>
      </c>
      <c r="Z2796" s="54" t="s">
        <v>2</v>
      </c>
      <c r="AA2796" s="54" t="s">
        <v>2</v>
      </c>
      <c r="AB2796" s="54" t="s">
        <v>2</v>
      </c>
      <c r="AC2796" s="54" t="s">
        <v>2</v>
      </c>
      <c r="AD2796" s="54" t="s">
        <v>2</v>
      </c>
      <c r="AE2796" s="54" t="s">
        <v>2</v>
      </c>
      <c r="AF2796" s="54" t="s">
        <v>2</v>
      </c>
      <c r="AG2796" s="54" t="s">
        <v>2</v>
      </c>
    </row>
    <row r="2797" ht="15.75" customHeight="1">
      <c r="B2797" s="56"/>
      <c r="U2797" s="46" t="str">
        <f t="array" ref="U2797">IF($D2797="","",IFERROR(_xlfn.XLOOKUP($D2797,'TIR店舗一覧'!$D:$D,'TIR店舗一覧'!$E:$E,""),""))</f>
        <v/>
      </c>
      <c r="V2797" s="54" t="s">
        <v>2</v>
      </c>
      <c r="W2797" s="54" t="s">
        <v>2</v>
      </c>
      <c r="X2797" s="54" t="s">
        <v>2</v>
      </c>
      <c r="Y2797" s="54" t="s">
        <v>2</v>
      </c>
      <c r="Z2797" s="54" t="s">
        <v>2</v>
      </c>
      <c r="AA2797" s="54" t="s">
        <v>2</v>
      </c>
      <c r="AB2797" s="54" t="s">
        <v>2</v>
      </c>
      <c r="AC2797" s="54" t="s">
        <v>2</v>
      </c>
      <c r="AD2797" s="54" t="s">
        <v>2</v>
      </c>
      <c r="AE2797" s="54" t="s">
        <v>2</v>
      </c>
      <c r="AF2797" s="54" t="s">
        <v>2</v>
      </c>
      <c r="AG2797" s="54" t="s">
        <v>2</v>
      </c>
    </row>
    <row r="2798" ht="15.75" customHeight="1">
      <c r="B2798" s="56"/>
      <c r="U2798" s="46" t="str">
        <f t="array" ref="U2798">IF($D2798="","",IFERROR(_xlfn.XLOOKUP($D2798,'TIR店舗一覧'!$D:$D,'TIR店舗一覧'!$E:$E,""),""))</f>
        <v/>
      </c>
      <c r="V2798" s="54" t="s">
        <v>2</v>
      </c>
      <c r="W2798" s="54" t="s">
        <v>2</v>
      </c>
      <c r="X2798" s="54" t="s">
        <v>2</v>
      </c>
      <c r="Y2798" s="54" t="s">
        <v>2</v>
      </c>
      <c r="Z2798" s="54" t="s">
        <v>2</v>
      </c>
      <c r="AA2798" s="54" t="s">
        <v>2</v>
      </c>
      <c r="AB2798" s="54" t="s">
        <v>2</v>
      </c>
      <c r="AC2798" s="54" t="s">
        <v>2</v>
      </c>
      <c r="AD2798" s="54" t="s">
        <v>2</v>
      </c>
      <c r="AE2798" s="54" t="s">
        <v>2</v>
      </c>
      <c r="AF2798" s="54" t="s">
        <v>2</v>
      </c>
      <c r="AG2798" s="54" t="s">
        <v>2</v>
      </c>
    </row>
    <row r="2799" ht="15.75" customHeight="1">
      <c r="B2799" s="56"/>
      <c r="U2799" s="46" t="str">
        <f t="array" ref="U2799">IF($D2799="","",IFERROR(_xlfn.XLOOKUP($D2799,'TIR店舗一覧'!$D:$D,'TIR店舗一覧'!$E:$E,""),""))</f>
        <v/>
      </c>
      <c r="V2799" s="54" t="s">
        <v>2</v>
      </c>
      <c r="W2799" s="54" t="s">
        <v>2</v>
      </c>
      <c r="X2799" s="54" t="s">
        <v>2</v>
      </c>
      <c r="Y2799" s="54" t="s">
        <v>2</v>
      </c>
      <c r="Z2799" s="54" t="s">
        <v>2</v>
      </c>
      <c r="AA2799" s="54" t="s">
        <v>2</v>
      </c>
      <c r="AB2799" s="54" t="s">
        <v>2</v>
      </c>
      <c r="AC2799" s="54" t="s">
        <v>2</v>
      </c>
      <c r="AD2799" s="54" t="s">
        <v>2</v>
      </c>
      <c r="AE2799" s="54" t="s">
        <v>2</v>
      </c>
      <c r="AF2799" s="54" t="s">
        <v>2</v>
      </c>
      <c r="AG2799" s="54" t="s">
        <v>2</v>
      </c>
    </row>
    <row r="2800" ht="15.75" customHeight="1">
      <c r="B2800" s="56"/>
      <c r="U2800" s="46" t="str">
        <f t="array" ref="U2800">IF($D2800="","",IFERROR(_xlfn.XLOOKUP($D2800,'TIR店舗一覧'!$D:$D,'TIR店舗一覧'!$E:$E,""),""))</f>
        <v/>
      </c>
      <c r="V2800" s="54" t="s">
        <v>2</v>
      </c>
      <c r="W2800" s="54" t="s">
        <v>2</v>
      </c>
      <c r="X2800" s="54" t="s">
        <v>2</v>
      </c>
      <c r="Y2800" s="54" t="s">
        <v>2</v>
      </c>
      <c r="Z2800" s="54" t="s">
        <v>2</v>
      </c>
      <c r="AA2800" s="54" t="s">
        <v>2</v>
      </c>
      <c r="AB2800" s="54" t="s">
        <v>2</v>
      </c>
      <c r="AC2800" s="54" t="s">
        <v>2</v>
      </c>
      <c r="AD2800" s="54" t="s">
        <v>2</v>
      </c>
      <c r="AE2800" s="54" t="s">
        <v>2</v>
      </c>
      <c r="AF2800" s="54" t="s">
        <v>2</v>
      </c>
      <c r="AG2800" s="54" t="s">
        <v>2</v>
      </c>
    </row>
    <row r="2801" ht="15.75" customHeight="1">
      <c r="B2801" s="56"/>
      <c r="U2801" s="46" t="str">
        <f t="array" ref="U2801">IF($D2801="","",IFERROR(_xlfn.XLOOKUP($D2801,'TIR店舗一覧'!$D:$D,'TIR店舗一覧'!$E:$E,""),""))</f>
        <v/>
      </c>
      <c r="V2801" s="54" t="s">
        <v>2</v>
      </c>
      <c r="W2801" s="54" t="s">
        <v>2</v>
      </c>
      <c r="X2801" s="54" t="s">
        <v>2</v>
      </c>
      <c r="Y2801" s="54" t="s">
        <v>2</v>
      </c>
      <c r="Z2801" s="54" t="s">
        <v>2</v>
      </c>
      <c r="AA2801" s="54" t="s">
        <v>2</v>
      </c>
      <c r="AB2801" s="54" t="s">
        <v>2</v>
      </c>
      <c r="AC2801" s="54" t="s">
        <v>2</v>
      </c>
      <c r="AD2801" s="54" t="s">
        <v>2</v>
      </c>
      <c r="AE2801" s="54" t="s">
        <v>2</v>
      </c>
      <c r="AF2801" s="54" t="s">
        <v>2</v>
      </c>
      <c r="AG2801" s="54" t="s">
        <v>2</v>
      </c>
    </row>
    <row r="2802" ht="15.75" customHeight="1">
      <c r="B2802" s="56"/>
      <c r="U2802" s="46" t="str">
        <f t="array" ref="U2802">IF($D2802="","",IFERROR(_xlfn.XLOOKUP($D2802,'TIR店舗一覧'!$D:$D,'TIR店舗一覧'!$E:$E,""),""))</f>
        <v/>
      </c>
      <c r="V2802" s="54" t="s">
        <v>2</v>
      </c>
      <c r="W2802" s="54" t="s">
        <v>2</v>
      </c>
      <c r="X2802" s="54" t="s">
        <v>2</v>
      </c>
      <c r="Y2802" s="54" t="s">
        <v>2</v>
      </c>
      <c r="Z2802" s="54" t="s">
        <v>2</v>
      </c>
      <c r="AA2802" s="54" t="s">
        <v>2</v>
      </c>
      <c r="AB2802" s="54" t="s">
        <v>2</v>
      </c>
      <c r="AC2802" s="54" t="s">
        <v>2</v>
      </c>
      <c r="AD2802" s="54" t="s">
        <v>2</v>
      </c>
      <c r="AE2802" s="54" t="s">
        <v>2</v>
      </c>
      <c r="AF2802" s="54" t="s">
        <v>2</v>
      </c>
      <c r="AG2802" s="54" t="s">
        <v>2</v>
      </c>
    </row>
    <row r="2803" ht="15.75" customHeight="1">
      <c r="B2803" s="56"/>
      <c r="U2803" s="46" t="str">
        <f t="array" ref="U2803">IF($D2803="","",IFERROR(_xlfn.XLOOKUP($D2803,'TIR店舗一覧'!$D:$D,'TIR店舗一覧'!$E:$E,""),""))</f>
        <v/>
      </c>
      <c r="V2803" s="54" t="s">
        <v>2</v>
      </c>
      <c r="W2803" s="54" t="s">
        <v>2</v>
      </c>
      <c r="X2803" s="54" t="s">
        <v>2</v>
      </c>
      <c r="Y2803" s="54" t="s">
        <v>2</v>
      </c>
      <c r="Z2803" s="54" t="s">
        <v>2</v>
      </c>
      <c r="AA2803" s="54" t="s">
        <v>2</v>
      </c>
      <c r="AB2803" s="54" t="s">
        <v>2</v>
      </c>
      <c r="AC2803" s="54" t="s">
        <v>2</v>
      </c>
      <c r="AD2803" s="54" t="s">
        <v>2</v>
      </c>
      <c r="AE2803" s="54" t="s">
        <v>2</v>
      </c>
      <c r="AF2803" s="54" t="s">
        <v>2</v>
      </c>
      <c r="AG2803" s="54" t="s">
        <v>2</v>
      </c>
    </row>
    <row r="2804" ht="15.75" customHeight="1">
      <c r="B2804" s="56"/>
      <c r="U2804" s="46" t="str">
        <f t="array" ref="U2804">IF($D2804="","",IFERROR(_xlfn.XLOOKUP($D2804,'TIR店舗一覧'!$D:$D,'TIR店舗一覧'!$E:$E,""),""))</f>
        <v/>
      </c>
      <c r="V2804" s="54" t="s">
        <v>2</v>
      </c>
      <c r="W2804" s="54" t="s">
        <v>2</v>
      </c>
      <c r="X2804" s="54" t="s">
        <v>2</v>
      </c>
      <c r="Y2804" s="54" t="s">
        <v>2</v>
      </c>
      <c r="Z2804" s="54" t="s">
        <v>2</v>
      </c>
      <c r="AA2804" s="54" t="s">
        <v>2</v>
      </c>
      <c r="AB2804" s="54" t="s">
        <v>2</v>
      </c>
      <c r="AC2804" s="54" t="s">
        <v>2</v>
      </c>
      <c r="AD2804" s="54" t="s">
        <v>2</v>
      </c>
      <c r="AE2804" s="54" t="s">
        <v>2</v>
      </c>
      <c r="AF2804" s="54" t="s">
        <v>2</v>
      </c>
      <c r="AG2804" s="54" t="s">
        <v>2</v>
      </c>
    </row>
    <row r="2805" ht="15.75" customHeight="1">
      <c r="B2805" s="56"/>
      <c r="U2805" s="46" t="str">
        <f t="array" ref="U2805">IF($D2805="","",IFERROR(_xlfn.XLOOKUP($D2805,'TIR店舗一覧'!$D:$D,'TIR店舗一覧'!$E:$E,""),""))</f>
        <v/>
      </c>
      <c r="V2805" s="54" t="s">
        <v>2</v>
      </c>
      <c r="W2805" s="54" t="s">
        <v>2</v>
      </c>
      <c r="X2805" s="54" t="s">
        <v>2</v>
      </c>
      <c r="Y2805" s="54" t="s">
        <v>2</v>
      </c>
      <c r="Z2805" s="54" t="s">
        <v>2</v>
      </c>
      <c r="AA2805" s="54" t="s">
        <v>2</v>
      </c>
      <c r="AB2805" s="54" t="s">
        <v>2</v>
      </c>
      <c r="AC2805" s="54" t="s">
        <v>2</v>
      </c>
      <c r="AD2805" s="54" t="s">
        <v>2</v>
      </c>
      <c r="AE2805" s="54" t="s">
        <v>2</v>
      </c>
      <c r="AF2805" s="54" t="s">
        <v>2</v>
      </c>
      <c r="AG2805" s="54" t="s">
        <v>2</v>
      </c>
    </row>
    <row r="2806" ht="15.75" customHeight="1">
      <c r="B2806" s="56"/>
      <c r="U2806" s="46" t="str">
        <f t="array" ref="U2806">IF($D2806="","",IFERROR(_xlfn.XLOOKUP($D2806,'TIR店舗一覧'!$D:$D,'TIR店舗一覧'!$E:$E,""),""))</f>
        <v/>
      </c>
      <c r="V2806" s="54" t="s">
        <v>2</v>
      </c>
      <c r="W2806" s="54" t="s">
        <v>2</v>
      </c>
      <c r="X2806" s="54" t="s">
        <v>2</v>
      </c>
      <c r="Y2806" s="54" t="s">
        <v>2</v>
      </c>
      <c r="Z2806" s="54" t="s">
        <v>2</v>
      </c>
      <c r="AA2806" s="54" t="s">
        <v>2</v>
      </c>
      <c r="AB2806" s="54" t="s">
        <v>2</v>
      </c>
      <c r="AC2806" s="54" t="s">
        <v>2</v>
      </c>
      <c r="AD2806" s="54" t="s">
        <v>2</v>
      </c>
      <c r="AE2806" s="54" t="s">
        <v>2</v>
      </c>
      <c r="AF2806" s="54" t="s">
        <v>2</v>
      </c>
      <c r="AG2806" s="54" t="s">
        <v>2</v>
      </c>
    </row>
    <row r="2807" ht="15.75" customHeight="1">
      <c r="B2807" s="56"/>
      <c r="U2807" s="46" t="str">
        <f t="array" ref="U2807">IF($D2807="","",IFERROR(_xlfn.XLOOKUP($D2807,'TIR店舗一覧'!$D:$D,'TIR店舗一覧'!$E:$E,""),""))</f>
        <v/>
      </c>
      <c r="V2807" s="54" t="s">
        <v>2</v>
      </c>
      <c r="W2807" s="54" t="s">
        <v>2</v>
      </c>
      <c r="X2807" s="54" t="s">
        <v>2</v>
      </c>
      <c r="Y2807" s="54" t="s">
        <v>2</v>
      </c>
      <c r="Z2807" s="54" t="s">
        <v>2</v>
      </c>
      <c r="AA2807" s="54" t="s">
        <v>2</v>
      </c>
      <c r="AB2807" s="54" t="s">
        <v>2</v>
      </c>
      <c r="AC2807" s="54" t="s">
        <v>2</v>
      </c>
      <c r="AD2807" s="54" t="s">
        <v>2</v>
      </c>
      <c r="AE2807" s="54" t="s">
        <v>2</v>
      </c>
      <c r="AF2807" s="54" t="s">
        <v>2</v>
      </c>
      <c r="AG2807" s="54" t="s">
        <v>2</v>
      </c>
    </row>
    <row r="2808" ht="15.75" customHeight="1">
      <c r="B2808" s="56"/>
      <c r="U2808" s="46" t="str">
        <f t="array" ref="U2808">IF($D2808="","",IFERROR(_xlfn.XLOOKUP($D2808,'TIR店舗一覧'!$D:$D,'TIR店舗一覧'!$E:$E,""),""))</f>
        <v/>
      </c>
      <c r="V2808" s="54" t="s">
        <v>2</v>
      </c>
      <c r="W2808" s="54" t="s">
        <v>2</v>
      </c>
      <c r="X2808" s="54" t="s">
        <v>2</v>
      </c>
      <c r="Y2808" s="54" t="s">
        <v>2</v>
      </c>
      <c r="Z2808" s="54" t="s">
        <v>2</v>
      </c>
      <c r="AA2808" s="54" t="s">
        <v>2</v>
      </c>
      <c r="AB2808" s="54" t="s">
        <v>2</v>
      </c>
      <c r="AC2808" s="54" t="s">
        <v>2</v>
      </c>
      <c r="AD2808" s="54" t="s">
        <v>2</v>
      </c>
      <c r="AE2808" s="54" t="s">
        <v>2</v>
      </c>
      <c r="AF2808" s="54" t="s">
        <v>2</v>
      </c>
      <c r="AG2808" s="54" t="s">
        <v>2</v>
      </c>
    </row>
    <row r="2809" ht="15.75" customHeight="1">
      <c r="B2809" s="56"/>
      <c r="U2809" s="46" t="str">
        <f t="array" ref="U2809">IF($D2809="","",IFERROR(_xlfn.XLOOKUP($D2809,'TIR店舗一覧'!$D:$D,'TIR店舗一覧'!$E:$E,""),""))</f>
        <v/>
      </c>
      <c r="V2809" s="54" t="s">
        <v>2</v>
      </c>
      <c r="W2809" s="54" t="s">
        <v>2</v>
      </c>
      <c r="X2809" s="54" t="s">
        <v>2</v>
      </c>
      <c r="Y2809" s="54" t="s">
        <v>2</v>
      </c>
      <c r="Z2809" s="54" t="s">
        <v>2</v>
      </c>
      <c r="AA2809" s="54" t="s">
        <v>2</v>
      </c>
      <c r="AB2809" s="54" t="s">
        <v>2</v>
      </c>
      <c r="AC2809" s="54" t="s">
        <v>2</v>
      </c>
      <c r="AD2809" s="54" t="s">
        <v>2</v>
      </c>
      <c r="AE2809" s="54" t="s">
        <v>2</v>
      </c>
      <c r="AF2809" s="54" t="s">
        <v>2</v>
      </c>
      <c r="AG2809" s="54" t="s">
        <v>2</v>
      </c>
    </row>
    <row r="2810" ht="15.75" customHeight="1">
      <c r="B2810" s="56"/>
      <c r="U2810" s="46" t="str">
        <f t="array" ref="U2810">IF($D2810="","",IFERROR(_xlfn.XLOOKUP($D2810,'TIR店舗一覧'!$D:$D,'TIR店舗一覧'!$E:$E,""),""))</f>
        <v/>
      </c>
      <c r="V2810" s="54" t="s">
        <v>2</v>
      </c>
      <c r="W2810" s="54" t="s">
        <v>2</v>
      </c>
      <c r="X2810" s="54" t="s">
        <v>2</v>
      </c>
      <c r="Y2810" s="54" t="s">
        <v>2</v>
      </c>
      <c r="Z2810" s="54" t="s">
        <v>2</v>
      </c>
      <c r="AA2810" s="54" t="s">
        <v>2</v>
      </c>
      <c r="AB2810" s="54" t="s">
        <v>2</v>
      </c>
      <c r="AC2810" s="54" t="s">
        <v>2</v>
      </c>
      <c r="AD2810" s="54" t="s">
        <v>2</v>
      </c>
      <c r="AE2810" s="54" t="s">
        <v>2</v>
      </c>
      <c r="AF2810" s="54" t="s">
        <v>2</v>
      </c>
      <c r="AG2810" s="54" t="s">
        <v>2</v>
      </c>
    </row>
    <row r="2811" ht="15.75" customHeight="1">
      <c r="B2811" s="56"/>
      <c r="U2811" s="46" t="str">
        <f t="array" ref="U2811">IF($D2811="","",IFERROR(_xlfn.XLOOKUP($D2811,'TIR店舗一覧'!$D:$D,'TIR店舗一覧'!$E:$E,""),""))</f>
        <v/>
      </c>
      <c r="V2811" s="54" t="s">
        <v>2</v>
      </c>
      <c r="W2811" s="54" t="s">
        <v>2</v>
      </c>
      <c r="X2811" s="54" t="s">
        <v>2</v>
      </c>
      <c r="Y2811" s="54" t="s">
        <v>2</v>
      </c>
      <c r="Z2811" s="54" t="s">
        <v>2</v>
      </c>
      <c r="AA2811" s="54" t="s">
        <v>2</v>
      </c>
      <c r="AB2811" s="54" t="s">
        <v>2</v>
      </c>
      <c r="AC2811" s="54" t="s">
        <v>2</v>
      </c>
      <c r="AD2811" s="54" t="s">
        <v>2</v>
      </c>
      <c r="AE2811" s="54" t="s">
        <v>2</v>
      </c>
      <c r="AF2811" s="54" t="s">
        <v>2</v>
      </c>
      <c r="AG2811" s="54" t="s">
        <v>2</v>
      </c>
    </row>
    <row r="2812" ht="15.75" customHeight="1">
      <c r="B2812" s="56"/>
      <c r="U2812" s="46" t="str">
        <f t="array" ref="U2812">IF($D2812="","",IFERROR(_xlfn.XLOOKUP($D2812,'TIR店舗一覧'!$D:$D,'TIR店舗一覧'!$E:$E,""),""))</f>
        <v/>
      </c>
      <c r="V2812" s="54" t="s">
        <v>2</v>
      </c>
      <c r="W2812" s="54" t="s">
        <v>2</v>
      </c>
      <c r="X2812" s="54" t="s">
        <v>2</v>
      </c>
      <c r="Y2812" s="54" t="s">
        <v>2</v>
      </c>
      <c r="Z2812" s="54" t="s">
        <v>2</v>
      </c>
      <c r="AA2812" s="54" t="s">
        <v>2</v>
      </c>
      <c r="AB2812" s="54" t="s">
        <v>2</v>
      </c>
      <c r="AC2812" s="54" t="s">
        <v>2</v>
      </c>
      <c r="AD2812" s="54" t="s">
        <v>2</v>
      </c>
      <c r="AE2812" s="54" t="s">
        <v>2</v>
      </c>
      <c r="AF2812" s="54" t="s">
        <v>2</v>
      </c>
      <c r="AG2812" s="54" t="s">
        <v>2</v>
      </c>
    </row>
    <row r="2813" ht="15.75" customHeight="1">
      <c r="B2813" s="56"/>
      <c r="U2813" s="46" t="str">
        <f t="array" ref="U2813">IF($D2813="","",IFERROR(_xlfn.XLOOKUP($D2813,'TIR店舗一覧'!$D:$D,'TIR店舗一覧'!$E:$E,""),""))</f>
        <v/>
      </c>
      <c r="V2813" s="54" t="s">
        <v>2</v>
      </c>
      <c r="W2813" s="54" t="s">
        <v>2</v>
      </c>
      <c r="X2813" s="54" t="s">
        <v>2</v>
      </c>
      <c r="Y2813" s="54" t="s">
        <v>2</v>
      </c>
      <c r="Z2813" s="54" t="s">
        <v>2</v>
      </c>
      <c r="AA2813" s="54" t="s">
        <v>2</v>
      </c>
      <c r="AB2813" s="54" t="s">
        <v>2</v>
      </c>
      <c r="AC2813" s="54" t="s">
        <v>2</v>
      </c>
      <c r="AD2813" s="54" t="s">
        <v>2</v>
      </c>
      <c r="AE2813" s="54" t="s">
        <v>2</v>
      </c>
      <c r="AF2813" s="54" t="s">
        <v>2</v>
      </c>
      <c r="AG2813" s="54" t="s">
        <v>2</v>
      </c>
    </row>
    <row r="2814" ht="15.75" customHeight="1">
      <c r="B2814" s="56"/>
      <c r="U2814" s="46" t="str">
        <f t="array" ref="U2814">IF($D2814="","",IFERROR(_xlfn.XLOOKUP($D2814,'TIR店舗一覧'!$D:$D,'TIR店舗一覧'!$E:$E,""),""))</f>
        <v/>
      </c>
      <c r="V2814" s="54" t="s">
        <v>2</v>
      </c>
      <c r="W2814" s="54" t="s">
        <v>2</v>
      </c>
      <c r="X2814" s="54" t="s">
        <v>2</v>
      </c>
      <c r="Y2814" s="54" t="s">
        <v>2</v>
      </c>
      <c r="Z2814" s="54" t="s">
        <v>2</v>
      </c>
      <c r="AA2814" s="54" t="s">
        <v>2</v>
      </c>
      <c r="AB2814" s="54" t="s">
        <v>2</v>
      </c>
      <c r="AC2814" s="54" t="s">
        <v>2</v>
      </c>
      <c r="AD2814" s="54" t="s">
        <v>2</v>
      </c>
      <c r="AE2814" s="54" t="s">
        <v>2</v>
      </c>
      <c r="AF2814" s="54" t="s">
        <v>2</v>
      </c>
      <c r="AG2814" s="54" t="s">
        <v>2</v>
      </c>
    </row>
    <row r="2815" ht="15.75" customHeight="1">
      <c r="B2815" s="56"/>
      <c r="U2815" s="46" t="str">
        <f t="array" ref="U2815">IF($D2815="","",IFERROR(_xlfn.XLOOKUP($D2815,'TIR店舗一覧'!$D:$D,'TIR店舗一覧'!$E:$E,""),""))</f>
        <v/>
      </c>
      <c r="V2815" s="54" t="s">
        <v>2</v>
      </c>
      <c r="W2815" s="54" t="s">
        <v>2</v>
      </c>
      <c r="X2815" s="54" t="s">
        <v>2</v>
      </c>
      <c r="Y2815" s="54" t="s">
        <v>2</v>
      </c>
      <c r="Z2815" s="54" t="s">
        <v>2</v>
      </c>
      <c r="AA2815" s="54" t="s">
        <v>2</v>
      </c>
      <c r="AB2815" s="54" t="s">
        <v>2</v>
      </c>
      <c r="AC2815" s="54" t="s">
        <v>2</v>
      </c>
      <c r="AD2815" s="54" t="s">
        <v>2</v>
      </c>
      <c r="AE2815" s="54" t="s">
        <v>2</v>
      </c>
      <c r="AF2815" s="54" t="s">
        <v>2</v>
      </c>
      <c r="AG2815" s="54" t="s">
        <v>2</v>
      </c>
    </row>
    <row r="2816" ht="15.75" customHeight="1">
      <c r="B2816" s="56"/>
      <c r="U2816" s="46" t="str">
        <f t="array" ref="U2816">IF($D2816="","",IFERROR(_xlfn.XLOOKUP($D2816,'TIR店舗一覧'!$D:$D,'TIR店舗一覧'!$E:$E,""),""))</f>
        <v/>
      </c>
      <c r="V2816" s="54" t="s">
        <v>2</v>
      </c>
      <c r="W2816" s="54" t="s">
        <v>2</v>
      </c>
      <c r="X2816" s="54" t="s">
        <v>2</v>
      </c>
      <c r="Y2816" s="54" t="s">
        <v>2</v>
      </c>
      <c r="Z2816" s="54" t="s">
        <v>2</v>
      </c>
      <c r="AA2816" s="54" t="s">
        <v>2</v>
      </c>
      <c r="AB2816" s="54" t="s">
        <v>2</v>
      </c>
      <c r="AC2816" s="54" t="s">
        <v>2</v>
      </c>
      <c r="AD2816" s="54" t="s">
        <v>2</v>
      </c>
      <c r="AE2816" s="54" t="s">
        <v>2</v>
      </c>
      <c r="AF2816" s="54" t="s">
        <v>2</v>
      </c>
      <c r="AG2816" s="54" t="s">
        <v>2</v>
      </c>
    </row>
    <row r="2817" ht="15.75" customHeight="1">
      <c r="B2817" s="56"/>
      <c r="U2817" s="46" t="str">
        <f t="array" ref="U2817">IF($D2817="","",IFERROR(_xlfn.XLOOKUP($D2817,'TIR店舗一覧'!$D:$D,'TIR店舗一覧'!$E:$E,""),""))</f>
        <v/>
      </c>
      <c r="V2817" s="54" t="s">
        <v>2</v>
      </c>
      <c r="W2817" s="54" t="s">
        <v>2</v>
      </c>
      <c r="X2817" s="54" t="s">
        <v>2</v>
      </c>
      <c r="Y2817" s="54" t="s">
        <v>2</v>
      </c>
      <c r="Z2817" s="54" t="s">
        <v>2</v>
      </c>
      <c r="AA2817" s="54" t="s">
        <v>2</v>
      </c>
      <c r="AB2817" s="54" t="s">
        <v>2</v>
      </c>
      <c r="AC2817" s="54" t="s">
        <v>2</v>
      </c>
      <c r="AD2817" s="54" t="s">
        <v>2</v>
      </c>
      <c r="AE2817" s="54" t="s">
        <v>2</v>
      </c>
      <c r="AF2817" s="54" t="s">
        <v>2</v>
      </c>
      <c r="AG2817" s="54" t="s">
        <v>2</v>
      </c>
    </row>
    <row r="2818" ht="15.75" customHeight="1">
      <c r="B2818" s="56"/>
      <c r="U2818" s="46" t="str">
        <f t="array" ref="U2818">IF($D2818="","",IFERROR(_xlfn.XLOOKUP($D2818,'TIR店舗一覧'!$D:$D,'TIR店舗一覧'!$E:$E,""),""))</f>
        <v/>
      </c>
      <c r="V2818" s="54" t="s">
        <v>2</v>
      </c>
      <c r="W2818" s="54" t="s">
        <v>2</v>
      </c>
      <c r="X2818" s="54" t="s">
        <v>2</v>
      </c>
      <c r="Y2818" s="54" t="s">
        <v>2</v>
      </c>
      <c r="Z2818" s="54" t="s">
        <v>2</v>
      </c>
      <c r="AA2818" s="54" t="s">
        <v>2</v>
      </c>
      <c r="AB2818" s="54" t="s">
        <v>2</v>
      </c>
      <c r="AC2818" s="54" t="s">
        <v>2</v>
      </c>
      <c r="AD2818" s="54" t="s">
        <v>2</v>
      </c>
      <c r="AE2818" s="54" t="s">
        <v>2</v>
      </c>
      <c r="AF2818" s="54" t="s">
        <v>2</v>
      </c>
      <c r="AG2818" s="54" t="s">
        <v>2</v>
      </c>
    </row>
    <row r="2819" ht="15.75" customHeight="1">
      <c r="B2819" s="56"/>
      <c r="U2819" s="46" t="str">
        <f t="array" ref="U2819">IF($D2819="","",IFERROR(_xlfn.XLOOKUP($D2819,'TIR店舗一覧'!$D:$D,'TIR店舗一覧'!$E:$E,""),""))</f>
        <v/>
      </c>
      <c r="V2819" s="54" t="s">
        <v>2</v>
      </c>
      <c r="W2819" s="54" t="s">
        <v>2</v>
      </c>
      <c r="X2819" s="54" t="s">
        <v>2</v>
      </c>
      <c r="Y2819" s="54" t="s">
        <v>2</v>
      </c>
      <c r="Z2819" s="54" t="s">
        <v>2</v>
      </c>
      <c r="AA2819" s="54" t="s">
        <v>2</v>
      </c>
      <c r="AB2819" s="54" t="s">
        <v>2</v>
      </c>
      <c r="AC2819" s="54" t="s">
        <v>2</v>
      </c>
      <c r="AD2819" s="54" t="s">
        <v>2</v>
      </c>
      <c r="AE2819" s="54" t="s">
        <v>2</v>
      </c>
      <c r="AF2819" s="54" t="s">
        <v>2</v>
      </c>
      <c r="AG2819" s="54" t="s">
        <v>2</v>
      </c>
    </row>
    <row r="2820" ht="15.75" customHeight="1">
      <c r="B2820" s="56"/>
      <c r="U2820" s="46" t="str">
        <f t="array" ref="U2820">IF($D2820="","",IFERROR(_xlfn.XLOOKUP($D2820,'TIR店舗一覧'!$D:$D,'TIR店舗一覧'!$E:$E,""),""))</f>
        <v/>
      </c>
      <c r="V2820" s="54" t="s">
        <v>2</v>
      </c>
      <c r="W2820" s="54" t="s">
        <v>2</v>
      </c>
      <c r="X2820" s="54" t="s">
        <v>2</v>
      </c>
      <c r="Y2820" s="54" t="s">
        <v>2</v>
      </c>
      <c r="Z2820" s="54" t="s">
        <v>2</v>
      </c>
      <c r="AA2820" s="54" t="s">
        <v>2</v>
      </c>
      <c r="AB2820" s="54" t="s">
        <v>2</v>
      </c>
      <c r="AC2820" s="54" t="s">
        <v>2</v>
      </c>
      <c r="AD2820" s="54" t="s">
        <v>2</v>
      </c>
      <c r="AE2820" s="54" t="s">
        <v>2</v>
      </c>
      <c r="AF2820" s="54" t="s">
        <v>2</v>
      </c>
      <c r="AG2820" s="54" t="s">
        <v>2</v>
      </c>
    </row>
    <row r="2821" ht="15.75" customHeight="1">
      <c r="B2821" s="56"/>
      <c r="U2821" s="46" t="str">
        <f t="array" ref="U2821">IF($D2821="","",IFERROR(_xlfn.XLOOKUP($D2821,'TIR店舗一覧'!$D:$D,'TIR店舗一覧'!$E:$E,""),""))</f>
        <v/>
      </c>
      <c r="V2821" s="54" t="s">
        <v>2</v>
      </c>
      <c r="W2821" s="54" t="s">
        <v>2</v>
      </c>
      <c r="X2821" s="54" t="s">
        <v>2</v>
      </c>
      <c r="Y2821" s="54" t="s">
        <v>2</v>
      </c>
      <c r="Z2821" s="54" t="s">
        <v>2</v>
      </c>
      <c r="AA2821" s="54" t="s">
        <v>2</v>
      </c>
      <c r="AB2821" s="54" t="s">
        <v>2</v>
      </c>
      <c r="AC2821" s="54" t="s">
        <v>2</v>
      </c>
      <c r="AD2821" s="54" t="s">
        <v>2</v>
      </c>
      <c r="AE2821" s="54" t="s">
        <v>2</v>
      </c>
      <c r="AF2821" s="54" t="s">
        <v>2</v>
      </c>
      <c r="AG2821" s="54" t="s">
        <v>2</v>
      </c>
    </row>
    <row r="2822" ht="15.75" customHeight="1">
      <c r="B2822" s="56"/>
      <c r="U2822" s="46" t="str">
        <f t="array" ref="U2822">IF($D2822="","",IFERROR(_xlfn.XLOOKUP($D2822,'TIR店舗一覧'!$D:$D,'TIR店舗一覧'!$E:$E,""),""))</f>
        <v/>
      </c>
      <c r="V2822" s="54" t="s">
        <v>2</v>
      </c>
      <c r="W2822" s="54" t="s">
        <v>2</v>
      </c>
      <c r="X2822" s="54" t="s">
        <v>2</v>
      </c>
      <c r="Y2822" s="54" t="s">
        <v>2</v>
      </c>
      <c r="Z2822" s="54" t="s">
        <v>2</v>
      </c>
      <c r="AA2822" s="54" t="s">
        <v>2</v>
      </c>
      <c r="AB2822" s="54" t="s">
        <v>2</v>
      </c>
      <c r="AC2822" s="54" t="s">
        <v>2</v>
      </c>
      <c r="AD2822" s="54" t="s">
        <v>2</v>
      </c>
      <c r="AE2822" s="54" t="s">
        <v>2</v>
      </c>
      <c r="AF2822" s="54" t="s">
        <v>2</v>
      </c>
      <c r="AG2822" s="54" t="s">
        <v>2</v>
      </c>
    </row>
    <row r="2823" ht="15.75" customHeight="1">
      <c r="B2823" s="56"/>
      <c r="U2823" s="46" t="str">
        <f t="array" ref="U2823">IF($D2823="","",IFERROR(_xlfn.XLOOKUP($D2823,'TIR店舗一覧'!$D:$D,'TIR店舗一覧'!$E:$E,""),""))</f>
        <v/>
      </c>
      <c r="V2823" s="54" t="s">
        <v>2</v>
      </c>
      <c r="W2823" s="54" t="s">
        <v>2</v>
      </c>
      <c r="X2823" s="54" t="s">
        <v>2</v>
      </c>
      <c r="Y2823" s="54" t="s">
        <v>2</v>
      </c>
      <c r="Z2823" s="54" t="s">
        <v>2</v>
      </c>
      <c r="AA2823" s="54" t="s">
        <v>2</v>
      </c>
      <c r="AB2823" s="54" t="s">
        <v>2</v>
      </c>
      <c r="AC2823" s="54" t="s">
        <v>2</v>
      </c>
      <c r="AD2823" s="54" t="s">
        <v>2</v>
      </c>
      <c r="AE2823" s="54" t="s">
        <v>2</v>
      </c>
      <c r="AF2823" s="54" t="s">
        <v>2</v>
      </c>
      <c r="AG2823" s="54" t="s">
        <v>2</v>
      </c>
    </row>
    <row r="2824" ht="15.75" customHeight="1">
      <c r="B2824" s="56"/>
      <c r="U2824" s="46" t="str">
        <f t="array" ref="U2824">IF($D2824="","",IFERROR(_xlfn.XLOOKUP($D2824,'TIR店舗一覧'!$D:$D,'TIR店舗一覧'!$E:$E,""),""))</f>
        <v/>
      </c>
      <c r="V2824" s="54" t="s">
        <v>2</v>
      </c>
      <c r="W2824" s="54" t="s">
        <v>2</v>
      </c>
      <c r="X2824" s="54" t="s">
        <v>2</v>
      </c>
      <c r="Y2824" s="54" t="s">
        <v>2</v>
      </c>
      <c r="Z2824" s="54" t="s">
        <v>2</v>
      </c>
      <c r="AA2824" s="54" t="s">
        <v>2</v>
      </c>
      <c r="AB2824" s="54" t="s">
        <v>2</v>
      </c>
      <c r="AC2824" s="54" t="s">
        <v>2</v>
      </c>
      <c r="AD2824" s="54" t="s">
        <v>2</v>
      </c>
      <c r="AE2824" s="54" t="s">
        <v>2</v>
      </c>
      <c r="AF2824" s="54" t="s">
        <v>2</v>
      </c>
      <c r="AG2824" s="54" t="s">
        <v>2</v>
      </c>
    </row>
    <row r="2825" ht="15.75" customHeight="1">
      <c r="B2825" s="56"/>
      <c r="U2825" s="46" t="str">
        <f t="array" ref="U2825">IF($D2825="","",IFERROR(_xlfn.XLOOKUP($D2825,'TIR店舗一覧'!$D:$D,'TIR店舗一覧'!$E:$E,""),""))</f>
        <v/>
      </c>
      <c r="V2825" s="54" t="s">
        <v>2</v>
      </c>
      <c r="W2825" s="54" t="s">
        <v>2</v>
      </c>
      <c r="X2825" s="54" t="s">
        <v>2</v>
      </c>
      <c r="Y2825" s="54" t="s">
        <v>2</v>
      </c>
      <c r="Z2825" s="54" t="s">
        <v>2</v>
      </c>
      <c r="AA2825" s="54" t="s">
        <v>2</v>
      </c>
      <c r="AB2825" s="54" t="s">
        <v>2</v>
      </c>
      <c r="AC2825" s="54" t="s">
        <v>2</v>
      </c>
      <c r="AD2825" s="54" t="s">
        <v>2</v>
      </c>
      <c r="AE2825" s="54" t="s">
        <v>2</v>
      </c>
      <c r="AF2825" s="54" t="s">
        <v>2</v>
      </c>
      <c r="AG2825" s="54" t="s">
        <v>2</v>
      </c>
    </row>
    <row r="2826" ht="15.75" customHeight="1">
      <c r="B2826" s="56"/>
      <c r="U2826" s="46" t="str">
        <f t="array" ref="U2826">IF($D2826="","",IFERROR(_xlfn.XLOOKUP($D2826,'TIR店舗一覧'!$D:$D,'TIR店舗一覧'!$E:$E,""),""))</f>
        <v/>
      </c>
      <c r="V2826" s="54" t="s">
        <v>2</v>
      </c>
      <c r="W2826" s="54" t="s">
        <v>2</v>
      </c>
      <c r="X2826" s="54" t="s">
        <v>2</v>
      </c>
      <c r="Y2826" s="54" t="s">
        <v>2</v>
      </c>
      <c r="Z2826" s="54" t="s">
        <v>2</v>
      </c>
      <c r="AA2826" s="54" t="s">
        <v>2</v>
      </c>
      <c r="AB2826" s="54" t="s">
        <v>2</v>
      </c>
      <c r="AC2826" s="54" t="s">
        <v>2</v>
      </c>
      <c r="AD2826" s="54" t="s">
        <v>2</v>
      </c>
      <c r="AE2826" s="54" t="s">
        <v>2</v>
      </c>
      <c r="AF2826" s="54" t="s">
        <v>2</v>
      </c>
      <c r="AG2826" s="54" t="s">
        <v>2</v>
      </c>
    </row>
    <row r="2827" ht="15.75" customHeight="1">
      <c r="B2827" s="56"/>
      <c r="U2827" s="46" t="str">
        <f t="array" ref="U2827">IF($D2827="","",IFERROR(_xlfn.XLOOKUP($D2827,'TIR店舗一覧'!$D:$D,'TIR店舗一覧'!$E:$E,""),""))</f>
        <v/>
      </c>
      <c r="V2827" s="54" t="s">
        <v>2</v>
      </c>
      <c r="W2827" s="54" t="s">
        <v>2</v>
      </c>
      <c r="X2827" s="54" t="s">
        <v>2</v>
      </c>
      <c r="Y2827" s="54" t="s">
        <v>2</v>
      </c>
      <c r="Z2827" s="54" t="s">
        <v>2</v>
      </c>
      <c r="AA2827" s="54" t="s">
        <v>2</v>
      </c>
      <c r="AB2827" s="54" t="s">
        <v>2</v>
      </c>
      <c r="AC2827" s="54" t="s">
        <v>2</v>
      </c>
      <c r="AD2827" s="54" t="s">
        <v>2</v>
      </c>
      <c r="AE2827" s="54" t="s">
        <v>2</v>
      </c>
      <c r="AF2827" s="54" t="s">
        <v>2</v>
      </c>
      <c r="AG2827" s="54" t="s">
        <v>2</v>
      </c>
    </row>
    <row r="2828" ht="15.75" customHeight="1">
      <c r="B2828" s="56"/>
      <c r="U2828" s="46" t="str">
        <f t="array" ref="U2828">IF($D2828="","",IFERROR(_xlfn.XLOOKUP($D2828,'TIR店舗一覧'!$D:$D,'TIR店舗一覧'!$E:$E,""),""))</f>
        <v/>
      </c>
      <c r="V2828" s="54" t="s">
        <v>2</v>
      </c>
      <c r="W2828" s="54" t="s">
        <v>2</v>
      </c>
      <c r="X2828" s="54" t="s">
        <v>2</v>
      </c>
      <c r="Y2828" s="54" t="s">
        <v>2</v>
      </c>
      <c r="Z2828" s="54" t="s">
        <v>2</v>
      </c>
      <c r="AA2828" s="54" t="s">
        <v>2</v>
      </c>
      <c r="AB2828" s="54" t="s">
        <v>2</v>
      </c>
      <c r="AC2828" s="54" t="s">
        <v>2</v>
      </c>
      <c r="AD2828" s="54" t="s">
        <v>2</v>
      </c>
      <c r="AE2828" s="54" t="s">
        <v>2</v>
      </c>
      <c r="AF2828" s="54" t="s">
        <v>2</v>
      </c>
      <c r="AG2828" s="54" t="s">
        <v>2</v>
      </c>
    </row>
    <row r="2829" ht="15.75" customHeight="1">
      <c r="B2829" s="56"/>
      <c r="U2829" s="46" t="str">
        <f t="array" ref="U2829">IF($D2829="","",IFERROR(_xlfn.XLOOKUP($D2829,'TIR店舗一覧'!$D:$D,'TIR店舗一覧'!$E:$E,""),""))</f>
        <v/>
      </c>
      <c r="V2829" s="54" t="s">
        <v>2</v>
      </c>
      <c r="W2829" s="54" t="s">
        <v>2</v>
      </c>
      <c r="X2829" s="54" t="s">
        <v>2</v>
      </c>
      <c r="Y2829" s="54" t="s">
        <v>2</v>
      </c>
      <c r="Z2829" s="54" t="s">
        <v>2</v>
      </c>
      <c r="AA2829" s="54" t="s">
        <v>2</v>
      </c>
      <c r="AB2829" s="54" t="s">
        <v>2</v>
      </c>
      <c r="AC2829" s="54" t="s">
        <v>2</v>
      </c>
      <c r="AD2829" s="54" t="s">
        <v>2</v>
      </c>
      <c r="AE2829" s="54" t="s">
        <v>2</v>
      </c>
      <c r="AF2829" s="54" t="s">
        <v>2</v>
      </c>
      <c r="AG2829" s="54" t="s">
        <v>2</v>
      </c>
    </row>
    <row r="2830" ht="15.75" customHeight="1">
      <c r="B2830" s="56"/>
      <c r="U2830" s="46" t="str">
        <f t="array" ref="U2830">IF($D2830="","",IFERROR(_xlfn.XLOOKUP($D2830,'TIR店舗一覧'!$D:$D,'TIR店舗一覧'!$E:$E,""),""))</f>
        <v/>
      </c>
      <c r="V2830" s="54" t="s">
        <v>2</v>
      </c>
      <c r="W2830" s="54" t="s">
        <v>2</v>
      </c>
      <c r="X2830" s="54" t="s">
        <v>2</v>
      </c>
      <c r="Y2830" s="54" t="s">
        <v>2</v>
      </c>
      <c r="Z2830" s="54" t="s">
        <v>2</v>
      </c>
      <c r="AA2830" s="54" t="s">
        <v>2</v>
      </c>
      <c r="AB2830" s="54" t="s">
        <v>2</v>
      </c>
      <c r="AC2830" s="54" t="s">
        <v>2</v>
      </c>
      <c r="AD2830" s="54" t="s">
        <v>2</v>
      </c>
      <c r="AE2830" s="54" t="s">
        <v>2</v>
      </c>
      <c r="AF2830" s="54" t="s">
        <v>2</v>
      </c>
      <c r="AG2830" s="54" t="s">
        <v>2</v>
      </c>
    </row>
    <row r="2831" ht="15.75" customHeight="1">
      <c r="B2831" s="56"/>
      <c r="U2831" s="46" t="str">
        <f t="array" ref="U2831">IF($D2831="","",IFERROR(_xlfn.XLOOKUP($D2831,'TIR店舗一覧'!$D:$D,'TIR店舗一覧'!$E:$E,""),""))</f>
        <v/>
      </c>
      <c r="V2831" s="54" t="s">
        <v>2</v>
      </c>
      <c r="W2831" s="54" t="s">
        <v>2</v>
      </c>
      <c r="X2831" s="54" t="s">
        <v>2</v>
      </c>
      <c r="Y2831" s="54" t="s">
        <v>2</v>
      </c>
      <c r="Z2831" s="54" t="s">
        <v>2</v>
      </c>
      <c r="AA2831" s="54" t="s">
        <v>2</v>
      </c>
      <c r="AB2831" s="54" t="s">
        <v>2</v>
      </c>
      <c r="AC2831" s="54" t="s">
        <v>2</v>
      </c>
      <c r="AD2831" s="54" t="s">
        <v>2</v>
      </c>
      <c r="AE2831" s="54" t="s">
        <v>2</v>
      </c>
      <c r="AF2831" s="54" t="s">
        <v>2</v>
      </c>
      <c r="AG2831" s="54" t="s">
        <v>2</v>
      </c>
    </row>
    <row r="2832" ht="15.75" customHeight="1">
      <c r="B2832" s="56"/>
      <c r="U2832" s="46" t="str">
        <f t="array" ref="U2832">IF($D2832="","",IFERROR(_xlfn.XLOOKUP($D2832,'TIR店舗一覧'!$D:$D,'TIR店舗一覧'!$E:$E,""),""))</f>
        <v/>
      </c>
      <c r="V2832" s="54" t="s">
        <v>2</v>
      </c>
      <c r="W2832" s="54" t="s">
        <v>2</v>
      </c>
      <c r="X2832" s="54" t="s">
        <v>2</v>
      </c>
      <c r="Y2832" s="54" t="s">
        <v>2</v>
      </c>
      <c r="Z2832" s="54" t="s">
        <v>2</v>
      </c>
      <c r="AA2832" s="54" t="s">
        <v>2</v>
      </c>
      <c r="AB2832" s="54" t="s">
        <v>2</v>
      </c>
      <c r="AC2832" s="54" t="s">
        <v>2</v>
      </c>
      <c r="AD2832" s="54" t="s">
        <v>2</v>
      </c>
      <c r="AE2832" s="54" t="s">
        <v>2</v>
      </c>
      <c r="AF2832" s="54" t="s">
        <v>2</v>
      </c>
      <c r="AG2832" s="54" t="s">
        <v>2</v>
      </c>
    </row>
    <row r="2833" ht="15.75" customHeight="1">
      <c r="B2833" s="56"/>
      <c r="U2833" s="46" t="str">
        <f t="array" ref="U2833">IF($D2833="","",IFERROR(_xlfn.XLOOKUP($D2833,'TIR店舗一覧'!$D:$D,'TIR店舗一覧'!$E:$E,""),""))</f>
        <v/>
      </c>
      <c r="V2833" s="54" t="s">
        <v>2</v>
      </c>
      <c r="W2833" s="54" t="s">
        <v>2</v>
      </c>
      <c r="X2833" s="54" t="s">
        <v>2</v>
      </c>
      <c r="Y2833" s="54" t="s">
        <v>2</v>
      </c>
      <c r="Z2833" s="54" t="s">
        <v>2</v>
      </c>
      <c r="AA2833" s="54" t="s">
        <v>2</v>
      </c>
      <c r="AB2833" s="54" t="s">
        <v>2</v>
      </c>
      <c r="AC2833" s="54" t="s">
        <v>2</v>
      </c>
      <c r="AD2833" s="54" t="s">
        <v>2</v>
      </c>
      <c r="AE2833" s="54" t="s">
        <v>2</v>
      </c>
      <c r="AF2833" s="54" t="s">
        <v>2</v>
      </c>
      <c r="AG2833" s="54" t="s">
        <v>2</v>
      </c>
    </row>
    <row r="2834" ht="15.75" customHeight="1">
      <c r="B2834" s="56"/>
      <c r="U2834" s="46" t="str">
        <f t="array" ref="U2834">IF($D2834="","",IFERROR(_xlfn.XLOOKUP($D2834,'TIR店舗一覧'!$D:$D,'TIR店舗一覧'!$E:$E,""),""))</f>
        <v/>
      </c>
      <c r="V2834" s="54" t="s">
        <v>2</v>
      </c>
      <c r="W2834" s="54" t="s">
        <v>2</v>
      </c>
      <c r="X2834" s="54" t="s">
        <v>2</v>
      </c>
      <c r="Y2834" s="54" t="s">
        <v>2</v>
      </c>
      <c r="Z2834" s="54" t="s">
        <v>2</v>
      </c>
      <c r="AA2834" s="54" t="s">
        <v>2</v>
      </c>
      <c r="AB2834" s="54" t="s">
        <v>2</v>
      </c>
      <c r="AC2834" s="54" t="s">
        <v>2</v>
      </c>
      <c r="AD2834" s="54" t="s">
        <v>2</v>
      </c>
      <c r="AE2834" s="54" t="s">
        <v>2</v>
      </c>
      <c r="AF2834" s="54" t="s">
        <v>2</v>
      </c>
      <c r="AG2834" s="54" t="s">
        <v>2</v>
      </c>
    </row>
    <row r="2835" ht="15.75" customHeight="1">
      <c r="B2835" s="56"/>
      <c r="U2835" s="46" t="str">
        <f t="array" ref="U2835">IF($D2835="","",IFERROR(_xlfn.XLOOKUP($D2835,'TIR店舗一覧'!$D:$D,'TIR店舗一覧'!$E:$E,""),""))</f>
        <v/>
      </c>
      <c r="V2835" s="54" t="s">
        <v>2</v>
      </c>
      <c r="W2835" s="54" t="s">
        <v>2</v>
      </c>
      <c r="X2835" s="54" t="s">
        <v>2</v>
      </c>
      <c r="Y2835" s="54" t="s">
        <v>2</v>
      </c>
      <c r="Z2835" s="54" t="s">
        <v>2</v>
      </c>
      <c r="AA2835" s="54" t="s">
        <v>2</v>
      </c>
      <c r="AB2835" s="54" t="s">
        <v>2</v>
      </c>
      <c r="AC2835" s="54" t="s">
        <v>2</v>
      </c>
      <c r="AD2835" s="54" t="s">
        <v>2</v>
      </c>
      <c r="AE2835" s="54" t="s">
        <v>2</v>
      </c>
      <c r="AF2835" s="54" t="s">
        <v>2</v>
      </c>
      <c r="AG2835" s="54" t="s">
        <v>2</v>
      </c>
    </row>
    <row r="2836" ht="15.75" customHeight="1">
      <c r="B2836" s="56"/>
      <c r="U2836" s="46" t="str">
        <f t="array" ref="U2836">IF($D2836="","",IFERROR(_xlfn.XLOOKUP($D2836,'TIR店舗一覧'!$D:$D,'TIR店舗一覧'!$E:$E,""),""))</f>
        <v/>
      </c>
      <c r="V2836" s="54" t="s">
        <v>2</v>
      </c>
      <c r="W2836" s="54" t="s">
        <v>2</v>
      </c>
      <c r="X2836" s="54" t="s">
        <v>2</v>
      </c>
      <c r="Y2836" s="54" t="s">
        <v>2</v>
      </c>
      <c r="Z2836" s="54" t="s">
        <v>2</v>
      </c>
      <c r="AA2836" s="54" t="s">
        <v>2</v>
      </c>
      <c r="AB2836" s="54" t="s">
        <v>2</v>
      </c>
      <c r="AC2836" s="54" t="s">
        <v>2</v>
      </c>
      <c r="AD2836" s="54" t="s">
        <v>2</v>
      </c>
      <c r="AE2836" s="54" t="s">
        <v>2</v>
      </c>
      <c r="AF2836" s="54" t="s">
        <v>2</v>
      </c>
      <c r="AG2836" s="54" t="s">
        <v>2</v>
      </c>
    </row>
    <row r="2837" ht="15.75" customHeight="1">
      <c r="B2837" s="56"/>
      <c r="U2837" s="46" t="str">
        <f t="array" ref="U2837">IF($D2837="","",IFERROR(_xlfn.XLOOKUP($D2837,'TIR店舗一覧'!$D:$D,'TIR店舗一覧'!$E:$E,""),""))</f>
        <v/>
      </c>
      <c r="V2837" s="54" t="s">
        <v>2</v>
      </c>
      <c r="W2837" s="54" t="s">
        <v>2</v>
      </c>
      <c r="X2837" s="54" t="s">
        <v>2</v>
      </c>
      <c r="Y2837" s="54" t="s">
        <v>2</v>
      </c>
      <c r="Z2837" s="54" t="s">
        <v>2</v>
      </c>
      <c r="AA2837" s="54" t="s">
        <v>2</v>
      </c>
      <c r="AB2837" s="54" t="s">
        <v>2</v>
      </c>
      <c r="AC2837" s="54" t="s">
        <v>2</v>
      </c>
      <c r="AD2837" s="54" t="s">
        <v>2</v>
      </c>
      <c r="AE2837" s="54" t="s">
        <v>2</v>
      </c>
      <c r="AF2837" s="54" t="s">
        <v>2</v>
      </c>
      <c r="AG2837" s="54" t="s">
        <v>2</v>
      </c>
    </row>
    <row r="2838" ht="15.75" customHeight="1">
      <c r="B2838" s="56"/>
      <c r="U2838" s="46" t="str">
        <f t="array" ref="U2838">IF($D2838="","",IFERROR(_xlfn.XLOOKUP($D2838,'TIR店舗一覧'!$D:$D,'TIR店舗一覧'!$E:$E,""),""))</f>
        <v/>
      </c>
      <c r="V2838" s="54" t="s">
        <v>2</v>
      </c>
      <c r="W2838" s="54" t="s">
        <v>2</v>
      </c>
      <c r="X2838" s="54" t="s">
        <v>2</v>
      </c>
      <c r="Y2838" s="54" t="s">
        <v>2</v>
      </c>
      <c r="Z2838" s="54" t="s">
        <v>2</v>
      </c>
      <c r="AA2838" s="54" t="s">
        <v>2</v>
      </c>
      <c r="AB2838" s="54" t="s">
        <v>2</v>
      </c>
      <c r="AC2838" s="54" t="s">
        <v>2</v>
      </c>
      <c r="AD2838" s="54" t="s">
        <v>2</v>
      </c>
      <c r="AE2838" s="54" t="s">
        <v>2</v>
      </c>
      <c r="AF2838" s="54" t="s">
        <v>2</v>
      </c>
      <c r="AG2838" s="54" t="s">
        <v>2</v>
      </c>
    </row>
    <row r="2839" ht="15.75" customHeight="1">
      <c r="B2839" s="56"/>
      <c r="U2839" s="46" t="str">
        <f t="array" ref="U2839">IF($D2839="","",IFERROR(_xlfn.XLOOKUP($D2839,'TIR店舗一覧'!$D:$D,'TIR店舗一覧'!$E:$E,""),""))</f>
        <v/>
      </c>
      <c r="V2839" s="54" t="s">
        <v>2</v>
      </c>
      <c r="W2839" s="54" t="s">
        <v>2</v>
      </c>
      <c r="X2839" s="54" t="s">
        <v>2</v>
      </c>
      <c r="Y2839" s="54" t="s">
        <v>2</v>
      </c>
      <c r="Z2839" s="54" t="s">
        <v>2</v>
      </c>
      <c r="AA2839" s="54" t="s">
        <v>2</v>
      </c>
      <c r="AB2839" s="54" t="s">
        <v>2</v>
      </c>
      <c r="AC2839" s="54" t="s">
        <v>2</v>
      </c>
      <c r="AD2839" s="54" t="s">
        <v>2</v>
      </c>
      <c r="AE2839" s="54" t="s">
        <v>2</v>
      </c>
      <c r="AF2839" s="54" t="s">
        <v>2</v>
      </c>
      <c r="AG2839" s="54" t="s">
        <v>2</v>
      </c>
    </row>
    <row r="2840" ht="15.75" customHeight="1">
      <c r="B2840" s="56"/>
      <c r="U2840" s="46" t="str">
        <f t="array" ref="U2840">IF($D2840="","",IFERROR(_xlfn.XLOOKUP($D2840,'TIR店舗一覧'!$D:$D,'TIR店舗一覧'!$E:$E,""),""))</f>
        <v/>
      </c>
      <c r="V2840" s="54" t="s">
        <v>2</v>
      </c>
      <c r="W2840" s="54" t="s">
        <v>2</v>
      </c>
      <c r="X2840" s="54" t="s">
        <v>2</v>
      </c>
      <c r="Y2840" s="54" t="s">
        <v>2</v>
      </c>
      <c r="Z2840" s="54" t="s">
        <v>2</v>
      </c>
      <c r="AA2840" s="54" t="s">
        <v>2</v>
      </c>
      <c r="AB2840" s="54" t="s">
        <v>2</v>
      </c>
      <c r="AC2840" s="54" t="s">
        <v>2</v>
      </c>
      <c r="AD2840" s="54" t="s">
        <v>2</v>
      </c>
      <c r="AE2840" s="54" t="s">
        <v>2</v>
      </c>
      <c r="AF2840" s="54" t="s">
        <v>2</v>
      </c>
      <c r="AG2840" s="54" t="s">
        <v>2</v>
      </c>
    </row>
    <row r="2841" ht="15.75" customHeight="1">
      <c r="B2841" s="56"/>
      <c r="U2841" s="46" t="str">
        <f t="array" ref="U2841">IF($D2841="","",IFERROR(_xlfn.XLOOKUP($D2841,'TIR店舗一覧'!$D:$D,'TIR店舗一覧'!$E:$E,""),""))</f>
        <v/>
      </c>
      <c r="V2841" s="54" t="s">
        <v>2</v>
      </c>
      <c r="W2841" s="54" t="s">
        <v>2</v>
      </c>
      <c r="X2841" s="54" t="s">
        <v>2</v>
      </c>
      <c r="Y2841" s="54" t="s">
        <v>2</v>
      </c>
      <c r="Z2841" s="54" t="s">
        <v>2</v>
      </c>
      <c r="AA2841" s="54" t="s">
        <v>2</v>
      </c>
      <c r="AB2841" s="54" t="s">
        <v>2</v>
      </c>
      <c r="AC2841" s="54" t="s">
        <v>2</v>
      </c>
      <c r="AD2841" s="54" t="s">
        <v>2</v>
      </c>
      <c r="AE2841" s="54" t="s">
        <v>2</v>
      </c>
      <c r="AF2841" s="54" t="s">
        <v>2</v>
      </c>
      <c r="AG2841" s="54" t="s">
        <v>2</v>
      </c>
    </row>
    <row r="2842" ht="15.75" customHeight="1">
      <c r="B2842" s="56"/>
      <c r="U2842" s="46" t="str">
        <f t="array" ref="U2842">IF($D2842="","",IFERROR(_xlfn.XLOOKUP($D2842,'TIR店舗一覧'!$D:$D,'TIR店舗一覧'!$E:$E,""),""))</f>
        <v/>
      </c>
      <c r="V2842" s="54" t="s">
        <v>2</v>
      </c>
      <c r="W2842" s="54" t="s">
        <v>2</v>
      </c>
      <c r="X2842" s="54" t="s">
        <v>2</v>
      </c>
      <c r="Y2842" s="54" t="s">
        <v>2</v>
      </c>
      <c r="Z2842" s="54" t="s">
        <v>2</v>
      </c>
      <c r="AA2842" s="54" t="s">
        <v>2</v>
      </c>
      <c r="AB2842" s="54" t="s">
        <v>2</v>
      </c>
      <c r="AC2842" s="54" t="s">
        <v>2</v>
      </c>
      <c r="AD2842" s="54" t="s">
        <v>2</v>
      </c>
      <c r="AE2842" s="54" t="s">
        <v>2</v>
      </c>
      <c r="AF2842" s="54" t="s">
        <v>2</v>
      </c>
      <c r="AG2842" s="54" t="s">
        <v>2</v>
      </c>
    </row>
    <row r="2843" ht="15.75" customHeight="1">
      <c r="B2843" s="56"/>
      <c r="U2843" s="46" t="str">
        <f t="array" ref="U2843">IF($D2843="","",IFERROR(_xlfn.XLOOKUP($D2843,'TIR店舗一覧'!$D:$D,'TIR店舗一覧'!$E:$E,""),""))</f>
        <v/>
      </c>
      <c r="V2843" s="54" t="s">
        <v>2</v>
      </c>
      <c r="W2843" s="54" t="s">
        <v>2</v>
      </c>
      <c r="X2843" s="54" t="s">
        <v>2</v>
      </c>
      <c r="Y2843" s="54" t="s">
        <v>2</v>
      </c>
      <c r="Z2843" s="54" t="s">
        <v>2</v>
      </c>
      <c r="AA2843" s="54" t="s">
        <v>2</v>
      </c>
      <c r="AB2843" s="54" t="s">
        <v>2</v>
      </c>
      <c r="AC2843" s="54" t="s">
        <v>2</v>
      </c>
      <c r="AD2843" s="54" t="s">
        <v>2</v>
      </c>
      <c r="AE2843" s="54" t="s">
        <v>2</v>
      </c>
      <c r="AF2843" s="54" t="s">
        <v>2</v>
      </c>
      <c r="AG2843" s="54" t="s">
        <v>2</v>
      </c>
    </row>
    <row r="2844" ht="15.75" customHeight="1">
      <c r="B2844" s="56"/>
      <c r="U2844" s="46" t="str">
        <f t="array" ref="U2844">IF($D2844="","",IFERROR(_xlfn.XLOOKUP($D2844,'TIR店舗一覧'!$D:$D,'TIR店舗一覧'!$E:$E,""),""))</f>
        <v/>
      </c>
      <c r="V2844" s="54" t="s">
        <v>2</v>
      </c>
      <c r="W2844" s="54" t="s">
        <v>2</v>
      </c>
      <c r="X2844" s="54" t="s">
        <v>2</v>
      </c>
      <c r="Y2844" s="54" t="s">
        <v>2</v>
      </c>
      <c r="Z2844" s="54" t="s">
        <v>2</v>
      </c>
      <c r="AA2844" s="54" t="s">
        <v>2</v>
      </c>
      <c r="AB2844" s="54" t="s">
        <v>2</v>
      </c>
      <c r="AC2844" s="54" t="s">
        <v>2</v>
      </c>
      <c r="AD2844" s="54" t="s">
        <v>2</v>
      </c>
      <c r="AE2844" s="54" t="s">
        <v>2</v>
      </c>
      <c r="AF2844" s="54" t="s">
        <v>2</v>
      </c>
      <c r="AG2844" s="54" t="s">
        <v>2</v>
      </c>
    </row>
    <row r="2845" ht="15.75" customHeight="1">
      <c r="B2845" s="56"/>
      <c r="U2845" s="46" t="str">
        <f t="array" ref="U2845">IF($D2845="","",IFERROR(_xlfn.XLOOKUP($D2845,'TIR店舗一覧'!$D:$D,'TIR店舗一覧'!$E:$E,""),""))</f>
        <v/>
      </c>
      <c r="V2845" s="54" t="s">
        <v>2</v>
      </c>
      <c r="W2845" s="54" t="s">
        <v>2</v>
      </c>
      <c r="X2845" s="54" t="s">
        <v>2</v>
      </c>
      <c r="Y2845" s="54" t="s">
        <v>2</v>
      </c>
      <c r="Z2845" s="54" t="s">
        <v>2</v>
      </c>
      <c r="AA2845" s="54" t="s">
        <v>2</v>
      </c>
      <c r="AB2845" s="54" t="s">
        <v>2</v>
      </c>
      <c r="AC2845" s="54" t="s">
        <v>2</v>
      </c>
      <c r="AD2845" s="54" t="s">
        <v>2</v>
      </c>
      <c r="AE2845" s="54" t="s">
        <v>2</v>
      </c>
      <c r="AF2845" s="54" t="s">
        <v>2</v>
      </c>
      <c r="AG2845" s="54" t="s">
        <v>2</v>
      </c>
    </row>
    <row r="2846" ht="15.75" customHeight="1">
      <c r="B2846" s="56"/>
      <c r="U2846" s="46" t="str">
        <f t="array" ref="U2846">IF($D2846="","",IFERROR(_xlfn.XLOOKUP($D2846,'TIR店舗一覧'!$D:$D,'TIR店舗一覧'!$E:$E,""),""))</f>
        <v/>
      </c>
      <c r="V2846" s="54" t="s">
        <v>2</v>
      </c>
      <c r="W2846" s="54" t="s">
        <v>2</v>
      </c>
      <c r="X2846" s="54" t="s">
        <v>2</v>
      </c>
      <c r="Y2846" s="54" t="s">
        <v>2</v>
      </c>
      <c r="Z2846" s="54" t="s">
        <v>2</v>
      </c>
      <c r="AA2846" s="54" t="s">
        <v>2</v>
      </c>
      <c r="AB2846" s="54" t="s">
        <v>2</v>
      </c>
      <c r="AC2846" s="54" t="s">
        <v>2</v>
      </c>
      <c r="AD2846" s="54" t="s">
        <v>2</v>
      </c>
      <c r="AE2846" s="54" t="s">
        <v>2</v>
      </c>
      <c r="AF2846" s="54" t="s">
        <v>2</v>
      </c>
      <c r="AG2846" s="54" t="s">
        <v>2</v>
      </c>
    </row>
    <row r="2847" ht="15.75" customHeight="1">
      <c r="B2847" s="56"/>
      <c r="U2847" s="46" t="str">
        <f t="array" ref="U2847">IF($D2847="","",IFERROR(_xlfn.XLOOKUP($D2847,'TIR店舗一覧'!$D:$D,'TIR店舗一覧'!$E:$E,""),""))</f>
        <v/>
      </c>
      <c r="V2847" s="54" t="s">
        <v>2</v>
      </c>
      <c r="W2847" s="54" t="s">
        <v>2</v>
      </c>
      <c r="X2847" s="54" t="s">
        <v>2</v>
      </c>
      <c r="Y2847" s="54" t="s">
        <v>2</v>
      </c>
      <c r="Z2847" s="54" t="s">
        <v>2</v>
      </c>
      <c r="AA2847" s="54" t="s">
        <v>2</v>
      </c>
      <c r="AB2847" s="54" t="s">
        <v>2</v>
      </c>
      <c r="AC2847" s="54" t="s">
        <v>2</v>
      </c>
      <c r="AD2847" s="54" t="s">
        <v>2</v>
      </c>
      <c r="AE2847" s="54" t="s">
        <v>2</v>
      </c>
      <c r="AF2847" s="54" t="s">
        <v>2</v>
      </c>
      <c r="AG2847" s="54" t="s">
        <v>2</v>
      </c>
    </row>
    <row r="2848" ht="15.75" customHeight="1">
      <c r="B2848" s="56"/>
      <c r="U2848" s="46" t="str">
        <f t="array" ref="U2848">IF($D2848="","",IFERROR(_xlfn.XLOOKUP($D2848,'TIR店舗一覧'!$D:$D,'TIR店舗一覧'!$E:$E,""),""))</f>
        <v/>
      </c>
      <c r="V2848" s="54" t="s">
        <v>2</v>
      </c>
      <c r="W2848" s="54" t="s">
        <v>2</v>
      </c>
      <c r="X2848" s="54" t="s">
        <v>2</v>
      </c>
      <c r="Y2848" s="54" t="s">
        <v>2</v>
      </c>
      <c r="Z2848" s="54" t="s">
        <v>2</v>
      </c>
      <c r="AA2848" s="54" t="s">
        <v>2</v>
      </c>
      <c r="AB2848" s="54" t="s">
        <v>2</v>
      </c>
      <c r="AC2848" s="54" t="s">
        <v>2</v>
      </c>
      <c r="AD2848" s="54" t="s">
        <v>2</v>
      </c>
      <c r="AE2848" s="54" t="s">
        <v>2</v>
      </c>
      <c r="AF2848" s="54" t="s">
        <v>2</v>
      </c>
      <c r="AG2848" s="54" t="s">
        <v>2</v>
      </c>
    </row>
    <row r="2849" ht="15.75" customHeight="1">
      <c r="B2849" s="56"/>
      <c r="U2849" s="46" t="str">
        <f t="array" ref="U2849">IF($D2849="","",IFERROR(_xlfn.XLOOKUP($D2849,'TIR店舗一覧'!$D:$D,'TIR店舗一覧'!$E:$E,""),""))</f>
        <v/>
      </c>
      <c r="V2849" s="54" t="s">
        <v>2</v>
      </c>
      <c r="W2849" s="54" t="s">
        <v>2</v>
      </c>
      <c r="X2849" s="54" t="s">
        <v>2</v>
      </c>
      <c r="Y2849" s="54" t="s">
        <v>2</v>
      </c>
      <c r="Z2849" s="54" t="s">
        <v>2</v>
      </c>
      <c r="AA2849" s="54" t="s">
        <v>2</v>
      </c>
      <c r="AB2849" s="54" t="s">
        <v>2</v>
      </c>
      <c r="AC2849" s="54" t="s">
        <v>2</v>
      </c>
      <c r="AD2849" s="54" t="s">
        <v>2</v>
      </c>
      <c r="AE2849" s="54" t="s">
        <v>2</v>
      </c>
      <c r="AF2849" s="54" t="s">
        <v>2</v>
      </c>
      <c r="AG2849" s="54" t="s">
        <v>2</v>
      </c>
    </row>
    <row r="2850" ht="15.75" customHeight="1">
      <c r="B2850" s="56"/>
      <c r="U2850" s="46" t="str">
        <f t="array" ref="U2850">IF($D2850="","",IFERROR(_xlfn.XLOOKUP($D2850,'TIR店舗一覧'!$D:$D,'TIR店舗一覧'!$E:$E,""),""))</f>
        <v/>
      </c>
      <c r="V2850" s="54" t="s">
        <v>2</v>
      </c>
      <c r="W2850" s="54" t="s">
        <v>2</v>
      </c>
      <c r="X2850" s="54" t="s">
        <v>2</v>
      </c>
      <c r="Y2850" s="54" t="s">
        <v>2</v>
      </c>
      <c r="Z2850" s="54" t="s">
        <v>2</v>
      </c>
      <c r="AA2850" s="54" t="s">
        <v>2</v>
      </c>
      <c r="AB2850" s="54" t="s">
        <v>2</v>
      </c>
      <c r="AC2850" s="54" t="s">
        <v>2</v>
      </c>
      <c r="AD2850" s="54" t="s">
        <v>2</v>
      </c>
      <c r="AE2850" s="54" t="s">
        <v>2</v>
      </c>
      <c r="AF2850" s="54" t="s">
        <v>2</v>
      </c>
      <c r="AG2850" s="54" t="s">
        <v>2</v>
      </c>
    </row>
    <row r="2851" ht="15.75" customHeight="1">
      <c r="B2851" s="56"/>
      <c r="U2851" s="46" t="str">
        <f t="array" ref="U2851">IF($D2851="","",IFERROR(_xlfn.XLOOKUP($D2851,'TIR店舗一覧'!$D:$D,'TIR店舗一覧'!$E:$E,""),""))</f>
        <v/>
      </c>
      <c r="V2851" s="54" t="s">
        <v>2</v>
      </c>
      <c r="W2851" s="54" t="s">
        <v>2</v>
      </c>
      <c r="X2851" s="54" t="s">
        <v>2</v>
      </c>
      <c r="Y2851" s="54" t="s">
        <v>2</v>
      </c>
      <c r="Z2851" s="54" t="s">
        <v>2</v>
      </c>
      <c r="AA2851" s="54" t="s">
        <v>2</v>
      </c>
      <c r="AB2851" s="54" t="s">
        <v>2</v>
      </c>
      <c r="AC2851" s="54" t="s">
        <v>2</v>
      </c>
      <c r="AD2851" s="54" t="s">
        <v>2</v>
      </c>
      <c r="AE2851" s="54" t="s">
        <v>2</v>
      </c>
      <c r="AF2851" s="54" t="s">
        <v>2</v>
      </c>
      <c r="AG2851" s="54" t="s">
        <v>2</v>
      </c>
    </row>
    <row r="2852" ht="15.75" customHeight="1">
      <c r="B2852" s="56"/>
      <c r="U2852" s="46" t="str">
        <f t="array" ref="U2852">IF($D2852="","",IFERROR(_xlfn.XLOOKUP($D2852,'TIR店舗一覧'!$D:$D,'TIR店舗一覧'!$E:$E,""),""))</f>
        <v/>
      </c>
      <c r="V2852" s="54" t="s">
        <v>2</v>
      </c>
      <c r="W2852" s="54" t="s">
        <v>2</v>
      </c>
      <c r="X2852" s="54" t="s">
        <v>2</v>
      </c>
      <c r="Y2852" s="54" t="s">
        <v>2</v>
      </c>
      <c r="Z2852" s="54" t="s">
        <v>2</v>
      </c>
      <c r="AA2852" s="54" t="s">
        <v>2</v>
      </c>
      <c r="AB2852" s="54" t="s">
        <v>2</v>
      </c>
      <c r="AC2852" s="54" t="s">
        <v>2</v>
      </c>
      <c r="AD2852" s="54" t="s">
        <v>2</v>
      </c>
      <c r="AE2852" s="54" t="s">
        <v>2</v>
      </c>
      <c r="AF2852" s="54" t="s">
        <v>2</v>
      </c>
      <c r="AG2852" s="54" t="s">
        <v>2</v>
      </c>
    </row>
    <row r="2853" ht="15.75" customHeight="1">
      <c r="B2853" s="56"/>
      <c r="U2853" s="46" t="str">
        <f t="array" ref="U2853">IF($D2853="","",IFERROR(_xlfn.XLOOKUP($D2853,'TIR店舗一覧'!$D:$D,'TIR店舗一覧'!$E:$E,""),""))</f>
        <v/>
      </c>
      <c r="V2853" s="54" t="s">
        <v>2</v>
      </c>
      <c r="W2853" s="54" t="s">
        <v>2</v>
      </c>
      <c r="X2853" s="54" t="s">
        <v>2</v>
      </c>
      <c r="Y2853" s="54" t="s">
        <v>2</v>
      </c>
      <c r="Z2853" s="54" t="s">
        <v>2</v>
      </c>
      <c r="AA2853" s="54" t="s">
        <v>2</v>
      </c>
      <c r="AB2853" s="54" t="s">
        <v>2</v>
      </c>
      <c r="AC2853" s="54" t="s">
        <v>2</v>
      </c>
      <c r="AD2853" s="54" t="s">
        <v>2</v>
      </c>
      <c r="AE2853" s="54" t="s">
        <v>2</v>
      </c>
      <c r="AF2853" s="54" t="s">
        <v>2</v>
      </c>
      <c r="AG2853" s="54" t="s">
        <v>2</v>
      </c>
    </row>
    <row r="2854" ht="15.75" customHeight="1">
      <c r="B2854" s="56"/>
      <c r="U2854" s="46" t="str">
        <f t="array" ref="U2854">IF($D2854="","",IFERROR(_xlfn.XLOOKUP($D2854,'TIR店舗一覧'!$D:$D,'TIR店舗一覧'!$E:$E,""),""))</f>
        <v/>
      </c>
      <c r="V2854" s="54" t="s">
        <v>2</v>
      </c>
      <c r="W2854" s="54" t="s">
        <v>2</v>
      </c>
      <c r="X2854" s="54" t="s">
        <v>2</v>
      </c>
      <c r="Y2854" s="54" t="s">
        <v>2</v>
      </c>
      <c r="Z2854" s="54" t="s">
        <v>2</v>
      </c>
      <c r="AA2854" s="54" t="s">
        <v>2</v>
      </c>
      <c r="AB2854" s="54" t="s">
        <v>2</v>
      </c>
      <c r="AC2854" s="54" t="s">
        <v>2</v>
      </c>
      <c r="AD2854" s="54" t="s">
        <v>2</v>
      </c>
      <c r="AE2854" s="54" t="s">
        <v>2</v>
      </c>
      <c r="AF2854" s="54" t="s">
        <v>2</v>
      </c>
      <c r="AG2854" s="54" t="s">
        <v>2</v>
      </c>
    </row>
    <row r="2855" ht="15.75" customHeight="1">
      <c r="B2855" s="56"/>
      <c r="U2855" s="46" t="str">
        <f t="array" ref="U2855">IF($D2855="","",IFERROR(_xlfn.XLOOKUP($D2855,'TIR店舗一覧'!$D:$D,'TIR店舗一覧'!$E:$E,""),""))</f>
        <v/>
      </c>
      <c r="V2855" s="54" t="s">
        <v>2</v>
      </c>
      <c r="W2855" s="54" t="s">
        <v>2</v>
      </c>
      <c r="X2855" s="54" t="s">
        <v>2</v>
      </c>
      <c r="Y2855" s="54" t="s">
        <v>2</v>
      </c>
      <c r="Z2855" s="54" t="s">
        <v>2</v>
      </c>
      <c r="AA2855" s="54" t="s">
        <v>2</v>
      </c>
      <c r="AB2855" s="54" t="s">
        <v>2</v>
      </c>
      <c r="AC2855" s="54" t="s">
        <v>2</v>
      </c>
      <c r="AD2855" s="54" t="s">
        <v>2</v>
      </c>
      <c r="AE2855" s="54" t="s">
        <v>2</v>
      </c>
      <c r="AF2855" s="54" t="s">
        <v>2</v>
      </c>
      <c r="AG2855" s="54" t="s">
        <v>2</v>
      </c>
    </row>
    <row r="2856" ht="15.75" customHeight="1">
      <c r="B2856" s="56"/>
      <c r="U2856" s="46" t="str">
        <f t="array" ref="U2856">IF($D2856="","",IFERROR(_xlfn.XLOOKUP($D2856,'TIR店舗一覧'!$D:$D,'TIR店舗一覧'!$E:$E,""),""))</f>
        <v/>
      </c>
      <c r="V2856" s="54" t="s">
        <v>2</v>
      </c>
      <c r="W2856" s="54" t="s">
        <v>2</v>
      </c>
      <c r="X2856" s="54" t="s">
        <v>2</v>
      </c>
      <c r="Y2856" s="54" t="s">
        <v>2</v>
      </c>
      <c r="Z2856" s="54" t="s">
        <v>2</v>
      </c>
      <c r="AA2856" s="54" t="s">
        <v>2</v>
      </c>
      <c r="AB2856" s="54" t="s">
        <v>2</v>
      </c>
      <c r="AC2856" s="54" t="s">
        <v>2</v>
      </c>
      <c r="AD2856" s="54" t="s">
        <v>2</v>
      </c>
      <c r="AE2856" s="54" t="s">
        <v>2</v>
      </c>
      <c r="AF2856" s="54" t="s">
        <v>2</v>
      </c>
      <c r="AG2856" s="54" t="s">
        <v>2</v>
      </c>
    </row>
    <row r="2857" ht="15.75" customHeight="1">
      <c r="B2857" s="56"/>
      <c r="U2857" s="46" t="str">
        <f t="array" ref="U2857">IF($D2857="","",IFERROR(_xlfn.XLOOKUP($D2857,'TIR店舗一覧'!$D:$D,'TIR店舗一覧'!$E:$E,""),""))</f>
        <v/>
      </c>
      <c r="V2857" s="54" t="s">
        <v>2</v>
      </c>
      <c r="W2857" s="54" t="s">
        <v>2</v>
      </c>
      <c r="X2857" s="54" t="s">
        <v>2</v>
      </c>
      <c r="Y2857" s="54" t="s">
        <v>2</v>
      </c>
      <c r="Z2857" s="54" t="s">
        <v>2</v>
      </c>
      <c r="AA2857" s="54" t="s">
        <v>2</v>
      </c>
      <c r="AB2857" s="54" t="s">
        <v>2</v>
      </c>
      <c r="AC2857" s="54" t="s">
        <v>2</v>
      </c>
      <c r="AD2857" s="54" t="s">
        <v>2</v>
      </c>
      <c r="AE2857" s="54" t="s">
        <v>2</v>
      </c>
      <c r="AF2857" s="54" t="s">
        <v>2</v>
      </c>
      <c r="AG2857" s="54" t="s">
        <v>2</v>
      </c>
    </row>
    <row r="2858" ht="15.75" customHeight="1">
      <c r="B2858" s="56"/>
      <c r="U2858" s="46" t="str">
        <f t="array" ref="U2858">IF($D2858="","",IFERROR(_xlfn.XLOOKUP($D2858,'TIR店舗一覧'!$D:$D,'TIR店舗一覧'!$E:$E,""),""))</f>
        <v/>
      </c>
      <c r="V2858" s="54" t="s">
        <v>2</v>
      </c>
      <c r="W2858" s="54" t="s">
        <v>2</v>
      </c>
      <c r="X2858" s="54" t="s">
        <v>2</v>
      </c>
      <c r="Y2858" s="54" t="s">
        <v>2</v>
      </c>
      <c r="Z2858" s="54" t="s">
        <v>2</v>
      </c>
      <c r="AA2858" s="54" t="s">
        <v>2</v>
      </c>
      <c r="AB2858" s="54" t="s">
        <v>2</v>
      </c>
      <c r="AC2858" s="54" t="s">
        <v>2</v>
      </c>
      <c r="AD2858" s="54" t="s">
        <v>2</v>
      </c>
      <c r="AE2858" s="54" t="s">
        <v>2</v>
      </c>
      <c r="AF2858" s="54" t="s">
        <v>2</v>
      </c>
      <c r="AG2858" s="54" t="s">
        <v>2</v>
      </c>
    </row>
    <row r="2859" ht="15.75" customHeight="1">
      <c r="B2859" s="56"/>
      <c r="U2859" s="46" t="str">
        <f t="array" ref="U2859">IF($D2859="","",IFERROR(_xlfn.XLOOKUP($D2859,'TIR店舗一覧'!$D:$D,'TIR店舗一覧'!$E:$E,""),""))</f>
        <v/>
      </c>
      <c r="V2859" s="54" t="s">
        <v>2</v>
      </c>
      <c r="W2859" s="54" t="s">
        <v>2</v>
      </c>
      <c r="X2859" s="54" t="s">
        <v>2</v>
      </c>
      <c r="Y2859" s="54" t="s">
        <v>2</v>
      </c>
      <c r="Z2859" s="54" t="s">
        <v>2</v>
      </c>
      <c r="AA2859" s="54" t="s">
        <v>2</v>
      </c>
      <c r="AB2859" s="54" t="s">
        <v>2</v>
      </c>
      <c r="AC2859" s="54" t="s">
        <v>2</v>
      </c>
      <c r="AD2859" s="54" t="s">
        <v>2</v>
      </c>
      <c r="AE2859" s="54" t="s">
        <v>2</v>
      </c>
      <c r="AF2859" s="54" t="s">
        <v>2</v>
      </c>
      <c r="AG2859" s="54" t="s">
        <v>2</v>
      </c>
    </row>
    <row r="2860" ht="15.75" customHeight="1">
      <c r="B2860" s="56"/>
      <c r="U2860" s="46" t="str">
        <f t="array" ref="U2860">IF($D2860="","",IFERROR(_xlfn.XLOOKUP($D2860,'TIR店舗一覧'!$D:$D,'TIR店舗一覧'!$E:$E,""),""))</f>
        <v/>
      </c>
      <c r="V2860" s="54" t="s">
        <v>2</v>
      </c>
      <c r="W2860" s="54" t="s">
        <v>2</v>
      </c>
      <c r="X2860" s="54" t="s">
        <v>2</v>
      </c>
      <c r="Y2860" s="54" t="s">
        <v>2</v>
      </c>
      <c r="Z2860" s="54" t="s">
        <v>2</v>
      </c>
      <c r="AA2860" s="54" t="s">
        <v>2</v>
      </c>
      <c r="AB2860" s="54" t="s">
        <v>2</v>
      </c>
      <c r="AC2860" s="54" t="s">
        <v>2</v>
      </c>
      <c r="AD2860" s="54" t="s">
        <v>2</v>
      </c>
      <c r="AE2860" s="54" t="s">
        <v>2</v>
      </c>
      <c r="AF2860" s="54" t="s">
        <v>2</v>
      </c>
      <c r="AG2860" s="54" t="s">
        <v>2</v>
      </c>
    </row>
    <row r="2861" ht="15.75" customHeight="1">
      <c r="B2861" s="56"/>
      <c r="U2861" s="46" t="str">
        <f t="array" ref="U2861">IF($D2861="","",IFERROR(_xlfn.XLOOKUP($D2861,'TIR店舗一覧'!$D:$D,'TIR店舗一覧'!$E:$E,""),""))</f>
        <v/>
      </c>
      <c r="V2861" s="54" t="s">
        <v>2</v>
      </c>
      <c r="W2861" s="54" t="s">
        <v>2</v>
      </c>
      <c r="X2861" s="54" t="s">
        <v>2</v>
      </c>
      <c r="Y2861" s="54" t="s">
        <v>2</v>
      </c>
      <c r="Z2861" s="54" t="s">
        <v>2</v>
      </c>
      <c r="AA2861" s="54" t="s">
        <v>2</v>
      </c>
      <c r="AB2861" s="54" t="s">
        <v>2</v>
      </c>
      <c r="AC2861" s="54" t="s">
        <v>2</v>
      </c>
      <c r="AD2861" s="54" t="s">
        <v>2</v>
      </c>
      <c r="AE2861" s="54" t="s">
        <v>2</v>
      </c>
      <c r="AF2861" s="54" t="s">
        <v>2</v>
      </c>
      <c r="AG2861" s="54" t="s">
        <v>2</v>
      </c>
    </row>
    <row r="2862" ht="15.75" customHeight="1">
      <c r="B2862" s="56"/>
      <c r="U2862" s="46" t="str">
        <f t="array" ref="U2862">IF($D2862="","",IFERROR(_xlfn.XLOOKUP($D2862,'TIR店舗一覧'!$D:$D,'TIR店舗一覧'!$E:$E,""),""))</f>
        <v/>
      </c>
      <c r="V2862" s="54" t="s">
        <v>2</v>
      </c>
      <c r="W2862" s="54" t="s">
        <v>2</v>
      </c>
      <c r="X2862" s="54" t="s">
        <v>2</v>
      </c>
      <c r="Y2862" s="54" t="s">
        <v>2</v>
      </c>
      <c r="Z2862" s="54" t="s">
        <v>2</v>
      </c>
      <c r="AA2862" s="54" t="s">
        <v>2</v>
      </c>
      <c r="AB2862" s="54" t="s">
        <v>2</v>
      </c>
      <c r="AC2862" s="54" t="s">
        <v>2</v>
      </c>
      <c r="AD2862" s="54" t="s">
        <v>2</v>
      </c>
      <c r="AE2862" s="54" t="s">
        <v>2</v>
      </c>
      <c r="AF2862" s="54" t="s">
        <v>2</v>
      </c>
      <c r="AG2862" s="54" t="s">
        <v>2</v>
      </c>
    </row>
    <row r="2863" ht="15.75" customHeight="1">
      <c r="B2863" s="56"/>
      <c r="U2863" s="46" t="str">
        <f t="array" ref="U2863">IF($D2863="","",IFERROR(_xlfn.XLOOKUP($D2863,'TIR店舗一覧'!$D:$D,'TIR店舗一覧'!$E:$E,""),""))</f>
        <v/>
      </c>
      <c r="V2863" s="54" t="s">
        <v>2</v>
      </c>
      <c r="W2863" s="54" t="s">
        <v>2</v>
      </c>
      <c r="X2863" s="54" t="s">
        <v>2</v>
      </c>
      <c r="Y2863" s="54" t="s">
        <v>2</v>
      </c>
      <c r="Z2863" s="54" t="s">
        <v>2</v>
      </c>
      <c r="AA2863" s="54" t="s">
        <v>2</v>
      </c>
      <c r="AB2863" s="54" t="s">
        <v>2</v>
      </c>
      <c r="AC2863" s="54" t="s">
        <v>2</v>
      </c>
      <c r="AD2863" s="54" t="s">
        <v>2</v>
      </c>
      <c r="AE2863" s="54" t="s">
        <v>2</v>
      </c>
      <c r="AF2863" s="54" t="s">
        <v>2</v>
      </c>
      <c r="AG2863" s="54" t="s">
        <v>2</v>
      </c>
    </row>
    <row r="2864" ht="15.75" customHeight="1">
      <c r="B2864" s="56"/>
      <c r="U2864" s="46" t="str">
        <f t="array" ref="U2864">IF($D2864="","",IFERROR(_xlfn.XLOOKUP($D2864,'TIR店舗一覧'!$D:$D,'TIR店舗一覧'!$E:$E,""),""))</f>
        <v/>
      </c>
      <c r="V2864" s="54" t="s">
        <v>2</v>
      </c>
      <c r="W2864" s="54" t="s">
        <v>2</v>
      </c>
      <c r="X2864" s="54" t="s">
        <v>2</v>
      </c>
      <c r="Y2864" s="54" t="s">
        <v>2</v>
      </c>
      <c r="Z2864" s="54" t="s">
        <v>2</v>
      </c>
      <c r="AA2864" s="54" t="s">
        <v>2</v>
      </c>
      <c r="AB2864" s="54" t="s">
        <v>2</v>
      </c>
      <c r="AC2864" s="54" t="s">
        <v>2</v>
      </c>
      <c r="AD2864" s="54" t="s">
        <v>2</v>
      </c>
      <c r="AE2864" s="54" t="s">
        <v>2</v>
      </c>
      <c r="AF2864" s="54" t="s">
        <v>2</v>
      </c>
      <c r="AG2864" s="54" t="s">
        <v>2</v>
      </c>
    </row>
    <row r="2865" ht="15.75" customHeight="1">
      <c r="B2865" s="56"/>
      <c r="U2865" s="46" t="str">
        <f t="array" ref="U2865">IF($D2865="","",IFERROR(_xlfn.XLOOKUP($D2865,'TIR店舗一覧'!$D:$D,'TIR店舗一覧'!$E:$E,""),""))</f>
        <v/>
      </c>
      <c r="V2865" s="54" t="s">
        <v>2</v>
      </c>
      <c r="W2865" s="54" t="s">
        <v>2</v>
      </c>
      <c r="X2865" s="54" t="s">
        <v>2</v>
      </c>
      <c r="Y2865" s="54" t="s">
        <v>2</v>
      </c>
      <c r="Z2865" s="54" t="s">
        <v>2</v>
      </c>
      <c r="AA2865" s="54" t="s">
        <v>2</v>
      </c>
      <c r="AB2865" s="54" t="s">
        <v>2</v>
      </c>
      <c r="AC2865" s="54" t="s">
        <v>2</v>
      </c>
      <c r="AD2865" s="54" t="s">
        <v>2</v>
      </c>
      <c r="AE2865" s="54" t="s">
        <v>2</v>
      </c>
      <c r="AF2865" s="54" t="s">
        <v>2</v>
      </c>
      <c r="AG2865" s="54" t="s">
        <v>2</v>
      </c>
    </row>
    <row r="2866" ht="15.75" customHeight="1">
      <c r="B2866" s="56"/>
      <c r="U2866" s="46" t="str">
        <f t="array" ref="U2866">IF($D2866="","",IFERROR(_xlfn.XLOOKUP($D2866,'TIR店舗一覧'!$D:$D,'TIR店舗一覧'!$E:$E,""),""))</f>
        <v/>
      </c>
      <c r="V2866" s="54" t="s">
        <v>2</v>
      </c>
      <c r="W2866" s="54" t="s">
        <v>2</v>
      </c>
      <c r="X2866" s="54" t="s">
        <v>2</v>
      </c>
      <c r="Y2866" s="54" t="s">
        <v>2</v>
      </c>
      <c r="Z2866" s="54" t="s">
        <v>2</v>
      </c>
      <c r="AA2866" s="54" t="s">
        <v>2</v>
      </c>
      <c r="AB2866" s="54" t="s">
        <v>2</v>
      </c>
      <c r="AC2866" s="54" t="s">
        <v>2</v>
      </c>
      <c r="AD2866" s="54" t="s">
        <v>2</v>
      </c>
      <c r="AE2866" s="54" t="s">
        <v>2</v>
      </c>
      <c r="AF2866" s="54" t="s">
        <v>2</v>
      </c>
      <c r="AG2866" s="54" t="s">
        <v>2</v>
      </c>
    </row>
    <row r="2867" ht="15.75" customHeight="1">
      <c r="B2867" s="56"/>
      <c r="U2867" s="46" t="str">
        <f t="array" ref="U2867">IF($D2867="","",IFERROR(_xlfn.XLOOKUP($D2867,'TIR店舗一覧'!$D:$D,'TIR店舗一覧'!$E:$E,""),""))</f>
        <v/>
      </c>
      <c r="V2867" s="54" t="s">
        <v>2</v>
      </c>
      <c r="W2867" s="54" t="s">
        <v>2</v>
      </c>
      <c r="X2867" s="54" t="s">
        <v>2</v>
      </c>
      <c r="Y2867" s="54" t="s">
        <v>2</v>
      </c>
      <c r="Z2867" s="54" t="s">
        <v>2</v>
      </c>
      <c r="AA2867" s="54" t="s">
        <v>2</v>
      </c>
      <c r="AB2867" s="54" t="s">
        <v>2</v>
      </c>
      <c r="AC2867" s="54" t="s">
        <v>2</v>
      </c>
      <c r="AD2867" s="54" t="s">
        <v>2</v>
      </c>
      <c r="AE2867" s="54" t="s">
        <v>2</v>
      </c>
      <c r="AF2867" s="54" t="s">
        <v>2</v>
      </c>
      <c r="AG2867" s="54" t="s">
        <v>2</v>
      </c>
    </row>
    <row r="2868" ht="15.75" customHeight="1">
      <c r="B2868" s="56"/>
      <c r="U2868" s="46" t="str">
        <f t="array" ref="U2868">IF($D2868="","",IFERROR(_xlfn.XLOOKUP($D2868,'TIR店舗一覧'!$D:$D,'TIR店舗一覧'!$E:$E,""),""))</f>
        <v/>
      </c>
      <c r="V2868" s="54" t="s">
        <v>2</v>
      </c>
      <c r="W2868" s="54" t="s">
        <v>2</v>
      </c>
      <c r="X2868" s="54" t="s">
        <v>2</v>
      </c>
      <c r="Y2868" s="54" t="s">
        <v>2</v>
      </c>
      <c r="Z2868" s="54" t="s">
        <v>2</v>
      </c>
      <c r="AA2868" s="54" t="s">
        <v>2</v>
      </c>
      <c r="AB2868" s="54" t="s">
        <v>2</v>
      </c>
      <c r="AC2868" s="54" t="s">
        <v>2</v>
      </c>
      <c r="AD2868" s="54" t="s">
        <v>2</v>
      </c>
      <c r="AE2868" s="54" t="s">
        <v>2</v>
      </c>
      <c r="AF2868" s="54" t="s">
        <v>2</v>
      </c>
      <c r="AG2868" s="54" t="s">
        <v>2</v>
      </c>
    </row>
    <row r="2869" ht="15.75" customHeight="1">
      <c r="B2869" s="56"/>
      <c r="U2869" s="46" t="str">
        <f t="array" ref="U2869">IF($D2869="","",IFERROR(_xlfn.XLOOKUP($D2869,'TIR店舗一覧'!$D:$D,'TIR店舗一覧'!$E:$E,""),""))</f>
        <v/>
      </c>
      <c r="V2869" s="54" t="s">
        <v>2</v>
      </c>
      <c r="W2869" s="54" t="s">
        <v>2</v>
      </c>
      <c r="X2869" s="54" t="s">
        <v>2</v>
      </c>
      <c r="Y2869" s="54" t="s">
        <v>2</v>
      </c>
      <c r="Z2869" s="54" t="s">
        <v>2</v>
      </c>
      <c r="AA2869" s="54" t="s">
        <v>2</v>
      </c>
      <c r="AB2869" s="54" t="s">
        <v>2</v>
      </c>
      <c r="AC2869" s="54" t="s">
        <v>2</v>
      </c>
      <c r="AD2869" s="54" t="s">
        <v>2</v>
      </c>
      <c r="AE2869" s="54" t="s">
        <v>2</v>
      </c>
      <c r="AF2869" s="54" t="s">
        <v>2</v>
      </c>
      <c r="AG2869" s="54" t="s">
        <v>2</v>
      </c>
    </row>
    <row r="2870" ht="15.75" customHeight="1">
      <c r="B2870" s="56"/>
      <c r="U2870" s="46" t="str">
        <f t="array" ref="U2870">IF($D2870="","",IFERROR(_xlfn.XLOOKUP($D2870,'TIR店舗一覧'!$D:$D,'TIR店舗一覧'!$E:$E,""),""))</f>
        <v/>
      </c>
      <c r="V2870" s="54" t="s">
        <v>2</v>
      </c>
      <c r="W2870" s="54" t="s">
        <v>2</v>
      </c>
      <c r="X2870" s="54" t="s">
        <v>2</v>
      </c>
      <c r="Y2870" s="54" t="s">
        <v>2</v>
      </c>
      <c r="Z2870" s="54" t="s">
        <v>2</v>
      </c>
      <c r="AA2870" s="54" t="s">
        <v>2</v>
      </c>
      <c r="AB2870" s="54" t="s">
        <v>2</v>
      </c>
      <c r="AC2870" s="54" t="s">
        <v>2</v>
      </c>
      <c r="AD2870" s="54" t="s">
        <v>2</v>
      </c>
      <c r="AE2870" s="54" t="s">
        <v>2</v>
      </c>
      <c r="AF2870" s="54" t="s">
        <v>2</v>
      </c>
      <c r="AG2870" s="54" t="s">
        <v>2</v>
      </c>
    </row>
    <row r="2871" ht="15.75" customHeight="1">
      <c r="B2871" s="56"/>
      <c r="U2871" s="46" t="str">
        <f t="array" ref="U2871">IF($D2871="","",IFERROR(_xlfn.XLOOKUP($D2871,'TIR店舗一覧'!$D:$D,'TIR店舗一覧'!$E:$E,""),""))</f>
        <v/>
      </c>
      <c r="V2871" s="54" t="s">
        <v>2</v>
      </c>
      <c r="W2871" s="54" t="s">
        <v>2</v>
      </c>
      <c r="X2871" s="54" t="s">
        <v>2</v>
      </c>
      <c r="Y2871" s="54" t="s">
        <v>2</v>
      </c>
      <c r="Z2871" s="54" t="s">
        <v>2</v>
      </c>
      <c r="AA2871" s="54" t="s">
        <v>2</v>
      </c>
      <c r="AB2871" s="54" t="s">
        <v>2</v>
      </c>
      <c r="AC2871" s="54" t="s">
        <v>2</v>
      </c>
      <c r="AD2871" s="54" t="s">
        <v>2</v>
      </c>
      <c r="AE2871" s="54" t="s">
        <v>2</v>
      </c>
      <c r="AF2871" s="54" t="s">
        <v>2</v>
      </c>
      <c r="AG2871" s="54" t="s">
        <v>2</v>
      </c>
    </row>
    <row r="2872" ht="15.75" customHeight="1">
      <c r="B2872" s="56"/>
      <c r="U2872" s="46" t="str">
        <f t="array" ref="U2872">IF($D2872="","",IFERROR(_xlfn.XLOOKUP($D2872,'TIR店舗一覧'!$D:$D,'TIR店舗一覧'!$E:$E,""),""))</f>
        <v/>
      </c>
      <c r="V2872" s="54" t="s">
        <v>2</v>
      </c>
      <c r="W2872" s="54" t="s">
        <v>2</v>
      </c>
      <c r="X2872" s="54" t="s">
        <v>2</v>
      </c>
      <c r="Y2872" s="54" t="s">
        <v>2</v>
      </c>
      <c r="Z2872" s="54" t="s">
        <v>2</v>
      </c>
      <c r="AA2872" s="54" t="s">
        <v>2</v>
      </c>
      <c r="AB2872" s="54" t="s">
        <v>2</v>
      </c>
      <c r="AC2872" s="54" t="s">
        <v>2</v>
      </c>
      <c r="AD2872" s="54" t="s">
        <v>2</v>
      </c>
      <c r="AE2872" s="54" t="s">
        <v>2</v>
      </c>
      <c r="AF2872" s="54" t="s">
        <v>2</v>
      </c>
      <c r="AG2872" s="54" t="s">
        <v>2</v>
      </c>
    </row>
    <row r="2873" ht="15.75" customHeight="1">
      <c r="B2873" s="56"/>
      <c r="U2873" s="46" t="str">
        <f t="array" ref="U2873">IF($D2873="","",IFERROR(_xlfn.XLOOKUP($D2873,'TIR店舗一覧'!$D:$D,'TIR店舗一覧'!$E:$E,""),""))</f>
        <v/>
      </c>
      <c r="V2873" s="54" t="s">
        <v>2</v>
      </c>
      <c r="W2873" s="54" t="s">
        <v>2</v>
      </c>
      <c r="X2873" s="54" t="s">
        <v>2</v>
      </c>
      <c r="Y2873" s="54" t="s">
        <v>2</v>
      </c>
      <c r="Z2873" s="54" t="s">
        <v>2</v>
      </c>
      <c r="AA2873" s="54" t="s">
        <v>2</v>
      </c>
      <c r="AB2873" s="54" t="s">
        <v>2</v>
      </c>
      <c r="AC2873" s="54" t="s">
        <v>2</v>
      </c>
      <c r="AD2873" s="54" t="s">
        <v>2</v>
      </c>
      <c r="AE2873" s="54" t="s">
        <v>2</v>
      </c>
      <c r="AF2873" s="54" t="s">
        <v>2</v>
      </c>
      <c r="AG2873" s="54" t="s">
        <v>2</v>
      </c>
    </row>
    <row r="2874" ht="15.75" customHeight="1">
      <c r="B2874" s="56"/>
      <c r="U2874" s="46" t="str">
        <f t="array" ref="U2874">IF($D2874="","",IFERROR(_xlfn.XLOOKUP($D2874,'TIR店舗一覧'!$D:$D,'TIR店舗一覧'!$E:$E,""),""))</f>
        <v/>
      </c>
      <c r="V2874" s="54" t="s">
        <v>2</v>
      </c>
      <c r="W2874" s="54" t="s">
        <v>2</v>
      </c>
      <c r="X2874" s="54" t="s">
        <v>2</v>
      </c>
      <c r="Y2874" s="54" t="s">
        <v>2</v>
      </c>
      <c r="Z2874" s="54" t="s">
        <v>2</v>
      </c>
      <c r="AA2874" s="54" t="s">
        <v>2</v>
      </c>
      <c r="AB2874" s="54" t="s">
        <v>2</v>
      </c>
      <c r="AC2874" s="54" t="s">
        <v>2</v>
      </c>
      <c r="AD2874" s="54" t="s">
        <v>2</v>
      </c>
      <c r="AE2874" s="54" t="s">
        <v>2</v>
      </c>
      <c r="AF2874" s="54" t="s">
        <v>2</v>
      </c>
      <c r="AG2874" s="54" t="s">
        <v>2</v>
      </c>
    </row>
    <row r="2875" ht="15.75" customHeight="1">
      <c r="B2875" s="56"/>
      <c r="U2875" s="46" t="str">
        <f t="array" ref="U2875">IF($D2875="","",IFERROR(_xlfn.XLOOKUP($D2875,'TIR店舗一覧'!$D:$D,'TIR店舗一覧'!$E:$E,""),""))</f>
        <v/>
      </c>
      <c r="V2875" s="54" t="s">
        <v>2</v>
      </c>
      <c r="W2875" s="54" t="s">
        <v>2</v>
      </c>
      <c r="X2875" s="54" t="s">
        <v>2</v>
      </c>
      <c r="Y2875" s="54" t="s">
        <v>2</v>
      </c>
      <c r="Z2875" s="54" t="s">
        <v>2</v>
      </c>
      <c r="AA2875" s="54" t="s">
        <v>2</v>
      </c>
      <c r="AB2875" s="54" t="s">
        <v>2</v>
      </c>
      <c r="AC2875" s="54" t="s">
        <v>2</v>
      </c>
      <c r="AD2875" s="54" t="s">
        <v>2</v>
      </c>
      <c r="AE2875" s="54" t="s">
        <v>2</v>
      </c>
      <c r="AF2875" s="54" t="s">
        <v>2</v>
      </c>
      <c r="AG2875" s="54" t="s">
        <v>2</v>
      </c>
    </row>
    <row r="2876" ht="15.75" customHeight="1">
      <c r="B2876" s="56"/>
      <c r="U2876" s="46" t="str">
        <f t="array" ref="U2876">IF($D2876="","",IFERROR(_xlfn.XLOOKUP($D2876,'TIR店舗一覧'!$D:$D,'TIR店舗一覧'!$E:$E,""),""))</f>
        <v/>
      </c>
      <c r="V2876" s="54" t="s">
        <v>2</v>
      </c>
      <c r="W2876" s="54" t="s">
        <v>2</v>
      </c>
      <c r="X2876" s="54" t="s">
        <v>2</v>
      </c>
      <c r="Y2876" s="54" t="s">
        <v>2</v>
      </c>
      <c r="Z2876" s="54" t="s">
        <v>2</v>
      </c>
      <c r="AA2876" s="54" t="s">
        <v>2</v>
      </c>
      <c r="AB2876" s="54" t="s">
        <v>2</v>
      </c>
      <c r="AC2876" s="54" t="s">
        <v>2</v>
      </c>
      <c r="AD2876" s="54" t="s">
        <v>2</v>
      </c>
      <c r="AE2876" s="54" t="s">
        <v>2</v>
      </c>
      <c r="AF2876" s="54" t="s">
        <v>2</v>
      </c>
      <c r="AG2876" s="54" t="s">
        <v>2</v>
      </c>
    </row>
    <row r="2877" ht="15.75" customHeight="1">
      <c r="B2877" s="56"/>
      <c r="U2877" s="46" t="str">
        <f t="array" ref="U2877">IF($D2877="","",IFERROR(_xlfn.XLOOKUP($D2877,'TIR店舗一覧'!$D:$D,'TIR店舗一覧'!$E:$E,""),""))</f>
        <v/>
      </c>
      <c r="V2877" s="54" t="s">
        <v>2</v>
      </c>
      <c r="W2877" s="54" t="s">
        <v>2</v>
      </c>
      <c r="X2877" s="54" t="s">
        <v>2</v>
      </c>
      <c r="Y2877" s="54" t="s">
        <v>2</v>
      </c>
      <c r="Z2877" s="54" t="s">
        <v>2</v>
      </c>
      <c r="AA2877" s="54" t="s">
        <v>2</v>
      </c>
      <c r="AB2877" s="54" t="s">
        <v>2</v>
      </c>
      <c r="AC2877" s="54" t="s">
        <v>2</v>
      </c>
      <c r="AD2877" s="54" t="s">
        <v>2</v>
      </c>
      <c r="AE2877" s="54" t="s">
        <v>2</v>
      </c>
      <c r="AF2877" s="54" t="s">
        <v>2</v>
      </c>
      <c r="AG2877" s="54" t="s">
        <v>2</v>
      </c>
    </row>
    <row r="2878" ht="15.75" customHeight="1">
      <c r="B2878" s="56"/>
      <c r="U2878" s="46" t="str">
        <f t="array" ref="U2878">IF($D2878="","",IFERROR(_xlfn.XLOOKUP($D2878,'TIR店舗一覧'!$D:$D,'TIR店舗一覧'!$E:$E,""),""))</f>
        <v/>
      </c>
      <c r="V2878" s="54" t="s">
        <v>2</v>
      </c>
      <c r="W2878" s="54" t="s">
        <v>2</v>
      </c>
      <c r="X2878" s="54" t="s">
        <v>2</v>
      </c>
      <c r="Y2878" s="54" t="s">
        <v>2</v>
      </c>
      <c r="Z2878" s="54" t="s">
        <v>2</v>
      </c>
      <c r="AA2878" s="54" t="s">
        <v>2</v>
      </c>
      <c r="AB2878" s="54" t="s">
        <v>2</v>
      </c>
      <c r="AC2878" s="54" t="s">
        <v>2</v>
      </c>
      <c r="AD2878" s="54" t="s">
        <v>2</v>
      </c>
      <c r="AE2878" s="54" t="s">
        <v>2</v>
      </c>
      <c r="AF2878" s="54" t="s">
        <v>2</v>
      </c>
      <c r="AG2878" s="54" t="s">
        <v>2</v>
      </c>
    </row>
    <row r="2879" ht="15.75" customHeight="1">
      <c r="B2879" s="56"/>
      <c r="U2879" s="46" t="str">
        <f t="array" ref="U2879">IF($D2879="","",IFERROR(_xlfn.XLOOKUP($D2879,'TIR店舗一覧'!$D:$D,'TIR店舗一覧'!$E:$E,""),""))</f>
        <v/>
      </c>
      <c r="V2879" s="54" t="s">
        <v>2</v>
      </c>
      <c r="W2879" s="54" t="s">
        <v>2</v>
      </c>
      <c r="X2879" s="54" t="s">
        <v>2</v>
      </c>
      <c r="Y2879" s="54" t="s">
        <v>2</v>
      </c>
      <c r="Z2879" s="54" t="s">
        <v>2</v>
      </c>
      <c r="AA2879" s="54" t="s">
        <v>2</v>
      </c>
      <c r="AB2879" s="54" t="s">
        <v>2</v>
      </c>
      <c r="AC2879" s="54" t="s">
        <v>2</v>
      </c>
      <c r="AD2879" s="54" t="s">
        <v>2</v>
      </c>
      <c r="AE2879" s="54" t="s">
        <v>2</v>
      </c>
      <c r="AF2879" s="54" t="s">
        <v>2</v>
      </c>
      <c r="AG2879" s="54" t="s">
        <v>2</v>
      </c>
    </row>
    <row r="2880" ht="15.75" customHeight="1">
      <c r="B2880" s="56"/>
      <c r="U2880" s="46" t="str">
        <f t="array" ref="U2880">IF($D2880="","",IFERROR(_xlfn.XLOOKUP($D2880,'TIR店舗一覧'!$D:$D,'TIR店舗一覧'!$E:$E,""),""))</f>
        <v/>
      </c>
      <c r="V2880" s="54" t="s">
        <v>2</v>
      </c>
      <c r="W2880" s="54" t="s">
        <v>2</v>
      </c>
      <c r="X2880" s="54" t="s">
        <v>2</v>
      </c>
      <c r="Y2880" s="54" t="s">
        <v>2</v>
      </c>
      <c r="Z2880" s="54" t="s">
        <v>2</v>
      </c>
      <c r="AA2880" s="54" t="s">
        <v>2</v>
      </c>
      <c r="AB2880" s="54" t="s">
        <v>2</v>
      </c>
      <c r="AC2880" s="54" t="s">
        <v>2</v>
      </c>
      <c r="AD2880" s="54" t="s">
        <v>2</v>
      </c>
      <c r="AE2880" s="54" t="s">
        <v>2</v>
      </c>
      <c r="AF2880" s="54" t="s">
        <v>2</v>
      </c>
      <c r="AG2880" s="54" t="s">
        <v>2</v>
      </c>
    </row>
    <row r="2881" ht="15.75" customHeight="1">
      <c r="B2881" s="56"/>
      <c r="U2881" s="46" t="str">
        <f t="array" ref="U2881">IF($D2881="","",IFERROR(_xlfn.XLOOKUP($D2881,'TIR店舗一覧'!$D:$D,'TIR店舗一覧'!$E:$E,""),""))</f>
        <v/>
      </c>
      <c r="V2881" s="54" t="s">
        <v>2</v>
      </c>
      <c r="W2881" s="54" t="s">
        <v>2</v>
      </c>
      <c r="X2881" s="54" t="s">
        <v>2</v>
      </c>
      <c r="Y2881" s="54" t="s">
        <v>2</v>
      </c>
      <c r="Z2881" s="54" t="s">
        <v>2</v>
      </c>
      <c r="AA2881" s="54" t="s">
        <v>2</v>
      </c>
      <c r="AB2881" s="54" t="s">
        <v>2</v>
      </c>
      <c r="AC2881" s="54" t="s">
        <v>2</v>
      </c>
      <c r="AD2881" s="54" t="s">
        <v>2</v>
      </c>
      <c r="AE2881" s="54" t="s">
        <v>2</v>
      </c>
      <c r="AF2881" s="54" t="s">
        <v>2</v>
      </c>
      <c r="AG2881" s="54" t="s">
        <v>2</v>
      </c>
    </row>
    <row r="2882" ht="15.75" customHeight="1">
      <c r="B2882" s="56"/>
      <c r="U2882" s="46" t="str">
        <f t="array" ref="U2882">IF($D2882="","",IFERROR(_xlfn.XLOOKUP($D2882,'TIR店舗一覧'!$D:$D,'TIR店舗一覧'!$E:$E,""),""))</f>
        <v/>
      </c>
      <c r="V2882" s="54" t="s">
        <v>2</v>
      </c>
      <c r="W2882" s="54" t="s">
        <v>2</v>
      </c>
      <c r="X2882" s="54" t="s">
        <v>2</v>
      </c>
      <c r="Y2882" s="54" t="s">
        <v>2</v>
      </c>
      <c r="Z2882" s="54" t="s">
        <v>2</v>
      </c>
      <c r="AA2882" s="54" t="s">
        <v>2</v>
      </c>
      <c r="AB2882" s="54" t="s">
        <v>2</v>
      </c>
      <c r="AC2882" s="54" t="s">
        <v>2</v>
      </c>
      <c r="AD2882" s="54" t="s">
        <v>2</v>
      </c>
      <c r="AE2882" s="54" t="s">
        <v>2</v>
      </c>
      <c r="AF2882" s="54" t="s">
        <v>2</v>
      </c>
      <c r="AG2882" s="54" t="s">
        <v>2</v>
      </c>
    </row>
    <row r="2883" ht="15.75" customHeight="1">
      <c r="B2883" s="56"/>
      <c r="U2883" s="46" t="str">
        <f t="array" ref="U2883">IF($D2883="","",IFERROR(_xlfn.XLOOKUP($D2883,'TIR店舗一覧'!$D:$D,'TIR店舗一覧'!$E:$E,""),""))</f>
        <v/>
      </c>
      <c r="V2883" s="54" t="s">
        <v>2</v>
      </c>
      <c r="W2883" s="54" t="s">
        <v>2</v>
      </c>
      <c r="X2883" s="54" t="s">
        <v>2</v>
      </c>
      <c r="Y2883" s="54" t="s">
        <v>2</v>
      </c>
      <c r="Z2883" s="54" t="s">
        <v>2</v>
      </c>
      <c r="AA2883" s="54" t="s">
        <v>2</v>
      </c>
      <c r="AB2883" s="54" t="s">
        <v>2</v>
      </c>
      <c r="AC2883" s="54" t="s">
        <v>2</v>
      </c>
      <c r="AD2883" s="54" t="s">
        <v>2</v>
      </c>
      <c r="AE2883" s="54" t="s">
        <v>2</v>
      </c>
      <c r="AF2883" s="54" t="s">
        <v>2</v>
      </c>
      <c r="AG2883" s="54" t="s">
        <v>2</v>
      </c>
    </row>
    <row r="2884" ht="15.75" customHeight="1">
      <c r="B2884" s="56"/>
      <c r="U2884" s="46" t="str">
        <f t="array" ref="U2884">IF($D2884="","",IFERROR(_xlfn.XLOOKUP($D2884,'TIR店舗一覧'!$D:$D,'TIR店舗一覧'!$E:$E,""),""))</f>
        <v/>
      </c>
      <c r="V2884" s="54" t="s">
        <v>2</v>
      </c>
      <c r="W2884" s="54" t="s">
        <v>2</v>
      </c>
      <c r="X2884" s="54" t="s">
        <v>2</v>
      </c>
      <c r="Y2884" s="54" t="s">
        <v>2</v>
      </c>
      <c r="Z2884" s="54" t="s">
        <v>2</v>
      </c>
      <c r="AA2884" s="54" t="s">
        <v>2</v>
      </c>
      <c r="AB2884" s="54" t="s">
        <v>2</v>
      </c>
      <c r="AC2884" s="54" t="s">
        <v>2</v>
      </c>
      <c r="AD2884" s="54" t="s">
        <v>2</v>
      </c>
      <c r="AE2884" s="54" t="s">
        <v>2</v>
      </c>
      <c r="AF2884" s="54" t="s">
        <v>2</v>
      </c>
      <c r="AG2884" s="54" t="s">
        <v>2</v>
      </c>
    </row>
    <row r="2885" ht="15.75" customHeight="1">
      <c r="B2885" s="56"/>
      <c r="U2885" s="46" t="str">
        <f t="array" ref="U2885">IF($D2885="","",IFERROR(_xlfn.XLOOKUP($D2885,'TIR店舗一覧'!$D:$D,'TIR店舗一覧'!$E:$E,""),""))</f>
        <v/>
      </c>
      <c r="V2885" s="54" t="s">
        <v>2</v>
      </c>
      <c r="W2885" s="54" t="s">
        <v>2</v>
      </c>
      <c r="X2885" s="54" t="s">
        <v>2</v>
      </c>
      <c r="Y2885" s="54" t="s">
        <v>2</v>
      </c>
      <c r="Z2885" s="54" t="s">
        <v>2</v>
      </c>
      <c r="AA2885" s="54" t="s">
        <v>2</v>
      </c>
      <c r="AB2885" s="54" t="s">
        <v>2</v>
      </c>
      <c r="AC2885" s="54" t="s">
        <v>2</v>
      </c>
      <c r="AD2885" s="54" t="s">
        <v>2</v>
      </c>
      <c r="AE2885" s="54" t="s">
        <v>2</v>
      </c>
      <c r="AF2885" s="54" t="s">
        <v>2</v>
      </c>
      <c r="AG2885" s="54" t="s">
        <v>2</v>
      </c>
    </row>
    <row r="2886" ht="15.75" customHeight="1">
      <c r="B2886" s="56"/>
      <c r="U2886" s="46" t="str">
        <f t="array" ref="U2886">IF($D2886="","",IFERROR(_xlfn.XLOOKUP($D2886,'TIR店舗一覧'!$D:$D,'TIR店舗一覧'!$E:$E,""),""))</f>
        <v/>
      </c>
      <c r="V2886" s="54" t="s">
        <v>2</v>
      </c>
      <c r="W2886" s="54" t="s">
        <v>2</v>
      </c>
      <c r="X2886" s="54" t="s">
        <v>2</v>
      </c>
      <c r="Y2886" s="54" t="s">
        <v>2</v>
      </c>
      <c r="Z2886" s="54" t="s">
        <v>2</v>
      </c>
      <c r="AA2886" s="54" t="s">
        <v>2</v>
      </c>
      <c r="AB2886" s="54" t="s">
        <v>2</v>
      </c>
      <c r="AC2886" s="54" t="s">
        <v>2</v>
      </c>
      <c r="AD2886" s="54" t="s">
        <v>2</v>
      </c>
      <c r="AE2886" s="54" t="s">
        <v>2</v>
      </c>
      <c r="AF2886" s="54" t="s">
        <v>2</v>
      </c>
      <c r="AG2886" s="54" t="s">
        <v>2</v>
      </c>
    </row>
    <row r="2887" ht="15.75" customHeight="1">
      <c r="B2887" s="56"/>
      <c r="U2887" s="46" t="str">
        <f t="array" ref="U2887">IF($D2887="","",IFERROR(_xlfn.XLOOKUP($D2887,'TIR店舗一覧'!$D:$D,'TIR店舗一覧'!$E:$E,""),""))</f>
        <v/>
      </c>
      <c r="V2887" s="54" t="s">
        <v>2</v>
      </c>
      <c r="W2887" s="54" t="s">
        <v>2</v>
      </c>
      <c r="X2887" s="54" t="s">
        <v>2</v>
      </c>
      <c r="Y2887" s="54" t="s">
        <v>2</v>
      </c>
      <c r="Z2887" s="54" t="s">
        <v>2</v>
      </c>
      <c r="AA2887" s="54" t="s">
        <v>2</v>
      </c>
      <c r="AB2887" s="54" t="s">
        <v>2</v>
      </c>
      <c r="AC2887" s="54" t="s">
        <v>2</v>
      </c>
      <c r="AD2887" s="54" t="s">
        <v>2</v>
      </c>
      <c r="AE2887" s="54" t="s">
        <v>2</v>
      </c>
      <c r="AF2887" s="54" t="s">
        <v>2</v>
      </c>
      <c r="AG2887" s="54" t="s">
        <v>2</v>
      </c>
    </row>
    <row r="2888" ht="15.75" customHeight="1">
      <c r="B2888" s="56"/>
      <c r="U2888" s="46" t="str">
        <f t="array" ref="U2888">IF($D2888="","",IFERROR(_xlfn.XLOOKUP($D2888,'TIR店舗一覧'!$D:$D,'TIR店舗一覧'!$E:$E,""),""))</f>
        <v/>
      </c>
      <c r="V2888" s="54" t="s">
        <v>2</v>
      </c>
      <c r="W2888" s="54" t="s">
        <v>2</v>
      </c>
      <c r="X2888" s="54" t="s">
        <v>2</v>
      </c>
      <c r="Y2888" s="54" t="s">
        <v>2</v>
      </c>
      <c r="Z2888" s="54" t="s">
        <v>2</v>
      </c>
      <c r="AA2888" s="54" t="s">
        <v>2</v>
      </c>
      <c r="AB2888" s="54" t="s">
        <v>2</v>
      </c>
      <c r="AC2888" s="54" t="s">
        <v>2</v>
      </c>
      <c r="AD2888" s="54" t="s">
        <v>2</v>
      </c>
      <c r="AE2888" s="54" t="s">
        <v>2</v>
      </c>
      <c r="AF2888" s="54" t="s">
        <v>2</v>
      </c>
      <c r="AG2888" s="54" t="s">
        <v>2</v>
      </c>
    </row>
    <row r="2889" ht="15.75" customHeight="1">
      <c r="B2889" s="56"/>
      <c r="U2889" s="46" t="str">
        <f t="array" ref="U2889">IF($D2889="","",IFERROR(_xlfn.XLOOKUP($D2889,'TIR店舗一覧'!$D:$D,'TIR店舗一覧'!$E:$E,""),""))</f>
        <v/>
      </c>
      <c r="V2889" s="54" t="s">
        <v>2</v>
      </c>
      <c r="W2889" s="54" t="s">
        <v>2</v>
      </c>
      <c r="X2889" s="54" t="s">
        <v>2</v>
      </c>
      <c r="Y2889" s="54" t="s">
        <v>2</v>
      </c>
      <c r="Z2889" s="54" t="s">
        <v>2</v>
      </c>
      <c r="AA2889" s="54" t="s">
        <v>2</v>
      </c>
      <c r="AB2889" s="54" t="s">
        <v>2</v>
      </c>
      <c r="AC2889" s="54" t="s">
        <v>2</v>
      </c>
      <c r="AD2889" s="54" t="s">
        <v>2</v>
      </c>
      <c r="AE2889" s="54" t="s">
        <v>2</v>
      </c>
      <c r="AF2889" s="54" t="s">
        <v>2</v>
      </c>
      <c r="AG2889" s="54" t="s">
        <v>2</v>
      </c>
    </row>
    <row r="2890" ht="15.75" customHeight="1">
      <c r="B2890" s="56"/>
      <c r="U2890" s="46" t="str">
        <f t="array" ref="U2890">IF($D2890="","",IFERROR(_xlfn.XLOOKUP($D2890,'TIR店舗一覧'!$D:$D,'TIR店舗一覧'!$E:$E,""),""))</f>
        <v/>
      </c>
      <c r="V2890" s="54" t="s">
        <v>2</v>
      </c>
      <c r="W2890" s="54" t="s">
        <v>2</v>
      </c>
      <c r="X2890" s="54" t="s">
        <v>2</v>
      </c>
      <c r="Y2890" s="54" t="s">
        <v>2</v>
      </c>
      <c r="Z2890" s="54" t="s">
        <v>2</v>
      </c>
      <c r="AA2890" s="54" t="s">
        <v>2</v>
      </c>
      <c r="AB2890" s="54" t="s">
        <v>2</v>
      </c>
      <c r="AC2890" s="54" t="s">
        <v>2</v>
      </c>
      <c r="AD2890" s="54" t="s">
        <v>2</v>
      </c>
      <c r="AE2890" s="54" t="s">
        <v>2</v>
      </c>
      <c r="AF2890" s="54" t="s">
        <v>2</v>
      </c>
      <c r="AG2890" s="54" t="s">
        <v>2</v>
      </c>
    </row>
    <row r="2891" ht="15.75" customHeight="1">
      <c r="B2891" s="56"/>
      <c r="U2891" s="46" t="str">
        <f t="array" ref="U2891">IF($D2891="","",IFERROR(_xlfn.XLOOKUP($D2891,'TIR店舗一覧'!$D:$D,'TIR店舗一覧'!$E:$E,""),""))</f>
        <v/>
      </c>
      <c r="V2891" s="54" t="s">
        <v>2</v>
      </c>
      <c r="W2891" s="54" t="s">
        <v>2</v>
      </c>
      <c r="X2891" s="54" t="s">
        <v>2</v>
      </c>
      <c r="Y2891" s="54" t="s">
        <v>2</v>
      </c>
      <c r="Z2891" s="54" t="s">
        <v>2</v>
      </c>
      <c r="AA2891" s="54" t="s">
        <v>2</v>
      </c>
      <c r="AB2891" s="54" t="s">
        <v>2</v>
      </c>
      <c r="AC2891" s="54" t="s">
        <v>2</v>
      </c>
      <c r="AD2891" s="54" t="s">
        <v>2</v>
      </c>
      <c r="AE2891" s="54" t="s">
        <v>2</v>
      </c>
      <c r="AF2891" s="54" t="s">
        <v>2</v>
      </c>
      <c r="AG2891" s="54" t="s">
        <v>2</v>
      </c>
    </row>
    <row r="2892" ht="15.75" customHeight="1">
      <c r="B2892" s="56"/>
      <c r="U2892" s="46" t="str">
        <f t="array" ref="U2892">IF($D2892="","",IFERROR(_xlfn.XLOOKUP($D2892,'TIR店舗一覧'!$D:$D,'TIR店舗一覧'!$E:$E,""),""))</f>
        <v/>
      </c>
      <c r="V2892" s="54" t="s">
        <v>2</v>
      </c>
      <c r="W2892" s="54" t="s">
        <v>2</v>
      </c>
      <c r="X2892" s="54" t="s">
        <v>2</v>
      </c>
      <c r="Y2892" s="54" t="s">
        <v>2</v>
      </c>
      <c r="Z2892" s="54" t="s">
        <v>2</v>
      </c>
      <c r="AA2892" s="54" t="s">
        <v>2</v>
      </c>
      <c r="AB2892" s="54" t="s">
        <v>2</v>
      </c>
      <c r="AC2892" s="54" t="s">
        <v>2</v>
      </c>
      <c r="AD2892" s="54" t="s">
        <v>2</v>
      </c>
      <c r="AE2892" s="54" t="s">
        <v>2</v>
      </c>
      <c r="AF2892" s="54" t="s">
        <v>2</v>
      </c>
      <c r="AG2892" s="54" t="s">
        <v>2</v>
      </c>
    </row>
    <row r="2893" ht="15.75" customHeight="1">
      <c r="B2893" s="56"/>
      <c r="U2893" s="46" t="str">
        <f t="array" ref="U2893">IF($D2893="","",IFERROR(_xlfn.XLOOKUP($D2893,'TIR店舗一覧'!$D:$D,'TIR店舗一覧'!$E:$E,""),""))</f>
        <v/>
      </c>
      <c r="V2893" s="54" t="s">
        <v>2</v>
      </c>
      <c r="W2893" s="54" t="s">
        <v>2</v>
      </c>
      <c r="X2893" s="54" t="s">
        <v>2</v>
      </c>
      <c r="Y2893" s="54" t="s">
        <v>2</v>
      </c>
      <c r="Z2893" s="54" t="s">
        <v>2</v>
      </c>
      <c r="AA2893" s="54" t="s">
        <v>2</v>
      </c>
      <c r="AB2893" s="54" t="s">
        <v>2</v>
      </c>
      <c r="AC2893" s="54" t="s">
        <v>2</v>
      </c>
      <c r="AD2893" s="54" t="s">
        <v>2</v>
      </c>
      <c r="AE2893" s="54" t="s">
        <v>2</v>
      </c>
      <c r="AF2893" s="54" t="s">
        <v>2</v>
      </c>
      <c r="AG2893" s="54" t="s">
        <v>2</v>
      </c>
    </row>
    <row r="2894" ht="15.75" customHeight="1">
      <c r="B2894" s="56"/>
      <c r="U2894" s="46" t="str">
        <f t="array" ref="U2894">IF($D2894="","",IFERROR(_xlfn.XLOOKUP($D2894,'TIR店舗一覧'!$D:$D,'TIR店舗一覧'!$E:$E,""),""))</f>
        <v/>
      </c>
      <c r="V2894" s="54" t="s">
        <v>2</v>
      </c>
      <c r="W2894" s="54" t="s">
        <v>2</v>
      </c>
      <c r="X2894" s="54" t="s">
        <v>2</v>
      </c>
      <c r="Y2894" s="54" t="s">
        <v>2</v>
      </c>
      <c r="Z2894" s="54" t="s">
        <v>2</v>
      </c>
      <c r="AA2894" s="54" t="s">
        <v>2</v>
      </c>
      <c r="AB2894" s="54" t="s">
        <v>2</v>
      </c>
      <c r="AC2894" s="54" t="s">
        <v>2</v>
      </c>
      <c r="AD2894" s="54" t="s">
        <v>2</v>
      </c>
      <c r="AE2894" s="54" t="s">
        <v>2</v>
      </c>
      <c r="AF2894" s="54" t="s">
        <v>2</v>
      </c>
      <c r="AG2894" s="54" t="s">
        <v>2</v>
      </c>
    </row>
    <row r="2895" ht="15.75" customHeight="1">
      <c r="B2895" s="56"/>
      <c r="U2895" s="46" t="str">
        <f t="array" ref="U2895">IF($D2895="","",IFERROR(_xlfn.XLOOKUP($D2895,'TIR店舗一覧'!$D:$D,'TIR店舗一覧'!$E:$E,""),""))</f>
        <v/>
      </c>
      <c r="V2895" s="54" t="s">
        <v>2</v>
      </c>
      <c r="W2895" s="54" t="s">
        <v>2</v>
      </c>
      <c r="X2895" s="54" t="s">
        <v>2</v>
      </c>
      <c r="Y2895" s="54" t="s">
        <v>2</v>
      </c>
      <c r="Z2895" s="54" t="s">
        <v>2</v>
      </c>
      <c r="AA2895" s="54" t="s">
        <v>2</v>
      </c>
      <c r="AB2895" s="54" t="s">
        <v>2</v>
      </c>
      <c r="AC2895" s="54" t="s">
        <v>2</v>
      </c>
      <c r="AD2895" s="54" t="s">
        <v>2</v>
      </c>
      <c r="AE2895" s="54" t="s">
        <v>2</v>
      </c>
      <c r="AF2895" s="54" t="s">
        <v>2</v>
      </c>
      <c r="AG2895" s="54" t="s">
        <v>2</v>
      </c>
    </row>
    <row r="2896" ht="15.75" customHeight="1">
      <c r="B2896" s="56"/>
      <c r="U2896" s="46" t="str">
        <f t="array" ref="U2896">IF($D2896="","",IFERROR(_xlfn.XLOOKUP($D2896,'TIR店舗一覧'!$D:$D,'TIR店舗一覧'!$E:$E,""),""))</f>
        <v/>
      </c>
      <c r="V2896" s="54" t="s">
        <v>2</v>
      </c>
      <c r="W2896" s="54" t="s">
        <v>2</v>
      </c>
      <c r="X2896" s="54" t="s">
        <v>2</v>
      </c>
      <c r="Y2896" s="54" t="s">
        <v>2</v>
      </c>
      <c r="Z2896" s="54" t="s">
        <v>2</v>
      </c>
      <c r="AA2896" s="54" t="s">
        <v>2</v>
      </c>
      <c r="AB2896" s="54" t="s">
        <v>2</v>
      </c>
      <c r="AC2896" s="54" t="s">
        <v>2</v>
      </c>
      <c r="AD2896" s="54" t="s">
        <v>2</v>
      </c>
      <c r="AE2896" s="54" t="s">
        <v>2</v>
      </c>
      <c r="AF2896" s="54" t="s">
        <v>2</v>
      </c>
      <c r="AG2896" s="54" t="s">
        <v>2</v>
      </c>
    </row>
    <row r="2897" ht="15.75" customHeight="1">
      <c r="B2897" s="56"/>
      <c r="U2897" s="46" t="str">
        <f t="array" ref="U2897">IF($D2897="","",IFERROR(_xlfn.XLOOKUP($D2897,'TIR店舗一覧'!$D:$D,'TIR店舗一覧'!$E:$E,""),""))</f>
        <v/>
      </c>
      <c r="V2897" s="54" t="s">
        <v>2</v>
      </c>
      <c r="W2897" s="54" t="s">
        <v>2</v>
      </c>
      <c r="X2897" s="54" t="s">
        <v>2</v>
      </c>
      <c r="Y2897" s="54" t="s">
        <v>2</v>
      </c>
      <c r="Z2897" s="54" t="s">
        <v>2</v>
      </c>
      <c r="AA2897" s="54" t="s">
        <v>2</v>
      </c>
      <c r="AB2897" s="54" t="s">
        <v>2</v>
      </c>
      <c r="AC2897" s="54" t="s">
        <v>2</v>
      </c>
      <c r="AD2897" s="54" t="s">
        <v>2</v>
      </c>
      <c r="AE2897" s="54" t="s">
        <v>2</v>
      </c>
      <c r="AF2897" s="54" t="s">
        <v>2</v>
      </c>
      <c r="AG2897" s="54" t="s">
        <v>2</v>
      </c>
    </row>
    <row r="2898" ht="15.75" customHeight="1">
      <c r="B2898" s="56"/>
      <c r="U2898" s="46" t="str">
        <f t="array" ref="U2898">IF($D2898="","",IFERROR(_xlfn.XLOOKUP($D2898,'TIR店舗一覧'!$D:$D,'TIR店舗一覧'!$E:$E,""),""))</f>
        <v/>
      </c>
      <c r="V2898" s="54" t="s">
        <v>2</v>
      </c>
      <c r="W2898" s="54" t="s">
        <v>2</v>
      </c>
      <c r="X2898" s="54" t="s">
        <v>2</v>
      </c>
      <c r="Y2898" s="54" t="s">
        <v>2</v>
      </c>
      <c r="Z2898" s="54" t="s">
        <v>2</v>
      </c>
      <c r="AA2898" s="54" t="s">
        <v>2</v>
      </c>
      <c r="AB2898" s="54" t="s">
        <v>2</v>
      </c>
      <c r="AC2898" s="54" t="s">
        <v>2</v>
      </c>
      <c r="AD2898" s="54" t="s">
        <v>2</v>
      </c>
      <c r="AE2898" s="54" t="s">
        <v>2</v>
      </c>
      <c r="AF2898" s="54" t="s">
        <v>2</v>
      </c>
      <c r="AG2898" s="54" t="s">
        <v>2</v>
      </c>
    </row>
    <row r="2899" ht="15.75" customHeight="1">
      <c r="B2899" s="56"/>
      <c r="U2899" s="46" t="str">
        <f t="array" ref="U2899">IF($D2899="","",IFERROR(_xlfn.XLOOKUP($D2899,'TIR店舗一覧'!$D:$D,'TIR店舗一覧'!$E:$E,""),""))</f>
        <v/>
      </c>
      <c r="V2899" s="54" t="s">
        <v>2</v>
      </c>
      <c r="W2899" s="54" t="s">
        <v>2</v>
      </c>
      <c r="X2899" s="54" t="s">
        <v>2</v>
      </c>
      <c r="Y2899" s="54" t="s">
        <v>2</v>
      </c>
      <c r="Z2899" s="54" t="s">
        <v>2</v>
      </c>
      <c r="AA2899" s="54" t="s">
        <v>2</v>
      </c>
      <c r="AB2899" s="54" t="s">
        <v>2</v>
      </c>
      <c r="AC2899" s="54" t="s">
        <v>2</v>
      </c>
      <c r="AD2899" s="54" t="s">
        <v>2</v>
      </c>
      <c r="AE2899" s="54" t="s">
        <v>2</v>
      </c>
      <c r="AF2899" s="54" t="s">
        <v>2</v>
      </c>
      <c r="AG2899" s="54" t="s">
        <v>2</v>
      </c>
    </row>
    <row r="2900" ht="15.75" customHeight="1">
      <c r="B2900" s="56"/>
      <c r="U2900" s="46" t="str">
        <f t="array" ref="U2900">IF($D2900="","",IFERROR(_xlfn.XLOOKUP($D2900,'TIR店舗一覧'!$D:$D,'TIR店舗一覧'!$E:$E,""),""))</f>
        <v/>
      </c>
      <c r="V2900" s="54" t="s">
        <v>2</v>
      </c>
      <c r="W2900" s="54" t="s">
        <v>2</v>
      </c>
      <c r="X2900" s="54" t="s">
        <v>2</v>
      </c>
      <c r="Y2900" s="54" t="s">
        <v>2</v>
      </c>
      <c r="Z2900" s="54" t="s">
        <v>2</v>
      </c>
      <c r="AA2900" s="54" t="s">
        <v>2</v>
      </c>
      <c r="AB2900" s="54" t="s">
        <v>2</v>
      </c>
      <c r="AC2900" s="54" t="s">
        <v>2</v>
      </c>
      <c r="AD2900" s="54" t="s">
        <v>2</v>
      </c>
      <c r="AE2900" s="54" t="s">
        <v>2</v>
      </c>
      <c r="AF2900" s="54" t="s">
        <v>2</v>
      </c>
      <c r="AG2900" s="54" t="s">
        <v>2</v>
      </c>
    </row>
    <row r="2901" ht="15.75" customHeight="1">
      <c r="B2901" s="56"/>
      <c r="U2901" s="46" t="str">
        <f t="array" ref="U2901">IF($D2901="","",IFERROR(_xlfn.XLOOKUP($D2901,'TIR店舗一覧'!$D:$D,'TIR店舗一覧'!$E:$E,""),""))</f>
        <v/>
      </c>
      <c r="V2901" s="54" t="s">
        <v>2</v>
      </c>
      <c r="W2901" s="54" t="s">
        <v>2</v>
      </c>
      <c r="X2901" s="54" t="s">
        <v>2</v>
      </c>
      <c r="Y2901" s="54" t="s">
        <v>2</v>
      </c>
      <c r="Z2901" s="54" t="s">
        <v>2</v>
      </c>
      <c r="AA2901" s="54" t="s">
        <v>2</v>
      </c>
      <c r="AB2901" s="54" t="s">
        <v>2</v>
      </c>
      <c r="AC2901" s="54" t="s">
        <v>2</v>
      </c>
      <c r="AD2901" s="54" t="s">
        <v>2</v>
      </c>
      <c r="AE2901" s="54" t="s">
        <v>2</v>
      </c>
      <c r="AF2901" s="54" t="s">
        <v>2</v>
      </c>
      <c r="AG2901" s="54" t="s">
        <v>2</v>
      </c>
    </row>
    <row r="2902" ht="15.75" customHeight="1">
      <c r="B2902" s="56"/>
      <c r="U2902" s="46" t="str">
        <f t="array" ref="U2902">IF($D2902="","",IFERROR(_xlfn.XLOOKUP($D2902,'TIR店舗一覧'!$D:$D,'TIR店舗一覧'!$E:$E,""),""))</f>
        <v/>
      </c>
      <c r="V2902" s="54" t="s">
        <v>2</v>
      </c>
      <c r="W2902" s="54" t="s">
        <v>2</v>
      </c>
      <c r="X2902" s="54" t="s">
        <v>2</v>
      </c>
      <c r="Y2902" s="54" t="s">
        <v>2</v>
      </c>
      <c r="Z2902" s="54" t="s">
        <v>2</v>
      </c>
      <c r="AA2902" s="54" t="s">
        <v>2</v>
      </c>
      <c r="AB2902" s="54" t="s">
        <v>2</v>
      </c>
      <c r="AC2902" s="54" t="s">
        <v>2</v>
      </c>
      <c r="AD2902" s="54" t="s">
        <v>2</v>
      </c>
      <c r="AE2902" s="54" t="s">
        <v>2</v>
      </c>
      <c r="AF2902" s="54" t="s">
        <v>2</v>
      </c>
      <c r="AG2902" s="54" t="s">
        <v>2</v>
      </c>
    </row>
    <row r="2903" ht="15.75" customHeight="1">
      <c r="B2903" s="56"/>
      <c r="U2903" s="46" t="str">
        <f t="array" ref="U2903">IF($D2903="","",IFERROR(_xlfn.XLOOKUP($D2903,'TIR店舗一覧'!$D:$D,'TIR店舗一覧'!$E:$E,""),""))</f>
        <v/>
      </c>
      <c r="V2903" s="54" t="s">
        <v>2</v>
      </c>
      <c r="W2903" s="54" t="s">
        <v>2</v>
      </c>
      <c r="X2903" s="54" t="s">
        <v>2</v>
      </c>
      <c r="Y2903" s="54" t="s">
        <v>2</v>
      </c>
      <c r="Z2903" s="54" t="s">
        <v>2</v>
      </c>
      <c r="AA2903" s="54" t="s">
        <v>2</v>
      </c>
      <c r="AB2903" s="54" t="s">
        <v>2</v>
      </c>
      <c r="AC2903" s="54" t="s">
        <v>2</v>
      </c>
      <c r="AD2903" s="54" t="s">
        <v>2</v>
      </c>
      <c r="AE2903" s="54" t="s">
        <v>2</v>
      </c>
      <c r="AF2903" s="54" t="s">
        <v>2</v>
      </c>
      <c r="AG2903" s="54" t="s">
        <v>2</v>
      </c>
    </row>
    <row r="2904" ht="15.75" customHeight="1">
      <c r="B2904" s="56"/>
      <c r="U2904" s="46" t="str">
        <f t="array" ref="U2904">IF($D2904="","",IFERROR(_xlfn.XLOOKUP($D2904,'TIR店舗一覧'!$D:$D,'TIR店舗一覧'!$E:$E,""),""))</f>
        <v/>
      </c>
      <c r="V2904" s="54" t="s">
        <v>2</v>
      </c>
      <c r="W2904" s="54" t="s">
        <v>2</v>
      </c>
      <c r="X2904" s="54" t="s">
        <v>2</v>
      </c>
      <c r="Y2904" s="54" t="s">
        <v>2</v>
      </c>
      <c r="Z2904" s="54" t="s">
        <v>2</v>
      </c>
      <c r="AA2904" s="54" t="s">
        <v>2</v>
      </c>
      <c r="AB2904" s="54" t="s">
        <v>2</v>
      </c>
      <c r="AC2904" s="54" t="s">
        <v>2</v>
      </c>
      <c r="AD2904" s="54" t="s">
        <v>2</v>
      </c>
      <c r="AE2904" s="54" t="s">
        <v>2</v>
      </c>
      <c r="AF2904" s="54" t="s">
        <v>2</v>
      </c>
      <c r="AG2904" s="54" t="s">
        <v>2</v>
      </c>
    </row>
    <row r="2905" ht="15.75" customHeight="1">
      <c r="B2905" s="56"/>
      <c r="U2905" s="46" t="str">
        <f t="array" ref="U2905">IF($D2905="","",IFERROR(_xlfn.XLOOKUP($D2905,'TIR店舗一覧'!$D:$D,'TIR店舗一覧'!$E:$E,""),""))</f>
        <v/>
      </c>
      <c r="V2905" s="54" t="s">
        <v>2</v>
      </c>
      <c r="W2905" s="54" t="s">
        <v>2</v>
      </c>
      <c r="X2905" s="54" t="s">
        <v>2</v>
      </c>
      <c r="Y2905" s="54" t="s">
        <v>2</v>
      </c>
      <c r="Z2905" s="54" t="s">
        <v>2</v>
      </c>
      <c r="AA2905" s="54" t="s">
        <v>2</v>
      </c>
      <c r="AB2905" s="54" t="s">
        <v>2</v>
      </c>
      <c r="AC2905" s="54" t="s">
        <v>2</v>
      </c>
      <c r="AD2905" s="54" t="s">
        <v>2</v>
      </c>
      <c r="AE2905" s="54" t="s">
        <v>2</v>
      </c>
      <c r="AF2905" s="54" t="s">
        <v>2</v>
      </c>
      <c r="AG2905" s="54" t="s">
        <v>2</v>
      </c>
    </row>
    <row r="2906" ht="15.75" customHeight="1">
      <c r="B2906" s="56"/>
      <c r="U2906" s="46" t="str">
        <f t="array" ref="U2906">IF($D2906="","",IFERROR(_xlfn.XLOOKUP($D2906,'TIR店舗一覧'!$D:$D,'TIR店舗一覧'!$E:$E,""),""))</f>
        <v/>
      </c>
      <c r="V2906" s="54" t="s">
        <v>2</v>
      </c>
      <c r="W2906" s="54" t="s">
        <v>2</v>
      </c>
      <c r="X2906" s="54" t="s">
        <v>2</v>
      </c>
      <c r="Y2906" s="54" t="s">
        <v>2</v>
      </c>
      <c r="Z2906" s="54" t="s">
        <v>2</v>
      </c>
      <c r="AA2906" s="54" t="s">
        <v>2</v>
      </c>
      <c r="AB2906" s="54" t="s">
        <v>2</v>
      </c>
      <c r="AC2906" s="54" t="s">
        <v>2</v>
      </c>
      <c r="AD2906" s="54" t="s">
        <v>2</v>
      </c>
      <c r="AE2906" s="54" t="s">
        <v>2</v>
      </c>
      <c r="AF2906" s="54" t="s">
        <v>2</v>
      </c>
      <c r="AG2906" s="54" t="s">
        <v>2</v>
      </c>
    </row>
    <row r="2907" ht="15.75" customHeight="1">
      <c r="B2907" s="56"/>
      <c r="U2907" s="46" t="str">
        <f t="array" ref="U2907">IF($D2907="","",IFERROR(_xlfn.XLOOKUP($D2907,'TIR店舗一覧'!$D:$D,'TIR店舗一覧'!$E:$E,""),""))</f>
        <v/>
      </c>
      <c r="V2907" s="54" t="s">
        <v>2</v>
      </c>
      <c r="W2907" s="54" t="s">
        <v>2</v>
      </c>
      <c r="X2907" s="54" t="s">
        <v>2</v>
      </c>
      <c r="Y2907" s="54" t="s">
        <v>2</v>
      </c>
      <c r="Z2907" s="54" t="s">
        <v>2</v>
      </c>
      <c r="AA2907" s="54" t="s">
        <v>2</v>
      </c>
      <c r="AB2907" s="54" t="s">
        <v>2</v>
      </c>
      <c r="AC2907" s="54" t="s">
        <v>2</v>
      </c>
      <c r="AD2907" s="54" t="s">
        <v>2</v>
      </c>
      <c r="AE2907" s="54" t="s">
        <v>2</v>
      </c>
      <c r="AF2907" s="54" t="s">
        <v>2</v>
      </c>
      <c r="AG2907" s="54" t="s">
        <v>2</v>
      </c>
    </row>
    <row r="2908" ht="15.75" customHeight="1">
      <c r="B2908" s="56"/>
      <c r="U2908" s="46" t="str">
        <f t="array" ref="U2908">IF($D2908="","",IFERROR(_xlfn.XLOOKUP($D2908,'TIR店舗一覧'!$D:$D,'TIR店舗一覧'!$E:$E,""),""))</f>
        <v/>
      </c>
      <c r="V2908" s="54" t="s">
        <v>2</v>
      </c>
      <c r="W2908" s="54" t="s">
        <v>2</v>
      </c>
      <c r="X2908" s="54" t="s">
        <v>2</v>
      </c>
      <c r="Y2908" s="54" t="s">
        <v>2</v>
      </c>
      <c r="Z2908" s="54" t="s">
        <v>2</v>
      </c>
      <c r="AA2908" s="54" t="s">
        <v>2</v>
      </c>
      <c r="AB2908" s="54" t="s">
        <v>2</v>
      </c>
      <c r="AC2908" s="54" t="s">
        <v>2</v>
      </c>
      <c r="AD2908" s="54" t="s">
        <v>2</v>
      </c>
      <c r="AE2908" s="54" t="s">
        <v>2</v>
      </c>
      <c r="AF2908" s="54" t="s">
        <v>2</v>
      </c>
      <c r="AG2908" s="54" t="s">
        <v>2</v>
      </c>
    </row>
    <row r="2909" ht="15.75" customHeight="1">
      <c r="B2909" s="56"/>
      <c r="U2909" s="46" t="str">
        <f t="array" ref="U2909">IF($D2909="","",IFERROR(_xlfn.XLOOKUP($D2909,'TIR店舗一覧'!$D:$D,'TIR店舗一覧'!$E:$E,""),""))</f>
        <v/>
      </c>
      <c r="V2909" s="54" t="s">
        <v>2</v>
      </c>
      <c r="W2909" s="54" t="s">
        <v>2</v>
      </c>
      <c r="X2909" s="54" t="s">
        <v>2</v>
      </c>
      <c r="Y2909" s="54" t="s">
        <v>2</v>
      </c>
      <c r="Z2909" s="54" t="s">
        <v>2</v>
      </c>
      <c r="AA2909" s="54" t="s">
        <v>2</v>
      </c>
      <c r="AB2909" s="54" t="s">
        <v>2</v>
      </c>
      <c r="AC2909" s="54" t="s">
        <v>2</v>
      </c>
      <c r="AD2909" s="54" t="s">
        <v>2</v>
      </c>
      <c r="AE2909" s="54" t="s">
        <v>2</v>
      </c>
      <c r="AF2909" s="54" t="s">
        <v>2</v>
      </c>
      <c r="AG2909" s="54" t="s">
        <v>2</v>
      </c>
    </row>
    <row r="2910" ht="15.75" customHeight="1">
      <c r="B2910" s="56"/>
      <c r="U2910" s="46" t="str">
        <f t="array" ref="U2910">IF($D2910="","",IFERROR(_xlfn.XLOOKUP($D2910,'TIR店舗一覧'!$D:$D,'TIR店舗一覧'!$E:$E,""),""))</f>
        <v/>
      </c>
      <c r="V2910" s="54" t="s">
        <v>2</v>
      </c>
      <c r="W2910" s="54" t="s">
        <v>2</v>
      </c>
      <c r="X2910" s="54" t="s">
        <v>2</v>
      </c>
      <c r="Y2910" s="54" t="s">
        <v>2</v>
      </c>
      <c r="Z2910" s="54" t="s">
        <v>2</v>
      </c>
      <c r="AA2910" s="54" t="s">
        <v>2</v>
      </c>
      <c r="AB2910" s="54" t="s">
        <v>2</v>
      </c>
      <c r="AC2910" s="54" t="s">
        <v>2</v>
      </c>
      <c r="AD2910" s="54" t="s">
        <v>2</v>
      </c>
      <c r="AE2910" s="54" t="s">
        <v>2</v>
      </c>
      <c r="AF2910" s="54" t="s">
        <v>2</v>
      </c>
      <c r="AG2910" s="54" t="s">
        <v>2</v>
      </c>
    </row>
    <row r="2911" ht="15.75" customHeight="1">
      <c r="B2911" s="56"/>
      <c r="U2911" s="46" t="str">
        <f t="array" ref="U2911">IF($D2911="","",IFERROR(_xlfn.XLOOKUP($D2911,'TIR店舗一覧'!$D:$D,'TIR店舗一覧'!$E:$E,""),""))</f>
        <v/>
      </c>
      <c r="V2911" s="54" t="s">
        <v>2</v>
      </c>
      <c r="W2911" s="54" t="s">
        <v>2</v>
      </c>
      <c r="X2911" s="54" t="s">
        <v>2</v>
      </c>
      <c r="Y2911" s="54" t="s">
        <v>2</v>
      </c>
      <c r="Z2911" s="54" t="s">
        <v>2</v>
      </c>
      <c r="AA2911" s="54" t="s">
        <v>2</v>
      </c>
      <c r="AB2911" s="54" t="s">
        <v>2</v>
      </c>
      <c r="AC2911" s="54" t="s">
        <v>2</v>
      </c>
      <c r="AD2911" s="54" t="s">
        <v>2</v>
      </c>
      <c r="AE2911" s="54" t="s">
        <v>2</v>
      </c>
      <c r="AF2911" s="54" t="s">
        <v>2</v>
      </c>
      <c r="AG2911" s="54" t="s">
        <v>2</v>
      </c>
    </row>
    <row r="2912" ht="15.75" customHeight="1">
      <c r="B2912" s="56"/>
      <c r="U2912" s="46" t="str">
        <f t="array" ref="U2912">IF($D2912="","",IFERROR(_xlfn.XLOOKUP($D2912,'TIR店舗一覧'!$D:$D,'TIR店舗一覧'!$E:$E,""),""))</f>
        <v/>
      </c>
      <c r="V2912" s="54" t="s">
        <v>2</v>
      </c>
      <c r="W2912" s="54" t="s">
        <v>2</v>
      </c>
      <c r="X2912" s="54" t="s">
        <v>2</v>
      </c>
      <c r="Y2912" s="54" t="s">
        <v>2</v>
      </c>
      <c r="Z2912" s="54" t="s">
        <v>2</v>
      </c>
      <c r="AA2912" s="54" t="s">
        <v>2</v>
      </c>
      <c r="AB2912" s="54" t="s">
        <v>2</v>
      </c>
      <c r="AC2912" s="54" t="s">
        <v>2</v>
      </c>
      <c r="AD2912" s="54" t="s">
        <v>2</v>
      </c>
      <c r="AE2912" s="54" t="s">
        <v>2</v>
      </c>
      <c r="AF2912" s="54" t="s">
        <v>2</v>
      </c>
      <c r="AG2912" s="54" t="s">
        <v>2</v>
      </c>
    </row>
    <row r="2913" ht="15.75" customHeight="1">
      <c r="B2913" s="56"/>
      <c r="U2913" s="46" t="str">
        <f t="array" ref="U2913">IF($D2913="","",IFERROR(_xlfn.XLOOKUP($D2913,'TIR店舗一覧'!$D:$D,'TIR店舗一覧'!$E:$E,""),""))</f>
        <v/>
      </c>
      <c r="V2913" s="54" t="s">
        <v>2</v>
      </c>
      <c r="W2913" s="54" t="s">
        <v>2</v>
      </c>
      <c r="X2913" s="54" t="s">
        <v>2</v>
      </c>
      <c r="Y2913" s="54" t="s">
        <v>2</v>
      </c>
      <c r="Z2913" s="54" t="s">
        <v>2</v>
      </c>
      <c r="AA2913" s="54" t="s">
        <v>2</v>
      </c>
      <c r="AB2913" s="54" t="s">
        <v>2</v>
      </c>
      <c r="AC2913" s="54" t="s">
        <v>2</v>
      </c>
      <c r="AD2913" s="54" t="s">
        <v>2</v>
      </c>
      <c r="AE2913" s="54" t="s">
        <v>2</v>
      </c>
      <c r="AF2913" s="54" t="s">
        <v>2</v>
      </c>
      <c r="AG2913" s="54" t="s">
        <v>2</v>
      </c>
    </row>
    <row r="2914" ht="15.75" customHeight="1">
      <c r="B2914" s="56"/>
      <c r="U2914" s="46" t="str">
        <f t="array" ref="U2914">IF($D2914="","",IFERROR(_xlfn.XLOOKUP($D2914,'TIR店舗一覧'!$D:$D,'TIR店舗一覧'!$E:$E,""),""))</f>
        <v/>
      </c>
      <c r="V2914" s="54" t="s">
        <v>2</v>
      </c>
      <c r="W2914" s="54" t="s">
        <v>2</v>
      </c>
      <c r="X2914" s="54" t="s">
        <v>2</v>
      </c>
      <c r="Y2914" s="54" t="s">
        <v>2</v>
      </c>
      <c r="Z2914" s="54" t="s">
        <v>2</v>
      </c>
      <c r="AA2914" s="54" t="s">
        <v>2</v>
      </c>
      <c r="AB2914" s="54" t="s">
        <v>2</v>
      </c>
      <c r="AC2914" s="54" t="s">
        <v>2</v>
      </c>
      <c r="AD2914" s="54" t="s">
        <v>2</v>
      </c>
      <c r="AE2914" s="54" t="s">
        <v>2</v>
      </c>
      <c r="AF2914" s="54" t="s">
        <v>2</v>
      </c>
      <c r="AG2914" s="54" t="s">
        <v>2</v>
      </c>
    </row>
    <row r="2915" ht="15.75" customHeight="1">
      <c r="B2915" s="56"/>
      <c r="U2915" s="46" t="str">
        <f t="array" ref="U2915">IF($D2915="","",IFERROR(_xlfn.XLOOKUP($D2915,'TIR店舗一覧'!$D:$D,'TIR店舗一覧'!$E:$E,""),""))</f>
        <v/>
      </c>
      <c r="V2915" s="54" t="s">
        <v>2</v>
      </c>
      <c r="W2915" s="54" t="s">
        <v>2</v>
      </c>
      <c r="X2915" s="54" t="s">
        <v>2</v>
      </c>
      <c r="Y2915" s="54" t="s">
        <v>2</v>
      </c>
      <c r="Z2915" s="54" t="s">
        <v>2</v>
      </c>
      <c r="AA2915" s="54" t="s">
        <v>2</v>
      </c>
      <c r="AB2915" s="54" t="s">
        <v>2</v>
      </c>
      <c r="AC2915" s="54" t="s">
        <v>2</v>
      </c>
      <c r="AD2915" s="54" t="s">
        <v>2</v>
      </c>
      <c r="AE2915" s="54" t="s">
        <v>2</v>
      </c>
      <c r="AF2915" s="54" t="s">
        <v>2</v>
      </c>
      <c r="AG2915" s="54" t="s">
        <v>2</v>
      </c>
    </row>
    <row r="2916" ht="15.75" customHeight="1">
      <c r="B2916" s="56"/>
      <c r="U2916" s="46" t="str">
        <f t="array" ref="U2916">IF($D2916="","",IFERROR(_xlfn.XLOOKUP($D2916,'TIR店舗一覧'!$D:$D,'TIR店舗一覧'!$E:$E,""),""))</f>
        <v/>
      </c>
      <c r="V2916" s="54" t="s">
        <v>2</v>
      </c>
      <c r="W2916" s="54" t="s">
        <v>2</v>
      </c>
      <c r="X2916" s="54" t="s">
        <v>2</v>
      </c>
      <c r="Y2916" s="54" t="s">
        <v>2</v>
      </c>
      <c r="Z2916" s="54" t="s">
        <v>2</v>
      </c>
      <c r="AA2916" s="54" t="s">
        <v>2</v>
      </c>
      <c r="AB2916" s="54" t="s">
        <v>2</v>
      </c>
      <c r="AC2916" s="54" t="s">
        <v>2</v>
      </c>
      <c r="AD2916" s="54" t="s">
        <v>2</v>
      </c>
      <c r="AE2916" s="54" t="s">
        <v>2</v>
      </c>
      <c r="AF2916" s="54" t="s">
        <v>2</v>
      </c>
      <c r="AG2916" s="54" t="s">
        <v>2</v>
      </c>
    </row>
    <row r="2917" ht="15.75" customHeight="1">
      <c r="B2917" s="56"/>
      <c r="U2917" s="46" t="str">
        <f t="array" ref="U2917">IF($D2917="","",IFERROR(_xlfn.XLOOKUP($D2917,'TIR店舗一覧'!$D:$D,'TIR店舗一覧'!$E:$E,""),""))</f>
        <v/>
      </c>
      <c r="V2917" s="54" t="s">
        <v>2</v>
      </c>
      <c r="W2917" s="54" t="s">
        <v>2</v>
      </c>
      <c r="X2917" s="54" t="s">
        <v>2</v>
      </c>
      <c r="Y2917" s="54" t="s">
        <v>2</v>
      </c>
      <c r="Z2917" s="54" t="s">
        <v>2</v>
      </c>
      <c r="AA2917" s="54" t="s">
        <v>2</v>
      </c>
      <c r="AB2917" s="54" t="s">
        <v>2</v>
      </c>
      <c r="AC2917" s="54" t="s">
        <v>2</v>
      </c>
      <c r="AD2917" s="54" t="s">
        <v>2</v>
      </c>
      <c r="AE2917" s="54" t="s">
        <v>2</v>
      </c>
      <c r="AF2917" s="54" t="s">
        <v>2</v>
      </c>
      <c r="AG2917" s="54" t="s">
        <v>2</v>
      </c>
    </row>
    <row r="2918" ht="15.75" customHeight="1">
      <c r="B2918" s="56"/>
      <c r="U2918" s="46" t="str">
        <f t="array" ref="U2918">IF($D2918="","",IFERROR(_xlfn.XLOOKUP($D2918,'TIR店舗一覧'!$D:$D,'TIR店舗一覧'!$E:$E,""),""))</f>
        <v/>
      </c>
      <c r="V2918" s="54" t="s">
        <v>2</v>
      </c>
      <c r="W2918" s="54" t="s">
        <v>2</v>
      </c>
      <c r="X2918" s="54" t="s">
        <v>2</v>
      </c>
      <c r="Y2918" s="54" t="s">
        <v>2</v>
      </c>
      <c r="Z2918" s="54" t="s">
        <v>2</v>
      </c>
      <c r="AA2918" s="54" t="s">
        <v>2</v>
      </c>
      <c r="AB2918" s="54" t="s">
        <v>2</v>
      </c>
      <c r="AC2918" s="54" t="s">
        <v>2</v>
      </c>
      <c r="AD2918" s="54" t="s">
        <v>2</v>
      </c>
      <c r="AE2918" s="54" t="s">
        <v>2</v>
      </c>
      <c r="AF2918" s="54" t="s">
        <v>2</v>
      </c>
      <c r="AG2918" s="54" t="s">
        <v>2</v>
      </c>
    </row>
    <row r="2919" ht="15.75" customHeight="1">
      <c r="B2919" s="56"/>
      <c r="U2919" s="46" t="str">
        <f t="array" ref="U2919">IF($D2919="","",IFERROR(_xlfn.XLOOKUP($D2919,'TIR店舗一覧'!$D:$D,'TIR店舗一覧'!$E:$E,""),""))</f>
        <v/>
      </c>
      <c r="V2919" s="54" t="s">
        <v>2</v>
      </c>
      <c r="W2919" s="54" t="s">
        <v>2</v>
      </c>
      <c r="X2919" s="54" t="s">
        <v>2</v>
      </c>
      <c r="Y2919" s="54" t="s">
        <v>2</v>
      </c>
      <c r="Z2919" s="54" t="s">
        <v>2</v>
      </c>
      <c r="AA2919" s="54" t="s">
        <v>2</v>
      </c>
      <c r="AB2919" s="54" t="s">
        <v>2</v>
      </c>
      <c r="AC2919" s="54" t="s">
        <v>2</v>
      </c>
      <c r="AD2919" s="54" t="s">
        <v>2</v>
      </c>
      <c r="AE2919" s="54" t="s">
        <v>2</v>
      </c>
      <c r="AF2919" s="54" t="s">
        <v>2</v>
      </c>
      <c r="AG2919" s="54" t="s">
        <v>2</v>
      </c>
    </row>
    <row r="2920" ht="15.75" customHeight="1">
      <c r="B2920" s="56"/>
      <c r="U2920" s="46" t="str">
        <f t="array" ref="U2920">IF($D2920="","",IFERROR(_xlfn.XLOOKUP($D2920,'TIR店舗一覧'!$D:$D,'TIR店舗一覧'!$E:$E,""),""))</f>
        <v/>
      </c>
      <c r="V2920" s="54" t="s">
        <v>2</v>
      </c>
      <c r="W2920" s="54" t="s">
        <v>2</v>
      </c>
      <c r="X2920" s="54" t="s">
        <v>2</v>
      </c>
      <c r="Y2920" s="54" t="s">
        <v>2</v>
      </c>
      <c r="Z2920" s="54" t="s">
        <v>2</v>
      </c>
      <c r="AA2920" s="54" t="s">
        <v>2</v>
      </c>
      <c r="AB2920" s="54" t="s">
        <v>2</v>
      </c>
      <c r="AC2920" s="54" t="s">
        <v>2</v>
      </c>
      <c r="AD2920" s="54" t="s">
        <v>2</v>
      </c>
      <c r="AE2920" s="54" t="s">
        <v>2</v>
      </c>
      <c r="AF2920" s="54" t="s">
        <v>2</v>
      </c>
      <c r="AG2920" s="54" t="s">
        <v>2</v>
      </c>
    </row>
    <row r="2921" ht="15.75" customHeight="1">
      <c r="B2921" s="56"/>
      <c r="U2921" s="46" t="str">
        <f t="array" ref="U2921">IF($D2921="","",IFERROR(_xlfn.XLOOKUP($D2921,'TIR店舗一覧'!$D:$D,'TIR店舗一覧'!$E:$E,""),""))</f>
        <v/>
      </c>
      <c r="V2921" s="54" t="s">
        <v>2</v>
      </c>
      <c r="W2921" s="54" t="s">
        <v>2</v>
      </c>
      <c r="X2921" s="54" t="s">
        <v>2</v>
      </c>
      <c r="Y2921" s="54" t="s">
        <v>2</v>
      </c>
      <c r="Z2921" s="54" t="s">
        <v>2</v>
      </c>
      <c r="AA2921" s="54" t="s">
        <v>2</v>
      </c>
      <c r="AB2921" s="54" t="s">
        <v>2</v>
      </c>
      <c r="AC2921" s="54" t="s">
        <v>2</v>
      </c>
      <c r="AD2921" s="54" t="s">
        <v>2</v>
      </c>
      <c r="AE2921" s="54" t="s">
        <v>2</v>
      </c>
      <c r="AF2921" s="54" t="s">
        <v>2</v>
      </c>
      <c r="AG2921" s="54" t="s">
        <v>2</v>
      </c>
    </row>
    <row r="2922" ht="15.75" customHeight="1">
      <c r="B2922" s="56"/>
      <c r="U2922" s="46" t="str">
        <f t="array" ref="U2922">IF($D2922="","",IFERROR(_xlfn.XLOOKUP($D2922,'TIR店舗一覧'!$D:$D,'TIR店舗一覧'!$E:$E,""),""))</f>
        <v/>
      </c>
      <c r="V2922" s="54" t="s">
        <v>2</v>
      </c>
      <c r="W2922" s="54" t="s">
        <v>2</v>
      </c>
      <c r="X2922" s="54" t="s">
        <v>2</v>
      </c>
      <c r="Y2922" s="54" t="s">
        <v>2</v>
      </c>
      <c r="Z2922" s="54" t="s">
        <v>2</v>
      </c>
      <c r="AA2922" s="54" t="s">
        <v>2</v>
      </c>
      <c r="AB2922" s="54" t="s">
        <v>2</v>
      </c>
      <c r="AC2922" s="54" t="s">
        <v>2</v>
      </c>
      <c r="AD2922" s="54" t="s">
        <v>2</v>
      </c>
      <c r="AE2922" s="54" t="s">
        <v>2</v>
      </c>
      <c r="AF2922" s="54" t="s">
        <v>2</v>
      </c>
      <c r="AG2922" s="54" t="s">
        <v>2</v>
      </c>
    </row>
    <row r="2923" ht="15.75" customHeight="1">
      <c r="B2923" s="56"/>
      <c r="U2923" s="46" t="str">
        <f t="array" ref="U2923">IF($D2923="","",IFERROR(_xlfn.XLOOKUP($D2923,'TIR店舗一覧'!$D:$D,'TIR店舗一覧'!$E:$E,""),""))</f>
        <v/>
      </c>
      <c r="V2923" s="54" t="s">
        <v>2</v>
      </c>
      <c r="W2923" s="54" t="s">
        <v>2</v>
      </c>
      <c r="X2923" s="54" t="s">
        <v>2</v>
      </c>
      <c r="Y2923" s="54" t="s">
        <v>2</v>
      </c>
      <c r="Z2923" s="54" t="s">
        <v>2</v>
      </c>
      <c r="AA2923" s="54" t="s">
        <v>2</v>
      </c>
      <c r="AB2923" s="54" t="s">
        <v>2</v>
      </c>
      <c r="AC2923" s="54" t="s">
        <v>2</v>
      </c>
      <c r="AD2923" s="54" t="s">
        <v>2</v>
      </c>
      <c r="AE2923" s="54" t="s">
        <v>2</v>
      </c>
      <c r="AF2923" s="54" t="s">
        <v>2</v>
      </c>
      <c r="AG2923" s="54" t="s">
        <v>2</v>
      </c>
    </row>
    <row r="2924" ht="15.75" customHeight="1">
      <c r="B2924" s="56"/>
      <c r="U2924" s="46" t="str">
        <f t="array" ref="U2924">IF($D2924="","",IFERROR(_xlfn.XLOOKUP($D2924,'TIR店舗一覧'!$D:$D,'TIR店舗一覧'!$E:$E,""),""))</f>
        <v/>
      </c>
      <c r="V2924" s="54" t="s">
        <v>2</v>
      </c>
      <c r="W2924" s="54" t="s">
        <v>2</v>
      </c>
      <c r="X2924" s="54" t="s">
        <v>2</v>
      </c>
      <c r="Y2924" s="54" t="s">
        <v>2</v>
      </c>
      <c r="Z2924" s="54" t="s">
        <v>2</v>
      </c>
      <c r="AA2924" s="54" t="s">
        <v>2</v>
      </c>
      <c r="AB2924" s="54" t="s">
        <v>2</v>
      </c>
      <c r="AC2924" s="54" t="s">
        <v>2</v>
      </c>
      <c r="AD2924" s="54" t="s">
        <v>2</v>
      </c>
      <c r="AE2924" s="54" t="s">
        <v>2</v>
      </c>
      <c r="AF2924" s="54" t="s">
        <v>2</v>
      </c>
      <c r="AG2924" s="54" t="s">
        <v>2</v>
      </c>
    </row>
    <row r="2925" ht="15.75" customHeight="1">
      <c r="B2925" s="56"/>
      <c r="U2925" s="46" t="str">
        <f t="array" ref="U2925">IF($D2925="","",IFERROR(_xlfn.XLOOKUP($D2925,'TIR店舗一覧'!$D:$D,'TIR店舗一覧'!$E:$E,""),""))</f>
        <v/>
      </c>
      <c r="V2925" s="54" t="s">
        <v>2</v>
      </c>
      <c r="W2925" s="54" t="s">
        <v>2</v>
      </c>
      <c r="X2925" s="54" t="s">
        <v>2</v>
      </c>
      <c r="Y2925" s="54" t="s">
        <v>2</v>
      </c>
      <c r="Z2925" s="54" t="s">
        <v>2</v>
      </c>
      <c r="AA2925" s="54" t="s">
        <v>2</v>
      </c>
      <c r="AB2925" s="54" t="s">
        <v>2</v>
      </c>
      <c r="AC2925" s="54" t="s">
        <v>2</v>
      </c>
      <c r="AD2925" s="54" t="s">
        <v>2</v>
      </c>
      <c r="AE2925" s="54" t="s">
        <v>2</v>
      </c>
      <c r="AF2925" s="54" t="s">
        <v>2</v>
      </c>
      <c r="AG2925" s="54" t="s">
        <v>2</v>
      </c>
    </row>
    <row r="2926" ht="15.75" customHeight="1">
      <c r="B2926" s="56"/>
      <c r="U2926" s="46" t="str">
        <f t="array" ref="U2926">IF($D2926="","",IFERROR(_xlfn.XLOOKUP($D2926,'TIR店舗一覧'!$D:$D,'TIR店舗一覧'!$E:$E,""),""))</f>
        <v/>
      </c>
      <c r="V2926" s="54" t="s">
        <v>2</v>
      </c>
      <c r="W2926" s="54" t="s">
        <v>2</v>
      </c>
      <c r="X2926" s="54" t="s">
        <v>2</v>
      </c>
      <c r="Y2926" s="54" t="s">
        <v>2</v>
      </c>
      <c r="Z2926" s="54" t="s">
        <v>2</v>
      </c>
      <c r="AA2926" s="54" t="s">
        <v>2</v>
      </c>
      <c r="AB2926" s="54" t="s">
        <v>2</v>
      </c>
      <c r="AC2926" s="54" t="s">
        <v>2</v>
      </c>
      <c r="AD2926" s="54" t="s">
        <v>2</v>
      </c>
      <c r="AE2926" s="54" t="s">
        <v>2</v>
      </c>
      <c r="AF2926" s="54" t="s">
        <v>2</v>
      </c>
      <c r="AG2926" s="54" t="s">
        <v>2</v>
      </c>
    </row>
    <row r="2927" ht="15.75" customHeight="1">
      <c r="B2927" s="56"/>
      <c r="U2927" s="46" t="str">
        <f t="array" ref="U2927">IF($D2927="","",IFERROR(_xlfn.XLOOKUP($D2927,'TIR店舗一覧'!$D:$D,'TIR店舗一覧'!$E:$E,""),""))</f>
        <v/>
      </c>
      <c r="V2927" s="54" t="s">
        <v>2</v>
      </c>
      <c r="W2927" s="54" t="s">
        <v>2</v>
      </c>
      <c r="X2927" s="54" t="s">
        <v>2</v>
      </c>
      <c r="Y2927" s="54" t="s">
        <v>2</v>
      </c>
      <c r="Z2927" s="54" t="s">
        <v>2</v>
      </c>
      <c r="AA2927" s="54" t="s">
        <v>2</v>
      </c>
      <c r="AB2927" s="54" t="s">
        <v>2</v>
      </c>
      <c r="AC2927" s="54" t="s">
        <v>2</v>
      </c>
      <c r="AD2927" s="54" t="s">
        <v>2</v>
      </c>
      <c r="AE2927" s="54" t="s">
        <v>2</v>
      </c>
      <c r="AF2927" s="54" t="s">
        <v>2</v>
      </c>
      <c r="AG2927" s="54" t="s">
        <v>2</v>
      </c>
    </row>
    <row r="2928" ht="15.75" customHeight="1">
      <c r="B2928" s="56"/>
      <c r="U2928" s="46" t="str">
        <f t="array" ref="U2928">IF($D2928="","",IFERROR(_xlfn.XLOOKUP($D2928,'TIR店舗一覧'!$D:$D,'TIR店舗一覧'!$E:$E,""),""))</f>
        <v/>
      </c>
      <c r="V2928" s="54" t="s">
        <v>2</v>
      </c>
      <c r="W2928" s="54" t="s">
        <v>2</v>
      </c>
      <c r="X2928" s="54" t="s">
        <v>2</v>
      </c>
      <c r="Y2928" s="54" t="s">
        <v>2</v>
      </c>
      <c r="Z2928" s="54" t="s">
        <v>2</v>
      </c>
      <c r="AA2928" s="54" t="s">
        <v>2</v>
      </c>
      <c r="AB2928" s="54" t="s">
        <v>2</v>
      </c>
      <c r="AC2928" s="54" t="s">
        <v>2</v>
      </c>
      <c r="AD2928" s="54" t="s">
        <v>2</v>
      </c>
      <c r="AE2928" s="54" t="s">
        <v>2</v>
      </c>
      <c r="AF2928" s="54" t="s">
        <v>2</v>
      </c>
      <c r="AG2928" s="54" t="s">
        <v>2</v>
      </c>
    </row>
    <row r="2929" ht="15.75" customHeight="1">
      <c r="B2929" s="56"/>
      <c r="U2929" s="46" t="str">
        <f t="array" ref="U2929">IF($D2929="","",IFERROR(_xlfn.XLOOKUP($D2929,'TIR店舗一覧'!$D:$D,'TIR店舗一覧'!$E:$E,""),""))</f>
        <v/>
      </c>
      <c r="V2929" s="54" t="s">
        <v>2</v>
      </c>
      <c r="W2929" s="54" t="s">
        <v>2</v>
      </c>
      <c r="X2929" s="54" t="s">
        <v>2</v>
      </c>
      <c r="Y2929" s="54" t="s">
        <v>2</v>
      </c>
      <c r="Z2929" s="54" t="s">
        <v>2</v>
      </c>
      <c r="AA2929" s="54" t="s">
        <v>2</v>
      </c>
      <c r="AB2929" s="54" t="s">
        <v>2</v>
      </c>
      <c r="AC2929" s="54" t="s">
        <v>2</v>
      </c>
      <c r="AD2929" s="54" t="s">
        <v>2</v>
      </c>
      <c r="AE2929" s="54" t="s">
        <v>2</v>
      </c>
      <c r="AF2929" s="54" t="s">
        <v>2</v>
      </c>
      <c r="AG2929" s="54" t="s">
        <v>2</v>
      </c>
    </row>
    <row r="2930" ht="15.75" customHeight="1">
      <c r="B2930" s="56"/>
      <c r="U2930" s="46" t="str">
        <f t="array" ref="U2930">IF($D2930="","",IFERROR(_xlfn.XLOOKUP($D2930,'TIR店舗一覧'!$D:$D,'TIR店舗一覧'!$E:$E,""),""))</f>
        <v/>
      </c>
      <c r="V2930" s="54" t="s">
        <v>2</v>
      </c>
      <c r="W2930" s="54" t="s">
        <v>2</v>
      </c>
      <c r="X2930" s="54" t="s">
        <v>2</v>
      </c>
      <c r="Y2930" s="54" t="s">
        <v>2</v>
      </c>
      <c r="Z2930" s="54" t="s">
        <v>2</v>
      </c>
      <c r="AA2930" s="54" t="s">
        <v>2</v>
      </c>
      <c r="AB2930" s="54" t="s">
        <v>2</v>
      </c>
      <c r="AC2930" s="54" t="s">
        <v>2</v>
      </c>
      <c r="AD2930" s="54" t="s">
        <v>2</v>
      </c>
      <c r="AE2930" s="54" t="s">
        <v>2</v>
      </c>
      <c r="AF2930" s="54" t="s">
        <v>2</v>
      </c>
      <c r="AG2930" s="54" t="s">
        <v>2</v>
      </c>
    </row>
    <row r="2931" ht="15.75" customHeight="1">
      <c r="B2931" s="56"/>
      <c r="U2931" s="46" t="str">
        <f t="array" ref="U2931">IF($D2931="","",IFERROR(_xlfn.XLOOKUP($D2931,'TIR店舗一覧'!$D:$D,'TIR店舗一覧'!$E:$E,""),""))</f>
        <v/>
      </c>
      <c r="V2931" s="54" t="s">
        <v>2</v>
      </c>
      <c r="W2931" s="54" t="s">
        <v>2</v>
      </c>
      <c r="X2931" s="54" t="s">
        <v>2</v>
      </c>
      <c r="Y2931" s="54" t="s">
        <v>2</v>
      </c>
      <c r="Z2931" s="54" t="s">
        <v>2</v>
      </c>
      <c r="AA2931" s="54" t="s">
        <v>2</v>
      </c>
      <c r="AB2931" s="54" t="s">
        <v>2</v>
      </c>
      <c r="AC2931" s="54" t="s">
        <v>2</v>
      </c>
      <c r="AD2931" s="54" t="s">
        <v>2</v>
      </c>
      <c r="AE2931" s="54" t="s">
        <v>2</v>
      </c>
      <c r="AF2931" s="54" t="s">
        <v>2</v>
      </c>
      <c r="AG2931" s="54" t="s">
        <v>2</v>
      </c>
    </row>
    <row r="2932" ht="15.75" customHeight="1">
      <c r="B2932" s="56"/>
      <c r="U2932" s="46" t="str">
        <f t="array" ref="U2932">IF($D2932="","",IFERROR(_xlfn.XLOOKUP($D2932,'TIR店舗一覧'!$D:$D,'TIR店舗一覧'!$E:$E,""),""))</f>
        <v/>
      </c>
      <c r="V2932" s="54" t="s">
        <v>2</v>
      </c>
      <c r="W2932" s="54" t="s">
        <v>2</v>
      </c>
      <c r="X2932" s="54" t="s">
        <v>2</v>
      </c>
      <c r="Y2932" s="54" t="s">
        <v>2</v>
      </c>
      <c r="Z2932" s="54" t="s">
        <v>2</v>
      </c>
      <c r="AA2932" s="54" t="s">
        <v>2</v>
      </c>
      <c r="AB2932" s="54" t="s">
        <v>2</v>
      </c>
      <c r="AC2932" s="54" t="s">
        <v>2</v>
      </c>
      <c r="AD2932" s="54" t="s">
        <v>2</v>
      </c>
      <c r="AE2932" s="54" t="s">
        <v>2</v>
      </c>
      <c r="AF2932" s="54" t="s">
        <v>2</v>
      </c>
      <c r="AG2932" s="54" t="s">
        <v>2</v>
      </c>
    </row>
    <row r="2933" ht="15.75" customHeight="1">
      <c r="B2933" s="56"/>
      <c r="U2933" s="46" t="str">
        <f t="array" ref="U2933">IF($D2933="","",IFERROR(_xlfn.XLOOKUP($D2933,'TIR店舗一覧'!$D:$D,'TIR店舗一覧'!$E:$E,""),""))</f>
        <v/>
      </c>
      <c r="V2933" s="54" t="s">
        <v>2</v>
      </c>
      <c r="W2933" s="54" t="s">
        <v>2</v>
      </c>
      <c r="X2933" s="54" t="s">
        <v>2</v>
      </c>
      <c r="Y2933" s="54" t="s">
        <v>2</v>
      </c>
      <c r="Z2933" s="54" t="s">
        <v>2</v>
      </c>
      <c r="AA2933" s="54" t="s">
        <v>2</v>
      </c>
      <c r="AB2933" s="54" t="s">
        <v>2</v>
      </c>
      <c r="AC2933" s="54" t="s">
        <v>2</v>
      </c>
      <c r="AD2933" s="54" t="s">
        <v>2</v>
      </c>
      <c r="AE2933" s="54" t="s">
        <v>2</v>
      </c>
      <c r="AF2933" s="54" t="s">
        <v>2</v>
      </c>
      <c r="AG2933" s="54" t="s">
        <v>2</v>
      </c>
    </row>
    <row r="2934" ht="15.75" customHeight="1">
      <c r="B2934" s="56"/>
      <c r="U2934" s="46" t="str">
        <f t="array" ref="U2934">IF($D2934="","",IFERROR(_xlfn.XLOOKUP($D2934,'TIR店舗一覧'!$D:$D,'TIR店舗一覧'!$E:$E,""),""))</f>
        <v/>
      </c>
      <c r="V2934" s="54" t="s">
        <v>2</v>
      </c>
      <c r="W2934" s="54" t="s">
        <v>2</v>
      </c>
      <c r="X2934" s="54" t="s">
        <v>2</v>
      </c>
      <c r="Y2934" s="54" t="s">
        <v>2</v>
      </c>
      <c r="Z2934" s="54" t="s">
        <v>2</v>
      </c>
      <c r="AA2934" s="54" t="s">
        <v>2</v>
      </c>
      <c r="AB2934" s="54" t="s">
        <v>2</v>
      </c>
      <c r="AC2934" s="54" t="s">
        <v>2</v>
      </c>
      <c r="AD2934" s="54" t="s">
        <v>2</v>
      </c>
      <c r="AE2934" s="54" t="s">
        <v>2</v>
      </c>
      <c r="AF2934" s="54" t="s">
        <v>2</v>
      </c>
      <c r="AG2934" s="54" t="s">
        <v>2</v>
      </c>
    </row>
    <row r="2935" ht="15.75" customHeight="1">
      <c r="B2935" s="56"/>
      <c r="U2935" s="46" t="str">
        <f t="array" ref="U2935">IF($D2935="","",IFERROR(_xlfn.XLOOKUP($D2935,'TIR店舗一覧'!$D:$D,'TIR店舗一覧'!$E:$E,""),""))</f>
        <v/>
      </c>
      <c r="V2935" s="54" t="s">
        <v>2</v>
      </c>
      <c r="W2935" s="54" t="s">
        <v>2</v>
      </c>
      <c r="X2935" s="54" t="s">
        <v>2</v>
      </c>
      <c r="Y2935" s="54" t="s">
        <v>2</v>
      </c>
      <c r="Z2935" s="54" t="s">
        <v>2</v>
      </c>
      <c r="AA2935" s="54" t="s">
        <v>2</v>
      </c>
      <c r="AB2935" s="54" t="s">
        <v>2</v>
      </c>
      <c r="AC2935" s="54" t="s">
        <v>2</v>
      </c>
      <c r="AD2935" s="54" t="s">
        <v>2</v>
      </c>
      <c r="AE2935" s="54" t="s">
        <v>2</v>
      </c>
      <c r="AF2935" s="54" t="s">
        <v>2</v>
      </c>
      <c r="AG2935" s="54" t="s">
        <v>2</v>
      </c>
    </row>
    <row r="2936" ht="15.75" customHeight="1">
      <c r="B2936" s="56"/>
      <c r="U2936" s="46" t="str">
        <f t="array" ref="U2936">IF($D2936="","",IFERROR(_xlfn.XLOOKUP($D2936,'TIR店舗一覧'!$D:$D,'TIR店舗一覧'!$E:$E,""),""))</f>
        <v/>
      </c>
      <c r="V2936" s="54" t="s">
        <v>2</v>
      </c>
      <c r="W2936" s="54" t="s">
        <v>2</v>
      </c>
      <c r="X2936" s="54" t="s">
        <v>2</v>
      </c>
      <c r="Y2936" s="54" t="s">
        <v>2</v>
      </c>
      <c r="Z2936" s="54" t="s">
        <v>2</v>
      </c>
      <c r="AA2936" s="54" t="s">
        <v>2</v>
      </c>
      <c r="AB2936" s="54" t="s">
        <v>2</v>
      </c>
      <c r="AC2936" s="54" t="s">
        <v>2</v>
      </c>
      <c r="AD2936" s="54" t="s">
        <v>2</v>
      </c>
      <c r="AE2936" s="54" t="s">
        <v>2</v>
      </c>
      <c r="AF2936" s="54" t="s">
        <v>2</v>
      </c>
      <c r="AG2936" s="54" t="s">
        <v>2</v>
      </c>
    </row>
    <row r="2937" ht="15.75" customHeight="1">
      <c r="B2937" s="56"/>
      <c r="U2937" s="46" t="str">
        <f t="array" ref="U2937">IF($D2937="","",IFERROR(_xlfn.XLOOKUP($D2937,'TIR店舗一覧'!$D:$D,'TIR店舗一覧'!$E:$E,""),""))</f>
        <v/>
      </c>
      <c r="V2937" s="54" t="s">
        <v>2</v>
      </c>
      <c r="W2937" s="54" t="s">
        <v>2</v>
      </c>
      <c r="X2937" s="54" t="s">
        <v>2</v>
      </c>
      <c r="Y2937" s="54" t="s">
        <v>2</v>
      </c>
      <c r="Z2937" s="54" t="s">
        <v>2</v>
      </c>
      <c r="AA2937" s="54" t="s">
        <v>2</v>
      </c>
      <c r="AB2937" s="54" t="s">
        <v>2</v>
      </c>
      <c r="AC2937" s="54" t="s">
        <v>2</v>
      </c>
      <c r="AD2937" s="54" t="s">
        <v>2</v>
      </c>
      <c r="AE2937" s="54" t="s">
        <v>2</v>
      </c>
      <c r="AF2937" s="54" t="s">
        <v>2</v>
      </c>
      <c r="AG2937" s="54" t="s">
        <v>2</v>
      </c>
    </row>
    <row r="2938" ht="15.75" customHeight="1">
      <c r="B2938" s="56"/>
      <c r="U2938" s="46" t="str">
        <f t="array" ref="U2938">IF($D2938="","",IFERROR(_xlfn.XLOOKUP($D2938,'TIR店舗一覧'!$D:$D,'TIR店舗一覧'!$E:$E,""),""))</f>
        <v/>
      </c>
      <c r="V2938" s="54" t="s">
        <v>2</v>
      </c>
      <c r="W2938" s="54" t="s">
        <v>2</v>
      </c>
      <c r="X2938" s="54" t="s">
        <v>2</v>
      </c>
      <c r="Y2938" s="54" t="s">
        <v>2</v>
      </c>
      <c r="Z2938" s="54" t="s">
        <v>2</v>
      </c>
      <c r="AA2938" s="54" t="s">
        <v>2</v>
      </c>
      <c r="AB2938" s="54" t="s">
        <v>2</v>
      </c>
      <c r="AC2938" s="54" t="s">
        <v>2</v>
      </c>
      <c r="AD2938" s="54" t="s">
        <v>2</v>
      </c>
      <c r="AE2938" s="54" t="s">
        <v>2</v>
      </c>
      <c r="AF2938" s="54" t="s">
        <v>2</v>
      </c>
      <c r="AG2938" s="54" t="s">
        <v>2</v>
      </c>
    </row>
    <row r="2939" ht="15.75" customHeight="1">
      <c r="B2939" s="56"/>
      <c r="U2939" s="46" t="str">
        <f t="array" ref="U2939">IF($D2939="","",IFERROR(_xlfn.XLOOKUP($D2939,'TIR店舗一覧'!$D:$D,'TIR店舗一覧'!$E:$E,""),""))</f>
        <v/>
      </c>
      <c r="V2939" s="54" t="s">
        <v>2</v>
      </c>
      <c r="W2939" s="54" t="s">
        <v>2</v>
      </c>
      <c r="X2939" s="54" t="s">
        <v>2</v>
      </c>
      <c r="Y2939" s="54" t="s">
        <v>2</v>
      </c>
      <c r="Z2939" s="54" t="s">
        <v>2</v>
      </c>
      <c r="AA2939" s="54" t="s">
        <v>2</v>
      </c>
      <c r="AB2939" s="54" t="s">
        <v>2</v>
      </c>
      <c r="AC2939" s="54" t="s">
        <v>2</v>
      </c>
      <c r="AD2939" s="54" t="s">
        <v>2</v>
      </c>
      <c r="AE2939" s="54" t="s">
        <v>2</v>
      </c>
      <c r="AF2939" s="54" t="s">
        <v>2</v>
      </c>
      <c r="AG2939" s="54" t="s">
        <v>2</v>
      </c>
    </row>
    <row r="2940" ht="15.75" customHeight="1">
      <c r="B2940" s="56"/>
      <c r="U2940" s="46" t="str">
        <f t="array" ref="U2940">IF($D2940="","",IFERROR(_xlfn.XLOOKUP($D2940,'TIR店舗一覧'!$D:$D,'TIR店舗一覧'!$E:$E,""),""))</f>
        <v/>
      </c>
      <c r="V2940" s="54" t="s">
        <v>2</v>
      </c>
      <c r="W2940" s="54" t="s">
        <v>2</v>
      </c>
      <c r="X2940" s="54" t="s">
        <v>2</v>
      </c>
      <c r="Y2940" s="54" t="s">
        <v>2</v>
      </c>
      <c r="Z2940" s="54" t="s">
        <v>2</v>
      </c>
      <c r="AA2940" s="54" t="s">
        <v>2</v>
      </c>
      <c r="AB2940" s="54" t="s">
        <v>2</v>
      </c>
      <c r="AC2940" s="54" t="s">
        <v>2</v>
      </c>
      <c r="AD2940" s="54" t="s">
        <v>2</v>
      </c>
      <c r="AE2940" s="54" t="s">
        <v>2</v>
      </c>
      <c r="AF2940" s="54" t="s">
        <v>2</v>
      </c>
      <c r="AG2940" s="54" t="s">
        <v>2</v>
      </c>
    </row>
    <row r="2941" ht="15.75" customHeight="1">
      <c r="B2941" s="56"/>
      <c r="U2941" s="46" t="str">
        <f t="array" ref="U2941">IF($D2941="","",IFERROR(_xlfn.XLOOKUP($D2941,'TIR店舗一覧'!$D:$D,'TIR店舗一覧'!$E:$E,""),""))</f>
        <v/>
      </c>
      <c r="V2941" s="54" t="s">
        <v>2</v>
      </c>
      <c r="W2941" s="54" t="s">
        <v>2</v>
      </c>
      <c r="X2941" s="54" t="s">
        <v>2</v>
      </c>
      <c r="Y2941" s="54" t="s">
        <v>2</v>
      </c>
      <c r="Z2941" s="54" t="s">
        <v>2</v>
      </c>
      <c r="AA2941" s="54" t="s">
        <v>2</v>
      </c>
      <c r="AB2941" s="54" t="s">
        <v>2</v>
      </c>
      <c r="AC2941" s="54" t="s">
        <v>2</v>
      </c>
      <c r="AD2941" s="54" t="s">
        <v>2</v>
      </c>
      <c r="AE2941" s="54" t="s">
        <v>2</v>
      </c>
      <c r="AF2941" s="54" t="s">
        <v>2</v>
      </c>
      <c r="AG2941" s="54" t="s">
        <v>2</v>
      </c>
    </row>
    <row r="2942" ht="15.75" customHeight="1">
      <c r="B2942" s="56"/>
      <c r="U2942" s="46" t="str">
        <f t="array" ref="U2942">IF($D2942="","",IFERROR(_xlfn.XLOOKUP($D2942,'TIR店舗一覧'!$D:$D,'TIR店舗一覧'!$E:$E,""),""))</f>
        <v/>
      </c>
      <c r="V2942" s="54" t="s">
        <v>2</v>
      </c>
      <c r="W2942" s="54" t="s">
        <v>2</v>
      </c>
      <c r="X2942" s="54" t="s">
        <v>2</v>
      </c>
      <c r="Y2942" s="54" t="s">
        <v>2</v>
      </c>
      <c r="Z2942" s="54" t="s">
        <v>2</v>
      </c>
      <c r="AA2942" s="54" t="s">
        <v>2</v>
      </c>
      <c r="AB2942" s="54" t="s">
        <v>2</v>
      </c>
      <c r="AC2942" s="54" t="s">
        <v>2</v>
      </c>
      <c r="AD2942" s="54" t="s">
        <v>2</v>
      </c>
      <c r="AE2942" s="54" t="s">
        <v>2</v>
      </c>
      <c r="AF2942" s="54" t="s">
        <v>2</v>
      </c>
      <c r="AG2942" s="54" t="s">
        <v>2</v>
      </c>
    </row>
    <row r="2943" ht="15.75" customHeight="1">
      <c r="B2943" s="56"/>
      <c r="U2943" s="46" t="str">
        <f t="array" ref="U2943">IF($D2943="","",IFERROR(_xlfn.XLOOKUP($D2943,'TIR店舗一覧'!$D:$D,'TIR店舗一覧'!$E:$E,""),""))</f>
        <v/>
      </c>
      <c r="V2943" s="54" t="s">
        <v>2</v>
      </c>
      <c r="W2943" s="54" t="s">
        <v>2</v>
      </c>
      <c r="X2943" s="54" t="s">
        <v>2</v>
      </c>
      <c r="Y2943" s="54" t="s">
        <v>2</v>
      </c>
      <c r="Z2943" s="54" t="s">
        <v>2</v>
      </c>
      <c r="AA2943" s="54" t="s">
        <v>2</v>
      </c>
      <c r="AB2943" s="54" t="s">
        <v>2</v>
      </c>
      <c r="AC2943" s="54" t="s">
        <v>2</v>
      </c>
      <c r="AD2943" s="54" t="s">
        <v>2</v>
      </c>
      <c r="AE2943" s="54" t="s">
        <v>2</v>
      </c>
      <c r="AF2943" s="54" t="s">
        <v>2</v>
      </c>
      <c r="AG2943" s="54" t="s">
        <v>2</v>
      </c>
    </row>
    <row r="2944" ht="15.75" customHeight="1">
      <c r="B2944" s="56"/>
      <c r="U2944" s="46" t="str">
        <f t="array" ref="U2944">IF($D2944="","",IFERROR(_xlfn.XLOOKUP($D2944,'TIR店舗一覧'!$D:$D,'TIR店舗一覧'!$E:$E,""),""))</f>
        <v/>
      </c>
      <c r="V2944" s="54" t="s">
        <v>2</v>
      </c>
      <c r="W2944" s="54" t="s">
        <v>2</v>
      </c>
      <c r="X2944" s="54" t="s">
        <v>2</v>
      </c>
      <c r="Y2944" s="54" t="s">
        <v>2</v>
      </c>
      <c r="Z2944" s="54" t="s">
        <v>2</v>
      </c>
      <c r="AA2944" s="54" t="s">
        <v>2</v>
      </c>
      <c r="AB2944" s="54" t="s">
        <v>2</v>
      </c>
      <c r="AC2944" s="54" t="s">
        <v>2</v>
      </c>
      <c r="AD2944" s="54" t="s">
        <v>2</v>
      </c>
      <c r="AE2944" s="54" t="s">
        <v>2</v>
      </c>
      <c r="AF2944" s="54" t="s">
        <v>2</v>
      </c>
      <c r="AG2944" s="54" t="s">
        <v>2</v>
      </c>
    </row>
    <row r="2945" ht="15.75" customHeight="1">
      <c r="B2945" s="56"/>
      <c r="U2945" s="46" t="str">
        <f t="array" ref="U2945">IF($D2945="","",IFERROR(_xlfn.XLOOKUP($D2945,'TIR店舗一覧'!$D:$D,'TIR店舗一覧'!$E:$E,""),""))</f>
        <v/>
      </c>
      <c r="V2945" s="54" t="s">
        <v>2</v>
      </c>
      <c r="W2945" s="54" t="s">
        <v>2</v>
      </c>
      <c r="X2945" s="54" t="s">
        <v>2</v>
      </c>
      <c r="Y2945" s="54" t="s">
        <v>2</v>
      </c>
      <c r="Z2945" s="54" t="s">
        <v>2</v>
      </c>
      <c r="AA2945" s="54" t="s">
        <v>2</v>
      </c>
      <c r="AB2945" s="54" t="s">
        <v>2</v>
      </c>
      <c r="AC2945" s="54" t="s">
        <v>2</v>
      </c>
      <c r="AD2945" s="54" t="s">
        <v>2</v>
      </c>
      <c r="AE2945" s="54" t="s">
        <v>2</v>
      </c>
      <c r="AF2945" s="54" t="s">
        <v>2</v>
      </c>
      <c r="AG2945" s="54" t="s">
        <v>2</v>
      </c>
    </row>
    <row r="2946" ht="15.75" customHeight="1">
      <c r="B2946" s="56"/>
      <c r="U2946" s="46" t="str">
        <f t="array" ref="U2946">IF($D2946="","",IFERROR(_xlfn.XLOOKUP($D2946,'TIR店舗一覧'!$D:$D,'TIR店舗一覧'!$E:$E,""),""))</f>
        <v/>
      </c>
      <c r="V2946" s="54" t="s">
        <v>2</v>
      </c>
      <c r="W2946" s="54" t="s">
        <v>2</v>
      </c>
      <c r="X2946" s="54" t="s">
        <v>2</v>
      </c>
      <c r="Y2946" s="54" t="s">
        <v>2</v>
      </c>
      <c r="Z2946" s="54" t="s">
        <v>2</v>
      </c>
      <c r="AA2946" s="54" t="s">
        <v>2</v>
      </c>
      <c r="AB2946" s="54" t="s">
        <v>2</v>
      </c>
      <c r="AC2946" s="54" t="s">
        <v>2</v>
      </c>
      <c r="AD2946" s="54" t="s">
        <v>2</v>
      </c>
      <c r="AE2946" s="54" t="s">
        <v>2</v>
      </c>
      <c r="AF2946" s="54" t="s">
        <v>2</v>
      </c>
      <c r="AG2946" s="54" t="s">
        <v>2</v>
      </c>
    </row>
    <row r="2947" ht="15.75" customHeight="1">
      <c r="B2947" s="56"/>
      <c r="U2947" s="46" t="str">
        <f t="array" ref="U2947">IF($D2947="","",IFERROR(_xlfn.XLOOKUP($D2947,'TIR店舗一覧'!$D:$D,'TIR店舗一覧'!$E:$E,""),""))</f>
        <v/>
      </c>
      <c r="V2947" s="54" t="s">
        <v>2</v>
      </c>
      <c r="W2947" s="54" t="s">
        <v>2</v>
      </c>
      <c r="X2947" s="54" t="s">
        <v>2</v>
      </c>
      <c r="Y2947" s="54" t="s">
        <v>2</v>
      </c>
      <c r="Z2947" s="54" t="s">
        <v>2</v>
      </c>
      <c r="AA2947" s="54" t="s">
        <v>2</v>
      </c>
      <c r="AB2947" s="54" t="s">
        <v>2</v>
      </c>
      <c r="AC2947" s="54" t="s">
        <v>2</v>
      </c>
      <c r="AD2947" s="54" t="s">
        <v>2</v>
      </c>
      <c r="AE2947" s="54" t="s">
        <v>2</v>
      </c>
      <c r="AF2947" s="54" t="s">
        <v>2</v>
      </c>
      <c r="AG2947" s="54" t="s">
        <v>2</v>
      </c>
    </row>
    <row r="2948" ht="15.75" customHeight="1">
      <c r="B2948" s="56"/>
      <c r="U2948" s="46" t="str">
        <f t="array" ref="U2948">IF($D2948="","",IFERROR(_xlfn.XLOOKUP($D2948,'TIR店舗一覧'!$D:$D,'TIR店舗一覧'!$E:$E,""),""))</f>
        <v/>
      </c>
      <c r="V2948" s="54" t="s">
        <v>2</v>
      </c>
      <c r="W2948" s="54" t="s">
        <v>2</v>
      </c>
      <c r="X2948" s="54" t="s">
        <v>2</v>
      </c>
      <c r="Y2948" s="54" t="s">
        <v>2</v>
      </c>
      <c r="Z2948" s="54" t="s">
        <v>2</v>
      </c>
      <c r="AA2948" s="54" t="s">
        <v>2</v>
      </c>
      <c r="AB2948" s="54" t="s">
        <v>2</v>
      </c>
      <c r="AC2948" s="54" t="s">
        <v>2</v>
      </c>
      <c r="AD2948" s="54" t="s">
        <v>2</v>
      </c>
      <c r="AE2948" s="54" t="s">
        <v>2</v>
      </c>
      <c r="AF2948" s="54" t="s">
        <v>2</v>
      </c>
      <c r="AG2948" s="54" t="s">
        <v>2</v>
      </c>
    </row>
    <row r="2949" ht="15.75" customHeight="1">
      <c r="B2949" s="56"/>
      <c r="U2949" s="46" t="str">
        <f t="array" ref="U2949">IF($D2949="","",IFERROR(_xlfn.XLOOKUP($D2949,'TIR店舗一覧'!$D:$D,'TIR店舗一覧'!$E:$E,""),""))</f>
        <v/>
      </c>
      <c r="V2949" s="54" t="s">
        <v>2</v>
      </c>
      <c r="W2949" s="54" t="s">
        <v>2</v>
      </c>
      <c r="X2949" s="54" t="s">
        <v>2</v>
      </c>
      <c r="Y2949" s="54" t="s">
        <v>2</v>
      </c>
      <c r="Z2949" s="54" t="s">
        <v>2</v>
      </c>
      <c r="AA2949" s="54" t="s">
        <v>2</v>
      </c>
      <c r="AB2949" s="54" t="s">
        <v>2</v>
      </c>
      <c r="AC2949" s="54" t="s">
        <v>2</v>
      </c>
      <c r="AD2949" s="54" t="s">
        <v>2</v>
      </c>
      <c r="AE2949" s="54" t="s">
        <v>2</v>
      </c>
      <c r="AF2949" s="54" t="s">
        <v>2</v>
      </c>
      <c r="AG2949" s="54" t="s">
        <v>2</v>
      </c>
    </row>
    <row r="2950" ht="15.75" customHeight="1">
      <c r="B2950" s="56"/>
      <c r="U2950" s="46" t="str">
        <f t="array" ref="U2950">IF($D2950="","",IFERROR(_xlfn.XLOOKUP($D2950,'TIR店舗一覧'!$D:$D,'TIR店舗一覧'!$E:$E,""),""))</f>
        <v/>
      </c>
      <c r="V2950" s="54" t="s">
        <v>2</v>
      </c>
      <c r="W2950" s="54" t="s">
        <v>2</v>
      </c>
      <c r="X2950" s="54" t="s">
        <v>2</v>
      </c>
      <c r="Y2950" s="54" t="s">
        <v>2</v>
      </c>
      <c r="Z2950" s="54" t="s">
        <v>2</v>
      </c>
      <c r="AA2950" s="54" t="s">
        <v>2</v>
      </c>
      <c r="AB2950" s="54" t="s">
        <v>2</v>
      </c>
      <c r="AC2950" s="54" t="s">
        <v>2</v>
      </c>
      <c r="AD2950" s="54" t="s">
        <v>2</v>
      </c>
      <c r="AE2950" s="54" t="s">
        <v>2</v>
      </c>
      <c r="AF2950" s="54" t="s">
        <v>2</v>
      </c>
      <c r="AG2950" s="54" t="s">
        <v>2</v>
      </c>
    </row>
    <row r="2951" ht="15.75" customHeight="1">
      <c r="B2951" s="56"/>
      <c r="U2951" s="46" t="str">
        <f t="array" ref="U2951">IF($D2951="","",IFERROR(_xlfn.XLOOKUP($D2951,'TIR店舗一覧'!$D:$D,'TIR店舗一覧'!$E:$E,""),""))</f>
        <v/>
      </c>
      <c r="V2951" s="54" t="s">
        <v>2</v>
      </c>
      <c r="W2951" s="54" t="s">
        <v>2</v>
      </c>
      <c r="X2951" s="54" t="s">
        <v>2</v>
      </c>
      <c r="Y2951" s="54" t="s">
        <v>2</v>
      </c>
      <c r="Z2951" s="54" t="s">
        <v>2</v>
      </c>
      <c r="AA2951" s="54" t="s">
        <v>2</v>
      </c>
      <c r="AB2951" s="54" t="s">
        <v>2</v>
      </c>
      <c r="AC2951" s="54" t="s">
        <v>2</v>
      </c>
      <c r="AD2951" s="54" t="s">
        <v>2</v>
      </c>
      <c r="AE2951" s="54" t="s">
        <v>2</v>
      </c>
      <c r="AF2951" s="54" t="s">
        <v>2</v>
      </c>
      <c r="AG2951" s="54" t="s">
        <v>2</v>
      </c>
    </row>
    <row r="2952" ht="15.75" customHeight="1">
      <c r="B2952" s="56"/>
      <c r="U2952" s="46" t="str">
        <f t="array" ref="U2952">IF($D2952="","",IFERROR(_xlfn.XLOOKUP($D2952,'TIR店舗一覧'!$D:$D,'TIR店舗一覧'!$E:$E,""),""))</f>
        <v/>
      </c>
      <c r="V2952" s="54" t="s">
        <v>2</v>
      </c>
      <c r="W2952" s="54" t="s">
        <v>2</v>
      </c>
      <c r="X2952" s="54" t="s">
        <v>2</v>
      </c>
      <c r="Y2952" s="54" t="s">
        <v>2</v>
      </c>
      <c r="Z2952" s="54" t="s">
        <v>2</v>
      </c>
      <c r="AA2952" s="54" t="s">
        <v>2</v>
      </c>
      <c r="AB2952" s="54" t="s">
        <v>2</v>
      </c>
      <c r="AC2952" s="54" t="s">
        <v>2</v>
      </c>
      <c r="AD2952" s="54" t="s">
        <v>2</v>
      </c>
      <c r="AE2952" s="54" t="s">
        <v>2</v>
      </c>
      <c r="AF2952" s="54" t="s">
        <v>2</v>
      </c>
      <c r="AG2952" s="54" t="s">
        <v>2</v>
      </c>
    </row>
    <row r="2953" ht="15.75" customHeight="1">
      <c r="B2953" s="56"/>
      <c r="U2953" s="46" t="str">
        <f t="array" ref="U2953">IF($D2953="","",IFERROR(_xlfn.XLOOKUP($D2953,'TIR店舗一覧'!$D:$D,'TIR店舗一覧'!$E:$E,""),""))</f>
        <v/>
      </c>
      <c r="V2953" s="54" t="s">
        <v>2</v>
      </c>
      <c r="W2953" s="54" t="s">
        <v>2</v>
      </c>
      <c r="X2953" s="54" t="s">
        <v>2</v>
      </c>
      <c r="Y2953" s="54" t="s">
        <v>2</v>
      </c>
      <c r="Z2953" s="54" t="s">
        <v>2</v>
      </c>
      <c r="AA2953" s="54" t="s">
        <v>2</v>
      </c>
      <c r="AB2953" s="54" t="s">
        <v>2</v>
      </c>
      <c r="AC2953" s="54" t="s">
        <v>2</v>
      </c>
      <c r="AD2953" s="54" t="s">
        <v>2</v>
      </c>
      <c r="AE2953" s="54" t="s">
        <v>2</v>
      </c>
      <c r="AF2953" s="54" t="s">
        <v>2</v>
      </c>
      <c r="AG2953" s="54" t="s">
        <v>2</v>
      </c>
    </row>
    <row r="2954" ht="15.75" customHeight="1">
      <c r="B2954" s="56"/>
      <c r="U2954" s="46" t="str">
        <f t="array" ref="U2954">IF($D2954="","",IFERROR(_xlfn.XLOOKUP($D2954,'TIR店舗一覧'!$D:$D,'TIR店舗一覧'!$E:$E,""),""))</f>
        <v/>
      </c>
      <c r="V2954" s="54" t="s">
        <v>2</v>
      </c>
      <c r="W2954" s="54" t="s">
        <v>2</v>
      </c>
      <c r="X2954" s="54" t="s">
        <v>2</v>
      </c>
      <c r="Y2954" s="54" t="s">
        <v>2</v>
      </c>
      <c r="Z2954" s="54" t="s">
        <v>2</v>
      </c>
      <c r="AA2954" s="54" t="s">
        <v>2</v>
      </c>
      <c r="AB2954" s="54" t="s">
        <v>2</v>
      </c>
      <c r="AC2954" s="54" t="s">
        <v>2</v>
      </c>
      <c r="AD2954" s="54" t="s">
        <v>2</v>
      </c>
      <c r="AE2954" s="54" t="s">
        <v>2</v>
      </c>
      <c r="AF2954" s="54" t="s">
        <v>2</v>
      </c>
      <c r="AG2954" s="54" t="s">
        <v>2</v>
      </c>
    </row>
    <row r="2955" ht="15.75" customHeight="1">
      <c r="B2955" s="56"/>
      <c r="U2955" s="46" t="str">
        <f t="array" ref="U2955">IF($D2955="","",IFERROR(_xlfn.XLOOKUP($D2955,'TIR店舗一覧'!$D:$D,'TIR店舗一覧'!$E:$E,""),""))</f>
        <v/>
      </c>
      <c r="V2955" s="54" t="s">
        <v>2</v>
      </c>
      <c r="W2955" s="54" t="s">
        <v>2</v>
      </c>
      <c r="X2955" s="54" t="s">
        <v>2</v>
      </c>
      <c r="Y2955" s="54" t="s">
        <v>2</v>
      </c>
      <c r="Z2955" s="54" t="s">
        <v>2</v>
      </c>
      <c r="AA2955" s="54" t="s">
        <v>2</v>
      </c>
      <c r="AB2955" s="54" t="s">
        <v>2</v>
      </c>
      <c r="AC2955" s="54" t="s">
        <v>2</v>
      </c>
      <c r="AD2955" s="54" t="s">
        <v>2</v>
      </c>
      <c r="AE2955" s="54" t="s">
        <v>2</v>
      </c>
      <c r="AF2955" s="54" t="s">
        <v>2</v>
      </c>
      <c r="AG2955" s="54" t="s">
        <v>2</v>
      </c>
    </row>
    <row r="2956" ht="15.75" customHeight="1">
      <c r="B2956" s="56"/>
      <c r="U2956" s="46" t="str">
        <f t="array" ref="U2956">IF($D2956="","",IFERROR(_xlfn.XLOOKUP($D2956,'TIR店舗一覧'!$D:$D,'TIR店舗一覧'!$E:$E,""),""))</f>
        <v/>
      </c>
      <c r="V2956" s="54" t="s">
        <v>2</v>
      </c>
      <c r="W2956" s="54" t="s">
        <v>2</v>
      </c>
      <c r="X2956" s="54" t="s">
        <v>2</v>
      </c>
      <c r="Y2956" s="54" t="s">
        <v>2</v>
      </c>
      <c r="Z2956" s="54" t="s">
        <v>2</v>
      </c>
      <c r="AA2956" s="54" t="s">
        <v>2</v>
      </c>
      <c r="AB2956" s="54" t="s">
        <v>2</v>
      </c>
      <c r="AC2956" s="54" t="s">
        <v>2</v>
      </c>
      <c r="AD2956" s="54" t="s">
        <v>2</v>
      </c>
      <c r="AE2956" s="54" t="s">
        <v>2</v>
      </c>
      <c r="AF2956" s="54" t="s">
        <v>2</v>
      </c>
      <c r="AG2956" s="54" t="s">
        <v>2</v>
      </c>
    </row>
    <row r="2957" ht="15.75" customHeight="1">
      <c r="B2957" s="56"/>
      <c r="U2957" s="46" t="str">
        <f t="array" ref="U2957">IF($D2957="","",IFERROR(_xlfn.XLOOKUP($D2957,'TIR店舗一覧'!$D:$D,'TIR店舗一覧'!$E:$E,""),""))</f>
        <v/>
      </c>
      <c r="V2957" s="54" t="s">
        <v>2</v>
      </c>
      <c r="W2957" s="54" t="s">
        <v>2</v>
      </c>
      <c r="X2957" s="54" t="s">
        <v>2</v>
      </c>
      <c r="Y2957" s="54" t="s">
        <v>2</v>
      </c>
      <c r="Z2957" s="54" t="s">
        <v>2</v>
      </c>
      <c r="AA2957" s="54" t="s">
        <v>2</v>
      </c>
      <c r="AB2957" s="54" t="s">
        <v>2</v>
      </c>
      <c r="AC2957" s="54" t="s">
        <v>2</v>
      </c>
      <c r="AD2957" s="54" t="s">
        <v>2</v>
      </c>
      <c r="AE2957" s="54" t="s">
        <v>2</v>
      </c>
      <c r="AF2957" s="54" t="s">
        <v>2</v>
      </c>
      <c r="AG2957" s="54" t="s">
        <v>2</v>
      </c>
    </row>
    <row r="2958" ht="15.75" customHeight="1">
      <c r="B2958" s="56"/>
      <c r="U2958" s="46" t="str">
        <f t="array" ref="U2958">IF($D2958="","",IFERROR(_xlfn.XLOOKUP($D2958,'TIR店舗一覧'!$D:$D,'TIR店舗一覧'!$E:$E,""),""))</f>
        <v/>
      </c>
      <c r="V2958" s="54" t="s">
        <v>2</v>
      </c>
      <c r="W2958" s="54" t="s">
        <v>2</v>
      </c>
      <c r="X2958" s="54" t="s">
        <v>2</v>
      </c>
      <c r="Y2958" s="54" t="s">
        <v>2</v>
      </c>
      <c r="Z2958" s="54" t="s">
        <v>2</v>
      </c>
      <c r="AA2958" s="54" t="s">
        <v>2</v>
      </c>
      <c r="AB2958" s="54" t="s">
        <v>2</v>
      </c>
      <c r="AC2958" s="54" t="s">
        <v>2</v>
      </c>
      <c r="AD2958" s="54" t="s">
        <v>2</v>
      </c>
      <c r="AE2958" s="54" t="s">
        <v>2</v>
      </c>
      <c r="AF2958" s="54" t="s">
        <v>2</v>
      </c>
      <c r="AG2958" s="54" t="s">
        <v>2</v>
      </c>
    </row>
    <row r="2959" ht="15.75" customHeight="1">
      <c r="B2959" s="56"/>
      <c r="U2959" s="46" t="str">
        <f t="array" ref="U2959">IF($D2959="","",IFERROR(_xlfn.XLOOKUP($D2959,'TIR店舗一覧'!$D:$D,'TIR店舗一覧'!$E:$E,""),""))</f>
        <v/>
      </c>
      <c r="V2959" s="54" t="s">
        <v>2</v>
      </c>
      <c r="W2959" s="54" t="s">
        <v>2</v>
      </c>
      <c r="X2959" s="54" t="s">
        <v>2</v>
      </c>
      <c r="Y2959" s="54" t="s">
        <v>2</v>
      </c>
      <c r="Z2959" s="54" t="s">
        <v>2</v>
      </c>
      <c r="AA2959" s="54" t="s">
        <v>2</v>
      </c>
      <c r="AB2959" s="54" t="s">
        <v>2</v>
      </c>
      <c r="AC2959" s="54" t="s">
        <v>2</v>
      </c>
      <c r="AD2959" s="54" t="s">
        <v>2</v>
      </c>
      <c r="AE2959" s="54" t="s">
        <v>2</v>
      </c>
      <c r="AF2959" s="54" t="s">
        <v>2</v>
      </c>
      <c r="AG2959" s="54" t="s">
        <v>2</v>
      </c>
    </row>
    <row r="2960" ht="15.75" customHeight="1">
      <c r="B2960" s="56"/>
      <c r="U2960" s="46" t="str">
        <f t="array" ref="U2960">IF($D2960="","",IFERROR(_xlfn.XLOOKUP($D2960,'TIR店舗一覧'!$D:$D,'TIR店舗一覧'!$E:$E,""),""))</f>
        <v/>
      </c>
      <c r="V2960" s="54" t="s">
        <v>2</v>
      </c>
      <c r="W2960" s="54" t="s">
        <v>2</v>
      </c>
      <c r="X2960" s="54" t="s">
        <v>2</v>
      </c>
      <c r="Y2960" s="54" t="s">
        <v>2</v>
      </c>
      <c r="Z2960" s="54" t="s">
        <v>2</v>
      </c>
      <c r="AA2960" s="54" t="s">
        <v>2</v>
      </c>
      <c r="AB2960" s="54" t="s">
        <v>2</v>
      </c>
      <c r="AC2960" s="54" t="s">
        <v>2</v>
      </c>
      <c r="AD2960" s="54" t="s">
        <v>2</v>
      </c>
      <c r="AE2960" s="54" t="s">
        <v>2</v>
      </c>
      <c r="AF2960" s="54" t="s">
        <v>2</v>
      </c>
      <c r="AG2960" s="54" t="s">
        <v>2</v>
      </c>
    </row>
    <row r="2961" ht="15.75" customHeight="1">
      <c r="B2961" s="56"/>
      <c r="U2961" s="46" t="str">
        <f t="array" ref="U2961">IF($D2961="","",IFERROR(_xlfn.XLOOKUP($D2961,'TIR店舗一覧'!$D:$D,'TIR店舗一覧'!$E:$E,""),""))</f>
        <v/>
      </c>
      <c r="V2961" s="54" t="s">
        <v>2</v>
      </c>
      <c r="W2961" s="54" t="s">
        <v>2</v>
      </c>
      <c r="X2961" s="54" t="s">
        <v>2</v>
      </c>
      <c r="Y2961" s="54" t="s">
        <v>2</v>
      </c>
      <c r="Z2961" s="54" t="s">
        <v>2</v>
      </c>
      <c r="AA2961" s="54" t="s">
        <v>2</v>
      </c>
      <c r="AB2961" s="54" t="s">
        <v>2</v>
      </c>
      <c r="AC2961" s="54" t="s">
        <v>2</v>
      </c>
      <c r="AD2961" s="54" t="s">
        <v>2</v>
      </c>
      <c r="AE2961" s="54" t="s">
        <v>2</v>
      </c>
      <c r="AF2961" s="54" t="s">
        <v>2</v>
      </c>
      <c r="AG2961" s="54" t="s">
        <v>2</v>
      </c>
    </row>
    <row r="2962" ht="15.75" customHeight="1">
      <c r="B2962" s="56"/>
      <c r="U2962" s="46" t="str">
        <f t="array" ref="U2962">IF($D2962="","",IFERROR(_xlfn.XLOOKUP($D2962,'TIR店舗一覧'!$D:$D,'TIR店舗一覧'!$E:$E,""),""))</f>
        <v/>
      </c>
      <c r="V2962" s="54" t="s">
        <v>2</v>
      </c>
      <c r="W2962" s="54" t="s">
        <v>2</v>
      </c>
      <c r="X2962" s="54" t="s">
        <v>2</v>
      </c>
      <c r="Y2962" s="54" t="s">
        <v>2</v>
      </c>
      <c r="Z2962" s="54" t="s">
        <v>2</v>
      </c>
      <c r="AA2962" s="54" t="s">
        <v>2</v>
      </c>
      <c r="AB2962" s="54" t="s">
        <v>2</v>
      </c>
      <c r="AC2962" s="54" t="s">
        <v>2</v>
      </c>
      <c r="AD2962" s="54" t="s">
        <v>2</v>
      </c>
      <c r="AE2962" s="54" t="s">
        <v>2</v>
      </c>
      <c r="AF2962" s="54" t="s">
        <v>2</v>
      </c>
      <c r="AG2962" s="54" t="s">
        <v>2</v>
      </c>
    </row>
    <row r="2963" ht="15.75" customHeight="1">
      <c r="B2963" s="56"/>
      <c r="U2963" s="46" t="str">
        <f t="array" ref="U2963">IF($D2963="","",IFERROR(_xlfn.XLOOKUP($D2963,'TIR店舗一覧'!$D:$D,'TIR店舗一覧'!$E:$E,""),""))</f>
        <v/>
      </c>
      <c r="V2963" s="54" t="s">
        <v>2</v>
      </c>
      <c r="W2963" s="54" t="s">
        <v>2</v>
      </c>
      <c r="X2963" s="54" t="s">
        <v>2</v>
      </c>
      <c r="Y2963" s="54" t="s">
        <v>2</v>
      </c>
      <c r="Z2963" s="54" t="s">
        <v>2</v>
      </c>
      <c r="AA2963" s="54" t="s">
        <v>2</v>
      </c>
      <c r="AB2963" s="54" t="s">
        <v>2</v>
      </c>
      <c r="AC2963" s="54" t="s">
        <v>2</v>
      </c>
      <c r="AD2963" s="54" t="s">
        <v>2</v>
      </c>
      <c r="AE2963" s="54" t="s">
        <v>2</v>
      </c>
      <c r="AF2963" s="54" t="s">
        <v>2</v>
      </c>
      <c r="AG2963" s="54" t="s">
        <v>2</v>
      </c>
    </row>
    <row r="2964" ht="15.75" customHeight="1">
      <c r="B2964" s="56"/>
      <c r="U2964" s="46" t="str">
        <f t="array" ref="U2964">IF($D2964="","",IFERROR(_xlfn.XLOOKUP($D2964,'TIR店舗一覧'!$D:$D,'TIR店舗一覧'!$E:$E,""),""))</f>
        <v/>
      </c>
      <c r="V2964" s="54" t="s">
        <v>2</v>
      </c>
      <c r="W2964" s="54" t="s">
        <v>2</v>
      </c>
      <c r="X2964" s="54" t="s">
        <v>2</v>
      </c>
      <c r="Y2964" s="54" t="s">
        <v>2</v>
      </c>
      <c r="Z2964" s="54" t="s">
        <v>2</v>
      </c>
      <c r="AA2964" s="54" t="s">
        <v>2</v>
      </c>
      <c r="AB2964" s="54" t="s">
        <v>2</v>
      </c>
      <c r="AC2964" s="54" t="s">
        <v>2</v>
      </c>
      <c r="AD2964" s="54" t="s">
        <v>2</v>
      </c>
      <c r="AE2964" s="54" t="s">
        <v>2</v>
      </c>
      <c r="AF2964" s="54" t="s">
        <v>2</v>
      </c>
      <c r="AG2964" s="54" t="s">
        <v>2</v>
      </c>
    </row>
    <row r="2965" ht="15.75" customHeight="1">
      <c r="B2965" s="56"/>
      <c r="U2965" s="46" t="str">
        <f t="array" ref="U2965">IF($D2965="","",IFERROR(_xlfn.XLOOKUP($D2965,'TIR店舗一覧'!$D:$D,'TIR店舗一覧'!$E:$E,""),""))</f>
        <v/>
      </c>
      <c r="V2965" s="54" t="s">
        <v>2</v>
      </c>
      <c r="W2965" s="54" t="s">
        <v>2</v>
      </c>
      <c r="X2965" s="54" t="s">
        <v>2</v>
      </c>
      <c r="Y2965" s="54" t="s">
        <v>2</v>
      </c>
      <c r="Z2965" s="54" t="s">
        <v>2</v>
      </c>
      <c r="AA2965" s="54" t="s">
        <v>2</v>
      </c>
      <c r="AB2965" s="54" t="s">
        <v>2</v>
      </c>
      <c r="AC2965" s="54" t="s">
        <v>2</v>
      </c>
      <c r="AD2965" s="54" t="s">
        <v>2</v>
      </c>
      <c r="AE2965" s="54" t="s">
        <v>2</v>
      </c>
      <c r="AF2965" s="54" t="s">
        <v>2</v>
      </c>
      <c r="AG2965" s="54" t="s">
        <v>2</v>
      </c>
    </row>
    <row r="2966" ht="15.75" customHeight="1">
      <c r="B2966" s="56"/>
      <c r="U2966" s="46" t="str">
        <f t="array" ref="U2966">IF($D2966="","",IFERROR(_xlfn.XLOOKUP($D2966,'TIR店舗一覧'!$D:$D,'TIR店舗一覧'!$E:$E,""),""))</f>
        <v/>
      </c>
      <c r="V2966" s="54" t="s">
        <v>2</v>
      </c>
      <c r="W2966" s="54" t="s">
        <v>2</v>
      </c>
      <c r="X2966" s="54" t="s">
        <v>2</v>
      </c>
      <c r="Y2966" s="54" t="s">
        <v>2</v>
      </c>
      <c r="Z2966" s="54" t="s">
        <v>2</v>
      </c>
      <c r="AA2966" s="54" t="s">
        <v>2</v>
      </c>
      <c r="AB2966" s="54" t="s">
        <v>2</v>
      </c>
      <c r="AC2966" s="54" t="s">
        <v>2</v>
      </c>
      <c r="AD2966" s="54" t="s">
        <v>2</v>
      </c>
      <c r="AE2966" s="54" t="s">
        <v>2</v>
      </c>
      <c r="AF2966" s="54" t="s">
        <v>2</v>
      </c>
      <c r="AG2966" s="54" t="s">
        <v>2</v>
      </c>
    </row>
    <row r="2967" ht="15.75" customHeight="1">
      <c r="B2967" s="56"/>
      <c r="U2967" s="46" t="str">
        <f t="array" ref="U2967">IF($D2967="","",IFERROR(_xlfn.XLOOKUP($D2967,'TIR店舗一覧'!$D:$D,'TIR店舗一覧'!$E:$E,""),""))</f>
        <v/>
      </c>
      <c r="V2967" s="54" t="s">
        <v>2</v>
      </c>
      <c r="W2967" s="54" t="s">
        <v>2</v>
      </c>
      <c r="X2967" s="54" t="s">
        <v>2</v>
      </c>
      <c r="Y2967" s="54" t="s">
        <v>2</v>
      </c>
      <c r="Z2967" s="54" t="s">
        <v>2</v>
      </c>
      <c r="AA2967" s="54" t="s">
        <v>2</v>
      </c>
      <c r="AB2967" s="54" t="s">
        <v>2</v>
      </c>
      <c r="AC2967" s="54" t="s">
        <v>2</v>
      </c>
      <c r="AD2967" s="54" t="s">
        <v>2</v>
      </c>
      <c r="AE2967" s="54" t="s">
        <v>2</v>
      </c>
      <c r="AF2967" s="54" t="s">
        <v>2</v>
      </c>
      <c r="AG2967" s="54" t="s">
        <v>2</v>
      </c>
    </row>
    <row r="2968" ht="15.75" customHeight="1">
      <c r="B2968" s="56"/>
      <c r="U2968" s="46" t="str">
        <f t="array" ref="U2968">IF($D2968="","",IFERROR(_xlfn.XLOOKUP($D2968,'TIR店舗一覧'!$D:$D,'TIR店舗一覧'!$E:$E,""),""))</f>
        <v/>
      </c>
      <c r="V2968" s="54" t="s">
        <v>2</v>
      </c>
      <c r="W2968" s="54" t="s">
        <v>2</v>
      </c>
      <c r="X2968" s="54" t="s">
        <v>2</v>
      </c>
      <c r="Y2968" s="54" t="s">
        <v>2</v>
      </c>
      <c r="Z2968" s="54" t="s">
        <v>2</v>
      </c>
      <c r="AA2968" s="54" t="s">
        <v>2</v>
      </c>
      <c r="AB2968" s="54" t="s">
        <v>2</v>
      </c>
      <c r="AC2968" s="54" t="s">
        <v>2</v>
      </c>
      <c r="AD2968" s="54" t="s">
        <v>2</v>
      </c>
      <c r="AE2968" s="54" t="s">
        <v>2</v>
      </c>
      <c r="AF2968" s="54" t="s">
        <v>2</v>
      </c>
      <c r="AG2968" s="54" t="s">
        <v>2</v>
      </c>
    </row>
    <row r="2969" ht="15.75" customHeight="1">
      <c r="B2969" s="56"/>
      <c r="U2969" s="46" t="str">
        <f t="array" ref="U2969">IF($D2969="","",IFERROR(_xlfn.XLOOKUP($D2969,'TIR店舗一覧'!$D:$D,'TIR店舗一覧'!$E:$E,""),""))</f>
        <v/>
      </c>
      <c r="V2969" s="54" t="s">
        <v>2</v>
      </c>
      <c r="W2969" s="54" t="s">
        <v>2</v>
      </c>
      <c r="X2969" s="54" t="s">
        <v>2</v>
      </c>
      <c r="Y2969" s="54" t="s">
        <v>2</v>
      </c>
      <c r="Z2969" s="54" t="s">
        <v>2</v>
      </c>
      <c r="AA2969" s="54" t="s">
        <v>2</v>
      </c>
      <c r="AB2969" s="54" t="s">
        <v>2</v>
      </c>
      <c r="AC2969" s="54" t="s">
        <v>2</v>
      </c>
      <c r="AD2969" s="54" t="s">
        <v>2</v>
      </c>
      <c r="AE2969" s="54" t="s">
        <v>2</v>
      </c>
      <c r="AF2969" s="54" t="s">
        <v>2</v>
      </c>
      <c r="AG2969" s="54" t="s">
        <v>2</v>
      </c>
    </row>
    <row r="2970" ht="15.75" customHeight="1">
      <c r="B2970" s="56"/>
      <c r="U2970" s="46" t="str">
        <f t="array" ref="U2970">IF($D2970="","",IFERROR(_xlfn.XLOOKUP($D2970,'TIR店舗一覧'!$D:$D,'TIR店舗一覧'!$E:$E,""),""))</f>
        <v/>
      </c>
      <c r="V2970" s="54" t="s">
        <v>2</v>
      </c>
      <c r="W2970" s="54" t="s">
        <v>2</v>
      </c>
      <c r="X2970" s="54" t="s">
        <v>2</v>
      </c>
      <c r="Y2970" s="54" t="s">
        <v>2</v>
      </c>
      <c r="Z2970" s="54" t="s">
        <v>2</v>
      </c>
      <c r="AA2970" s="54" t="s">
        <v>2</v>
      </c>
      <c r="AB2970" s="54" t="s">
        <v>2</v>
      </c>
      <c r="AC2970" s="54" t="s">
        <v>2</v>
      </c>
      <c r="AD2970" s="54" t="s">
        <v>2</v>
      </c>
      <c r="AE2970" s="54" t="s">
        <v>2</v>
      </c>
      <c r="AF2970" s="54" t="s">
        <v>2</v>
      </c>
      <c r="AG2970" s="54" t="s">
        <v>2</v>
      </c>
    </row>
    <row r="2971" ht="15.75" customHeight="1">
      <c r="B2971" s="56"/>
      <c r="U2971" s="46" t="str">
        <f t="array" ref="U2971">IF($D2971="","",IFERROR(_xlfn.XLOOKUP($D2971,'TIR店舗一覧'!$D:$D,'TIR店舗一覧'!$E:$E,""),""))</f>
        <v/>
      </c>
      <c r="V2971" s="54" t="s">
        <v>2</v>
      </c>
      <c r="W2971" s="54" t="s">
        <v>2</v>
      </c>
      <c r="X2971" s="54" t="s">
        <v>2</v>
      </c>
      <c r="Y2971" s="54" t="s">
        <v>2</v>
      </c>
      <c r="Z2971" s="54" t="s">
        <v>2</v>
      </c>
      <c r="AA2971" s="54" t="s">
        <v>2</v>
      </c>
      <c r="AB2971" s="54" t="s">
        <v>2</v>
      </c>
      <c r="AC2971" s="54" t="s">
        <v>2</v>
      </c>
      <c r="AD2971" s="54" t="s">
        <v>2</v>
      </c>
      <c r="AE2971" s="54" t="s">
        <v>2</v>
      </c>
      <c r="AF2971" s="54" t="s">
        <v>2</v>
      </c>
      <c r="AG2971" s="54" t="s">
        <v>2</v>
      </c>
    </row>
    <row r="2972" ht="15.75" customHeight="1">
      <c r="B2972" s="56"/>
      <c r="U2972" s="46" t="str">
        <f t="array" ref="U2972">IF($D2972="","",IFERROR(_xlfn.XLOOKUP($D2972,'TIR店舗一覧'!$D:$D,'TIR店舗一覧'!$E:$E,""),""))</f>
        <v/>
      </c>
      <c r="V2972" s="54" t="s">
        <v>2</v>
      </c>
      <c r="W2972" s="54" t="s">
        <v>2</v>
      </c>
      <c r="X2972" s="54" t="s">
        <v>2</v>
      </c>
      <c r="Y2972" s="54" t="s">
        <v>2</v>
      </c>
      <c r="Z2972" s="54" t="s">
        <v>2</v>
      </c>
      <c r="AA2972" s="54" t="s">
        <v>2</v>
      </c>
      <c r="AB2972" s="54" t="s">
        <v>2</v>
      </c>
      <c r="AC2972" s="54" t="s">
        <v>2</v>
      </c>
      <c r="AD2972" s="54" t="s">
        <v>2</v>
      </c>
      <c r="AE2972" s="54" t="s">
        <v>2</v>
      </c>
      <c r="AF2972" s="54" t="s">
        <v>2</v>
      </c>
      <c r="AG2972" s="54" t="s">
        <v>2</v>
      </c>
    </row>
    <row r="2973" ht="15.75" customHeight="1">
      <c r="B2973" s="56"/>
      <c r="U2973" s="46" t="str">
        <f t="array" ref="U2973">IF($D2973="","",IFERROR(_xlfn.XLOOKUP($D2973,'TIR店舗一覧'!$D:$D,'TIR店舗一覧'!$E:$E,""),""))</f>
        <v/>
      </c>
      <c r="V2973" s="54" t="s">
        <v>2</v>
      </c>
      <c r="W2973" s="54" t="s">
        <v>2</v>
      </c>
      <c r="X2973" s="54" t="s">
        <v>2</v>
      </c>
      <c r="Y2973" s="54" t="s">
        <v>2</v>
      </c>
      <c r="Z2973" s="54" t="s">
        <v>2</v>
      </c>
      <c r="AA2973" s="54" t="s">
        <v>2</v>
      </c>
      <c r="AB2973" s="54" t="s">
        <v>2</v>
      </c>
      <c r="AC2973" s="54" t="s">
        <v>2</v>
      </c>
      <c r="AD2973" s="54" t="s">
        <v>2</v>
      </c>
      <c r="AE2973" s="54" t="s">
        <v>2</v>
      </c>
      <c r="AF2973" s="54" t="s">
        <v>2</v>
      </c>
      <c r="AG2973" s="54" t="s">
        <v>2</v>
      </c>
    </row>
    <row r="2974" ht="15.75" customHeight="1">
      <c r="B2974" s="56"/>
      <c r="U2974" s="46" t="str">
        <f t="array" ref="U2974">IF($D2974="","",IFERROR(_xlfn.XLOOKUP($D2974,'TIR店舗一覧'!$D:$D,'TIR店舗一覧'!$E:$E,""),""))</f>
        <v/>
      </c>
      <c r="V2974" s="54" t="s">
        <v>2</v>
      </c>
      <c r="W2974" s="54" t="s">
        <v>2</v>
      </c>
      <c r="X2974" s="54" t="s">
        <v>2</v>
      </c>
      <c r="Y2974" s="54" t="s">
        <v>2</v>
      </c>
      <c r="Z2974" s="54" t="s">
        <v>2</v>
      </c>
      <c r="AA2974" s="54" t="s">
        <v>2</v>
      </c>
      <c r="AB2974" s="54" t="s">
        <v>2</v>
      </c>
      <c r="AC2974" s="54" t="s">
        <v>2</v>
      </c>
      <c r="AD2974" s="54" t="s">
        <v>2</v>
      </c>
      <c r="AE2974" s="54" t="s">
        <v>2</v>
      </c>
      <c r="AF2974" s="54" t="s">
        <v>2</v>
      </c>
      <c r="AG2974" s="54" t="s">
        <v>2</v>
      </c>
    </row>
    <row r="2975" ht="15.75" customHeight="1">
      <c r="B2975" s="56"/>
      <c r="U2975" s="46" t="str">
        <f t="array" ref="U2975">IF($D2975="","",IFERROR(_xlfn.XLOOKUP($D2975,'TIR店舗一覧'!$D:$D,'TIR店舗一覧'!$E:$E,""),""))</f>
        <v/>
      </c>
      <c r="V2975" s="54" t="s">
        <v>2</v>
      </c>
      <c r="W2975" s="54" t="s">
        <v>2</v>
      </c>
      <c r="X2975" s="54" t="s">
        <v>2</v>
      </c>
      <c r="Y2975" s="54" t="s">
        <v>2</v>
      </c>
      <c r="Z2975" s="54" t="s">
        <v>2</v>
      </c>
      <c r="AA2975" s="54" t="s">
        <v>2</v>
      </c>
      <c r="AB2975" s="54" t="s">
        <v>2</v>
      </c>
      <c r="AC2975" s="54" t="s">
        <v>2</v>
      </c>
      <c r="AD2975" s="54" t="s">
        <v>2</v>
      </c>
      <c r="AE2975" s="54" t="s">
        <v>2</v>
      </c>
      <c r="AF2975" s="54" t="s">
        <v>2</v>
      </c>
      <c r="AG2975" s="54" t="s">
        <v>2</v>
      </c>
    </row>
    <row r="2976" ht="15.75" customHeight="1">
      <c r="B2976" s="56"/>
      <c r="U2976" s="46" t="str">
        <f t="array" ref="U2976">IF($D2976="","",IFERROR(_xlfn.XLOOKUP($D2976,'TIR店舗一覧'!$D:$D,'TIR店舗一覧'!$E:$E,""),""))</f>
        <v/>
      </c>
      <c r="V2976" s="54" t="s">
        <v>2</v>
      </c>
      <c r="W2976" s="54" t="s">
        <v>2</v>
      </c>
      <c r="X2976" s="54" t="s">
        <v>2</v>
      </c>
      <c r="Y2976" s="54" t="s">
        <v>2</v>
      </c>
      <c r="Z2976" s="54" t="s">
        <v>2</v>
      </c>
      <c r="AA2976" s="54" t="s">
        <v>2</v>
      </c>
      <c r="AB2976" s="54" t="s">
        <v>2</v>
      </c>
      <c r="AC2976" s="54" t="s">
        <v>2</v>
      </c>
      <c r="AD2976" s="54" t="s">
        <v>2</v>
      </c>
      <c r="AE2976" s="54" t="s">
        <v>2</v>
      </c>
      <c r="AF2976" s="54" t="s">
        <v>2</v>
      </c>
      <c r="AG2976" s="54" t="s">
        <v>2</v>
      </c>
    </row>
    <row r="2977" ht="15.75" customHeight="1">
      <c r="B2977" s="56"/>
      <c r="U2977" s="46" t="str">
        <f t="array" ref="U2977">IF($D2977="","",IFERROR(_xlfn.XLOOKUP($D2977,'TIR店舗一覧'!$D:$D,'TIR店舗一覧'!$E:$E,""),""))</f>
        <v/>
      </c>
      <c r="V2977" s="54" t="s">
        <v>2</v>
      </c>
      <c r="W2977" s="54" t="s">
        <v>2</v>
      </c>
      <c r="X2977" s="54" t="s">
        <v>2</v>
      </c>
      <c r="Y2977" s="54" t="s">
        <v>2</v>
      </c>
      <c r="Z2977" s="54" t="s">
        <v>2</v>
      </c>
      <c r="AA2977" s="54" t="s">
        <v>2</v>
      </c>
      <c r="AB2977" s="54" t="s">
        <v>2</v>
      </c>
      <c r="AC2977" s="54" t="s">
        <v>2</v>
      </c>
      <c r="AD2977" s="54" t="s">
        <v>2</v>
      </c>
      <c r="AE2977" s="54" t="s">
        <v>2</v>
      </c>
      <c r="AF2977" s="54" t="s">
        <v>2</v>
      </c>
      <c r="AG2977" s="54" t="s">
        <v>2</v>
      </c>
    </row>
    <row r="2978" ht="15.75" customHeight="1">
      <c r="B2978" s="56"/>
      <c r="U2978" s="46" t="str">
        <f t="array" ref="U2978">IF($D2978="","",IFERROR(_xlfn.XLOOKUP($D2978,'TIR店舗一覧'!$D:$D,'TIR店舗一覧'!$E:$E,""),""))</f>
        <v/>
      </c>
      <c r="V2978" s="54" t="s">
        <v>2</v>
      </c>
      <c r="W2978" s="54" t="s">
        <v>2</v>
      </c>
      <c r="X2978" s="54" t="s">
        <v>2</v>
      </c>
      <c r="Y2978" s="54" t="s">
        <v>2</v>
      </c>
      <c r="Z2978" s="54" t="s">
        <v>2</v>
      </c>
      <c r="AA2978" s="54" t="s">
        <v>2</v>
      </c>
      <c r="AB2978" s="54" t="s">
        <v>2</v>
      </c>
      <c r="AC2978" s="54" t="s">
        <v>2</v>
      </c>
      <c r="AD2978" s="54" t="s">
        <v>2</v>
      </c>
      <c r="AE2978" s="54" t="s">
        <v>2</v>
      </c>
      <c r="AF2978" s="54" t="s">
        <v>2</v>
      </c>
      <c r="AG2978" s="54" t="s">
        <v>2</v>
      </c>
    </row>
    <row r="2979" ht="15.75" customHeight="1">
      <c r="B2979" s="56"/>
      <c r="U2979" s="46" t="str">
        <f t="array" ref="U2979">IF($D2979="","",IFERROR(_xlfn.XLOOKUP($D2979,'TIR店舗一覧'!$D:$D,'TIR店舗一覧'!$E:$E,""),""))</f>
        <v/>
      </c>
      <c r="V2979" s="54" t="s">
        <v>2</v>
      </c>
      <c r="W2979" s="54" t="s">
        <v>2</v>
      </c>
      <c r="X2979" s="54" t="s">
        <v>2</v>
      </c>
      <c r="Y2979" s="54" t="s">
        <v>2</v>
      </c>
      <c r="Z2979" s="54" t="s">
        <v>2</v>
      </c>
      <c r="AA2979" s="54" t="s">
        <v>2</v>
      </c>
      <c r="AB2979" s="54" t="s">
        <v>2</v>
      </c>
      <c r="AC2979" s="54" t="s">
        <v>2</v>
      </c>
      <c r="AD2979" s="54" t="s">
        <v>2</v>
      </c>
      <c r="AE2979" s="54" t="s">
        <v>2</v>
      </c>
      <c r="AF2979" s="54" t="s">
        <v>2</v>
      </c>
      <c r="AG2979" s="54" t="s">
        <v>2</v>
      </c>
    </row>
    <row r="2980" ht="15.75" customHeight="1">
      <c r="B2980" s="56"/>
      <c r="U2980" s="46" t="str">
        <f t="array" ref="U2980">IF($D2980="","",IFERROR(_xlfn.XLOOKUP($D2980,'TIR店舗一覧'!$D:$D,'TIR店舗一覧'!$E:$E,""),""))</f>
        <v/>
      </c>
      <c r="V2980" s="54" t="s">
        <v>2</v>
      </c>
      <c r="W2980" s="54" t="s">
        <v>2</v>
      </c>
      <c r="X2980" s="54" t="s">
        <v>2</v>
      </c>
      <c r="Y2980" s="54" t="s">
        <v>2</v>
      </c>
      <c r="Z2980" s="54" t="s">
        <v>2</v>
      </c>
      <c r="AA2980" s="54" t="s">
        <v>2</v>
      </c>
      <c r="AB2980" s="54" t="s">
        <v>2</v>
      </c>
      <c r="AC2980" s="54" t="s">
        <v>2</v>
      </c>
      <c r="AD2980" s="54" t="s">
        <v>2</v>
      </c>
      <c r="AE2980" s="54" t="s">
        <v>2</v>
      </c>
      <c r="AF2980" s="54" t="s">
        <v>2</v>
      </c>
      <c r="AG2980" s="54" t="s">
        <v>2</v>
      </c>
    </row>
    <row r="2981" ht="15.75" customHeight="1">
      <c r="B2981" s="56"/>
      <c r="U2981" s="46" t="str">
        <f t="array" ref="U2981">IF($D2981="","",IFERROR(_xlfn.XLOOKUP($D2981,'TIR店舗一覧'!$D:$D,'TIR店舗一覧'!$E:$E,""),""))</f>
        <v/>
      </c>
      <c r="V2981" s="54" t="s">
        <v>2</v>
      </c>
      <c r="W2981" s="54" t="s">
        <v>2</v>
      </c>
      <c r="X2981" s="54" t="s">
        <v>2</v>
      </c>
      <c r="Y2981" s="54" t="s">
        <v>2</v>
      </c>
      <c r="Z2981" s="54" t="s">
        <v>2</v>
      </c>
      <c r="AA2981" s="54" t="s">
        <v>2</v>
      </c>
      <c r="AB2981" s="54" t="s">
        <v>2</v>
      </c>
      <c r="AC2981" s="54" t="s">
        <v>2</v>
      </c>
      <c r="AD2981" s="54" t="s">
        <v>2</v>
      </c>
      <c r="AE2981" s="54" t="s">
        <v>2</v>
      </c>
      <c r="AF2981" s="54" t="s">
        <v>2</v>
      </c>
      <c r="AG2981" s="54" t="s">
        <v>2</v>
      </c>
    </row>
    <row r="2982" ht="15.75" customHeight="1">
      <c r="B2982" s="56"/>
      <c r="U2982" s="46" t="str">
        <f t="array" ref="U2982">IF($D2982="","",IFERROR(_xlfn.XLOOKUP($D2982,'TIR店舗一覧'!$D:$D,'TIR店舗一覧'!$E:$E,""),""))</f>
        <v/>
      </c>
      <c r="V2982" s="54" t="s">
        <v>2</v>
      </c>
      <c r="W2982" s="54" t="s">
        <v>2</v>
      </c>
      <c r="X2982" s="54" t="s">
        <v>2</v>
      </c>
      <c r="Y2982" s="54" t="s">
        <v>2</v>
      </c>
      <c r="Z2982" s="54" t="s">
        <v>2</v>
      </c>
      <c r="AA2982" s="54" t="s">
        <v>2</v>
      </c>
      <c r="AB2982" s="54" t="s">
        <v>2</v>
      </c>
      <c r="AC2982" s="54" t="s">
        <v>2</v>
      </c>
      <c r="AD2982" s="54" t="s">
        <v>2</v>
      </c>
      <c r="AE2982" s="54" t="s">
        <v>2</v>
      </c>
      <c r="AF2982" s="54" t="s">
        <v>2</v>
      </c>
      <c r="AG2982" s="54" t="s">
        <v>2</v>
      </c>
    </row>
    <row r="2983" ht="15.75" customHeight="1">
      <c r="B2983" s="56"/>
      <c r="U2983" s="46" t="str">
        <f t="array" ref="U2983">IF($D2983="","",IFERROR(_xlfn.XLOOKUP($D2983,'TIR店舗一覧'!$D:$D,'TIR店舗一覧'!$E:$E,""),""))</f>
        <v/>
      </c>
      <c r="V2983" s="54" t="s">
        <v>2</v>
      </c>
      <c r="W2983" s="54" t="s">
        <v>2</v>
      </c>
      <c r="X2983" s="54" t="s">
        <v>2</v>
      </c>
      <c r="Y2983" s="54" t="s">
        <v>2</v>
      </c>
      <c r="Z2983" s="54" t="s">
        <v>2</v>
      </c>
      <c r="AA2983" s="54" t="s">
        <v>2</v>
      </c>
      <c r="AB2983" s="54" t="s">
        <v>2</v>
      </c>
      <c r="AC2983" s="54" t="s">
        <v>2</v>
      </c>
      <c r="AD2983" s="54" t="s">
        <v>2</v>
      </c>
      <c r="AE2983" s="54" t="s">
        <v>2</v>
      </c>
      <c r="AF2983" s="54" t="s">
        <v>2</v>
      </c>
      <c r="AG2983" s="54" t="s">
        <v>2</v>
      </c>
    </row>
    <row r="2984" ht="15.75" customHeight="1">
      <c r="B2984" s="56"/>
      <c r="U2984" s="46" t="str">
        <f t="array" ref="U2984">IF($D2984="","",IFERROR(_xlfn.XLOOKUP($D2984,'TIR店舗一覧'!$D:$D,'TIR店舗一覧'!$E:$E,""),""))</f>
        <v/>
      </c>
      <c r="V2984" s="54" t="s">
        <v>2</v>
      </c>
      <c r="W2984" s="54" t="s">
        <v>2</v>
      </c>
      <c r="X2984" s="54" t="s">
        <v>2</v>
      </c>
      <c r="Y2984" s="54" t="s">
        <v>2</v>
      </c>
      <c r="Z2984" s="54" t="s">
        <v>2</v>
      </c>
      <c r="AA2984" s="54" t="s">
        <v>2</v>
      </c>
      <c r="AB2984" s="54" t="s">
        <v>2</v>
      </c>
      <c r="AC2984" s="54" t="s">
        <v>2</v>
      </c>
      <c r="AD2984" s="54" t="s">
        <v>2</v>
      </c>
      <c r="AE2984" s="54" t="s">
        <v>2</v>
      </c>
      <c r="AF2984" s="54" t="s">
        <v>2</v>
      </c>
      <c r="AG2984" s="54" t="s">
        <v>2</v>
      </c>
    </row>
    <row r="2985" ht="15.75" customHeight="1">
      <c r="B2985" s="56"/>
      <c r="U2985" s="46" t="str">
        <f t="array" ref="U2985">IF($D2985="","",IFERROR(_xlfn.XLOOKUP($D2985,'TIR店舗一覧'!$D:$D,'TIR店舗一覧'!$E:$E,""),""))</f>
        <v/>
      </c>
      <c r="V2985" s="54" t="s">
        <v>2</v>
      </c>
      <c r="W2985" s="54" t="s">
        <v>2</v>
      </c>
      <c r="X2985" s="54" t="s">
        <v>2</v>
      </c>
      <c r="Y2985" s="54" t="s">
        <v>2</v>
      </c>
      <c r="Z2985" s="54" t="s">
        <v>2</v>
      </c>
      <c r="AA2985" s="54" t="s">
        <v>2</v>
      </c>
      <c r="AB2985" s="54" t="s">
        <v>2</v>
      </c>
      <c r="AC2985" s="54" t="s">
        <v>2</v>
      </c>
      <c r="AD2985" s="54" t="s">
        <v>2</v>
      </c>
      <c r="AE2985" s="54" t="s">
        <v>2</v>
      </c>
      <c r="AF2985" s="54" t="s">
        <v>2</v>
      </c>
      <c r="AG2985" s="54" t="s">
        <v>2</v>
      </c>
    </row>
    <row r="2986" ht="15.75" customHeight="1">
      <c r="B2986" s="56"/>
      <c r="U2986" s="46" t="str">
        <f t="array" ref="U2986">IF($D2986="","",IFERROR(_xlfn.XLOOKUP($D2986,'TIR店舗一覧'!$D:$D,'TIR店舗一覧'!$E:$E,""),""))</f>
        <v/>
      </c>
      <c r="V2986" s="54" t="s">
        <v>2</v>
      </c>
      <c r="W2986" s="54" t="s">
        <v>2</v>
      </c>
      <c r="X2986" s="54" t="s">
        <v>2</v>
      </c>
      <c r="Y2986" s="54" t="s">
        <v>2</v>
      </c>
      <c r="Z2986" s="54" t="s">
        <v>2</v>
      </c>
      <c r="AA2986" s="54" t="s">
        <v>2</v>
      </c>
      <c r="AB2986" s="54" t="s">
        <v>2</v>
      </c>
      <c r="AC2986" s="54" t="s">
        <v>2</v>
      </c>
      <c r="AD2986" s="54" t="s">
        <v>2</v>
      </c>
      <c r="AE2986" s="54" t="s">
        <v>2</v>
      </c>
      <c r="AF2986" s="54" t="s">
        <v>2</v>
      </c>
      <c r="AG2986" s="54" t="s">
        <v>2</v>
      </c>
    </row>
    <row r="2987" ht="15.75" customHeight="1">
      <c r="B2987" s="56"/>
      <c r="U2987" s="46" t="str">
        <f t="array" ref="U2987">IF($D2987="","",IFERROR(_xlfn.XLOOKUP($D2987,'TIR店舗一覧'!$D:$D,'TIR店舗一覧'!$E:$E,""),""))</f>
        <v/>
      </c>
      <c r="V2987" s="54" t="s">
        <v>2</v>
      </c>
      <c r="W2987" s="54" t="s">
        <v>2</v>
      </c>
      <c r="X2987" s="54" t="s">
        <v>2</v>
      </c>
      <c r="Y2987" s="54" t="s">
        <v>2</v>
      </c>
      <c r="Z2987" s="54" t="s">
        <v>2</v>
      </c>
      <c r="AA2987" s="54" t="s">
        <v>2</v>
      </c>
      <c r="AB2987" s="54" t="s">
        <v>2</v>
      </c>
      <c r="AC2987" s="54" t="s">
        <v>2</v>
      </c>
      <c r="AD2987" s="54" t="s">
        <v>2</v>
      </c>
      <c r="AE2987" s="54" t="s">
        <v>2</v>
      </c>
      <c r="AF2987" s="54" t="s">
        <v>2</v>
      </c>
      <c r="AG2987" s="54" t="s">
        <v>2</v>
      </c>
    </row>
    <row r="2988" ht="15.75" customHeight="1">
      <c r="B2988" s="56"/>
      <c r="U2988" s="46" t="str">
        <f t="array" ref="U2988">IF($D2988="","",IFERROR(_xlfn.XLOOKUP($D2988,'TIR店舗一覧'!$D:$D,'TIR店舗一覧'!$E:$E,""),""))</f>
        <v/>
      </c>
      <c r="V2988" s="54" t="s">
        <v>2</v>
      </c>
      <c r="W2988" s="54" t="s">
        <v>2</v>
      </c>
      <c r="X2988" s="54" t="s">
        <v>2</v>
      </c>
      <c r="Y2988" s="54" t="s">
        <v>2</v>
      </c>
      <c r="Z2988" s="54" t="s">
        <v>2</v>
      </c>
      <c r="AA2988" s="54" t="s">
        <v>2</v>
      </c>
      <c r="AB2988" s="54" t="s">
        <v>2</v>
      </c>
      <c r="AC2988" s="54" t="s">
        <v>2</v>
      </c>
      <c r="AD2988" s="54" t="s">
        <v>2</v>
      </c>
      <c r="AE2988" s="54" t="s">
        <v>2</v>
      </c>
      <c r="AF2988" s="54" t="s">
        <v>2</v>
      </c>
      <c r="AG2988" s="54" t="s">
        <v>2</v>
      </c>
    </row>
    <row r="2989" ht="15.75" customHeight="1">
      <c r="B2989" s="56"/>
      <c r="U2989" s="46" t="str">
        <f t="array" ref="U2989">IF($D2989="","",IFERROR(_xlfn.XLOOKUP($D2989,'TIR店舗一覧'!$D:$D,'TIR店舗一覧'!$E:$E,""),""))</f>
        <v/>
      </c>
      <c r="V2989" s="54" t="s">
        <v>2</v>
      </c>
      <c r="W2989" s="54" t="s">
        <v>2</v>
      </c>
      <c r="X2989" s="54" t="s">
        <v>2</v>
      </c>
      <c r="Y2989" s="54" t="s">
        <v>2</v>
      </c>
      <c r="Z2989" s="54" t="s">
        <v>2</v>
      </c>
      <c r="AA2989" s="54" t="s">
        <v>2</v>
      </c>
      <c r="AB2989" s="54" t="s">
        <v>2</v>
      </c>
      <c r="AC2989" s="54" t="s">
        <v>2</v>
      </c>
      <c r="AD2989" s="54" t="s">
        <v>2</v>
      </c>
      <c r="AE2989" s="54" t="s">
        <v>2</v>
      </c>
      <c r="AF2989" s="54" t="s">
        <v>2</v>
      </c>
      <c r="AG2989" s="54" t="s">
        <v>2</v>
      </c>
    </row>
    <row r="2990" ht="15.75" customHeight="1">
      <c r="B2990" s="56"/>
      <c r="U2990" s="46" t="str">
        <f t="array" ref="U2990">IF($D2990="","",IFERROR(_xlfn.XLOOKUP($D2990,'TIR店舗一覧'!$D:$D,'TIR店舗一覧'!$E:$E,""),""))</f>
        <v/>
      </c>
      <c r="V2990" s="54" t="s">
        <v>2</v>
      </c>
      <c r="W2990" s="54" t="s">
        <v>2</v>
      </c>
      <c r="X2990" s="54" t="s">
        <v>2</v>
      </c>
      <c r="Y2990" s="54" t="s">
        <v>2</v>
      </c>
      <c r="Z2990" s="54" t="s">
        <v>2</v>
      </c>
      <c r="AA2990" s="54" t="s">
        <v>2</v>
      </c>
      <c r="AB2990" s="54" t="s">
        <v>2</v>
      </c>
      <c r="AC2990" s="54" t="s">
        <v>2</v>
      </c>
      <c r="AD2990" s="54" t="s">
        <v>2</v>
      </c>
      <c r="AE2990" s="54" t="s">
        <v>2</v>
      </c>
      <c r="AF2990" s="54" t="s">
        <v>2</v>
      </c>
      <c r="AG2990" s="54" t="s">
        <v>2</v>
      </c>
    </row>
    <row r="2991" ht="15.75" customHeight="1">
      <c r="B2991" s="56"/>
      <c r="U2991" s="46" t="str">
        <f t="array" ref="U2991">IF($D2991="","",IFERROR(_xlfn.XLOOKUP($D2991,'TIR店舗一覧'!$D:$D,'TIR店舗一覧'!$E:$E,""),""))</f>
        <v/>
      </c>
      <c r="V2991" s="54" t="s">
        <v>2</v>
      </c>
      <c r="W2991" s="54" t="s">
        <v>2</v>
      </c>
      <c r="X2991" s="54" t="s">
        <v>2</v>
      </c>
      <c r="Y2991" s="54" t="s">
        <v>2</v>
      </c>
      <c r="Z2991" s="54" t="s">
        <v>2</v>
      </c>
      <c r="AA2991" s="54" t="s">
        <v>2</v>
      </c>
      <c r="AB2991" s="54" t="s">
        <v>2</v>
      </c>
      <c r="AC2991" s="54" t="s">
        <v>2</v>
      </c>
      <c r="AD2991" s="54" t="s">
        <v>2</v>
      </c>
      <c r="AE2991" s="54" t="s">
        <v>2</v>
      </c>
      <c r="AF2991" s="54" t="s">
        <v>2</v>
      </c>
      <c r="AG2991" s="54" t="s">
        <v>2</v>
      </c>
    </row>
    <row r="2992" ht="15.75" customHeight="1">
      <c r="B2992" s="56"/>
      <c r="U2992" s="46" t="str">
        <f t="array" ref="U2992">IF($D2992="","",IFERROR(_xlfn.XLOOKUP($D2992,'TIR店舗一覧'!$D:$D,'TIR店舗一覧'!$E:$E,""),""))</f>
        <v/>
      </c>
      <c r="V2992" s="54" t="s">
        <v>2</v>
      </c>
      <c r="W2992" s="54" t="s">
        <v>2</v>
      </c>
      <c r="X2992" s="54" t="s">
        <v>2</v>
      </c>
      <c r="Y2992" s="54" t="s">
        <v>2</v>
      </c>
      <c r="Z2992" s="54" t="s">
        <v>2</v>
      </c>
      <c r="AA2992" s="54" t="s">
        <v>2</v>
      </c>
      <c r="AB2992" s="54" t="s">
        <v>2</v>
      </c>
      <c r="AC2992" s="54" t="s">
        <v>2</v>
      </c>
      <c r="AD2992" s="54" t="s">
        <v>2</v>
      </c>
      <c r="AE2992" s="54" t="s">
        <v>2</v>
      </c>
      <c r="AF2992" s="54" t="s">
        <v>2</v>
      </c>
      <c r="AG2992" s="54" t="s">
        <v>2</v>
      </c>
    </row>
    <row r="2993" ht="15.75" customHeight="1">
      <c r="B2993" s="56"/>
      <c r="U2993" s="46" t="str">
        <f t="array" ref="U2993">IF($D2993="","",IFERROR(_xlfn.XLOOKUP($D2993,'TIR店舗一覧'!$D:$D,'TIR店舗一覧'!$E:$E,""),""))</f>
        <v/>
      </c>
      <c r="V2993" s="54" t="s">
        <v>2</v>
      </c>
      <c r="W2993" s="54" t="s">
        <v>2</v>
      </c>
      <c r="X2993" s="54" t="s">
        <v>2</v>
      </c>
      <c r="Y2993" s="54" t="s">
        <v>2</v>
      </c>
      <c r="Z2993" s="54" t="s">
        <v>2</v>
      </c>
      <c r="AA2993" s="54" t="s">
        <v>2</v>
      </c>
      <c r="AB2993" s="54" t="s">
        <v>2</v>
      </c>
      <c r="AC2993" s="54" t="s">
        <v>2</v>
      </c>
      <c r="AD2993" s="54" t="s">
        <v>2</v>
      </c>
      <c r="AE2993" s="54" t="s">
        <v>2</v>
      </c>
      <c r="AF2993" s="54" t="s">
        <v>2</v>
      </c>
      <c r="AG2993" s="54" t="s">
        <v>2</v>
      </c>
    </row>
    <row r="2994" ht="15.75" customHeight="1">
      <c r="B2994" s="56"/>
      <c r="U2994" s="46" t="str">
        <f t="array" ref="U2994">IF($D2994="","",IFERROR(_xlfn.XLOOKUP($D2994,'TIR店舗一覧'!$D:$D,'TIR店舗一覧'!$E:$E,""),""))</f>
        <v/>
      </c>
      <c r="V2994" s="54" t="s">
        <v>2</v>
      </c>
      <c r="W2994" s="54" t="s">
        <v>2</v>
      </c>
      <c r="X2994" s="54" t="s">
        <v>2</v>
      </c>
      <c r="Y2994" s="54" t="s">
        <v>2</v>
      </c>
      <c r="Z2994" s="54" t="s">
        <v>2</v>
      </c>
      <c r="AA2994" s="54" t="s">
        <v>2</v>
      </c>
      <c r="AB2994" s="54" t="s">
        <v>2</v>
      </c>
      <c r="AC2994" s="54" t="s">
        <v>2</v>
      </c>
      <c r="AD2994" s="54" t="s">
        <v>2</v>
      </c>
      <c r="AE2994" s="54" t="s">
        <v>2</v>
      </c>
      <c r="AF2994" s="54" t="s">
        <v>2</v>
      </c>
      <c r="AG2994" s="54" t="s">
        <v>2</v>
      </c>
    </row>
    <row r="2995" ht="15.75" customHeight="1">
      <c r="B2995" s="56"/>
      <c r="U2995" s="46" t="str">
        <f t="array" ref="U2995">IF($D2995="","",IFERROR(_xlfn.XLOOKUP($D2995,'TIR店舗一覧'!$D:$D,'TIR店舗一覧'!$E:$E,""),""))</f>
        <v/>
      </c>
      <c r="V2995" s="54" t="s">
        <v>2</v>
      </c>
      <c r="W2995" s="54" t="s">
        <v>2</v>
      </c>
      <c r="X2995" s="54" t="s">
        <v>2</v>
      </c>
      <c r="Y2995" s="54" t="s">
        <v>2</v>
      </c>
      <c r="Z2995" s="54" t="s">
        <v>2</v>
      </c>
      <c r="AA2995" s="54" t="s">
        <v>2</v>
      </c>
      <c r="AB2995" s="54" t="s">
        <v>2</v>
      </c>
      <c r="AC2995" s="54" t="s">
        <v>2</v>
      </c>
      <c r="AD2995" s="54" t="s">
        <v>2</v>
      </c>
      <c r="AE2995" s="54" t="s">
        <v>2</v>
      </c>
      <c r="AF2995" s="54" t="s">
        <v>2</v>
      </c>
      <c r="AG2995" s="54" t="s">
        <v>2</v>
      </c>
    </row>
    <row r="2996" ht="15.75" customHeight="1">
      <c r="B2996" s="56"/>
      <c r="U2996" s="46" t="str">
        <f t="array" ref="U2996">IF($D2996="","",IFERROR(_xlfn.XLOOKUP($D2996,'TIR店舗一覧'!$D:$D,'TIR店舗一覧'!$E:$E,""),""))</f>
        <v/>
      </c>
      <c r="V2996" s="54" t="s">
        <v>2</v>
      </c>
      <c r="W2996" s="54" t="s">
        <v>2</v>
      </c>
      <c r="X2996" s="54" t="s">
        <v>2</v>
      </c>
      <c r="Y2996" s="54" t="s">
        <v>2</v>
      </c>
      <c r="Z2996" s="54" t="s">
        <v>2</v>
      </c>
      <c r="AA2996" s="54" t="s">
        <v>2</v>
      </c>
      <c r="AB2996" s="54" t="s">
        <v>2</v>
      </c>
      <c r="AC2996" s="54" t="s">
        <v>2</v>
      </c>
      <c r="AD2996" s="54" t="s">
        <v>2</v>
      </c>
      <c r="AE2996" s="54" t="s">
        <v>2</v>
      </c>
      <c r="AF2996" s="54" t="s">
        <v>2</v>
      </c>
      <c r="AG2996" s="54" t="s">
        <v>2</v>
      </c>
    </row>
    <row r="2997" ht="15.75" customHeight="1">
      <c r="B2997" s="56"/>
      <c r="U2997" s="46" t="str">
        <f t="array" ref="U2997">IF($D2997="","",IFERROR(_xlfn.XLOOKUP($D2997,'TIR店舗一覧'!$D:$D,'TIR店舗一覧'!$E:$E,""),""))</f>
        <v/>
      </c>
      <c r="V2997" s="54" t="s">
        <v>2</v>
      </c>
      <c r="W2997" s="54" t="s">
        <v>2</v>
      </c>
      <c r="X2997" s="54" t="s">
        <v>2</v>
      </c>
      <c r="Y2997" s="54" t="s">
        <v>2</v>
      </c>
      <c r="Z2997" s="54" t="s">
        <v>2</v>
      </c>
      <c r="AA2997" s="54" t="s">
        <v>2</v>
      </c>
      <c r="AB2997" s="54" t="s">
        <v>2</v>
      </c>
      <c r="AC2997" s="54" t="s">
        <v>2</v>
      </c>
      <c r="AD2997" s="54" t="s">
        <v>2</v>
      </c>
      <c r="AE2997" s="54" t="s">
        <v>2</v>
      </c>
      <c r="AF2997" s="54" t="s">
        <v>2</v>
      </c>
      <c r="AG2997" s="54" t="s">
        <v>2</v>
      </c>
    </row>
    <row r="2998" ht="15.75" customHeight="1">
      <c r="B2998" s="56"/>
      <c r="U2998" s="46" t="str">
        <f t="array" ref="U2998">IF($D2998="","",IFERROR(_xlfn.XLOOKUP($D2998,'TIR店舗一覧'!$D:$D,'TIR店舗一覧'!$E:$E,""),""))</f>
        <v/>
      </c>
      <c r="V2998" s="54" t="s">
        <v>2</v>
      </c>
      <c r="W2998" s="54" t="s">
        <v>2</v>
      </c>
      <c r="X2998" s="54" t="s">
        <v>2</v>
      </c>
      <c r="Y2998" s="54" t="s">
        <v>2</v>
      </c>
      <c r="Z2998" s="54" t="s">
        <v>2</v>
      </c>
      <c r="AA2998" s="54" t="s">
        <v>2</v>
      </c>
      <c r="AB2998" s="54" t="s">
        <v>2</v>
      </c>
      <c r="AC2998" s="54" t="s">
        <v>2</v>
      </c>
      <c r="AD2998" s="54" t="s">
        <v>2</v>
      </c>
      <c r="AE2998" s="54" t="s">
        <v>2</v>
      </c>
      <c r="AF2998" s="54" t="s">
        <v>2</v>
      </c>
      <c r="AG2998" s="54" t="s">
        <v>2</v>
      </c>
    </row>
    <row r="2999" ht="15.75" customHeight="1">
      <c r="B2999" s="56"/>
      <c r="U2999" s="46" t="str">
        <f t="array" ref="U2999">IF($D2999="","",IFERROR(_xlfn.XLOOKUP($D2999,'TIR店舗一覧'!$D:$D,'TIR店舗一覧'!$E:$E,""),""))</f>
        <v/>
      </c>
      <c r="V2999" s="54" t="s">
        <v>2</v>
      </c>
      <c r="W2999" s="54" t="s">
        <v>2</v>
      </c>
      <c r="X2999" s="54" t="s">
        <v>2</v>
      </c>
      <c r="Y2999" s="54" t="s">
        <v>2</v>
      </c>
      <c r="Z2999" s="54" t="s">
        <v>2</v>
      </c>
      <c r="AA2999" s="54" t="s">
        <v>2</v>
      </c>
      <c r="AB2999" s="54" t="s">
        <v>2</v>
      </c>
      <c r="AC2999" s="54" t="s">
        <v>2</v>
      </c>
      <c r="AD2999" s="54" t="s">
        <v>2</v>
      </c>
      <c r="AE2999" s="54" t="s">
        <v>2</v>
      </c>
      <c r="AF2999" s="54" t="s">
        <v>2</v>
      </c>
      <c r="AG2999" s="54" t="s">
        <v>2</v>
      </c>
    </row>
    <row r="3000" ht="15.75" customHeight="1">
      <c r="B3000" s="56"/>
      <c r="U3000" s="46" t="str">
        <f t="array" ref="U3000">IF($D3000="","",IFERROR(_xlfn.XLOOKUP($D3000,'TIR店舗一覧'!$D:$D,'TIR店舗一覧'!$E:$E,""),""))</f>
        <v/>
      </c>
      <c r="V3000" s="54" t="s">
        <v>2</v>
      </c>
      <c r="W3000" s="54" t="s">
        <v>2</v>
      </c>
      <c r="X3000" s="54" t="s">
        <v>2</v>
      </c>
      <c r="Y3000" s="54" t="s">
        <v>2</v>
      </c>
      <c r="Z3000" s="54" t="s">
        <v>2</v>
      </c>
      <c r="AA3000" s="54" t="s">
        <v>2</v>
      </c>
      <c r="AB3000" s="54" t="s">
        <v>2</v>
      </c>
      <c r="AC3000" s="54" t="s">
        <v>2</v>
      </c>
      <c r="AD3000" s="54" t="s">
        <v>2</v>
      </c>
      <c r="AE3000" s="54" t="s">
        <v>2</v>
      </c>
      <c r="AF3000" s="54" t="s">
        <v>2</v>
      </c>
      <c r="AG3000" s="54" t="s">
        <v>2</v>
      </c>
    </row>
    <row r="3001" ht="15.75" customHeight="1">
      <c r="B3001" s="56"/>
      <c r="U3001" s="46" t="str">
        <f t="array" ref="U3001">IF($D3001="","",IFERROR(_xlfn.XLOOKUP($D3001,'TIR店舗一覧'!$D:$D,'TIR店舗一覧'!$E:$E,""),""))</f>
        <v/>
      </c>
      <c r="V3001" s="54" t="s">
        <v>2</v>
      </c>
      <c r="W3001" s="54" t="s">
        <v>2</v>
      </c>
      <c r="X3001" s="54" t="s">
        <v>2</v>
      </c>
      <c r="Y3001" s="54" t="s">
        <v>2</v>
      </c>
      <c r="Z3001" s="54" t="s">
        <v>2</v>
      </c>
      <c r="AA3001" s="54" t="s">
        <v>2</v>
      </c>
      <c r="AB3001" s="54" t="s">
        <v>2</v>
      </c>
      <c r="AC3001" s="54" t="s">
        <v>2</v>
      </c>
      <c r="AD3001" s="54" t="s">
        <v>2</v>
      </c>
      <c r="AE3001" s="54" t="s">
        <v>2</v>
      </c>
      <c r="AF3001" s="54" t="s">
        <v>2</v>
      </c>
      <c r="AG3001" s="54" t="s">
        <v>2</v>
      </c>
    </row>
    <row r="3002" ht="15.75" customHeight="1">
      <c r="B3002" s="56"/>
      <c r="U3002" s="46" t="str">
        <f t="array" ref="U3002">IF($D3002="","",IFERROR(_xlfn.XLOOKUP($D3002,'TIR店舗一覧'!$D:$D,'TIR店舗一覧'!$E:$E,""),""))</f>
        <v/>
      </c>
      <c r="V3002" s="54" t="s">
        <v>2</v>
      </c>
      <c r="W3002" s="54" t="s">
        <v>2</v>
      </c>
      <c r="X3002" s="54" t="s">
        <v>2</v>
      </c>
      <c r="Y3002" s="54" t="s">
        <v>2</v>
      </c>
      <c r="Z3002" s="54" t="s">
        <v>2</v>
      </c>
      <c r="AA3002" s="54" t="s">
        <v>2</v>
      </c>
      <c r="AB3002" s="54" t="s">
        <v>2</v>
      </c>
      <c r="AC3002" s="54" t="s">
        <v>2</v>
      </c>
      <c r="AD3002" s="54" t="s">
        <v>2</v>
      </c>
      <c r="AE3002" s="54" t="s">
        <v>2</v>
      </c>
      <c r="AF3002" s="54" t="s">
        <v>2</v>
      </c>
      <c r="AG3002" s="54" t="s">
        <v>2</v>
      </c>
    </row>
    <row r="3003" ht="15.75" customHeight="1">
      <c r="B3003" s="56"/>
      <c r="U3003" s="46" t="str">
        <f t="array" ref="U3003">IF($D3003="","",IFERROR(_xlfn.XLOOKUP($D3003,'TIR店舗一覧'!$D:$D,'TIR店舗一覧'!$E:$E,""),""))</f>
        <v/>
      </c>
      <c r="V3003" s="54" t="s">
        <v>2</v>
      </c>
      <c r="W3003" s="54" t="s">
        <v>2</v>
      </c>
      <c r="X3003" s="54" t="s">
        <v>2</v>
      </c>
      <c r="Y3003" s="54" t="s">
        <v>2</v>
      </c>
      <c r="Z3003" s="54" t="s">
        <v>2</v>
      </c>
      <c r="AA3003" s="54" t="s">
        <v>2</v>
      </c>
      <c r="AB3003" s="54" t="s">
        <v>2</v>
      </c>
      <c r="AC3003" s="54" t="s">
        <v>2</v>
      </c>
      <c r="AD3003" s="54" t="s">
        <v>2</v>
      </c>
      <c r="AE3003" s="54" t="s">
        <v>2</v>
      </c>
      <c r="AF3003" s="54" t="s">
        <v>2</v>
      </c>
      <c r="AG3003" s="54" t="s">
        <v>2</v>
      </c>
    </row>
    <row r="3004" ht="15.75" customHeight="1">
      <c r="B3004" s="56"/>
      <c r="U3004" s="46" t="str">
        <f t="array" ref="U3004">IF($D3004="","",IFERROR(_xlfn.XLOOKUP($D3004,'TIR店舗一覧'!$D:$D,'TIR店舗一覧'!$E:$E,""),""))</f>
        <v/>
      </c>
      <c r="V3004" s="54" t="s">
        <v>2</v>
      </c>
      <c r="W3004" s="54" t="s">
        <v>2</v>
      </c>
      <c r="X3004" s="54" t="s">
        <v>2</v>
      </c>
      <c r="Y3004" s="54" t="s">
        <v>2</v>
      </c>
      <c r="Z3004" s="54" t="s">
        <v>2</v>
      </c>
      <c r="AA3004" s="54" t="s">
        <v>2</v>
      </c>
      <c r="AB3004" s="54" t="s">
        <v>2</v>
      </c>
      <c r="AC3004" s="54" t="s">
        <v>2</v>
      </c>
      <c r="AD3004" s="54" t="s">
        <v>2</v>
      </c>
      <c r="AE3004" s="54" t="s">
        <v>2</v>
      </c>
      <c r="AF3004" s="54" t="s">
        <v>2</v>
      </c>
      <c r="AG3004" s="54" t="s">
        <v>2</v>
      </c>
    </row>
    <row r="3005" ht="15.75" customHeight="1">
      <c r="B3005" s="56"/>
      <c r="U3005" s="46" t="str">
        <f t="array" ref="U3005">IF($D3005="","",IFERROR(_xlfn.XLOOKUP($D3005,'TIR店舗一覧'!$D:$D,'TIR店舗一覧'!$E:$E,""),""))</f>
        <v/>
      </c>
      <c r="V3005" s="54" t="s">
        <v>2</v>
      </c>
      <c r="W3005" s="54" t="s">
        <v>2</v>
      </c>
      <c r="X3005" s="54" t="s">
        <v>2</v>
      </c>
      <c r="Y3005" s="54" t="s">
        <v>2</v>
      </c>
      <c r="Z3005" s="54" t="s">
        <v>2</v>
      </c>
      <c r="AA3005" s="54" t="s">
        <v>2</v>
      </c>
      <c r="AB3005" s="54" t="s">
        <v>2</v>
      </c>
      <c r="AC3005" s="54" t="s">
        <v>2</v>
      </c>
      <c r="AD3005" s="54" t="s">
        <v>2</v>
      </c>
      <c r="AE3005" s="54" t="s">
        <v>2</v>
      </c>
      <c r="AF3005" s="54" t="s">
        <v>2</v>
      </c>
      <c r="AG3005" s="54" t="s">
        <v>2</v>
      </c>
    </row>
    <row r="3006" ht="15.75" customHeight="1">
      <c r="B3006" s="56"/>
      <c r="U3006" s="46" t="str">
        <f t="array" ref="U3006">IF($D3006="","",IFERROR(_xlfn.XLOOKUP($D3006,'TIR店舗一覧'!$D:$D,'TIR店舗一覧'!$E:$E,""),""))</f>
        <v/>
      </c>
      <c r="V3006" s="54" t="s">
        <v>2</v>
      </c>
      <c r="W3006" s="54" t="s">
        <v>2</v>
      </c>
      <c r="X3006" s="54" t="s">
        <v>2</v>
      </c>
      <c r="Y3006" s="54" t="s">
        <v>2</v>
      </c>
      <c r="Z3006" s="54" t="s">
        <v>2</v>
      </c>
      <c r="AA3006" s="54" t="s">
        <v>2</v>
      </c>
      <c r="AB3006" s="54" t="s">
        <v>2</v>
      </c>
      <c r="AC3006" s="54" t="s">
        <v>2</v>
      </c>
      <c r="AD3006" s="54" t="s">
        <v>2</v>
      </c>
      <c r="AE3006" s="54" t="s">
        <v>2</v>
      </c>
      <c r="AF3006" s="54" t="s">
        <v>2</v>
      </c>
      <c r="AG3006" s="54" t="s">
        <v>2</v>
      </c>
    </row>
    <row r="3007" ht="15.75" customHeight="1">
      <c r="B3007" s="56"/>
      <c r="U3007" s="46" t="str">
        <f t="array" ref="U3007">IF($D3007="","",IFERROR(_xlfn.XLOOKUP($D3007,'TIR店舗一覧'!$D:$D,'TIR店舗一覧'!$E:$E,""),""))</f>
        <v/>
      </c>
      <c r="V3007" s="54" t="s">
        <v>2</v>
      </c>
      <c r="W3007" s="54" t="s">
        <v>2</v>
      </c>
      <c r="X3007" s="54" t="s">
        <v>2</v>
      </c>
      <c r="Y3007" s="54" t="s">
        <v>2</v>
      </c>
      <c r="Z3007" s="54" t="s">
        <v>2</v>
      </c>
      <c r="AA3007" s="54" t="s">
        <v>2</v>
      </c>
      <c r="AB3007" s="54" t="s">
        <v>2</v>
      </c>
      <c r="AC3007" s="54" t="s">
        <v>2</v>
      </c>
      <c r="AD3007" s="54" t="s">
        <v>2</v>
      </c>
      <c r="AE3007" s="54" t="s">
        <v>2</v>
      </c>
      <c r="AF3007" s="54" t="s">
        <v>2</v>
      </c>
      <c r="AG3007" s="54" t="s">
        <v>2</v>
      </c>
    </row>
    <row r="3008" ht="15.75" customHeight="1">
      <c r="B3008" s="56"/>
      <c r="U3008" s="46" t="str">
        <f t="array" ref="U3008">IF($D3008="","",IFERROR(_xlfn.XLOOKUP($D3008,'TIR店舗一覧'!$D:$D,'TIR店舗一覧'!$E:$E,""),""))</f>
        <v/>
      </c>
      <c r="V3008" s="54" t="s">
        <v>2</v>
      </c>
      <c r="W3008" s="54" t="s">
        <v>2</v>
      </c>
      <c r="X3008" s="54" t="s">
        <v>2</v>
      </c>
      <c r="Y3008" s="54" t="s">
        <v>2</v>
      </c>
      <c r="Z3008" s="54" t="s">
        <v>2</v>
      </c>
      <c r="AA3008" s="54" t="s">
        <v>2</v>
      </c>
      <c r="AB3008" s="54" t="s">
        <v>2</v>
      </c>
      <c r="AC3008" s="54" t="s">
        <v>2</v>
      </c>
      <c r="AD3008" s="54" t="s">
        <v>2</v>
      </c>
      <c r="AE3008" s="54" t="s">
        <v>2</v>
      </c>
      <c r="AF3008" s="54" t="s">
        <v>2</v>
      </c>
      <c r="AG3008" s="54" t="s">
        <v>2</v>
      </c>
    </row>
    <row r="3009" ht="15.75" customHeight="1">
      <c r="B3009" s="56"/>
      <c r="U3009" s="46" t="str">
        <f t="array" ref="U3009">IF($D3009="","",IFERROR(_xlfn.XLOOKUP($D3009,'TIR店舗一覧'!$D:$D,'TIR店舗一覧'!$E:$E,""),""))</f>
        <v/>
      </c>
      <c r="V3009" s="54" t="s">
        <v>2</v>
      </c>
      <c r="W3009" s="54" t="s">
        <v>2</v>
      </c>
      <c r="X3009" s="54" t="s">
        <v>2</v>
      </c>
      <c r="Y3009" s="54" t="s">
        <v>2</v>
      </c>
      <c r="Z3009" s="54" t="s">
        <v>2</v>
      </c>
      <c r="AA3009" s="54" t="s">
        <v>2</v>
      </c>
      <c r="AB3009" s="54" t="s">
        <v>2</v>
      </c>
      <c r="AC3009" s="54" t="s">
        <v>2</v>
      </c>
      <c r="AD3009" s="54" t="s">
        <v>2</v>
      </c>
      <c r="AE3009" s="54" t="s">
        <v>2</v>
      </c>
      <c r="AF3009" s="54" t="s">
        <v>2</v>
      </c>
      <c r="AG3009" s="54" t="s">
        <v>2</v>
      </c>
    </row>
    <row r="3010" ht="15.75" customHeight="1">
      <c r="B3010" s="56"/>
      <c r="U3010" s="46" t="str">
        <f t="array" ref="U3010">IF($D3010="","",IFERROR(_xlfn.XLOOKUP($D3010,'TIR店舗一覧'!$D:$D,'TIR店舗一覧'!$E:$E,""),""))</f>
        <v/>
      </c>
      <c r="V3010" s="54" t="s">
        <v>2</v>
      </c>
      <c r="W3010" s="54" t="s">
        <v>2</v>
      </c>
      <c r="X3010" s="54" t="s">
        <v>2</v>
      </c>
      <c r="Y3010" s="54" t="s">
        <v>2</v>
      </c>
      <c r="Z3010" s="54" t="s">
        <v>2</v>
      </c>
      <c r="AA3010" s="54" t="s">
        <v>2</v>
      </c>
      <c r="AB3010" s="54" t="s">
        <v>2</v>
      </c>
      <c r="AC3010" s="54" t="s">
        <v>2</v>
      </c>
      <c r="AD3010" s="54" t="s">
        <v>2</v>
      </c>
      <c r="AE3010" s="54" t="s">
        <v>2</v>
      </c>
      <c r="AF3010" s="54" t="s">
        <v>2</v>
      </c>
      <c r="AG3010" s="54" t="s">
        <v>2</v>
      </c>
    </row>
    <row r="3011" ht="15.75" customHeight="1">
      <c r="B3011" s="56"/>
      <c r="U3011" s="46" t="str">
        <f t="array" ref="U3011">IF($D3011="","",IFERROR(_xlfn.XLOOKUP($D3011,'TIR店舗一覧'!$D:$D,'TIR店舗一覧'!$E:$E,""),""))</f>
        <v/>
      </c>
      <c r="V3011" s="54" t="s">
        <v>2</v>
      </c>
      <c r="W3011" s="54" t="s">
        <v>2</v>
      </c>
      <c r="X3011" s="54" t="s">
        <v>2</v>
      </c>
      <c r="Y3011" s="54" t="s">
        <v>2</v>
      </c>
      <c r="Z3011" s="54" t="s">
        <v>2</v>
      </c>
      <c r="AA3011" s="54" t="s">
        <v>2</v>
      </c>
      <c r="AB3011" s="54" t="s">
        <v>2</v>
      </c>
      <c r="AC3011" s="54" t="s">
        <v>2</v>
      </c>
      <c r="AD3011" s="54" t="s">
        <v>2</v>
      </c>
      <c r="AE3011" s="54" t="s">
        <v>2</v>
      </c>
      <c r="AF3011" s="54" t="s">
        <v>2</v>
      </c>
      <c r="AG3011" s="54" t="s">
        <v>2</v>
      </c>
    </row>
    <row r="3012" ht="15.75" customHeight="1">
      <c r="B3012" s="56"/>
      <c r="U3012" s="46" t="str">
        <f t="array" ref="U3012">IF($D3012="","",IFERROR(_xlfn.XLOOKUP($D3012,'TIR店舗一覧'!$D:$D,'TIR店舗一覧'!$E:$E,""),""))</f>
        <v/>
      </c>
      <c r="V3012" s="54" t="s">
        <v>2</v>
      </c>
      <c r="W3012" s="54" t="s">
        <v>2</v>
      </c>
      <c r="X3012" s="54" t="s">
        <v>2</v>
      </c>
      <c r="Y3012" s="54" t="s">
        <v>2</v>
      </c>
      <c r="Z3012" s="54" t="s">
        <v>2</v>
      </c>
      <c r="AA3012" s="54" t="s">
        <v>2</v>
      </c>
      <c r="AB3012" s="54" t="s">
        <v>2</v>
      </c>
      <c r="AC3012" s="54" t="s">
        <v>2</v>
      </c>
      <c r="AD3012" s="54" t="s">
        <v>2</v>
      </c>
      <c r="AE3012" s="54" t="s">
        <v>2</v>
      </c>
      <c r="AF3012" s="54" t="s">
        <v>2</v>
      </c>
      <c r="AG3012" s="54" t="s">
        <v>2</v>
      </c>
    </row>
    <row r="3013" ht="15.75" customHeight="1">
      <c r="B3013" s="56"/>
      <c r="U3013" s="46" t="str">
        <f t="array" ref="U3013">IF($D3013="","",IFERROR(_xlfn.XLOOKUP($D3013,'TIR店舗一覧'!$D:$D,'TIR店舗一覧'!$E:$E,""),""))</f>
        <v/>
      </c>
      <c r="V3013" s="54" t="s">
        <v>2</v>
      </c>
      <c r="W3013" s="54" t="s">
        <v>2</v>
      </c>
      <c r="X3013" s="54" t="s">
        <v>2</v>
      </c>
      <c r="Y3013" s="54" t="s">
        <v>2</v>
      </c>
      <c r="Z3013" s="54" t="s">
        <v>2</v>
      </c>
      <c r="AA3013" s="54" t="s">
        <v>2</v>
      </c>
      <c r="AB3013" s="54" t="s">
        <v>2</v>
      </c>
      <c r="AC3013" s="54" t="s">
        <v>2</v>
      </c>
      <c r="AD3013" s="54" t="s">
        <v>2</v>
      </c>
      <c r="AE3013" s="54" t="s">
        <v>2</v>
      </c>
      <c r="AF3013" s="54" t="s">
        <v>2</v>
      </c>
      <c r="AG3013" s="54" t="s">
        <v>2</v>
      </c>
    </row>
    <row r="3014" ht="15.75" customHeight="1">
      <c r="B3014" s="56"/>
      <c r="U3014" s="46" t="str">
        <f t="array" ref="U3014">IF($D3014="","",IFERROR(_xlfn.XLOOKUP($D3014,'TIR店舗一覧'!$D:$D,'TIR店舗一覧'!$E:$E,""),""))</f>
        <v/>
      </c>
      <c r="V3014" s="54" t="s">
        <v>2</v>
      </c>
      <c r="W3014" s="54" t="s">
        <v>2</v>
      </c>
      <c r="X3014" s="54" t="s">
        <v>2</v>
      </c>
      <c r="Y3014" s="54" t="s">
        <v>2</v>
      </c>
      <c r="Z3014" s="54" t="s">
        <v>2</v>
      </c>
      <c r="AA3014" s="54" t="s">
        <v>2</v>
      </c>
      <c r="AB3014" s="54" t="s">
        <v>2</v>
      </c>
      <c r="AC3014" s="54" t="s">
        <v>2</v>
      </c>
      <c r="AD3014" s="54" t="s">
        <v>2</v>
      </c>
      <c r="AE3014" s="54" t="s">
        <v>2</v>
      </c>
      <c r="AF3014" s="54" t="s">
        <v>2</v>
      </c>
      <c r="AG3014" s="54" t="s">
        <v>2</v>
      </c>
    </row>
    <row r="3015" ht="15.75" customHeight="1">
      <c r="B3015" s="56"/>
      <c r="U3015" s="46" t="str">
        <f t="array" ref="U3015">IF($D3015="","",IFERROR(_xlfn.XLOOKUP($D3015,'TIR店舗一覧'!$D:$D,'TIR店舗一覧'!$E:$E,""),""))</f>
        <v/>
      </c>
      <c r="V3015" s="54" t="s">
        <v>2</v>
      </c>
      <c r="W3015" s="54" t="s">
        <v>2</v>
      </c>
      <c r="X3015" s="54" t="s">
        <v>2</v>
      </c>
      <c r="Y3015" s="54" t="s">
        <v>2</v>
      </c>
      <c r="Z3015" s="54" t="s">
        <v>2</v>
      </c>
      <c r="AA3015" s="54" t="s">
        <v>2</v>
      </c>
      <c r="AB3015" s="54" t="s">
        <v>2</v>
      </c>
      <c r="AC3015" s="54" t="s">
        <v>2</v>
      </c>
      <c r="AD3015" s="54" t="s">
        <v>2</v>
      </c>
      <c r="AE3015" s="54" t="s">
        <v>2</v>
      </c>
      <c r="AF3015" s="54" t="s">
        <v>2</v>
      </c>
      <c r="AG3015" s="54" t="s">
        <v>2</v>
      </c>
    </row>
    <row r="3016" ht="15.75" customHeight="1">
      <c r="B3016" s="56"/>
      <c r="U3016" s="46" t="str">
        <f t="array" ref="U3016">IF($D3016="","",IFERROR(_xlfn.XLOOKUP($D3016,'TIR店舗一覧'!$D:$D,'TIR店舗一覧'!$E:$E,""),""))</f>
        <v/>
      </c>
      <c r="V3016" s="54" t="s">
        <v>2</v>
      </c>
      <c r="W3016" s="54" t="s">
        <v>2</v>
      </c>
      <c r="X3016" s="54" t="s">
        <v>2</v>
      </c>
      <c r="Y3016" s="54" t="s">
        <v>2</v>
      </c>
      <c r="Z3016" s="54" t="s">
        <v>2</v>
      </c>
      <c r="AA3016" s="54" t="s">
        <v>2</v>
      </c>
      <c r="AB3016" s="54" t="s">
        <v>2</v>
      </c>
      <c r="AC3016" s="54" t="s">
        <v>2</v>
      </c>
      <c r="AD3016" s="54" t="s">
        <v>2</v>
      </c>
      <c r="AE3016" s="54" t="s">
        <v>2</v>
      </c>
      <c r="AF3016" s="54" t="s">
        <v>2</v>
      </c>
      <c r="AG3016" s="54" t="s">
        <v>2</v>
      </c>
    </row>
    <row r="3017" ht="15.75" customHeight="1">
      <c r="B3017" s="56"/>
      <c r="U3017" s="46" t="str">
        <f t="array" ref="U3017">IF($D3017="","",IFERROR(_xlfn.XLOOKUP($D3017,'TIR店舗一覧'!$D:$D,'TIR店舗一覧'!$E:$E,""),""))</f>
        <v/>
      </c>
      <c r="V3017" s="54" t="s">
        <v>2</v>
      </c>
      <c r="W3017" s="54" t="s">
        <v>2</v>
      </c>
      <c r="X3017" s="54" t="s">
        <v>2</v>
      </c>
      <c r="Y3017" s="54" t="s">
        <v>2</v>
      </c>
      <c r="Z3017" s="54" t="s">
        <v>2</v>
      </c>
      <c r="AA3017" s="54" t="s">
        <v>2</v>
      </c>
      <c r="AB3017" s="54" t="s">
        <v>2</v>
      </c>
      <c r="AC3017" s="54" t="s">
        <v>2</v>
      </c>
      <c r="AD3017" s="54" t="s">
        <v>2</v>
      </c>
      <c r="AE3017" s="54" t="s">
        <v>2</v>
      </c>
      <c r="AF3017" s="54" t="s">
        <v>2</v>
      </c>
      <c r="AG3017" s="54" t="s">
        <v>2</v>
      </c>
    </row>
    <row r="3018" ht="15.75" customHeight="1">
      <c r="B3018" s="56"/>
      <c r="U3018" s="46" t="str">
        <f t="array" ref="U3018">IF($D3018="","",IFERROR(_xlfn.XLOOKUP($D3018,'TIR店舗一覧'!$D:$D,'TIR店舗一覧'!$E:$E,""),""))</f>
        <v/>
      </c>
      <c r="V3018" s="54" t="s">
        <v>2</v>
      </c>
      <c r="W3018" s="54" t="s">
        <v>2</v>
      </c>
      <c r="X3018" s="54" t="s">
        <v>2</v>
      </c>
      <c r="Y3018" s="54" t="s">
        <v>2</v>
      </c>
      <c r="Z3018" s="54" t="s">
        <v>2</v>
      </c>
      <c r="AA3018" s="54" t="s">
        <v>2</v>
      </c>
      <c r="AB3018" s="54" t="s">
        <v>2</v>
      </c>
      <c r="AC3018" s="54" t="s">
        <v>2</v>
      </c>
      <c r="AD3018" s="54" t="s">
        <v>2</v>
      </c>
      <c r="AE3018" s="54" t="s">
        <v>2</v>
      </c>
      <c r="AF3018" s="54" t="s">
        <v>2</v>
      </c>
      <c r="AG3018" s="54" t="s">
        <v>2</v>
      </c>
    </row>
    <row r="3019" ht="15.75" customHeight="1">
      <c r="B3019" s="56"/>
      <c r="U3019" s="46" t="str">
        <f t="array" ref="U3019">IF($D3019="","",IFERROR(_xlfn.XLOOKUP($D3019,'TIR店舗一覧'!$D:$D,'TIR店舗一覧'!$E:$E,""),""))</f>
        <v/>
      </c>
      <c r="V3019" s="54" t="s">
        <v>2</v>
      </c>
      <c r="W3019" s="54" t="s">
        <v>2</v>
      </c>
      <c r="X3019" s="54" t="s">
        <v>2</v>
      </c>
      <c r="Y3019" s="54" t="s">
        <v>2</v>
      </c>
      <c r="Z3019" s="54" t="s">
        <v>2</v>
      </c>
      <c r="AA3019" s="54" t="s">
        <v>2</v>
      </c>
      <c r="AB3019" s="54" t="s">
        <v>2</v>
      </c>
      <c r="AC3019" s="54" t="s">
        <v>2</v>
      </c>
      <c r="AD3019" s="54" t="s">
        <v>2</v>
      </c>
      <c r="AE3019" s="54" t="s">
        <v>2</v>
      </c>
      <c r="AF3019" s="54" t="s">
        <v>2</v>
      </c>
      <c r="AG3019" s="54" t="s">
        <v>2</v>
      </c>
    </row>
    <row r="3020" ht="15.75" customHeight="1">
      <c r="B3020" s="56"/>
      <c r="U3020" s="46" t="str">
        <f t="array" ref="U3020">IF($D3020="","",IFERROR(_xlfn.XLOOKUP($D3020,'TIR店舗一覧'!$D:$D,'TIR店舗一覧'!$E:$E,""),""))</f>
        <v/>
      </c>
      <c r="V3020" s="54" t="s">
        <v>2</v>
      </c>
      <c r="W3020" s="54" t="s">
        <v>2</v>
      </c>
      <c r="X3020" s="54" t="s">
        <v>2</v>
      </c>
      <c r="Y3020" s="54" t="s">
        <v>2</v>
      </c>
      <c r="Z3020" s="54" t="s">
        <v>2</v>
      </c>
      <c r="AA3020" s="54" t="s">
        <v>2</v>
      </c>
      <c r="AB3020" s="54" t="s">
        <v>2</v>
      </c>
      <c r="AC3020" s="54" t="s">
        <v>2</v>
      </c>
      <c r="AD3020" s="54" t="s">
        <v>2</v>
      </c>
      <c r="AE3020" s="54" t="s">
        <v>2</v>
      </c>
      <c r="AF3020" s="54" t="s">
        <v>2</v>
      </c>
      <c r="AG3020" s="54" t="s">
        <v>2</v>
      </c>
    </row>
    <row r="3021" ht="15.75" customHeight="1">
      <c r="B3021" s="56"/>
      <c r="U3021" s="46" t="str">
        <f t="array" ref="U3021">IF($D3021="","",IFERROR(_xlfn.XLOOKUP($D3021,'TIR店舗一覧'!$D:$D,'TIR店舗一覧'!$E:$E,""),""))</f>
        <v/>
      </c>
      <c r="V3021" s="54" t="s">
        <v>2</v>
      </c>
      <c r="W3021" s="54" t="s">
        <v>2</v>
      </c>
      <c r="X3021" s="54" t="s">
        <v>2</v>
      </c>
      <c r="Y3021" s="54" t="s">
        <v>2</v>
      </c>
      <c r="Z3021" s="54" t="s">
        <v>2</v>
      </c>
      <c r="AA3021" s="54" t="s">
        <v>2</v>
      </c>
      <c r="AB3021" s="54" t="s">
        <v>2</v>
      </c>
      <c r="AC3021" s="54" t="s">
        <v>2</v>
      </c>
      <c r="AD3021" s="54" t="s">
        <v>2</v>
      </c>
      <c r="AE3021" s="54" t="s">
        <v>2</v>
      </c>
      <c r="AF3021" s="54" t="s">
        <v>2</v>
      </c>
      <c r="AG3021" s="54" t="s">
        <v>2</v>
      </c>
    </row>
    <row r="3022" ht="15.75" customHeight="1">
      <c r="B3022" s="56"/>
      <c r="U3022" s="46" t="str">
        <f t="array" ref="U3022">IF($D3022="","",IFERROR(_xlfn.XLOOKUP($D3022,'TIR店舗一覧'!$D:$D,'TIR店舗一覧'!$E:$E,""),""))</f>
        <v/>
      </c>
      <c r="V3022" s="54" t="s">
        <v>2</v>
      </c>
      <c r="W3022" s="54" t="s">
        <v>2</v>
      </c>
      <c r="X3022" s="54" t="s">
        <v>2</v>
      </c>
      <c r="Y3022" s="54" t="s">
        <v>2</v>
      </c>
      <c r="Z3022" s="54" t="s">
        <v>2</v>
      </c>
      <c r="AA3022" s="54" t="s">
        <v>2</v>
      </c>
      <c r="AB3022" s="54" t="s">
        <v>2</v>
      </c>
      <c r="AC3022" s="54" t="s">
        <v>2</v>
      </c>
      <c r="AD3022" s="54" t="s">
        <v>2</v>
      </c>
      <c r="AE3022" s="54" t="s">
        <v>2</v>
      </c>
      <c r="AF3022" s="54" t="s">
        <v>2</v>
      </c>
      <c r="AG3022" s="54" t="s">
        <v>2</v>
      </c>
    </row>
    <row r="3023" ht="15.75" customHeight="1">
      <c r="B3023" s="56"/>
      <c r="U3023" s="46" t="str">
        <f t="array" ref="U3023">IF($D3023="","",IFERROR(_xlfn.XLOOKUP($D3023,'TIR店舗一覧'!$D:$D,'TIR店舗一覧'!$E:$E,""),""))</f>
        <v/>
      </c>
      <c r="V3023" s="54" t="s">
        <v>2</v>
      </c>
      <c r="W3023" s="54" t="s">
        <v>2</v>
      </c>
      <c r="X3023" s="54" t="s">
        <v>2</v>
      </c>
      <c r="Y3023" s="54" t="s">
        <v>2</v>
      </c>
      <c r="Z3023" s="54" t="s">
        <v>2</v>
      </c>
      <c r="AA3023" s="54" t="s">
        <v>2</v>
      </c>
      <c r="AB3023" s="54" t="s">
        <v>2</v>
      </c>
      <c r="AC3023" s="54" t="s">
        <v>2</v>
      </c>
      <c r="AD3023" s="54" t="s">
        <v>2</v>
      </c>
      <c r="AE3023" s="54" t="s">
        <v>2</v>
      </c>
      <c r="AF3023" s="54" t="s">
        <v>2</v>
      </c>
      <c r="AG3023" s="54" t="s">
        <v>2</v>
      </c>
    </row>
    <row r="3024" ht="15.75" customHeight="1">
      <c r="B3024" s="56"/>
      <c r="U3024" s="46" t="str">
        <f t="array" ref="U3024">IF($D3024="","",IFERROR(_xlfn.XLOOKUP($D3024,'TIR店舗一覧'!$D:$D,'TIR店舗一覧'!$E:$E,""),""))</f>
        <v/>
      </c>
      <c r="V3024" s="54" t="s">
        <v>2</v>
      </c>
      <c r="W3024" s="54" t="s">
        <v>2</v>
      </c>
      <c r="X3024" s="54" t="s">
        <v>2</v>
      </c>
      <c r="Y3024" s="54" t="s">
        <v>2</v>
      </c>
      <c r="Z3024" s="54" t="s">
        <v>2</v>
      </c>
      <c r="AA3024" s="54" t="s">
        <v>2</v>
      </c>
      <c r="AB3024" s="54" t="s">
        <v>2</v>
      </c>
      <c r="AC3024" s="54" t="s">
        <v>2</v>
      </c>
      <c r="AD3024" s="54" t="s">
        <v>2</v>
      </c>
      <c r="AE3024" s="54" t="s">
        <v>2</v>
      </c>
      <c r="AF3024" s="54" t="s">
        <v>2</v>
      </c>
      <c r="AG3024" s="54" t="s">
        <v>2</v>
      </c>
    </row>
    <row r="3025" ht="15.75" customHeight="1">
      <c r="B3025" s="56"/>
      <c r="U3025" s="46" t="str">
        <f t="array" ref="U3025">IF($D3025="","",IFERROR(_xlfn.XLOOKUP($D3025,'TIR店舗一覧'!$D:$D,'TIR店舗一覧'!$E:$E,""),""))</f>
        <v/>
      </c>
      <c r="V3025" s="54" t="s">
        <v>2</v>
      </c>
      <c r="W3025" s="54" t="s">
        <v>2</v>
      </c>
      <c r="X3025" s="54" t="s">
        <v>2</v>
      </c>
      <c r="Y3025" s="54" t="s">
        <v>2</v>
      </c>
      <c r="Z3025" s="54" t="s">
        <v>2</v>
      </c>
      <c r="AA3025" s="54" t="s">
        <v>2</v>
      </c>
      <c r="AB3025" s="54" t="s">
        <v>2</v>
      </c>
      <c r="AC3025" s="54" t="s">
        <v>2</v>
      </c>
      <c r="AD3025" s="54" t="s">
        <v>2</v>
      </c>
      <c r="AE3025" s="54" t="s">
        <v>2</v>
      </c>
      <c r="AF3025" s="54" t="s">
        <v>2</v>
      </c>
      <c r="AG3025" s="54" t="s">
        <v>2</v>
      </c>
    </row>
    <row r="3026" ht="15.75" customHeight="1">
      <c r="B3026" s="56"/>
      <c r="U3026" s="46" t="str">
        <f t="array" ref="U3026">IF($D3026="","",IFERROR(_xlfn.XLOOKUP($D3026,'TIR店舗一覧'!$D:$D,'TIR店舗一覧'!$E:$E,""),""))</f>
        <v/>
      </c>
      <c r="V3026" s="54" t="s">
        <v>2</v>
      </c>
      <c r="W3026" s="54" t="s">
        <v>2</v>
      </c>
      <c r="X3026" s="54" t="s">
        <v>2</v>
      </c>
      <c r="Y3026" s="54" t="s">
        <v>2</v>
      </c>
      <c r="Z3026" s="54" t="s">
        <v>2</v>
      </c>
      <c r="AA3026" s="54" t="s">
        <v>2</v>
      </c>
      <c r="AB3026" s="54" t="s">
        <v>2</v>
      </c>
      <c r="AC3026" s="54" t="s">
        <v>2</v>
      </c>
      <c r="AD3026" s="54" t="s">
        <v>2</v>
      </c>
      <c r="AE3026" s="54" t="s">
        <v>2</v>
      </c>
      <c r="AF3026" s="54" t="s">
        <v>2</v>
      </c>
      <c r="AG3026" s="54" t="s">
        <v>2</v>
      </c>
    </row>
    <row r="3027" ht="15.75" customHeight="1">
      <c r="B3027" s="56"/>
      <c r="U3027" s="46" t="str">
        <f t="array" ref="U3027">IF($D3027="","",IFERROR(_xlfn.XLOOKUP($D3027,'TIR店舗一覧'!$D:$D,'TIR店舗一覧'!$E:$E,""),""))</f>
        <v/>
      </c>
      <c r="V3027" s="54" t="s">
        <v>2</v>
      </c>
      <c r="W3027" s="54" t="s">
        <v>2</v>
      </c>
      <c r="X3027" s="54" t="s">
        <v>2</v>
      </c>
      <c r="Y3027" s="54" t="s">
        <v>2</v>
      </c>
      <c r="Z3027" s="54" t="s">
        <v>2</v>
      </c>
      <c r="AA3027" s="54" t="s">
        <v>2</v>
      </c>
      <c r="AB3027" s="54" t="s">
        <v>2</v>
      </c>
      <c r="AC3027" s="54" t="s">
        <v>2</v>
      </c>
      <c r="AD3027" s="54" t="s">
        <v>2</v>
      </c>
      <c r="AE3027" s="54" t="s">
        <v>2</v>
      </c>
      <c r="AF3027" s="54" t="s">
        <v>2</v>
      </c>
      <c r="AG3027" s="54" t="s">
        <v>2</v>
      </c>
    </row>
    <row r="3028" ht="15.75" customHeight="1">
      <c r="B3028" s="56"/>
      <c r="U3028" s="46" t="str">
        <f t="array" ref="U3028">IF($D3028="","",IFERROR(_xlfn.XLOOKUP($D3028,'TIR店舗一覧'!$D:$D,'TIR店舗一覧'!$E:$E,""),""))</f>
        <v/>
      </c>
      <c r="V3028" s="54" t="s">
        <v>2</v>
      </c>
      <c r="W3028" s="54" t="s">
        <v>2</v>
      </c>
      <c r="X3028" s="54" t="s">
        <v>2</v>
      </c>
      <c r="Y3028" s="54" t="s">
        <v>2</v>
      </c>
      <c r="Z3028" s="54" t="s">
        <v>2</v>
      </c>
      <c r="AA3028" s="54" t="s">
        <v>2</v>
      </c>
      <c r="AB3028" s="54" t="s">
        <v>2</v>
      </c>
      <c r="AC3028" s="54" t="s">
        <v>2</v>
      </c>
      <c r="AD3028" s="54" t="s">
        <v>2</v>
      </c>
      <c r="AE3028" s="54" t="s">
        <v>2</v>
      </c>
      <c r="AF3028" s="54" t="s">
        <v>2</v>
      </c>
      <c r="AG3028" s="54" t="s">
        <v>2</v>
      </c>
    </row>
    <row r="3029" ht="15.75" customHeight="1">
      <c r="B3029" s="56"/>
      <c r="U3029" s="46" t="str">
        <f t="array" ref="U3029">IF($D3029="","",IFERROR(_xlfn.XLOOKUP($D3029,'TIR店舗一覧'!$D:$D,'TIR店舗一覧'!$E:$E,""),""))</f>
        <v/>
      </c>
      <c r="V3029" s="54" t="s">
        <v>2</v>
      </c>
      <c r="W3029" s="54" t="s">
        <v>2</v>
      </c>
      <c r="X3029" s="54" t="s">
        <v>2</v>
      </c>
      <c r="Y3029" s="54" t="s">
        <v>2</v>
      </c>
      <c r="Z3029" s="54" t="s">
        <v>2</v>
      </c>
      <c r="AA3029" s="54" t="s">
        <v>2</v>
      </c>
      <c r="AB3029" s="54" t="s">
        <v>2</v>
      </c>
      <c r="AC3029" s="54" t="s">
        <v>2</v>
      </c>
      <c r="AD3029" s="54" t="s">
        <v>2</v>
      </c>
      <c r="AE3029" s="54" t="s">
        <v>2</v>
      </c>
      <c r="AF3029" s="54" t="s">
        <v>2</v>
      </c>
      <c r="AG3029" s="54" t="s">
        <v>2</v>
      </c>
    </row>
    <row r="3030" ht="15.75" customHeight="1">
      <c r="B3030" s="56"/>
      <c r="U3030" s="46" t="str">
        <f t="array" ref="U3030">IF($D3030="","",IFERROR(_xlfn.XLOOKUP($D3030,'TIR店舗一覧'!$D:$D,'TIR店舗一覧'!$E:$E,""),""))</f>
        <v/>
      </c>
      <c r="V3030" s="54" t="s">
        <v>2</v>
      </c>
      <c r="W3030" s="54" t="s">
        <v>2</v>
      </c>
      <c r="X3030" s="54" t="s">
        <v>2</v>
      </c>
      <c r="Y3030" s="54" t="s">
        <v>2</v>
      </c>
      <c r="Z3030" s="54" t="s">
        <v>2</v>
      </c>
      <c r="AA3030" s="54" t="s">
        <v>2</v>
      </c>
      <c r="AB3030" s="54" t="s">
        <v>2</v>
      </c>
      <c r="AC3030" s="54" t="s">
        <v>2</v>
      </c>
      <c r="AD3030" s="54" t="s">
        <v>2</v>
      </c>
      <c r="AE3030" s="54" t="s">
        <v>2</v>
      </c>
      <c r="AF3030" s="54" t="s">
        <v>2</v>
      </c>
      <c r="AG3030" s="54" t="s">
        <v>2</v>
      </c>
    </row>
    <row r="3031" ht="15.75" customHeight="1">
      <c r="B3031" s="56"/>
      <c r="U3031" s="46" t="str">
        <f t="array" ref="U3031">IF($D3031="","",IFERROR(_xlfn.XLOOKUP($D3031,'TIR店舗一覧'!$D:$D,'TIR店舗一覧'!$E:$E,""),""))</f>
        <v/>
      </c>
      <c r="V3031" s="54" t="s">
        <v>2</v>
      </c>
      <c r="W3031" s="54" t="s">
        <v>2</v>
      </c>
      <c r="X3031" s="54" t="s">
        <v>2</v>
      </c>
      <c r="Y3031" s="54" t="s">
        <v>2</v>
      </c>
      <c r="Z3031" s="54" t="s">
        <v>2</v>
      </c>
      <c r="AA3031" s="54" t="s">
        <v>2</v>
      </c>
      <c r="AB3031" s="54" t="s">
        <v>2</v>
      </c>
      <c r="AC3031" s="54" t="s">
        <v>2</v>
      </c>
      <c r="AD3031" s="54" t="s">
        <v>2</v>
      </c>
      <c r="AE3031" s="54" t="s">
        <v>2</v>
      </c>
      <c r="AF3031" s="54" t="s">
        <v>2</v>
      </c>
      <c r="AG3031" s="54" t="s">
        <v>2</v>
      </c>
    </row>
    <row r="3032" ht="15.75" customHeight="1">
      <c r="B3032" s="56"/>
      <c r="U3032" s="46" t="str">
        <f t="array" ref="U3032">IF($D3032="","",IFERROR(_xlfn.XLOOKUP($D3032,'TIR店舗一覧'!$D:$D,'TIR店舗一覧'!$E:$E,""),""))</f>
        <v/>
      </c>
      <c r="V3032" s="54" t="s">
        <v>2</v>
      </c>
      <c r="W3032" s="54" t="s">
        <v>2</v>
      </c>
      <c r="X3032" s="54" t="s">
        <v>2</v>
      </c>
      <c r="Y3032" s="54" t="s">
        <v>2</v>
      </c>
      <c r="Z3032" s="54" t="s">
        <v>2</v>
      </c>
      <c r="AA3032" s="54" t="s">
        <v>2</v>
      </c>
      <c r="AB3032" s="54" t="s">
        <v>2</v>
      </c>
      <c r="AC3032" s="54" t="s">
        <v>2</v>
      </c>
      <c r="AD3032" s="54" t="s">
        <v>2</v>
      </c>
      <c r="AE3032" s="54" t="s">
        <v>2</v>
      </c>
      <c r="AF3032" s="54" t="s">
        <v>2</v>
      </c>
      <c r="AG3032" s="54" t="s">
        <v>2</v>
      </c>
    </row>
    <row r="3033" ht="15.75" customHeight="1">
      <c r="B3033" s="56"/>
      <c r="U3033" s="46" t="str">
        <f t="array" ref="U3033">IF($D3033="","",IFERROR(_xlfn.XLOOKUP($D3033,'TIR店舗一覧'!$D:$D,'TIR店舗一覧'!$E:$E,""),""))</f>
        <v/>
      </c>
      <c r="V3033" s="54" t="s">
        <v>2</v>
      </c>
      <c r="W3033" s="54" t="s">
        <v>2</v>
      </c>
      <c r="X3033" s="54" t="s">
        <v>2</v>
      </c>
      <c r="Y3033" s="54" t="s">
        <v>2</v>
      </c>
      <c r="Z3033" s="54" t="s">
        <v>2</v>
      </c>
      <c r="AA3033" s="54" t="s">
        <v>2</v>
      </c>
      <c r="AB3033" s="54" t="s">
        <v>2</v>
      </c>
      <c r="AC3033" s="54" t="s">
        <v>2</v>
      </c>
      <c r="AD3033" s="54" t="s">
        <v>2</v>
      </c>
      <c r="AE3033" s="54" t="s">
        <v>2</v>
      </c>
      <c r="AF3033" s="54" t="s">
        <v>2</v>
      </c>
      <c r="AG3033" s="54" t="s">
        <v>2</v>
      </c>
    </row>
    <row r="3034" ht="15.75" customHeight="1">
      <c r="B3034" s="56"/>
      <c r="U3034" s="46" t="str">
        <f t="array" ref="U3034">IF($D3034="","",IFERROR(_xlfn.XLOOKUP($D3034,'TIR店舗一覧'!$D:$D,'TIR店舗一覧'!$E:$E,""),""))</f>
        <v/>
      </c>
      <c r="V3034" s="54" t="s">
        <v>2</v>
      </c>
      <c r="W3034" s="54" t="s">
        <v>2</v>
      </c>
      <c r="X3034" s="54" t="s">
        <v>2</v>
      </c>
      <c r="Y3034" s="54" t="s">
        <v>2</v>
      </c>
      <c r="Z3034" s="54" t="s">
        <v>2</v>
      </c>
      <c r="AA3034" s="54" t="s">
        <v>2</v>
      </c>
      <c r="AB3034" s="54" t="s">
        <v>2</v>
      </c>
      <c r="AC3034" s="54" t="s">
        <v>2</v>
      </c>
      <c r="AD3034" s="54" t="s">
        <v>2</v>
      </c>
      <c r="AE3034" s="54" t="s">
        <v>2</v>
      </c>
      <c r="AF3034" s="54" t="s">
        <v>2</v>
      </c>
      <c r="AG3034" s="54" t="s">
        <v>2</v>
      </c>
    </row>
    <row r="3035" ht="15.75" customHeight="1">
      <c r="B3035" s="56"/>
      <c r="U3035" s="46" t="str">
        <f t="array" ref="U3035">IF($D3035="","",IFERROR(_xlfn.XLOOKUP($D3035,'TIR店舗一覧'!$D:$D,'TIR店舗一覧'!$E:$E,""),""))</f>
        <v/>
      </c>
      <c r="V3035" s="54" t="s">
        <v>2</v>
      </c>
      <c r="W3035" s="54" t="s">
        <v>2</v>
      </c>
      <c r="X3035" s="54" t="s">
        <v>2</v>
      </c>
      <c r="Y3035" s="54" t="s">
        <v>2</v>
      </c>
      <c r="Z3035" s="54" t="s">
        <v>2</v>
      </c>
      <c r="AA3035" s="54" t="s">
        <v>2</v>
      </c>
      <c r="AB3035" s="54" t="s">
        <v>2</v>
      </c>
      <c r="AC3035" s="54" t="s">
        <v>2</v>
      </c>
      <c r="AD3035" s="54" t="s">
        <v>2</v>
      </c>
      <c r="AE3035" s="54" t="s">
        <v>2</v>
      </c>
      <c r="AF3035" s="54" t="s">
        <v>2</v>
      </c>
      <c r="AG3035" s="54" t="s">
        <v>2</v>
      </c>
    </row>
    <row r="3036" ht="15.75" customHeight="1">
      <c r="B3036" s="56"/>
      <c r="U3036" s="46" t="str">
        <f t="array" ref="U3036">IF($D3036="","",IFERROR(_xlfn.XLOOKUP($D3036,'TIR店舗一覧'!$D:$D,'TIR店舗一覧'!$E:$E,""),""))</f>
        <v/>
      </c>
      <c r="V3036" s="54" t="s">
        <v>2</v>
      </c>
      <c r="W3036" s="54" t="s">
        <v>2</v>
      </c>
      <c r="X3036" s="54" t="s">
        <v>2</v>
      </c>
      <c r="Y3036" s="54" t="s">
        <v>2</v>
      </c>
      <c r="Z3036" s="54" t="s">
        <v>2</v>
      </c>
      <c r="AA3036" s="54" t="s">
        <v>2</v>
      </c>
      <c r="AB3036" s="54" t="s">
        <v>2</v>
      </c>
      <c r="AC3036" s="54" t="s">
        <v>2</v>
      </c>
      <c r="AD3036" s="54" t="s">
        <v>2</v>
      </c>
      <c r="AE3036" s="54" t="s">
        <v>2</v>
      </c>
      <c r="AF3036" s="54" t="s">
        <v>2</v>
      </c>
      <c r="AG3036" s="54" t="s">
        <v>2</v>
      </c>
    </row>
    <row r="3037" ht="15.75" customHeight="1">
      <c r="B3037" s="56"/>
      <c r="U3037" s="46" t="str">
        <f t="array" ref="U3037">IF($D3037="","",IFERROR(_xlfn.XLOOKUP($D3037,'TIR店舗一覧'!$D:$D,'TIR店舗一覧'!$E:$E,""),""))</f>
        <v/>
      </c>
      <c r="V3037" s="54" t="s">
        <v>2</v>
      </c>
      <c r="W3037" s="54" t="s">
        <v>2</v>
      </c>
      <c r="X3037" s="54" t="s">
        <v>2</v>
      </c>
      <c r="Y3037" s="54" t="s">
        <v>2</v>
      </c>
      <c r="Z3037" s="54" t="s">
        <v>2</v>
      </c>
      <c r="AA3037" s="54" t="s">
        <v>2</v>
      </c>
      <c r="AB3037" s="54" t="s">
        <v>2</v>
      </c>
      <c r="AC3037" s="54" t="s">
        <v>2</v>
      </c>
      <c r="AD3037" s="54" t="s">
        <v>2</v>
      </c>
      <c r="AE3037" s="54" t="s">
        <v>2</v>
      </c>
      <c r="AF3037" s="54" t="s">
        <v>2</v>
      </c>
      <c r="AG3037" s="54" t="s">
        <v>2</v>
      </c>
    </row>
    <row r="3038" ht="15.75" customHeight="1">
      <c r="B3038" s="56"/>
      <c r="U3038" s="46" t="str">
        <f t="array" ref="U3038">IF($D3038="","",IFERROR(_xlfn.XLOOKUP($D3038,'TIR店舗一覧'!$D:$D,'TIR店舗一覧'!$E:$E,""),""))</f>
        <v/>
      </c>
      <c r="V3038" s="54" t="s">
        <v>2</v>
      </c>
      <c r="W3038" s="54" t="s">
        <v>2</v>
      </c>
      <c r="X3038" s="54" t="s">
        <v>2</v>
      </c>
      <c r="Y3038" s="54" t="s">
        <v>2</v>
      </c>
      <c r="Z3038" s="54" t="s">
        <v>2</v>
      </c>
      <c r="AA3038" s="54" t="s">
        <v>2</v>
      </c>
      <c r="AB3038" s="54" t="s">
        <v>2</v>
      </c>
      <c r="AC3038" s="54" t="s">
        <v>2</v>
      </c>
      <c r="AD3038" s="54" t="s">
        <v>2</v>
      </c>
      <c r="AE3038" s="54" t="s">
        <v>2</v>
      </c>
      <c r="AF3038" s="54" t="s">
        <v>2</v>
      </c>
      <c r="AG3038" s="54" t="s">
        <v>2</v>
      </c>
    </row>
    <row r="3039" ht="15.75" customHeight="1">
      <c r="B3039" s="56"/>
      <c r="U3039" s="46" t="str">
        <f t="array" ref="U3039">IF($D3039="","",IFERROR(_xlfn.XLOOKUP($D3039,'TIR店舗一覧'!$D:$D,'TIR店舗一覧'!$E:$E,""),""))</f>
        <v/>
      </c>
      <c r="V3039" s="54" t="s">
        <v>2</v>
      </c>
      <c r="W3039" s="54" t="s">
        <v>2</v>
      </c>
      <c r="X3039" s="54" t="s">
        <v>2</v>
      </c>
      <c r="Y3039" s="54" t="s">
        <v>2</v>
      </c>
      <c r="Z3039" s="54" t="s">
        <v>2</v>
      </c>
      <c r="AA3039" s="54" t="s">
        <v>2</v>
      </c>
      <c r="AB3039" s="54" t="s">
        <v>2</v>
      </c>
      <c r="AC3039" s="54" t="s">
        <v>2</v>
      </c>
      <c r="AD3039" s="54" t="s">
        <v>2</v>
      </c>
      <c r="AE3039" s="54" t="s">
        <v>2</v>
      </c>
      <c r="AF3039" s="54" t="s">
        <v>2</v>
      </c>
      <c r="AG3039" s="54" t="s">
        <v>2</v>
      </c>
    </row>
    <row r="3040" ht="15.75" customHeight="1">
      <c r="B3040" s="56"/>
      <c r="U3040" s="46" t="str">
        <f t="array" ref="U3040">IF($D3040="","",IFERROR(_xlfn.XLOOKUP($D3040,'TIR店舗一覧'!$D:$D,'TIR店舗一覧'!$E:$E,""),""))</f>
        <v/>
      </c>
      <c r="V3040" s="54" t="s">
        <v>2</v>
      </c>
      <c r="W3040" s="54" t="s">
        <v>2</v>
      </c>
      <c r="X3040" s="54" t="s">
        <v>2</v>
      </c>
      <c r="Y3040" s="54" t="s">
        <v>2</v>
      </c>
      <c r="Z3040" s="54" t="s">
        <v>2</v>
      </c>
      <c r="AA3040" s="54" t="s">
        <v>2</v>
      </c>
      <c r="AB3040" s="54" t="s">
        <v>2</v>
      </c>
      <c r="AC3040" s="54" t="s">
        <v>2</v>
      </c>
      <c r="AD3040" s="54" t="s">
        <v>2</v>
      </c>
      <c r="AE3040" s="54" t="s">
        <v>2</v>
      </c>
      <c r="AF3040" s="54" t="s">
        <v>2</v>
      </c>
      <c r="AG3040" s="54" t="s">
        <v>2</v>
      </c>
    </row>
    <row r="3041" ht="15.75" customHeight="1">
      <c r="B3041" s="56"/>
      <c r="U3041" s="46" t="str">
        <f t="array" ref="U3041">IF($D3041="","",IFERROR(_xlfn.XLOOKUP($D3041,'TIR店舗一覧'!$D:$D,'TIR店舗一覧'!$E:$E,""),""))</f>
        <v/>
      </c>
      <c r="V3041" s="54" t="s">
        <v>2</v>
      </c>
      <c r="W3041" s="54" t="s">
        <v>2</v>
      </c>
      <c r="X3041" s="54" t="s">
        <v>2</v>
      </c>
      <c r="Y3041" s="54" t="s">
        <v>2</v>
      </c>
      <c r="Z3041" s="54" t="s">
        <v>2</v>
      </c>
      <c r="AA3041" s="54" t="s">
        <v>2</v>
      </c>
      <c r="AB3041" s="54" t="s">
        <v>2</v>
      </c>
      <c r="AC3041" s="54" t="s">
        <v>2</v>
      </c>
      <c r="AD3041" s="54" t="s">
        <v>2</v>
      </c>
      <c r="AE3041" s="54" t="s">
        <v>2</v>
      </c>
      <c r="AF3041" s="54" t="s">
        <v>2</v>
      </c>
      <c r="AG3041" s="54" t="s">
        <v>2</v>
      </c>
    </row>
    <row r="3042" ht="15.75" customHeight="1">
      <c r="B3042" s="56"/>
      <c r="U3042" s="46" t="str">
        <f t="array" ref="U3042">IF($D3042="","",IFERROR(_xlfn.XLOOKUP($D3042,'TIR店舗一覧'!$D:$D,'TIR店舗一覧'!$E:$E,""),""))</f>
        <v/>
      </c>
      <c r="V3042" s="54" t="s">
        <v>2</v>
      </c>
      <c r="W3042" s="54" t="s">
        <v>2</v>
      </c>
      <c r="X3042" s="54" t="s">
        <v>2</v>
      </c>
      <c r="Y3042" s="54" t="s">
        <v>2</v>
      </c>
      <c r="Z3042" s="54" t="s">
        <v>2</v>
      </c>
      <c r="AA3042" s="54" t="s">
        <v>2</v>
      </c>
      <c r="AB3042" s="54" t="s">
        <v>2</v>
      </c>
      <c r="AC3042" s="54" t="s">
        <v>2</v>
      </c>
      <c r="AD3042" s="54" t="s">
        <v>2</v>
      </c>
      <c r="AE3042" s="54" t="s">
        <v>2</v>
      </c>
      <c r="AF3042" s="54" t="s">
        <v>2</v>
      </c>
      <c r="AG3042" s="54" t="s">
        <v>2</v>
      </c>
    </row>
    <row r="3043" ht="15.75" customHeight="1">
      <c r="B3043" s="56"/>
      <c r="U3043" s="46" t="str">
        <f t="array" ref="U3043">IF($D3043="","",IFERROR(_xlfn.XLOOKUP($D3043,'TIR店舗一覧'!$D:$D,'TIR店舗一覧'!$E:$E,""),""))</f>
        <v/>
      </c>
      <c r="V3043" s="54" t="s">
        <v>2</v>
      </c>
      <c r="W3043" s="54" t="s">
        <v>2</v>
      </c>
      <c r="X3043" s="54" t="s">
        <v>2</v>
      </c>
      <c r="Y3043" s="54" t="s">
        <v>2</v>
      </c>
      <c r="Z3043" s="54" t="s">
        <v>2</v>
      </c>
      <c r="AA3043" s="54" t="s">
        <v>2</v>
      </c>
      <c r="AB3043" s="54" t="s">
        <v>2</v>
      </c>
      <c r="AC3043" s="54" t="s">
        <v>2</v>
      </c>
      <c r="AD3043" s="54" t="s">
        <v>2</v>
      </c>
      <c r="AE3043" s="54" t="s">
        <v>2</v>
      </c>
      <c r="AF3043" s="54" t="s">
        <v>2</v>
      </c>
      <c r="AG3043" s="54" t="s">
        <v>2</v>
      </c>
    </row>
    <row r="3044" ht="15.75" customHeight="1">
      <c r="B3044" s="56"/>
      <c r="U3044" s="46" t="str">
        <f t="array" ref="U3044">IF($D3044="","",IFERROR(_xlfn.XLOOKUP($D3044,'TIR店舗一覧'!$D:$D,'TIR店舗一覧'!$E:$E,""),""))</f>
        <v/>
      </c>
      <c r="V3044" s="54" t="s">
        <v>2</v>
      </c>
      <c r="W3044" s="54" t="s">
        <v>2</v>
      </c>
      <c r="X3044" s="54" t="s">
        <v>2</v>
      </c>
      <c r="Y3044" s="54" t="s">
        <v>2</v>
      </c>
      <c r="Z3044" s="54" t="s">
        <v>2</v>
      </c>
      <c r="AA3044" s="54" t="s">
        <v>2</v>
      </c>
      <c r="AB3044" s="54" t="s">
        <v>2</v>
      </c>
      <c r="AC3044" s="54" t="s">
        <v>2</v>
      </c>
      <c r="AD3044" s="54" t="s">
        <v>2</v>
      </c>
      <c r="AE3044" s="54" t="s">
        <v>2</v>
      </c>
      <c r="AF3044" s="54" t="s">
        <v>2</v>
      </c>
      <c r="AG3044" s="54" t="s">
        <v>2</v>
      </c>
    </row>
    <row r="3045" ht="15.75" customHeight="1">
      <c r="B3045" s="56"/>
      <c r="U3045" s="46" t="str">
        <f t="array" ref="U3045">IF($D3045="","",IFERROR(_xlfn.XLOOKUP($D3045,'TIR店舗一覧'!$D:$D,'TIR店舗一覧'!$E:$E,""),""))</f>
        <v/>
      </c>
      <c r="V3045" s="54" t="s">
        <v>2</v>
      </c>
      <c r="W3045" s="54" t="s">
        <v>2</v>
      </c>
      <c r="X3045" s="54" t="s">
        <v>2</v>
      </c>
      <c r="Y3045" s="54" t="s">
        <v>2</v>
      </c>
      <c r="Z3045" s="54" t="s">
        <v>2</v>
      </c>
      <c r="AA3045" s="54" t="s">
        <v>2</v>
      </c>
      <c r="AB3045" s="54" t="s">
        <v>2</v>
      </c>
      <c r="AC3045" s="54" t="s">
        <v>2</v>
      </c>
      <c r="AD3045" s="54" t="s">
        <v>2</v>
      </c>
      <c r="AE3045" s="54" t="s">
        <v>2</v>
      </c>
      <c r="AF3045" s="54" t="s">
        <v>2</v>
      </c>
      <c r="AG3045" s="54" t="s">
        <v>2</v>
      </c>
    </row>
    <row r="3046" ht="15.75" customHeight="1">
      <c r="B3046" s="56"/>
      <c r="U3046" s="46" t="str">
        <f t="array" ref="U3046">IF($D3046="","",IFERROR(_xlfn.XLOOKUP($D3046,'TIR店舗一覧'!$D:$D,'TIR店舗一覧'!$E:$E,""),""))</f>
        <v/>
      </c>
      <c r="V3046" s="54" t="s">
        <v>2</v>
      </c>
      <c r="W3046" s="54" t="s">
        <v>2</v>
      </c>
      <c r="X3046" s="54" t="s">
        <v>2</v>
      </c>
      <c r="Y3046" s="54" t="s">
        <v>2</v>
      </c>
      <c r="Z3046" s="54" t="s">
        <v>2</v>
      </c>
      <c r="AA3046" s="54" t="s">
        <v>2</v>
      </c>
      <c r="AB3046" s="54" t="s">
        <v>2</v>
      </c>
      <c r="AC3046" s="54" t="s">
        <v>2</v>
      </c>
      <c r="AD3046" s="54" t="s">
        <v>2</v>
      </c>
      <c r="AE3046" s="54" t="s">
        <v>2</v>
      </c>
      <c r="AF3046" s="54" t="s">
        <v>2</v>
      </c>
      <c r="AG3046" s="54" t="s">
        <v>2</v>
      </c>
    </row>
    <row r="3047" ht="15.75" customHeight="1">
      <c r="B3047" s="56"/>
      <c r="U3047" s="46" t="str">
        <f t="array" ref="U3047">IF($D3047="","",IFERROR(_xlfn.XLOOKUP($D3047,'TIR店舗一覧'!$D:$D,'TIR店舗一覧'!$E:$E,""),""))</f>
        <v/>
      </c>
      <c r="V3047" s="54" t="s">
        <v>2</v>
      </c>
      <c r="W3047" s="54" t="s">
        <v>2</v>
      </c>
      <c r="X3047" s="54" t="s">
        <v>2</v>
      </c>
      <c r="Y3047" s="54" t="s">
        <v>2</v>
      </c>
      <c r="Z3047" s="54" t="s">
        <v>2</v>
      </c>
      <c r="AA3047" s="54" t="s">
        <v>2</v>
      </c>
      <c r="AB3047" s="54" t="s">
        <v>2</v>
      </c>
      <c r="AC3047" s="54" t="s">
        <v>2</v>
      </c>
      <c r="AD3047" s="54" t="s">
        <v>2</v>
      </c>
      <c r="AE3047" s="54" t="s">
        <v>2</v>
      </c>
      <c r="AF3047" s="54" t="s">
        <v>2</v>
      </c>
      <c r="AG3047" s="54" t="s">
        <v>2</v>
      </c>
    </row>
    <row r="3048" ht="15.75" customHeight="1">
      <c r="B3048" s="56"/>
      <c r="U3048" s="46" t="str">
        <f t="array" ref="U3048">IF($D3048="","",IFERROR(_xlfn.XLOOKUP($D3048,'TIR店舗一覧'!$D:$D,'TIR店舗一覧'!$E:$E,""),""))</f>
        <v/>
      </c>
      <c r="V3048" s="54" t="s">
        <v>2</v>
      </c>
      <c r="W3048" s="54" t="s">
        <v>2</v>
      </c>
      <c r="X3048" s="54" t="s">
        <v>2</v>
      </c>
      <c r="Y3048" s="54" t="s">
        <v>2</v>
      </c>
      <c r="Z3048" s="54" t="s">
        <v>2</v>
      </c>
      <c r="AA3048" s="54" t="s">
        <v>2</v>
      </c>
      <c r="AB3048" s="54" t="s">
        <v>2</v>
      </c>
      <c r="AC3048" s="54" t="s">
        <v>2</v>
      </c>
      <c r="AD3048" s="54" t="s">
        <v>2</v>
      </c>
      <c r="AE3048" s="54" t="s">
        <v>2</v>
      </c>
      <c r="AF3048" s="54" t="s">
        <v>2</v>
      </c>
      <c r="AG3048" s="54" t="s">
        <v>2</v>
      </c>
    </row>
    <row r="3049" ht="15.75" customHeight="1">
      <c r="B3049" s="56"/>
      <c r="U3049" s="46" t="str">
        <f t="array" ref="U3049">IF($D3049="","",IFERROR(_xlfn.XLOOKUP($D3049,'TIR店舗一覧'!$D:$D,'TIR店舗一覧'!$E:$E,""),""))</f>
        <v/>
      </c>
      <c r="V3049" s="54" t="s">
        <v>2</v>
      </c>
      <c r="W3049" s="54" t="s">
        <v>2</v>
      </c>
      <c r="X3049" s="54" t="s">
        <v>2</v>
      </c>
      <c r="Y3049" s="54" t="s">
        <v>2</v>
      </c>
      <c r="Z3049" s="54" t="s">
        <v>2</v>
      </c>
      <c r="AA3049" s="54" t="s">
        <v>2</v>
      </c>
      <c r="AB3049" s="54" t="s">
        <v>2</v>
      </c>
      <c r="AC3049" s="54" t="s">
        <v>2</v>
      </c>
      <c r="AD3049" s="54" t="s">
        <v>2</v>
      </c>
      <c r="AE3049" s="54" t="s">
        <v>2</v>
      </c>
      <c r="AF3049" s="54" t="s">
        <v>2</v>
      </c>
      <c r="AG3049" s="54" t="s">
        <v>2</v>
      </c>
    </row>
    <row r="3050" ht="15.75" customHeight="1">
      <c r="B3050" s="56"/>
      <c r="U3050" s="46" t="str">
        <f t="array" ref="U3050">IF($D3050="","",IFERROR(_xlfn.XLOOKUP($D3050,'TIR店舗一覧'!$D:$D,'TIR店舗一覧'!$E:$E,""),""))</f>
        <v/>
      </c>
      <c r="V3050" s="54" t="s">
        <v>2</v>
      </c>
      <c r="W3050" s="54" t="s">
        <v>2</v>
      </c>
      <c r="X3050" s="54" t="s">
        <v>2</v>
      </c>
      <c r="Y3050" s="54" t="s">
        <v>2</v>
      </c>
      <c r="Z3050" s="54" t="s">
        <v>2</v>
      </c>
      <c r="AA3050" s="54" t="s">
        <v>2</v>
      </c>
      <c r="AB3050" s="54" t="s">
        <v>2</v>
      </c>
      <c r="AC3050" s="54" t="s">
        <v>2</v>
      </c>
      <c r="AD3050" s="54" t="s">
        <v>2</v>
      </c>
      <c r="AE3050" s="54" t="s">
        <v>2</v>
      </c>
      <c r="AF3050" s="54" t="s">
        <v>2</v>
      </c>
      <c r="AG3050" s="54" t="s">
        <v>2</v>
      </c>
    </row>
    <row r="3051" ht="15.75" customHeight="1">
      <c r="B3051" s="56"/>
      <c r="U3051" s="46" t="str">
        <f t="array" ref="U3051">IF($D3051="","",IFERROR(_xlfn.XLOOKUP($D3051,'TIR店舗一覧'!$D:$D,'TIR店舗一覧'!$E:$E,""),""))</f>
        <v/>
      </c>
      <c r="V3051" s="54" t="s">
        <v>2</v>
      </c>
      <c r="W3051" s="54" t="s">
        <v>2</v>
      </c>
      <c r="X3051" s="54" t="s">
        <v>2</v>
      </c>
      <c r="Y3051" s="54" t="s">
        <v>2</v>
      </c>
      <c r="Z3051" s="54" t="s">
        <v>2</v>
      </c>
      <c r="AA3051" s="54" t="s">
        <v>2</v>
      </c>
      <c r="AB3051" s="54" t="s">
        <v>2</v>
      </c>
      <c r="AC3051" s="54" t="s">
        <v>2</v>
      </c>
      <c r="AD3051" s="54" t="s">
        <v>2</v>
      </c>
      <c r="AE3051" s="54" t="s">
        <v>2</v>
      </c>
      <c r="AF3051" s="54" t="s">
        <v>2</v>
      </c>
      <c r="AG3051" s="54" t="s">
        <v>2</v>
      </c>
    </row>
    <row r="3052" ht="15.75" customHeight="1">
      <c r="B3052" s="56"/>
      <c r="U3052" s="46" t="str">
        <f t="array" ref="U3052">IF($D3052="","",IFERROR(_xlfn.XLOOKUP($D3052,'TIR店舗一覧'!$D:$D,'TIR店舗一覧'!$E:$E,""),""))</f>
        <v/>
      </c>
      <c r="V3052" s="54" t="s">
        <v>2</v>
      </c>
      <c r="W3052" s="54" t="s">
        <v>2</v>
      </c>
      <c r="X3052" s="54" t="s">
        <v>2</v>
      </c>
      <c r="Y3052" s="54" t="s">
        <v>2</v>
      </c>
      <c r="Z3052" s="54" t="s">
        <v>2</v>
      </c>
      <c r="AA3052" s="54" t="s">
        <v>2</v>
      </c>
      <c r="AB3052" s="54" t="s">
        <v>2</v>
      </c>
      <c r="AC3052" s="54" t="s">
        <v>2</v>
      </c>
      <c r="AD3052" s="54" t="s">
        <v>2</v>
      </c>
      <c r="AE3052" s="54" t="s">
        <v>2</v>
      </c>
      <c r="AF3052" s="54" t="s">
        <v>2</v>
      </c>
      <c r="AG3052" s="54" t="s">
        <v>2</v>
      </c>
    </row>
    <row r="3053" ht="15.75" customHeight="1">
      <c r="B3053" s="56"/>
      <c r="U3053" s="46" t="str">
        <f t="array" ref="U3053">IF($D3053="","",IFERROR(_xlfn.XLOOKUP($D3053,'TIR店舗一覧'!$D:$D,'TIR店舗一覧'!$E:$E,""),""))</f>
        <v/>
      </c>
      <c r="V3053" s="54" t="s">
        <v>2</v>
      </c>
      <c r="W3053" s="54" t="s">
        <v>2</v>
      </c>
      <c r="X3053" s="54" t="s">
        <v>2</v>
      </c>
      <c r="Y3053" s="54" t="s">
        <v>2</v>
      </c>
      <c r="Z3053" s="54" t="s">
        <v>2</v>
      </c>
      <c r="AA3053" s="54" t="s">
        <v>2</v>
      </c>
      <c r="AB3053" s="54" t="s">
        <v>2</v>
      </c>
      <c r="AC3053" s="54" t="s">
        <v>2</v>
      </c>
      <c r="AD3053" s="54" t="s">
        <v>2</v>
      </c>
      <c r="AE3053" s="54" t="s">
        <v>2</v>
      </c>
      <c r="AF3053" s="54" t="s">
        <v>2</v>
      </c>
      <c r="AG3053" s="54" t="s">
        <v>2</v>
      </c>
    </row>
    <row r="3054" ht="15.75" customHeight="1">
      <c r="B3054" s="56"/>
      <c r="U3054" s="46" t="str">
        <f t="array" ref="U3054">IF($D3054="","",IFERROR(_xlfn.XLOOKUP($D3054,'TIR店舗一覧'!$D:$D,'TIR店舗一覧'!$E:$E,""),""))</f>
        <v/>
      </c>
      <c r="V3054" s="54" t="s">
        <v>2</v>
      </c>
      <c r="W3054" s="54" t="s">
        <v>2</v>
      </c>
      <c r="X3054" s="54" t="s">
        <v>2</v>
      </c>
      <c r="Y3054" s="54" t="s">
        <v>2</v>
      </c>
      <c r="Z3054" s="54" t="s">
        <v>2</v>
      </c>
      <c r="AA3054" s="54" t="s">
        <v>2</v>
      </c>
      <c r="AB3054" s="54" t="s">
        <v>2</v>
      </c>
      <c r="AC3054" s="54" t="s">
        <v>2</v>
      </c>
      <c r="AD3054" s="54" t="s">
        <v>2</v>
      </c>
      <c r="AE3054" s="54" t="s">
        <v>2</v>
      </c>
      <c r="AF3054" s="54" t="s">
        <v>2</v>
      </c>
      <c r="AG3054" s="54" t="s">
        <v>2</v>
      </c>
    </row>
    <row r="3055" ht="15.75" customHeight="1">
      <c r="B3055" s="56"/>
      <c r="U3055" s="46" t="str">
        <f t="array" ref="U3055">IF($D3055="","",IFERROR(_xlfn.XLOOKUP($D3055,'TIR店舗一覧'!$D:$D,'TIR店舗一覧'!$E:$E,""),""))</f>
        <v/>
      </c>
      <c r="V3055" s="54" t="s">
        <v>2</v>
      </c>
      <c r="W3055" s="54" t="s">
        <v>2</v>
      </c>
      <c r="X3055" s="54" t="s">
        <v>2</v>
      </c>
      <c r="Y3055" s="54" t="s">
        <v>2</v>
      </c>
      <c r="Z3055" s="54" t="s">
        <v>2</v>
      </c>
      <c r="AA3055" s="54" t="s">
        <v>2</v>
      </c>
      <c r="AB3055" s="54" t="s">
        <v>2</v>
      </c>
      <c r="AC3055" s="54" t="s">
        <v>2</v>
      </c>
      <c r="AD3055" s="54" t="s">
        <v>2</v>
      </c>
      <c r="AE3055" s="54" t="s">
        <v>2</v>
      </c>
      <c r="AF3055" s="54" t="s">
        <v>2</v>
      </c>
      <c r="AG3055" s="54" t="s">
        <v>2</v>
      </c>
    </row>
    <row r="3056" ht="15.75" customHeight="1">
      <c r="B3056" s="56"/>
      <c r="U3056" s="46" t="str">
        <f t="array" ref="U3056">IF($D3056="","",IFERROR(_xlfn.XLOOKUP($D3056,'TIR店舗一覧'!$D:$D,'TIR店舗一覧'!$E:$E,""),""))</f>
        <v/>
      </c>
      <c r="V3056" s="54" t="s">
        <v>2</v>
      </c>
      <c r="W3056" s="54" t="s">
        <v>2</v>
      </c>
      <c r="X3056" s="54" t="s">
        <v>2</v>
      </c>
      <c r="Y3056" s="54" t="s">
        <v>2</v>
      </c>
      <c r="Z3056" s="54" t="s">
        <v>2</v>
      </c>
      <c r="AA3056" s="54" t="s">
        <v>2</v>
      </c>
      <c r="AB3056" s="54" t="s">
        <v>2</v>
      </c>
      <c r="AC3056" s="54" t="s">
        <v>2</v>
      </c>
      <c r="AD3056" s="54" t="s">
        <v>2</v>
      </c>
      <c r="AE3056" s="54" t="s">
        <v>2</v>
      </c>
      <c r="AF3056" s="54" t="s">
        <v>2</v>
      </c>
      <c r="AG3056" s="54" t="s">
        <v>2</v>
      </c>
    </row>
    <row r="3057" ht="15.75" customHeight="1">
      <c r="B3057" s="56"/>
      <c r="U3057" s="46" t="str">
        <f t="array" ref="U3057">IF($D3057="","",IFERROR(_xlfn.XLOOKUP($D3057,'TIR店舗一覧'!$D:$D,'TIR店舗一覧'!$E:$E,""),""))</f>
        <v/>
      </c>
      <c r="V3057" s="54" t="s">
        <v>2</v>
      </c>
      <c r="W3057" s="54" t="s">
        <v>2</v>
      </c>
      <c r="X3057" s="54" t="s">
        <v>2</v>
      </c>
      <c r="Y3057" s="54" t="s">
        <v>2</v>
      </c>
      <c r="Z3057" s="54" t="s">
        <v>2</v>
      </c>
      <c r="AA3057" s="54" t="s">
        <v>2</v>
      </c>
      <c r="AB3057" s="54" t="s">
        <v>2</v>
      </c>
      <c r="AC3057" s="54" t="s">
        <v>2</v>
      </c>
      <c r="AD3057" s="54" t="s">
        <v>2</v>
      </c>
      <c r="AE3057" s="54" t="s">
        <v>2</v>
      </c>
      <c r="AF3057" s="54" t="s">
        <v>2</v>
      </c>
      <c r="AG3057" s="54" t="s">
        <v>2</v>
      </c>
    </row>
    <row r="3058" ht="15.75" customHeight="1">
      <c r="B3058" s="56"/>
      <c r="U3058" s="46" t="str">
        <f t="array" ref="U3058">IF($D3058="","",IFERROR(_xlfn.XLOOKUP($D3058,'TIR店舗一覧'!$D:$D,'TIR店舗一覧'!$E:$E,""),""))</f>
        <v/>
      </c>
      <c r="V3058" s="54" t="s">
        <v>2</v>
      </c>
      <c r="W3058" s="54" t="s">
        <v>2</v>
      </c>
      <c r="X3058" s="54" t="s">
        <v>2</v>
      </c>
      <c r="Y3058" s="54" t="s">
        <v>2</v>
      </c>
      <c r="Z3058" s="54" t="s">
        <v>2</v>
      </c>
      <c r="AA3058" s="54" t="s">
        <v>2</v>
      </c>
      <c r="AB3058" s="54" t="s">
        <v>2</v>
      </c>
      <c r="AC3058" s="54" t="s">
        <v>2</v>
      </c>
      <c r="AD3058" s="54" t="s">
        <v>2</v>
      </c>
      <c r="AE3058" s="54" t="s">
        <v>2</v>
      </c>
      <c r="AF3058" s="54" t="s">
        <v>2</v>
      </c>
      <c r="AG3058" s="54" t="s">
        <v>2</v>
      </c>
    </row>
    <row r="3059" ht="15.75" customHeight="1">
      <c r="B3059" s="56"/>
      <c r="U3059" s="46" t="str">
        <f t="array" ref="U3059">IF($D3059="","",IFERROR(_xlfn.XLOOKUP($D3059,'TIR店舗一覧'!$D:$D,'TIR店舗一覧'!$E:$E,""),""))</f>
        <v/>
      </c>
      <c r="V3059" s="54" t="s">
        <v>2</v>
      </c>
      <c r="W3059" s="54" t="s">
        <v>2</v>
      </c>
      <c r="X3059" s="54" t="s">
        <v>2</v>
      </c>
      <c r="Y3059" s="54" t="s">
        <v>2</v>
      </c>
      <c r="Z3059" s="54" t="s">
        <v>2</v>
      </c>
      <c r="AA3059" s="54" t="s">
        <v>2</v>
      </c>
      <c r="AB3059" s="54" t="s">
        <v>2</v>
      </c>
      <c r="AC3059" s="54" t="s">
        <v>2</v>
      </c>
      <c r="AD3059" s="54" t="s">
        <v>2</v>
      </c>
      <c r="AE3059" s="54" t="s">
        <v>2</v>
      </c>
      <c r="AF3059" s="54" t="s">
        <v>2</v>
      </c>
      <c r="AG3059" s="54" t="s">
        <v>2</v>
      </c>
    </row>
    <row r="3060" ht="15.75" customHeight="1">
      <c r="B3060" s="56"/>
      <c r="U3060" s="46" t="str">
        <f t="array" ref="U3060">IF($D3060="","",IFERROR(_xlfn.XLOOKUP($D3060,'TIR店舗一覧'!$D:$D,'TIR店舗一覧'!$E:$E,""),""))</f>
        <v/>
      </c>
      <c r="V3060" s="54" t="s">
        <v>2</v>
      </c>
      <c r="W3060" s="54" t="s">
        <v>2</v>
      </c>
      <c r="X3060" s="54" t="s">
        <v>2</v>
      </c>
      <c r="Y3060" s="54" t="s">
        <v>2</v>
      </c>
      <c r="Z3060" s="54" t="s">
        <v>2</v>
      </c>
      <c r="AA3060" s="54" t="s">
        <v>2</v>
      </c>
      <c r="AB3060" s="54" t="s">
        <v>2</v>
      </c>
      <c r="AC3060" s="54" t="s">
        <v>2</v>
      </c>
      <c r="AD3060" s="54" t="s">
        <v>2</v>
      </c>
      <c r="AE3060" s="54" t="s">
        <v>2</v>
      </c>
      <c r="AF3060" s="54" t="s">
        <v>2</v>
      </c>
      <c r="AG3060" s="54" t="s">
        <v>2</v>
      </c>
    </row>
    <row r="3061" ht="15.75" customHeight="1">
      <c r="B3061" s="56"/>
      <c r="U3061" s="46" t="str">
        <f t="array" ref="U3061">IF($D3061="","",IFERROR(_xlfn.XLOOKUP($D3061,'TIR店舗一覧'!$D:$D,'TIR店舗一覧'!$E:$E,""),""))</f>
        <v/>
      </c>
      <c r="V3061" s="54" t="s">
        <v>2</v>
      </c>
      <c r="W3061" s="54" t="s">
        <v>2</v>
      </c>
      <c r="X3061" s="54" t="s">
        <v>2</v>
      </c>
      <c r="Y3061" s="54" t="s">
        <v>2</v>
      </c>
      <c r="Z3061" s="54" t="s">
        <v>2</v>
      </c>
      <c r="AA3061" s="54" t="s">
        <v>2</v>
      </c>
      <c r="AB3061" s="54" t="s">
        <v>2</v>
      </c>
      <c r="AC3061" s="54" t="s">
        <v>2</v>
      </c>
      <c r="AD3061" s="54" t="s">
        <v>2</v>
      </c>
      <c r="AE3061" s="54" t="s">
        <v>2</v>
      </c>
      <c r="AF3061" s="54" t="s">
        <v>2</v>
      </c>
      <c r="AG3061" s="54" t="s">
        <v>2</v>
      </c>
    </row>
    <row r="3062" ht="15.75" customHeight="1">
      <c r="B3062" s="56"/>
      <c r="U3062" s="46" t="str">
        <f t="array" ref="U3062">IF($D3062="","",IFERROR(_xlfn.XLOOKUP($D3062,'TIR店舗一覧'!$D:$D,'TIR店舗一覧'!$E:$E,""),""))</f>
        <v/>
      </c>
      <c r="V3062" s="54" t="s">
        <v>2</v>
      </c>
      <c r="W3062" s="54" t="s">
        <v>2</v>
      </c>
      <c r="X3062" s="54" t="s">
        <v>2</v>
      </c>
      <c r="Y3062" s="54" t="s">
        <v>2</v>
      </c>
      <c r="Z3062" s="54" t="s">
        <v>2</v>
      </c>
      <c r="AA3062" s="54" t="s">
        <v>2</v>
      </c>
      <c r="AB3062" s="54" t="s">
        <v>2</v>
      </c>
      <c r="AC3062" s="54" t="s">
        <v>2</v>
      </c>
      <c r="AD3062" s="54" t="s">
        <v>2</v>
      </c>
      <c r="AE3062" s="54" t="s">
        <v>2</v>
      </c>
      <c r="AF3062" s="54" t="s">
        <v>2</v>
      </c>
      <c r="AG3062" s="54" t="s">
        <v>2</v>
      </c>
    </row>
    <row r="3063" ht="15.75" customHeight="1">
      <c r="B3063" s="56"/>
      <c r="U3063" s="46" t="str">
        <f t="array" ref="U3063">IF($D3063="","",IFERROR(_xlfn.XLOOKUP($D3063,'TIR店舗一覧'!$D:$D,'TIR店舗一覧'!$E:$E,""),""))</f>
        <v/>
      </c>
      <c r="V3063" s="54" t="s">
        <v>2</v>
      </c>
      <c r="W3063" s="54" t="s">
        <v>2</v>
      </c>
      <c r="X3063" s="54" t="s">
        <v>2</v>
      </c>
      <c r="Y3063" s="54" t="s">
        <v>2</v>
      </c>
      <c r="Z3063" s="54" t="s">
        <v>2</v>
      </c>
      <c r="AA3063" s="54" t="s">
        <v>2</v>
      </c>
      <c r="AB3063" s="54" t="s">
        <v>2</v>
      </c>
      <c r="AC3063" s="54" t="s">
        <v>2</v>
      </c>
      <c r="AD3063" s="54" t="s">
        <v>2</v>
      </c>
      <c r="AE3063" s="54" t="s">
        <v>2</v>
      </c>
      <c r="AF3063" s="54" t="s">
        <v>2</v>
      </c>
      <c r="AG3063" s="54" t="s">
        <v>2</v>
      </c>
    </row>
    <row r="3064" ht="15.75" customHeight="1">
      <c r="B3064" s="56"/>
      <c r="U3064" s="46" t="str">
        <f t="array" ref="U3064">IF($D3064="","",IFERROR(_xlfn.XLOOKUP($D3064,'TIR店舗一覧'!$D:$D,'TIR店舗一覧'!$E:$E,""),""))</f>
        <v/>
      </c>
      <c r="V3064" s="54" t="s">
        <v>2</v>
      </c>
      <c r="W3064" s="54" t="s">
        <v>2</v>
      </c>
      <c r="X3064" s="54" t="s">
        <v>2</v>
      </c>
      <c r="Y3064" s="54" t="s">
        <v>2</v>
      </c>
      <c r="Z3064" s="54" t="s">
        <v>2</v>
      </c>
      <c r="AA3064" s="54" t="s">
        <v>2</v>
      </c>
      <c r="AB3064" s="54" t="s">
        <v>2</v>
      </c>
      <c r="AC3064" s="54" t="s">
        <v>2</v>
      </c>
      <c r="AD3064" s="54" t="s">
        <v>2</v>
      </c>
      <c r="AE3064" s="54" t="s">
        <v>2</v>
      </c>
      <c r="AF3064" s="54" t="s">
        <v>2</v>
      </c>
      <c r="AG3064" s="54" t="s">
        <v>2</v>
      </c>
    </row>
    <row r="3065" ht="15.75" customHeight="1">
      <c r="B3065" s="56"/>
      <c r="U3065" s="46" t="str">
        <f t="array" ref="U3065">IF($D3065="","",IFERROR(_xlfn.XLOOKUP($D3065,'TIR店舗一覧'!$D:$D,'TIR店舗一覧'!$E:$E,""),""))</f>
        <v/>
      </c>
      <c r="V3065" s="54" t="s">
        <v>2</v>
      </c>
      <c r="W3065" s="54" t="s">
        <v>2</v>
      </c>
      <c r="X3065" s="54" t="s">
        <v>2</v>
      </c>
      <c r="Y3065" s="54" t="s">
        <v>2</v>
      </c>
      <c r="Z3065" s="54" t="s">
        <v>2</v>
      </c>
      <c r="AA3065" s="54" t="s">
        <v>2</v>
      </c>
      <c r="AB3065" s="54" t="s">
        <v>2</v>
      </c>
      <c r="AC3065" s="54" t="s">
        <v>2</v>
      </c>
      <c r="AD3065" s="54" t="s">
        <v>2</v>
      </c>
      <c r="AE3065" s="54" t="s">
        <v>2</v>
      </c>
      <c r="AF3065" s="54" t="s">
        <v>2</v>
      </c>
      <c r="AG3065" s="54" t="s">
        <v>2</v>
      </c>
    </row>
    <row r="3066" ht="15.75" customHeight="1">
      <c r="B3066" s="56"/>
      <c r="U3066" s="46" t="str">
        <f t="array" ref="U3066">IF($D3066="","",IFERROR(_xlfn.XLOOKUP($D3066,'TIR店舗一覧'!$D:$D,'TIR店舗一覧'!$E:$E,""),""))</f>
        <v/>
      </c>
      <c r="V3066" s="54" t="s">
        <v>2</v>
      </c>
      <c r="W3066" s="54" t="s">
        <v>2</v>
      </c>
      <c r="X3066" s="54" t="s">
        <v>2</v>
      </c>
      <c r="Y3066" s="54" t="s">
        <v>2</v>
      </c>
      <c r="Z3066" s="54" t="s">
        <v>2</v>
      </c>
      <c r="AA3066" s="54" t="s">
        <v>2</v>
      </c>
      <c r="AB3066" s="54" t="s">
        <v>2</v>
      </c>
      <c r="AC3066" s="54" t="s">
        <v>2</v>
      </c>
      <c r="AD3066" s="54" t="s">
        <v>2</v>
      </c>
      <c r="AE3066" s="54" t="s">
        <v>2</v>
      </c>
      <c r="AF3066" s="54" t="s">
        <v>2</v>
      </c>
      <c r="AG3066" s="54" t="s">
        <v>2</v>
      </c>
    </row>
    <row r="3067" ht="15.75" customHeight="1">
      <c r="B3067" s="56"/>
      <c r="U3067" s="46" t="str">
        <f t="array" ref="U3067">IF($D3067="","",IFERROR(_xlfn.XLOOKUP($D3067,'TIR店舗一覧'!$D:$D,'TIR店舗一覧'!$E:$E,""),""))</f>
        <v/>
      </c>
      <c r="V3067" s="54" t="s">
        <v>2</v>
      </c>
      <c r="W3067" s="54" t="s">
        <v>2</v>
      </c>
      <c r="X3067" s="54" t="s">
        <v>2</v>
      </c>
      <c r="Y3067" s="54" t="s">
        <v>2</v>
      </c>
      <c r="Z3067" s="54" t="s">
        <v>2</v>
      </c>
      <c r="AA3067" s="54" t="s">
        <v>2</v>
      </c>
      <c r="AB3067" s="54" t="s">
        <v>2</v>
      </c>
      <c r="AC3067" s="54" t="s">
        <v>2</v>
      </c>
      <c r="AD3067" s="54" t="s">
        <v>2</v>
      </c>
      <c r="AE3067" s="54" t="s">
        <v>2</v>
      </c>
      <c r="AF3067" s="54" t="s">
        <v>2</v>
      </c>
      <c r="AG3067" s="54" t="s">
        <v>2</v>
      </c>
    </row>
    <row r="3068" ht="15.75" customHeight="1">
      <c r="B3068" s="56"/>
      <c r="U3068" s="46" t="str">
        <f t="array" ref="U3068">IF($D3068="","",IFERROR(_xlfn.XLOOKUP($D3068,'TIR店舗一覧'!$D:$D,'TIR店舗一覧'!$E:$E,""),""))</f>
        <v/>
      </c>
      <c r="V3068" s="54" t="s">
        <v>2</v>
      </c>
      <c r="W3068" s="54" t="s">
        <v>2</v>
      </c>
      <c r="X3068" s="54" t="s">
        <v>2</v>
      </c>
      <c r="Y3068" s="54" t="s">
        <v>2</v>
      </c>
      <c r="Z3068" s="54" t="s">
        <v>2</v>
      </c>
      <c r="AA3068" s="54" t="s">
        <v>2</v>
      </c>
      <c r="AB3068" s="54" t="s">
        <v>2</v>
      </c>
      <c r="AC3068" s="54" t="s">
        <v>2</v>
      </c>
      <c r="AD3068" s="54" t="s">
        <v>2</v>
      </c>
      <c r="AE3068" s="54" t="s">
        <v>2</v>
      </c>
      <c r="AF3068" s="54" t="s">
        <v>2</v>
      </c>
      <c r="AG3068" s="54" t="s">
        <v>2</v>
      </c>
    </row>
    <row r="3069" ht="15.75" customHeight="1">
      <c r="B3069" s="56"/>
      <c r="U3069" s="46" t="str">
        <f t="array" ref="U3069">IF($D3069="","",IFERROR(_xlfn.XLOOKUP($D3069,'TIR店舗一覧'!$D:$D,'TIR店舗一覧'!$E:$E,""),""))</f>
        <v/>
      </c>
      <c r="V3069" s="54" t="s">
        <v>2</v>
      </c>
      <c r="W3069" s="54" t="s">
        <v>2</v>
      </c>
      <c r="X3069" s="54" t="s">
        <v>2</v>
      </c>
      <c r="Y3069" s="54" t="s">
        <v>2</v>
      </c>
      <c r="Z3069" s="54" t="s">
        <v>2</v>
      </c>
      <c r="AA3069" s="54" t="s">
        <v>2</v>
      </c>
      <c r="AB3069" s="54" t="s">
        <v>2</v>
      </c>
      <c r="AC3069" s="54" t="s">
        <v>2</v>
      </c>
      <c r="AD3069" s="54" t="s">
        <v>2</v>
      </c>
      <c r="AE3069" s="54" t="s">
        <v>2</v>
      </c>
      <c r="AF3069" s="54" t="s">
        <v>2</v>
      </c>
      <c r="AG3069" s="54" t="s">
        <v>2</v>
      </c>
    </row>
    <row r="3070" ht="15.75" customHeight="1">
      <c r="B3070" s="56"/>
      <c r="U3070" s="46" t="str">
        <f t="array" ref="U3070">IF($D3070="","",IFERROR(_xlfn.XLOOKUP($D3070,'TIR店舗一覧'!$D:$D,'TIR店舗一覧'!$E:$E,""),""))</f>
        <v/>
      </c>
      <c r="V3070" s="54" t="s">
        <v>2</v>
      </c>
      <c r="W3070" s="54" t="s">
        <v>2</v>
      </c>
      <c r="X3070" s="54" t="s">
        <v>2</v>
      </c>
      <c r="Y3070" s="54" t="s">
        <v>2</v>
      </c>
      <c r="Z3070" s="54" t="s">
        <v>2</v>
      </c>
      <c r="AA3070" s="54" t="s">
        <v>2</v>
      </c>
      <c r="AB3070" s="54" t="s">
        <v>2</v>
      </c>
      <c r="AC3070" s="54" t="s">
        <v>2</v>
      </c>
      <c r="AD3070" s="54" t="s">
        <v>2</v>
      </c>
      <c r="AE3070" s="54" t="s">
        <v>2</v>
      </c>
      <c r="AF3070" s="54" t="s">
        <v>2</v>
      </c>
      <c r="AG3070" s="54" t="s">
        <v>2</v>
      </c>
    </row>
    <row r="3071" ht="15.75" customHeight="1">
      <c r="B3071" s="56"/>
      <c r="U3071" s="46" t="str">
        <f t="array" ref="U3071">IF($D3071="","",IFERROR(_xlfn.XLOOKUP($D3071,'TIR店舗一覧'!$D:$D,'TIR店舗一覧'!$E:$E,""),""))</f>
        <v/>
      </c>
      <c r="V3071" s="54" t="s">
        <v>2</v>
      </c>
      <c r="W3071" s="54" t="s">
        <v>2</v>
      </c>
      <c r="X3071" s="54" t="s">
        <v>2</v>
      </c>
      <c r="Y3071" s="54" t="s">
        <v>2</v>
      </c>
      <c r="Z3071" s="54" t="s">
        <v>2</v>
      </c>
      <c r="AA3071" s="54" t="s">
        <v>2</v>
      </c>
      <c r="AB3071" s="54" t="s">
        <v>2</v>
      </c>
      <c r="AC3071" s="54" t="s">
        <v>2</v>
      </c>
      <c r="AD3071" s="54" t="s">
        <v>2</v>
      </c>
      <c r="AE3071" s="54" t="s">
        <v>2</v>
      </c>
      <c r="AF3071" s="54" t="s">
        <v>2</v>
      </c>
      <c r="AG3071" s="54" t="s">
        <v>2</v>
      </c>
    </row>
    <row r="3072" ht="15.75" customHeight="1">
      <c r="B3072" s="56"/>
      <c r="U3072" s="46" t="str">
        <f t="array" ref="U3072">IF($D3072="","",IFERROR(_xlfn.XLOOKUP($D3072,'TIR店舗一覧'!$D:$D,'TIR店舗一覧'!$E:$E,""),""))</f>
        <v/>
      </c>
      <c r="V3072" s="54" t="s">
        <v>2</v>
      </c>
      <c r="W3072" s="54" t="s">
        <v>2</v>
      </c>
      <c r="X3072" s="54" t="s">
        <v>2</v>
      </c>
      <c r="Y3072" s="54" t="s">
        <v>2</v>
      </c>
      <c r="Z3072" s="54" t="s">
        <v>2</v>
      </c>
      <c r="AA3072" s="54" t="s">
        <v>2</v>
      </c>
      <c r="AB3072" s="54" t="s">
        <v>2</v>
      </c>
      <c r="AC3072" s="54" t="s">
        <v>2</v>
      </c>
      <c r="AD3072" s="54" t="s">
        <v>2</v>
      </c>
      <c r="AE3072" s="54" t="s">
        <v>2</v>
      </c>
      <c r="AF3072" s="54" t="s">
        <v>2</v>
      </c>
      <c r="AG3072" s="54" t="s">
        <v>2</v>
      </c>
    </row>
    <row r="3073" ht="15.75" customHeight="1">
      <c r="B3073" s="56"/>
      <c r="U3073" s="46" t="str">
        <f t="array" ref="U3073">IF($D3073="","",IFERROR(_xlfn.XLOOKUP($D3073,'TIR店舗一覧'!$D:$D,'TIR店舗一覧'!$E:$E,""),""))</f>
        <v/>
      </c>
      <c r="V3073" s="54" t="s">
        <v>2</v>
      </c>
      <c r="W3073" s="54" t="s">
        <v>2</v>
      </c>
      <c r="X3073" s="54" t="s">
        <v>2</v>
      </c>
      <c r="Y3073" s="54" t="s">
        <v>2</v>
      </c>
      <c r="Z3073" s="54" t="s">
        <v>2</v>
      </c>
      <c r="AA3073" s="54" t="s">
        <v>2</v>
      </c>
      <c r="AB3073" s="54" t="s">
        <v>2</v>
      </c>
      <c r="AC3073" s="54" t="s">
        <v>2</v>
      </c>
      <c r="AD3073" s="54" t="s">
        <v>2</v>
      </c>
      <c r="AE3073" s="54" t="s">
        <v>2</v>
      </c>
      <c r="AF3073" s="54" t="s">
        <v>2</v>
      </c>
      <c r="AG3073" s="54" t="s">
        <v>2</v>
      </c>
    </row>
    <row r="3074" ht="15.75" customHeight="1">
      <c r="B3074" s="56"/>
      <c r="U3074" s="46" t="str">
        <f t="array" ref="U3074">IF($D3074="","",IFERROR(_xlfn.XLOOKUP($D3074,'TIR店舗一覧'!$D:$D,'TIR店舗一覧'!$E:$E,""),""))</f>
        <v/>
      </c>
      <c r="V3074" s="54" t="s">
        <v>2</v>
      </c>
      <c r="W3074" s="54" t="s">
        <v>2</v>
      </c>
      <c r="X3074" s="54" t="s">
        <v>2</v>
      </c>
      <c r="Y3074" s="54" t="s">
        <v>2</v>
      </c>
      <c r="Z3074" s="54" t="s">
        <v>2</v>
      </c>
      <c r="AA3074" s="54" t="s">
        <v>2</v>
      </c>
      <c r="AB3074" s="54" t="s">
        <v>2</v>
      </c>
      <c r="AC3074" s="54" t="s">
        <v>2</v>
      </c>
      <c r="AD3074" s="54" t="s">
        <v>2</v>
      </c>
      <c r="AE3074" s="54" t="s">
        <v>2</v>
      </c>
      <c r="AF3074" s="54" t="s">
        <v>2</v>
      </c>
      <c r="AG3074" s="54" t="s">
        <v>2</v>
      </c>
    </row>
    <row r="3075" ht="15.75" customHeight="1">
      <c r="B3075" s="56"/>
      <c r="U3075" s="46" t="str">
        <f t="array" ref="U3075">IF($D3075="","",IFERROR(_xlfn.XLOOKUP($D3075,'TIR店舗一覧'!$D:$D,'TIR店舗一覧'!$E:$E,""),""))</f>
        <v/>
      </c>
      <c r="V3075" s="54" t="s">
        <v>2</v>
      </c>
      <c r="W3075" s="54" t="s">
        <v>2</v>
      </c>
      <c r="X3075" s="54" t="s">
        <v>2</v>
      </c>
      <c r="Y3075" s="54" t="s">
        <v>2</v>
      </c>
      <c r="Z3075" s="54" t="s">
        <v>2</v>
      </c>
      <c r="AA3075" s="54" t="s">
        <v>2</v>
      </c>
      <c r="AB3075" s="54" t="s">
        <v>2</v>
      </c>
      <c r="AC3075" s="54" t="s">
        <v>2</v>
      </c>
      <c r="AD3075" s="54" t="s">
        <v>2</v>
      </c>
      <c r="AE3075" s="54" t="s">
        <v>2</v>
      </c>
      <c r="AF3075" s="54" t="s">
        <v>2</v>
      </c>
      <c r="AG3075" s="54" t="s">
        <v>2</v>
      </c>
    </row>
    <row r="3076" ht="15.75" customHeight="1">
      <c r="B3076" s="56"/>
      <c r="U3076" s="46" t="str">
        <f t="array" ref="U3076">IF($D3076="","",IFERROR(_xlfn.XLOOKUP($D3076,'TIR店舗一覧'!$D:$D,'TIR店舗一覧'!$E:$E,""),""))</f>
        <v/>
      </c>
      <c r="V3076" s="54" t="s">
        <v>2</v>
      </c>
      <c r="W3076" s="54" t="s">
        <v>2</v>
      </c>
      <c r="X3076" s="54" t="s">
        <v>2</v>
      </c>
      <c r="Y3076" s="54" t="s">
        <v>2</v>
      </c>
      <c r="Z3076" s="54" t="s">
        <v>2</v>
      </c>
      <c r="AA3076" s="54" t="s">
        <v>2</v>
      </c>
      <c r="AB3076" s="54" t="s">
        <v>2</v>
      </c>
      <c r="AC3076" s="54" t="s">
        <v>2</v>
      </c>
      <c r="AD3076" s="54" t="s">
        <v>2</v>
      </c>
      <c r="AE3076" s="54" t="s">
        <v>2</v>
      </c>
      <c r="AF3076" s="54" t="s">
        <v>2</v>
      </c>
      <c r="AG3076" s="54" t="s">
        <v>2</v>
      </c>
    </row>
    <row r="3077" ht="15.75" customHeight="1">
      <c r="B3077" s="56"/>
      <c r="U3077" s="46" t="str">
        <f t="array" ref="U3077">IF($D3077="","",IFERROR(_xlfn.XLOOKUP($D3077,'TIR店舗一覧'!$D:$D,'TIR店舗一覧'!$E:$E,""),""))</f>
        <v/>
      </c>
      <c r="V3077" s="54" t="s">
        <v>2</v>
      </c>
      <c r="W3077" s="54" t="s">
        <v>2</v>
      </c>
      <c r="X3077" s="54" t="s">
        <v>2</v>
      </c>
      <c r="Y3077" s="54" t="s">
        <v>2</v>
      </c>
      <c r="Z3077" s="54" t="s">
        <v>2</v>
      </c>
      <c r="AA3077" s="54" t="s">
        <v>2</v>
      </c>
      <c r="AB3077" s="54" t="s">
        <v>2</v>
      </c>
      <c r="AC3077" s="54" t="s">
        <v>2</v>
      </c>
      <c r="AD3077" s="54" t="s">
        <v>2</v>
      </c>
      <c r="AE3077" s="54" t="s">
        <v>2</v>
      </c>
      <c r="AF3077" s="54" t="s">
        <v>2</v>
      </c>
      <c r="AG3077" s="54" t="s">
        <v>2</v>
      </c>
    </row>
    <row r="3078" ht="15.75" customHeight="1">
      <c r="B3078" s="56"/>
      <c r="U3078" s="46" t="str">
        <f t="array" ref="U3078">IF($D3078="","",IFERROR(_xlfn.XLOOKUP($D3078,'TIR店舗一覧'!$D:$D,'TIR店舗一覧'!$E:$E,""),""))</f>
        <v/>
      </c>
      <c r="V3078" s="54" t="s">
        <v>2</v>
      </c>
      <c r="W3078" s="54" t="s">
        <v>2</v>
      </c>
      <c r="X3078" s="54" t="s">
        <v>2</v>
      </c>
      <c r="Y3078" s="54" t="s">
        <v>2</v>
      </c>
      <c r="Z3078" s="54" t="s">
        <v>2</v>
      </c>
      <c r="AA3078" s="54" t="s">
        <v>2</v>
      </c>
      <c r="AB3078" s="54" t="s">
        <v>2</v>
      </c>
      <c r="AC3078" s="54" t="s">
        <v>2</v>
      </c>
      <c r="AD3078" s="54" t="s">
        <v>2</v>
      </c>
      <c r="AE3078" s="54" t="s">
        <v>2</v>
      </c>
      <c r="AF3078" s="54" t="s">
        <v>2</v>
      </c>
      <c r="AG3078" s="54" t="s">
        <v>2</v>
      </c>
    </row>
    <row r="3079" ht="15.75" customHeight="1">
      <c r="B3079" s="56"/>
      <c r="U3079" s="46" t="str">
        <f t="array" ref="U3079">IF($D3079="","",IFERROR(_xlfn.XLOOKUP($D3079,'TIR店舗一覧'!$D:$D,'TIR店舗一覧'!$E:$E,""),""))</f>
        <v/>
      </c>
      <c r="V3079" s="54" t="s">
        <v>2</v>
      </c>
      <c r="W3079" s="54" t="s">
        <v>2</v>
      </c>
      <c r="X3079" s="54" t="s">
        <v>2</v>
      </c>
      <c r="Y3079" s="54" t="s">
        <v>2</v>
      </c>
      <c r="Z3079" s="54" t="s">
        <v>2</v>
      </c>
      <c r="AA3079" s="54" t="s">
        <v>2</v>
      </c>
      <c r="AB3079" s="54" t="s">
        <v>2</v>
      </c>
      <c r="AC3079" s="54" t="s">
        <v>2</v>
      </c>
      <c r="AD3079" s="54" t="s">
        <v>2</v>
      </c>
      <c r="AE3079" s="54" t="s">
        <v>2</v>
      </c>
      <c r="AF3079" s="54" t="s">
        <v>2</v>
      </c>
      <c r="AG3079" s="54" t="s">
        <v>2</v>
      </c>
    </row>
    <row r="3080" ht="15.75" customHeight="1">
      <c r="B3080" s="56"/>
      <c r="U3080" s="46" t="str">
        <f t="array" ref="U3080">IF($D3080="","",IFERROR(_xlfn.XLOOKUP($D3080,'TIR店舗一覧'!$D:$D,'TIR店舗一覧'!$E:$E,""),""))</f>
        <v/>
      </c>
      <c r="V3080" s="54" t="s">
        <v>2</v>
      </c>
      <c r="W3080" s="54" t="s">
        <v>2</v>
      </c>
      <c r="X3080" s="54" t="s">
        <v>2</v>
      </c>
      <c r="Y3080" s="54" t="s">
        <v>2</v>
      </c>
      <c r="Z3080" s="54" t="s">
        <v>2</v>
      </c>
      <c r="AA3080" s="54" t="s">
        <v>2</v>
      </c>
      <c r="AB3080" s="54" t="s">
        <v>2</v>
      </c>
      <c r="AC3080" s="54" t="s">
        <v>2</v>
      </c>
      <c r="AD3080" s="54" t="s">
        <v>2</v>
      </c>
      <c r="AE3080" s="54" t="s">
        <v>2</v>
      </c>
      <c r="AF3080" s="54" t="s">
        <v>2</v>
      </c>
      <c r="AG3080" s="54" t="s">
        <v>2</v>
      </c>
    </row>
    <row r="3081" ht="15.75" customHeight="1">
      <c r="B3081" s="56"/>
      <c r="U3081" s="46" t="str">
        <f t="array" ref="U3081">IF($D3081="","",IFERROR(_xlfn.XLOOKUP($D3081,'TIR店舗一覧'!$D:$D,'TIR店舗一覧'!$E:$E,""),""))</f>
        <v/>
      </c>
      <c r="V3081" s="54" t="s">
        <v>2</v>
      </c>
      <c r="W3081" s="54" t="s">
        <v>2</v>
      </c>
      <c r="X3081" s="54" t="s">
        <v>2</v>
      </c>
      <c r="Y3081" s="54" t="s">
        <v>2</v>
      </c>
      <c r="Z3081" s="54" t="s">
        <v>2</v>
      </c>
      <c r="AA3081" s="54" t="s">
        <v>2</v>
      </c>
      <c r="AB3081" s="54" t="s">
        <v>2</v>
      </c>
      <c r="AC3081" s="54" t="s">
        <v>2</v>
      </c>
      <c r="AD3081" s="54" t="s">
        <v>2</v>
      </c>
      <c r="AE3081" s="54" t="s">
        <v>2</v>
      </c>
      <c r="AF3081" s="54" t="s">
        <v>2</v>
      </c>
      <c r="AG3081" s="54" t="s">
        <v>2</v>
      </c>
    </row>
    <row r="3082" ht="15.75" customHeight="1">
      <c r="B3082" s="56"/>
      <c r="U3082" s="46" t="str">
        <f t="array" ref="U3082">IF($D3082="","",IFERROR(_xlfn.XLOOKUP($D3082,'TIR店舗一覧'!$D:$D,'TIR店舗一覧'!$E:$E,""),""))</f>
        <v/>
      </c>
      <c r="V3082" s="54" t="s">
        <v>2</v>
      </c>
      <c r="W3082" s="54" t="s">
        <v>2</v>
      </c>
      <c r="X3082" s="54" t="s">
        <v>2</v>
      </c>
      <c r="Y3082" s="54" t="s">
        <v>2</v>
      </c>
      <c r="Z3082" s="54" t="s">
        <v>2</v>
      </c>
      <c r="AA3082" s="54" t="s">
        <v>2</v>
      </c>
      <c r="AB3082" s="54" t="s">
        <v>2</v>
      </c>
      <c r="AC3082" s="54" t="s">
        <v>2</v>
      </c>
      <c r="AD3082" s="54" t="s">
        <v>2</v>
      </c>
      <c r="AE3082" s="54" t="s">
        <v>2</v>
      </c>
      <c r="AF3082" s="54" t="s">
        <v>2</v>
      </c>
      <c r="AG3082" s="54" t="s">
        <v>2</v>
      </c>
    </row>
    <row r="3083" ht="15.75" customHeight="1">
      <c r="B3083" s="56"/>
      <c r="U3083" s="46" t="str">
        <f t="array" ref="U3083">IF($D3083="","",IFERROR(_xlfn.XLOOKUP($D3083,'TIR店舗一覧'!$D:$D,'TIR店舗一覧'!$E:$E,""),""))</f>
        <v/>
      </c>
      <c r="V3083" s="54" t="s">
        <v>2</v>
      </c>
      <c r="W3083" s="54" t="s">
        <v>2</v>
      </c>
      <c r="X3083" s="54" t="s">
        <v>2</v>
      </c>
      <c r="Y3083" s="54" t="s">
        <v>2</v>
      </c>
      <c r="Z3083" s="54" t="s">
        <v>2</v>
      </c>
      <c r="AA3083" s="54" t="s">
        <v>2</v>
      </c>
      <c r="AB3083" s="54" t="s">
        <v>2</v>
      </c>
      <c r="AC3083" s="54" t="s">
        <v>2</v>
      </c>
      <c r="AD3083" s="54" t="s">
        <v>2</v>
      </c>
      <c r="AE3083" s="54" t="s">
        <v>2</v>
      </c>
      <c r="AF3083" s="54" t="s">
        <v>2</v>
      </c>
      <c r="AG3083" s="54" t="s">
        <v>2</v>
      </c>
    </row>
    <row r="3084" ht="15.75" customHeight="1">
      <c r="B3084" s="56"/>
      <c r="U3084" s="46" t="str">
        <f t="array" ref="U3084">IF($D3084="","",IFERROR(_xlfn.XLOOKUP($D3084,'TIR店舗一覧'!$D:$D,'TIR店舗一覧'!$E:$E,""),""))</f>
        <v/>
      </c>
      <c r="V3084" s="54" t="s">
        <v>2</v>
      </c>
      <c r="W3084" s="54" t="s">
        <v>2</v>
      </c>
      <c r="X3084" s="54" t="s">
        <v>2</v>
      </c>
      <c r="Y3084" s="54" t="s">
        <v>2</v>
      </c>
      <c r="Z3084" s="54" t="s">
        <v>2</v>
      </c>
      <c r="AA3084" s="54" t="s">
        <v>2</v>
      </c>
      <c r="AB3084" s="54" t="s">
        <v>2</v>
      </c>
      <c r="AC3084" s="54" t="s">
        <v>2</v>
      </c>
      <c r="AD3084" s="54" t="s">
        <v>2</v>
      </c>
      <c r="AE3084" s="54" t="s">
        <v>2</v>
      </c>
      <c r="AF3084" s="54" t="s">
        <v>2</v>
      </c>
      <c r="AG3084" s="54" t="s">
        <v>2</v>
      </c>
    </row>
    <row r="3085" ht="15.75" customHeight="1">
      <c r="B3085" s="56"/>
      <c r="U3085" s="46" t="str">
        <f t="array" ref="U3085">IF($D3085="","",IFERROR(_xlfn.XLOOKUP($D3085,'TIR店舗一覧'!$D:$D,'TIR店舗一覧'!$E:$E,""),""))</f>
        <v/>
      </c>
      <c r="V3085" s="54" t="s">
        <v>2</v>
      </c>
      <c r="W3085" s="54" t="s">
        <v>2</v>
      </c>
      <c r="X3085" s="54" t="s">
        <v>2</v>
      </c>
      <c r="Y3085" s="54" t="s">
        <v>2</v>
      </c>
      <c r="Z3085" s="54" t="s">
        <v>2</v>
      </c>
      <c r="AA3085" s="54" t="s">
        <v>2</v>
      </c>
      <c r="AB3085" s="54" t="s">
        <v>2</v>
      </c>
      <c r="AC3085" s="54" t="s">
        <v>2</v>
      </c>
      <c r="AD3085" s="54" t="s">
        <v>2</v>
      </c>
      <c r="AE3085" s="54" t="s">
        <v>2</v>
      </c>
      <c r="AF3085" s="54" t="s">
        <v>2</v>
      </c>
      <c r="AG3085" s="54" t="s">
        <v>2</v>
      </c>
    </row>
    <row r="3086" ht="15.75" customHeight="1">
      <c r="B3086" s="56"/>
      <c r="U3086" s="46" t="str">
        <f t="array" ref="U3086">IF($D3086="","",IFERROR(_xlfn.XLOOKUP($D3086,'TIR店舗一覧'!$D:$D,'TIR店舗一覧'!$E:$E,""),""))</f>
        <v/>
      </c>
      <c r="V3086" s="54" t="s">
        <v>2</v>
      </c>
      <c r="W3086" s="54" t="s">
        <v>2</v>
      </c>
      <c r="X3086" s="54" t="s">
        <v>2</v>
      </c>
      <c r="Y3086" s="54" t="s">
        <v>2</v>
      </c>
      <c r="Z3086" s="54" t="s">
        <v>2</v>
      </c>
      <c r="AA3086" s="54" t="s">
        <v>2</v>
      </c>
      <c r="AB3086" s="54" t="s">
        <v>2</v>
      </c>
      <c r="AC3086" s="54" t="s">
        <v>2</v>
      </c>
      <c r="AD3086" s="54" t="s">
        <v>2</v>
      </c>
      <c r="AE3086" s="54" t="s">
        <v>2</v>
      </c>
      <c r="AF3086" s="54" t="s">
        <v>2</v>
      </c>
      <c r="AG3086" s="54" t="s">
        <v>2</v>
      </c>
    </row>
    <row r="3087" ht="15.75" customHeight="1">
      <c r="B3087" s="56"/>
      <c r="U3087" s="46" t="str">
        <f t="array" ref="U3087">IF($D3087="","",IFERROR(_xlfn.XLOOKUP($D3087,'TIR店舗一覧'!$D:$D,'TIR店舗一覧'!$E:$E,""),""))</f>
        <v/>
      </c>
      <c r="V3087" s="54" t="s">
        <v>2</v>
      </c>
      <c r="W3087" s="54" t="s">
        <v>2</v>
      </c>
      <c r="X3087" s="54" t="s">
        <v>2</v>
      </c>
      <c r="Y3087" s="54" t="s">
        <v>2</v>
      </c>
      <c r="Z3087" s="54" t="s">
        <v>2</v>
      </c>
      <c r="AA3087" s="54" t="s">
        <v>2</v>
      </c>
      <c r="AB3087" s="54" t="s">
        <v>2</v>
      </c>
      <c r="AC3087" s="54" t="s">
        <v>2</v>
      </c>
      <c r="AD3087" s="54" t="s">
        <v>2</v>
      </c>
      <c r="AE3087" s="54" t="s">
        <v>2</v>
      </c>
      <c r="AF3087" s="54" t="s">
        <v>2</v>
      </c>
      <c r="AG3087" s="54" t="s">
        <v>2</v>
      </c>
    </row>
    <row r="3088" ht="15.75" customHeight="1">
      <c r="B3088" s="56"/>
      <c r="U3088" s="46" t="str">
        <f t="array" ref="U3088">IF($D3088="","",IFERROR(_xlfn.XLOOKUP($D3088,'TIR店舗一覧'!$D:$D,'TIR店舗一覧'!$E:$E,""),""))</f>
        <v/>
      </c>
      <c r="V3088" s="54" t="s">
        <v>2</v>
      </c>
      <c r="W3088" s="54" t="s">
        <v>2</v>
      </c>
      <c r="X3088" s="54" t="s">
        <v>2</v>
      </c>
      <c r="Y3088" s="54" t="s">
        <v>2</v>
      </c>
      <c r="Z3088" s="54" t="s">
        <v>2</v>
      </c>
      <c r="AA3088" s="54" t="s">
        <v>2</v>
      </c>
      <c r="AB3088" s="54" t="s">
        <v>2</v>
      </c>
      <c r="AC3088" s="54" t="s">
        <v>2</v>
      </c>
      <c r="AD3088" s="54" t="s">
        <v>2</v>
      </c>
      <c r="AE3088" s="54" t="s">
        <v>2</v>
      </c>
      <c r="AF3088" s="54" t="s">
        <v>2</v>
      </c>
      <c r="AG3088" s="54" t="s">
        <v>2</v>
      </c>
    </row>
    <row r="3089" ht="15.75" customHeight="1">
      <c r="B3089" s="56"/>
      <c r="U3089" s="46" t="str">
        <f t="array" ref="U3089">IF($D3089="","",IFERROR(_xlfn.XLOOKUP($D3089,'TIR店舗一覧'!$D:$D,'TIR店舗一覧'!$E:$E,""),""))</f>
        <v/>
      </c>
      <c r="V3089" s="54" t="s">
        <v>2</v>
      </c>
      <c r="W3089" s="54" t="s">
        <v>2</v>
      </c>
      <c r="X3089" s="54" t="s">
        <v>2</v>
      </c>
      <c r="Y3089" s="54" t="s">
        <v>2</v>
      </c>
      <c r="Z3089" s="54" t="s">
        <v>2</v>
      </c>
      <c r="AA3089" s="54" t="s">
        <v>2</v>
      </c>
      <c r="AB3089" s="54" t="s">
        <v>2</v>
      </c>
      <c r="AC3089" s="54" t="s">
        <v>2</v>
      </c>
      <c r="AD3089" s="54" t="s">
        <v>2</v>
      </c>
      <c r="AE3089" s="54" t="s">
        <v>2</v>
      </c>
      <c r="AF3089" s="54" t="s">
        <v>2</v>
      </c>
      <c r="AG3089" s="54" t="s">
        <v>2</v>
      </c>
    </row>
    <row r="3090" ht="15.75" customHeight="1">
      <c r="B3090" s="56"/>
      <c r="U3090" s="46" t="str">
        <f t="array" ref="U3090">IF($D3090="","",IFERROR(_xlfn.XLOOKUP($D3090,'TIR店舗一覧'!$D:$D,'TIR店舗一覧'!$E:$E,""),""))</f>
        <v/>
      </c>
      <c r="V3090" s="54" t="s">
        <v>2</v>
      </c>
      <c r="W3090" s="54" t="s">
        <v>2</v>
      </c>
      <c r="X3090" s="54" t="s">
        <v>2</v>
      </c>
      <c r="Y3090" s="54" t="s">
        <v>2</v>
      </c>
      <c r="Z3090" s="54" t="s">
        <v>2</v>
      </c>
      <c r="AA3090" s="54" t="s">
        <v>2</v>
      </c>
      <c r="AB3090" s="54" t="s">
        <v>2</v>
      </c>
      <c r="AC3090" s="54" t="s">
        <v>2</v>
      </c>
      <c r="AD3090" s="54" t="s">
        <v>2</v>
      </c>
      <c r="AE3090" s="54" t="s">
        <v>2</v>
      </c>
      <c r="AF3090" s="54" t="s">
        <v>2</v>
      </c>
      <c r="AG3090" s="54" t="s">
        <v>2</v>
      </c>
    </row>
    <row r="3091" ht="15.75" customHeight="1">
      <c r="B3091" s="56"/>
      <c r="U3091" s="46" t="str">
        <f t="array" ref="U3091">IF($D3091="","",IFERROR(_xlfn.XLOOKUP($D3091,'TIR店舗一覧'!$D:$D,'TIR店舗一覧'!$E:$E,""),""))</f>
        <v/>
      </c>
      <c r="V3091" s="54" t="s">
        <v>2</v>
      </c>
      <c r="W3091" s="54" t="s">
        <v>2</v>
      </c>
      <c r="X3091" s="54" t="s">
        <v>2</v>
      </c>
      <c r="Y3091" s="54" t="s">
        <v>2</v>
      </c>
      <c r="Z3091" s="54" t="s">
        <v>2</v>
      </c>
      <c r="AA3091" s="54" t="s">
        <v>2</v>
      </c>
      <c r="AB3091" s="54" t="s">
        <v>2</v>
      </c>
      <c r="AC3091" s="54" t="s">
        <v>2</v>
      </c>
      <c r="AD3091" s="54" t="s">
        <v>2</v>
      </c>
      <c r="AE3091" s="54" t="s">
        <v>2</v>
      </c>
      <c r="AF3091" s="54" t="s">
        <v>2</v>
      </c>
      <c r="AG3091" s="54" t="s">
        <v>2</v>
      </c>
    </row>
    <row r="3092" ht="15.75" customHeight="1">
      <c r="B3092" s="56"/>
      <c r="U3092" s="46" t="str">
        <f t="array" ref="U3092">IF($D3092="","",IFERROR(_xlfn.XLOOKUP($D3092,'TIR店舗一覧'!$D:$D,'TIR店舗一覧'!$E:$E,""),""))</f>
        <v/>
      </c>
      <c r="V3092" s="54" t="s">
        <v>2</v>
      </c>
      <c r="W3092" s="54" t="s">
        <v>2</v>
      </c>
      <c r="X3092" s="54" t="s">
        <v>2</v>
      </c>
      <c r="Y3092" s="54" t="s">
        <v>2</v>
      </c>
      <c r="Z3092" s="54" t="s">
        <v>2</v>
      </c>
      <c r="AA3092" s="54" t="s">
        <v>2</v>
      </c>
      <c r="AB3092" s="54" t="s">
        <v>2</v>
      </c>
      <c r="AC3092" s="54" t="s">
        <v>2</v>
      </c>
      <c r="AD3092" s="54" t="s">
        <v>2</v>
      </c>
      <c r="AE3092" s="54" t="s">
        <v>2</v>
      </c>
      <c r="AF3092" s="54" t="s">
        <v>2</v>
      </c>
      <c r="AG3092" s="54" t="s">
        <v>2</v>
      </c>
    </row>
    <row r="3093" ht="15.75" customHeight="1">
      <c r="B3093" s="56"/>
      <c r="U3093" s="46" t="str">
        <f t="array" ref="U3093">IF($D3093="","",IFERROR(_xlfn.XLOOKUP($D3093,'TIR店舗一覧'!$D:$D,'TIR店舗一覧'!$E:$E,""),""))</f>
        <v/>
      </c>
      <c r="V3093" s="54" t="s">
        <v>2</v>
      </c>
      <c r="W3093" s="54" t="s">
        <v>2</v>
      </c>
      <c r="X3093" s="54" t="s">
        <v>2</v>
      </c>
      <c r="Y3093" s="54" t="s">
        <v>2</v>
      </c>
      <c r="Z3093" s="54" t="s">
        <v>2</v>
      </c>
      <c r="AA3093" s="54" t="s">
        <v>2</v>
      </c>
      <c r="AB3093" s="54" t="s">
        <v>2</v>
      </c>
      <c r="AC3093" s="54" t="s">
        <v>2</v>
      </c>
      <c r="AD3093" s="54" t="s">
        <v>2</v>
      </c>
      <c r="AE3093" s="54" t="s">
        <v>2</v>
      </c>
      <c r="AF3093" s="54" t="s">
        <v>2</v>
      </c>
      <c r="AG3093" s="54" t="s">
        <v>2</v>
      </c>
    </row>
    <row r="3094" ht="15.75" customHeight="1">
      <c r="B3094" s="56"/>
      <c r="U3094" s="46" t="str">
        <f t="array" ref="U3094">IF($D3094="","",IFERROR(_xlfn.XLOOKUP($D3094,'TIR店舗一覧'!$D:$D,'TIR店舗一覧'!$E:$E,""),""))</f>
        <v/>
      </c>
      <c r="V3094" s="54" t="s">
        <v>2</v>
      </c>
      <c r="W3094" s="54" t="s">
        <v>2</v>
      </c>
      <c r="X3094" s="54" t="s">
        <v>2</v>
      </c>
      <c r="Y3094" s="54" t="s">
        <v>2</v>
      </c>
      <c r="Z3094" s="54" t="s">
        <v>2</v>
      </c>
      <c r="AA3094" s="54" t="s">
        <v>2</v>
      </c>
      <c r="AB3094" s="54" t="s">
        <v>2</v>
      </c>
      <c r="AC3094" s="54" t="s">
        <v>2</v>
      </c>
      <c r="AD3094" s="54" t="s">
        <v>2</v>
      </c>
      <c r="AE3094" s="54" t="s">
        <v>2</v>
      </c>
      <c r="AF3094" s="54" t="s">
        <v>2</v>
      </c>
      <c r="AG3094" s="54" t="s">
        <v>2</v>
      </c>
    </row>
    <row r="3095" ht="15.75" customHeight="1">
      <c r="B3095" s="56"/>
      <c r="U3095" s="46" t="str">
        <f t="array" ref="U3095">IF($D3095="","",IFERROR(_xlfn.XLOOKUP($D3095,'TIR店舗一覧'!$D:$D,'TIR店舗一覧'!$E:$E,""),""))</f>
        <v/>
      </c>
      <c r="V3095" s="54" t="s">
        <v>2</v>
      </c>
      <c r="W3095" s="54" t="s">
        <v>2</v>
      </c>
      <c r="X3095" s="54" t="s">
        <v>2</v>
      </c>
      <c r="Y3095" s="54" t="s">
        <v>2</v>
      </c>
      <c r="Z3095" s="54" t="s">
        <v>2</v>
      </c>
      <c r="AA3095" s="54" t="s">
        <v>2</v>
      </c>
      <c r="AB3095" s="54" t="s">
        <v>2</v>
      </c>
      <c r="AC3095" s="54" t="s">
        <v>2</v>
      </c>
      <c r="AD3095" s="54" t="s">
        <v>2</v>
      </c>
      <c r="AE3095" s="54" t="s">
        <v>2</v>
      </c>
      <c r="AF3095" s="54" t="s">
        <v>2</v>
      </c>
      <c r="AG3095" s="54" t="s">
        <v>2</v>
      </c>
    </row>
    <row r="3096" ht="15.75" customHeight="1">
      <c r="B3096" s="56"/>
      <c r="U3096" s="46" t="str">
        <f t="array" ref="U3096">IF($D3096="","",IFERROR(_xlfn.XLOOKUP($D3096,'TIR店舗一覧'!$D:$D,'TIR店舗一覧'!$E:$E,""),""))</f>
        <v/>
      </c>
      <c r="V3096" s="54" t="s">
        <v>2</v>
      </c>
      <c r="W3096" s="54" t="s">
        <v>2</v>
      </c>
      <c r="X3096" s="54" t="s">
        <v>2</v>
      </c>
      <c r="Y3096" s="54" t="s">
        <v>2</v>
      </c>
      <c r="Z3096" s="54" t="s">
        <v>2</v>
      </c>
      <c r="AA3096" s="54" t="s">
        <v>2</v>
      </c>
      <c r="AB3096" s="54" t="s">
        <v>2</v>
      </c>
      <c r="AC3096" s="54" t="s">
        <v>2</v>
      </c>
      <c r="AD3096" s="54" t="s">
        <v>2</v>
      </c>
      <c r="AE3096" s="54" t="s">
        <v>2</v>
      </c>
      <c r="AF3096" s="54" t="s">
        <v>2</v>
      </c>
      <c r="AG3096" s="54" t="s">
        <v>2</v>
      </c>
    </row>
    <row r="3097" ht="15.75" customHeight="1">
      <c r="B3097" s="56"/>
      <c r="U3097" s="46" t="str">
        <f t="array" ref="U3097">IF($D3097="","",IFERROR(_xlfn.XLOOKUP($D3097,'TIR店舗一覧'!$D:$D,'TIR店舗一覧'!$E:$E,""),""))</f>
        <v/>
      </c>
      <c r="V3097" s="54" t="s">
        <v>2</v>
      </c>
      <c r="W3097" s="54" t="s">
        <v>2</v>
      </c>
      <c r="X3097" s="54" t="s">
        <v>2</v>
      </c>
      <c r="Y3097" s="54" t="s">
        <v>2</v>
      </c>
      <c r="Z3097" s="54" t="s">
        <v>2</v>
      </c>
      <c r="AA3097" s="54" t="s">
        <v>2</v>
      </c>
      <c r="AB3097" s="54" t="s">
        <v>2</v>
      </c>
      <c r="AC3097" s="54" t="s">
        <v>2</v>
      </c>
      <c r="AD3097" s="54" t="s">
        <v>2</v>
      </c>
      <c r="AE3097" s="54" t="s">
        <v>2</v>
      </c>
      <c r="AF3097" s="54" t="s">
        <v>2</v>
      </c>
      <c r="AG3097" s="54" t="s">
        <v>2</v>
      </c>
    </row>
    <row r="3098" ht="15.75" customHeight="1">
      <c r="B3098" s="56"/>
      <c r="U3098" s="46" t="str">
        <f t="array" ref="U3098">IF($D3098="","",IFERROR(_xlfn.XLOOKUP($D3098,'TIR店舗一覧'!$D:$D,'TIR店舗一覧'!$E:$E,""),""))</f>
        <v/>
      </c>
      <c r="V3098" s="54" t="s">
        <v>2</v>
      </c>
      <c r="W3098" s="54" t="s">
        <v>2</v>
      </c>
      <c r="X3098" s="54" t="s">
        <v>2</v>
      </c>
      <c r="Y3098" s="54" t="s">
        <v>2</v>
      </c>
      <c r="Z3098" s="54" t="s">
        <v>2</v>
      </c>
      <c r="AA3098" s="54" t="s">
        <v>2</v>
      </c>
      <c r="AB3098" s="54" t="s">
        <v>2</v>
      </c>
      <c r="AC3098" s="54" t="s">
        <v>2</v>
      </c>
      <c r="AD3098" s="54" t="s">
        <v>2</v>
      </c>
      <c r="AE3098" s="54" t="s">
        <v>2</v>
      </c>
      <c r="AF3098" s="54" t="s">
        <v>2</v>
      </c>
      <c r="AG3098" s="54" t="s">
        <v>2</v>
      </c>
    </row>
    <row r="3099" ht="15.75" customHeight="1">
      <c r="B3099" s="56"/>
      <c r="U3099" s="46" t="str">
        <f t="array" ref="U3099">IF($D3099="","",IFERROR(_xlfn.XLOOKUP($D3099,'TIR店舗一覧'!$D:$D,'TIR店舗一覧'!$E:$E,""),""))</f>
        <v/>
      </c>
      <c r="V3099" s="54" t="s">
        <v>2</v>
      </c>
      <c r="W3099" s="54" t="s">
        <v>2</v>
      </c>
      <c r="X3099" s="54" t="s">
        <v>2</v>
      </c>
      <c r="Y3099" s="54" t="s">
        <v>2</v>
      </c>
      <c r="Z3099" s="54" t="s">
        <v>2</v>
      </c>
      <c r="AA3099" s="54" t="s">
        <v>2</v>
      </c>
      <c r="AB3099" s="54" t="s">
        <v>2</v>
      </c>
      <c r="AC3099" s="54" t="s">
        <v>2</v>
      </c>
      <c r="AD3099" s="54" t="s">
        <v>2</v>
      </c>
      <c r="AE3099" s="54" t="s">
        <v>2</v>
      </c>
      <c r="AF3099" s="54" t="s">
        <v>2</v>
      </c>
      <c r="AG3099" s="54" t="s">
        <v>2</v>
      </c>
    </row>
    <row r="3100" ht="15.75" customHeight="1">
      <c r="B3100" s="56"/>
      <c r="U3100" s="46" t="str">
        <f t="array" ref="U3100">IF($D3100="","",IFERROR(_xlfn.XLOOKUP($D3100,'TIR店舗一覧'!$D:$D,'TIR店舗一覧'!$E:$E,""),""))</f>
        <v/>
      </c>
      <c r="V3100" s="54" t="s">
        <v>2</v>
      </c>
      <c r="W3100" s="54" t="s">
        <v>2</v>
      </c>
      <c r="X3100" s="54" t="s">
        <v>2</v>
      </c>
      <c r="Y3100" s="54" t="s">
        <v>2</v>
      </c>
      <c r="Z3100" s="54" t="s">
        <v>2</v>
      </c>
      <c r="AA3100" s="54" t="s">
        <v>2</v>
      </c>
      <c r="AB3100" s="54" t="s">
        <v>2</v>
      </c>
      <c r="AC3100" s="54" t="s">
        <v>2</v>
      </c>
      <c r="AD3100" s="54" t="s">
        <v>2</v>
      </c>
      <c r="AE3100" s="54" t="s">
        <v>2</v>
      </c>
      <c r="AF3100" s="54" t="s">
        <v>2</v>
      </c>
      <c r="AG3100" s="54" t="s">
        <v>2</v>
      </c>
    </row>
    <row r="3101" ht="15.75" customHeight="1">
      <c r="B3101" s="56"/>
      <c r="U3101" s="46" t="str">
        <f t="array" ref="U3101">IF($D3101="","",IFERROR(_xlfn.XLOOKUP($D3101,'TIR店舗一覧'!$D:$D,'TIR店舗一覧'!$E:$E,""),""))</f>
        <v/>
      </c>
      <c r="V3101" s="54" t="s">
        <v>2</v>
      </c>
      <c r="W3101" s="54" t="s">
        <v>2</v>
      </c>
      <c r="X3101" s="54" t="s">
        <v>2</v>
      </c>
      <c r="Y3101" s="54" t="s">
        <v>2</v>
      </c>
      <c r="Z3101" s="54" t="s">
        <v>2</v>
      </c>
      <c r="AA3101" s="54" t="s">
        <v>2</v>
      </c>
      <c r="AB3101" s="54" t="s">
        <v>2</v>
      </c>
      <c r="AC3101" s="54" t="s">
        <v>2</v>
      </c>
      <c r="AD3101" s="54" t="s">
        <v>2</v>
      </c>
      <c r="AE3101" s="54" t="s">
        <v>2</v>
      </c>
      <c r="AF3101" s="54" t="s">
        <v>2</v>
      </c>
      <c r="AG3101" s="54" t="s">
        <v>2</v>
      </c>
    </row>
    <row r="3102" ht="15.75" customHeight="1">
      <c r="B3102" s="56"/>
      <c r="U3102" s="46" t="str">
        <f t="array" ref="U3102">IF($D3102="","",IFERROR(_xlfn.XLOOKUP($D3102,'TIR店舗一覧'!$D:$D,'TIR店舗一覧'!$E:$E,""),""))</f>
        <v/>
      </c>
      <c r="V3102" s="54" t="s">
        <v>2</v>
      </c>
      <c r="W3102" s="54" t="s">
        <v>2</v>
      </c>
      <c r="X3102" s="54" t="s">
        <v>2</v>
      </c>
      <c r="Y3102" s="54" t="s">
        <v>2</v>
      </c>
      <c r="Z3102" s="54" t="s">
        <v>2</v>
      </c>
      <c r="AA3102" s="54" t="s">
        <v>2</v>
      </c>
      <c r="AB3102" s="54" t="s">
        <v>2</v>
      </c>
      <c r="AC3102" s="54" t="s">
        <v>2</v>
      </c>
      <c r="AD3102" s="54" t="s">
        <v>2</v>
      </c>
      <c r="AE3102" s="54" t="s">
        <v>2</v>
      </c>
      <c r="AF3102" s="54" t="s">
        <v>2</v>
      </c>
      <c r="AG3102" s="54" t="s">
        <v>2</v>
      </c>
    </row>
    <row r="3103" ht="15.75" customHeight="1">
      <c r="B3103" s="56"/>
      <c r="U3103" s="46" t="str">
        <f t="array" ref="U3103">IF($D3103="","",IFERROR(_xlfn.XLOOKUP($D3103,'TIR店舗一覧'!$D:$D,'TIR店舗一覧'!$E:$E,""),""))</f>
        <v/>
      </c>
      <c r="V3103" s="54" t="s">
        <v>2</v>
      </c>
      <c r="W3103" s="54" t="s">
        <v>2</v>
      </c>
      <c r="X3103" s="54" t="s">
        <v>2</v>
      </c>
      <c r="Y3103" s="54" t="s">
        <v>2</v>
      </c>
      <c r="Z3103" s="54" t="s">
        <v>2</v>
      </c>
      <c r="AA3103" s="54" t="s">
        <v>2</v>
      </c>
      <c r="AB3103" s="54" t="s">
        <v>2</v>
      </c>
      <c r="AC3103" s="54" t="s">
        <v>2</v>
      </c>
      <c r="AD3103" s="54" t="s">
        <v>2</v>
      </c>
      <c r="AE3103" s="54" t="s">
        <v>2</v>
      </c>
      <c r="AF3103" s="54" t="s">
        <v>2</v>
      </c>
      <c r="AG3103" s="54" t="s">
        <v>2</v>
      </c>
    </row>
    <row r="3104" ht="15.75" customHeight="1">
      <c r="B3104" s="56"/>
      <c r="U3104" s="46" t="str">
        <f t="array" ref="U3104">IF($D3104="","",IFERROR(_xlfn.XLOOKUP($D3104,'TIR店舗一覧'!$D:$D,'TIR店舗一覧'!$E:$E,""),""))</f>
        <v/>
      </c>
      <c r="V3104" s="54" t="s">
        <v>2</v>
      </c>
      <c r="W3104" s="54" t="s">
        <v>2</v>
      </c>
      <c r="X3104" s="54" t="s">
        <v>2</v>
      </c>
      <c r="Y3104" s="54" t="s">
        <v>2</v>
      </c>
      <c r="Z3104" s="54" t="s">
        <v>2</v>
      </c>
      <c r="AA3104" s="54" t="s">
        <v>2</v>
      </c>
      <c r="AB3104" s="54" t="s">
        <v>2</v>
      </c>
      <c r="AC3104" s="54" t="s">
        <v>2</v>
      </c>
      <c r="AD3104" s="54" t="s">
        <v>2</v>
      </c>
      <c r="AE3104" s="54" t="s">
        <v>2</v>
      </c>
      <c r="AF3104" s="54" t="s">
        <v>2</v>
      </c>
      <c r="AG3104" s="54" t="s">
        <v>2</v>
      </c>
    </row>
    <row r="3105" ht="15.75" customHeight="1">
      <c r="B3105" s="56"/>
      <c r="U3105" s="46" t="str">
        <f t="array" ref="U3105">IF($D3105="","",IFERROR(_xlfn.XLOOKUP($D3105,'TIR店舗一覧'!$D:$D,'TIR店舗一覧'!$E:$E,""),""))</f>
        <v/>
      </c>
      <c r="V3105" s="54" t="s">
        <v>2</v>
      </c>
      <c r="W3105" s="54" t="s">
        <v>2</v>
      </c>
      <c r="X3105" s="54" t="s">
        <v>2</v>
      </c>
      <c r="Y3105" s="54" t="s">
        <v>2</v>
      </c>
      <c r="Z3105" s="54" t="s">
        <v>2</v>
      </c>
      <c r="AA3105" s="54" t="s">
        <v>2</v>
      </c>
      <c r="AB3105" s="54" t="s">
        <v>2</v>
      </c>
      <c r="AC3105" s="54" t="s">
        <v>2</v>
      </c>
      <c r="AD3105" s="54" t="s">
        <v>2</v>
      </c>
      <c r="AE3105" s="54" t="s">
        <v>2</v>
      </c>
      <c r="AF3105" s="54" t="s">
        <v>2</v>
      </c>
      <c r="AG3105" s="54" t="s">
        <v>2</v>
      </c>
    </row>
    <row r="3106" ht="15.75" customHeight="1">
      <c r="B3106" s="56"/>
      <c r="U3106" s="46" t="str">
        <f t="array" ref="U3106">IF($D3106="","",IFERROR(_xlfn.XLOOKUP($D3106,'TIR店舗一覧'!$D:$D,'TIR店舗一覧'!$E:$E,""),""))</f>
        <v/>
      </c>
      <c r="V3106" s="54" t="s">
        <v>2</v>
      </c>
      <c r="W3106" s="54" t="s">
        <v>2</v>
      </c>
      <c r="X3106" s="54" t="s">
        <v>2</v>
      </c>
      <c r="Y3106" s="54" t="s">
        <v>2</v>
      </c>
      <c r="Z3106" s="54" t="s">
        <v>2</v>
      </c>
      <c r="AA3106" s="54" t="s">
        <v>2</v>
      </c>
      <c r="AB3106" s="54" t="s">
        <v>2</v>
      </c>
      <c r="AC3106" s="54" t="s">
        <v>2</v>
      </c>
      <c r="AD3106" s="54" t="s">
        <v>2</v>
      </c>
      <c r="AE3106" s="54" t="s">
        <v>2</v>
      </c>
      <c r="AF3106" s="54" t="s">
        <v>2</v>
      </c>
      <c r="AG3106" s="54" t="s">
        <v>2</v>
      </c>
    </row>
    <row r="3107" ht="15.75" customHeight="1">
      <c r="B3107" s="56"/>
      <c r="U3107" s="46" t="str">
        <f t="array" ref="U3107">IF($D3107="","",IFERROR(_xlfn.XLOOKUP($D3107,'TIR店舗一覧'!$D:$D,'TIR店舗一覧'!$E:$E,""),""))</f>
        <v/>
      </c>
      <c r="V3107" s="54" t="s">
        <v>2</v>
      </c>
      <c r="W3107" s="54" t="s">
        <v>2</v>
      </c>
      <c r="X3107" s="54" t="s">
        <v>2</v>
      </c>
      <c r="Y3107" s="54" t="s">
        <v>2</v>
      </c>
      <c r="Z3107" s="54" t="s">
        <v>2</v>
      </c>
      <c r="AA3107" s="54" t="s">
        <v>2</v>
      </c>
      <c r="AB3107" s="54" t="s">
        <v>2</v>
      </c>
      <c r="AC3107" s="54" t="s">
        <v>2</v>
      </c>
      <c r="AD3107" s="54" t="s">
        <v>2</v>
      </c>
      <c r="AE3107" s="54" t="s">
        <v>2</v>
      </c>
      <c r="AF3107" s="54" t="s">
        <v>2</v>
      </c>
      <c r="AG3107" s="54" t="s">
        <v>2</v>
      </c>
    </row>
    <row r="3108" ht="15.75" customHeight="1">
      <c r="B3108" s="56"/>
      <c r="U3108" s="46" t="str">
        <f t="array" ref="U3108">IF($D3108="","",IFERROR(_xlfn.XLOOKUP($D3108,'TIR店舗一覧'!$D:$D,'TIR店舗一覧'!$E:$E,""),""))</f>
        <v/>
      </c>
      <c r="V3108" s="54" t="s">
        <v>2</v>
      </c>
      <c r="W3108" s="54" t="s">
        <v>2</v>
      </c>
      <c r="X3108" s="54" t="s">
        <v>2</v>
      </c>
      <c r="Y3108" s="54" t="s">
        <v>2</v>
      </c>
      <c r="Z3108" s="54" t="s">
        <v>2</v>
      </c>
      <c r="AA3108" s="54" t="s">
        <v>2</v>
      </c>
      <c r="AB3108" s="54" t="s">
        <v>2</v>
      </c>
      <c r="AC3108" s="54" t="s">
        <v>2</v>
      </c>
      <c r="AD3108" s="54" t="s">
        <v>2</v>
      </c>
      <c r="AE3108" s="54" t="s">
        <v>2</v>
      </c>
      <c r="AF3108" s="54" t="s">
        <v>2</v>
      </c>
      <c r="AG3108" s="54" t="s">
        <v>2</v>
      </c>
    </row>
    <row r="3109" ht="15.75" customHeight="1">
      <c r="B3109" s="56"/>
      <c r="U3109" s="46" t="str">
        <f t="array" ref="U3109">IF($D3109="","",IFERROR(_xlfn.XLOOKUP($D3109,'TIR店舗一覧'!$D:$D,'TIR店舗一覧'!$E:$E,""),""))</f>
        <v/>
      </c>
      <c r="V3109" s="54" t="s">
        <v>2</v>
      </c>
      <c r="W3109" s="54" t="s">
        <v>2</v>
      </c>
      <c r="X3109" s="54" t="s">
        <v>2</v>
      </c>
      <c r="Y3109" s="54" t="s">
        <v>2</v>
      </c>
      <c r="Z3109" s="54" t="s">
        <v>2</v>
      </c>
      <c r="AA3109" s="54" t="s">
        <v>2</v>
      </c>
      <c r="AB3109" s="54" t="s">
        <v>2</v>
      </c>
      <c r="AC3109" s="54" t="s">
        <v>2</v>
      </c>
      <c r="AD3109" s="54" t="s">
        <v>2</v>
      </c>
      <c r="AE3109" s="54" t="s">
        <v>2</v>
      </c>
      <c r="AF3109" s="54" t="s">
        <v>2</v>
      </c>
      <c r="AG3109" s="54" t="s">
        <v>2</v>
      </c>
    </row>
    <row r="3110" ht="15.75" customHeight="1">
      <c r="B3110" s="56"/>
      <c r="U3110" s="46" t="str">
        <f t="array" ref="U3110">IF($D3110="","",IFERROR(_xlfn.XLOOKUP($D3110,'TIR店舗一覧'!$D:$D,'TIR店舗一覧'!$E:$E,""),""))</f>
        <v/>
      </c>
      <c r="V3110" s="54" t="s">
        <v>2</v>
      </c>
      <c r="W3110" s="54" t="s">
        <v>2</v>
      </c>
      <c r="X3110" s="54" t="s">
        <v>2</v>
      </c>
      <c r="Y3110" s="54" t="s">
        <v>2</v>
      </c>
      <c r="Z3110" s="54" t="s">
        <v>2</v>
      </c>
      <c r="AA3110" s="54" t="s">
        <v>2</v>
      </c>
      <c r="AB3110" s="54" t="s">
        <v>2</v>
      </c>
      <c r="AC3110" s="54" t="s">
        <v>2</v>
      </c>
      <c r="AD3110" s="54" t="s">
        <v>2</v>
      </c>
      <c r="AE3110" s="54" t="s">
        <v>2</v>
      </c>
      <c r="AF3110" s="54" t="s">
        <v>2</v>
      </c>
      <c r="AG3110" s="54" t="s">
        <v>2</v>
      </c>
    </row>
    <row r="3111" ht="15.75" customHeight="1">
      <c r="B3111" s="56"/>
      <c r="U3111" s="46" t="str">
        <f t="array" ref="U3111">IF($D3111="","",IFERROR(_xlfn.XLOOKUP($D3111,'TIR店舗一覧'!$D:$D,'TIR店舗一覧'!$E:$E,""),""))</f>
        <v/>
      </c>
      <c r="V3111" s="54" t="s">
        <v>2</v>
      </c>
      <c r="W3111" s="54" t="s">
        <v>2</v>
      </c>
      <c r="X3111" s="54" t="s">
        <v>2</v>
      </c>
      <c r="Y3111" s="54" t="s">
        <v>2</v>
      </c>
      <c r="Z3111" s="54" t="s">
        <v>2</v>
      </c>
      <c r="AA3111" s="54" t="s">
        <v>2</v>
      </c>
      <c r="AB3111" s="54" t="s">
        <v>2</v>
      </c>
      <c r="AC3111" s="54" t="s">
        <v>2</v>
      </c>
      <c r="AD3111" s="54" t="s">
        <v>2</v>
      </c>
      <c r="AE3111" s="54" t="s">
        <v>2</v>
      </c>
      <c r="AF3111" s="54" t="s">
        <v>2</v>
      </c>
      <c r="AG3111" s="54" t="s">
        <v>2</v>
      </c>
    </row>
    <row r="3112" ht="15.75" customHeight="1">
      <c r="B3112" s="56"/>
      <c r="U3112" s="46" t="str">
        <f t="array" ref="U3112">IF($D3112="","",IFERROR(_xlfn.XLOOKUP($D3112,'TIR店舗一覧'!$D:$D,'TIR店舗一覧'!$E:$E,""),""))</f>
        <v/>
      </c>
      <c r="V3112" s="54" t="s">
        <v>2</v>
      </c>
      <c r="W3112" s="54" t="s">
        <v>2</v>
      </c>
      <c r="X3112" s="54" t="s">
        <v>2</v>
      </c>
      <c r="Y3112" s="54" t="s">
        <v>2</v>
      </c>
      <c r="Z3112" s="54" t="s">
        <v>2</v>
      </c>
      <c r="AA3112" s="54" t="s">
        <v>2</v>
      </c>
      <c r="AB3112" s="54" t="s">
        <v>2</v>
      </c>
      <c r="AC3112" s="54" t="s">
        <v>2</v>
      </c>
      <c r="AD3112" s="54" t="s">
        <v>2</v>
      </c>
      <c r="AE3112" s="54" t="s">
        <v>2</v>
      </c>
      <c r="AF3112" s="54" t="s">
        <v>2</v>
      </c>
      <c r="AG3112" s="54" t="s">
        <v>2</v>
      </c>
    </row>
    <row r="3113" ht="15.75" customHeight="1">
      <c r="B3113" s="56"/>
      <c r="U3113" s="46" t="str">
        <f t="array" ref="U3113">IF($D3113="","",IFERROR(_xlfn.XLOOKUP($D3113,'TIR店舗一覧'!$D:$D,'TIR店舗一覧'!$E:$E,""),""))</f>
        <v/>
      </c>
      <c r="V3113" s="54" t="s">
        <v>2</v>
      </c>
      <c r="W3113" s="54" t="s">
        <v>2</v>
      </c>
      <c r="X3113" s="54" t="s">
        <v>2</v>
      </c>
      <c r="Y3113" s="54" t="s">
        <v>2</v>
      </c>
      <c r="Z3113" s="54" t="s">
        <v>2</v>
      </c>
      <c r="AA3113" s="54" t="s">
        <v>2</v>
      </c>
      <c r="AB3113" s="54" t="s">
        <v>2</v>
      </c>
      <c r="AC3113" s="54" t="s">
        <v>2</v>
      </c>
      <c r="AD3113" s="54" t="s">
        <v>2</v>
      </c>
      <c r="AE3113" s="54" t="s">
        <v>2</v>
      </c>
      <c r="AF3113" s="54" t="s">
        <v>2</v>
      </c>
      <c r="AG3113" s="54" t="s">
        <v>2</v>
      </c>
    </row>
    <row r="3114" ht="15.75" customHeight="1">
      <c r="B3114" s="56"/>
      <c r="U3114" s="46" t="str">
        <f t="array" ref="U3114">IF($D3114="","",IFERROR(_xlfn.XLOOKUP($D3114,'TIR店舗一覧'!$D:$D,'TIR店舗一覧'!$E:$E,""),""))</f>
        <v/>
      </c>
      <c r="V3114" s="54" t="s">
        <v>2</v>
      </c>
      <c r="W3114" s="54" t="s">
        <v>2</v>
      </c>
      <c r="X3114" s="54" t="s">
        <v>2</v>
      </c>
      <c r="Y3114" s="54" t="s">
        <v>2</v>
      </c>
      <c r="Z3114" s="54" t="s">
        <v>2</v>
      </c>
      <c r="AA3114" s="54" t="s">
        <v>2</v>
      </c>
      <c r="AB3114" s="54" t="s">
        <v>2</v>
      </c>
      <c r="AC3114" s="54" t="s">
        <v>2</v>
      </c>
      <c r="AD3114" s="54" t="s">
        <v>2</v>
      </c>
      <c r="AE3114" s="54" t="s">
        <v>2</v>
      </c>
      <c r="AF3114" s="54" t="s">
        <v>2</v>
      </c>
      <c r="AG3114" s="54" t="s">
        <v>2</v>
      </c>
    </row>
    <row r="3115" ht="15.75" customHeight="1">
      <c r="B3115" s="56"/>
      <c r="U3115" s="46" t="str">
        <f t="array" ref="U3115">IF($D3115="","",IFERROR(_xlfn.XLOOKUP($D3115,'TIR店舗一覧'!$D:$D,'TIR店舗一覧'!$E:$E,""),""))</f>
        <v/>
      </c>
      <c r="V3115" s="54" t="s">
        <v>2</v>
      </c>
      <c r="W3115" s="54" t="s">
        <v>2</v>
      </c>
      <c r="X3115" s="54" t="s">
        <v>2</v>
      </c>
      <c r="Y3115" s="54" t="s">
        <v>2</v>
      </c>
      <c r="Z3115" s="54" t="s">
        <v>2</v>
      </c>
      <c r="AA3115" s="54" t="s">
        <v>2</v>
      </c>
      <c r="AB3115" s="54" t="s">
        <v>2</v>
      </c>
      <c r="AC3115" s="54" t="s">
        <v>2</v>
      </c>
      <c r="AD3115" s="54" t="s">
        <v>2</v>
      </c>
      <c r="AE3115" s="54" t="s">
        <v>2</v>
      </c>
      <c r="AF3115" s="54" t="s">
        <v>2</v>
      </c>
      <c r="AG3115" s="54" t="s">
        <v>2</v>
      </c>
    </row>
    <row r="3116" ht="15.75" customHeight="1">
      <c r="B3116" s="56"/>
      <c r="U3116" s="46" t="str">
        <f t="array" ref="U3116">IF($D3116="","",IFERROR(_xlfn.XLOOKUP($D3116,'TIR店舗一覧'!$D:$D,'TIR店舗一覧'!$E:$E,""),""))</f>
        <v/>
      </c>
      <c r="V3116" s="54" t="s">
        <v>2</v>
      </c>
      <c r="W3116" s="54" t="s">
        <v>2</v>
      </c>
      <c r="X3116" s="54" t="s">
        <v>2</v>
      </c>
      <c r="Y3116" s="54" t="s">
        <v>2</v>
      </c>
      <c r="Z3116" s="54" t="s">
        <v>2</v>
      </c>
      <c r="AA3116" s="54" t="s">
        <v>2</v>
      </c>
      <c r="AB3116" s="54" t="s">
        <v>2</v>
      </c>
      <c r="AC3116" s="54" t="s">
        <v>2</v>
      </c>
      <c r="AD3116" s="54" t="s">
        <v>2</v>
      </c>
      <c r="AE3116" s="54" t="s">
        <v>2</v>
      </c>
      <c r="AF3116" s="54" t="s">
        <v>2</v>
      </c>
      <c r="AG3116" s="54" t="s">
        <v>2</v>
      </c>
    </row>
    <row r="3117" ht="15.75" customHeight="1">
      <c r="B3117" s="56"/>
      <c r="U3117" s="46" t="str">
        <f t="array" ref="U3117">IF($D3117="","",IFERROR(_xlfn.XLOOKUP($D3117,'TIR店舗一覧'!$D:$D,'TIR店舗一覧'!$E:$E,""),""))</f>
        <v/>
      </c>
      <c r="V3117" s="54" t="s">
        <v>2</v>
      </c>
      <c r="W3117" s="54" t="s">
        <v>2</v>
      </c>
      <c r="X3117" s="54" t="s">
        <v>2</v>
      </c>
      <c r="Y3117" s="54" t="s">
        <v>2</v>
      </c>
      <c r="Z3117" s="54" t="s">
        <v>2</v>
      </c>
      <c r="AA3117" s="54" t="s">
        <v>2</v>
      </c>
      <c r="AB3117" s="54" t="s">
        <v>2</v>
      </c>
      <c r="AC3117" s="54" t="s">
        <v>2</v>
      </c>
      <c r="AD3117" s="54" t="s">
        <v>2</v>
      </c>
      <c r="AE3117" s="54" t="s">
        <v>2</v>
      </c>
      <c r="AF3117" s="54" t="s">
        <v>2</v>
      </c>
      <c r="AG3117" s="54" t="s">
        <v>2</v>
      </c>
    </row>
    <row r="3118" ht="15.75" customHeight="1">
      <c r="B3118" s="56"/>
      <c r="U3118" s="46" t="str">
        <f t="array" ref="U3118">IF($D3118="","",IFERROR(_xlfn.XLOOKUP($D3118,'TIR店舗一覧'!$D:$D,'TIR店舗一覧'!$E:$E,""),""))</f>
        <v/>
      </c>
      <c r="V3118" s="54" t="s">
        <v>2</v>
      </c>
      <c r="W3118" s="54" t="s">
        <v>2</v>
      </c>
      <c r="X3118" s="54" t="s">
        <v>2</v>
      </c>
      <c r="Y3118" s="54" t="s">
        <v>2</v>
      </c>
      <c r="Z3118" s="54" t="s">
        <v>2</v>
      </c>
      <c r="AA3118" s="54" t="s">
        <v>2</v>
      </c>
      <c r="AB3118" s="54" t="s">
        <v>2</v>
      </c>
      <c r="AC3118" s="54" t="s">
        <v>2</v>
      </c>
      <c r="AD3118" s="54" t="s">
        <v>2</v>
      </c>
      <c r="AE3118" s="54" t="s">
        <v>2</v>
      </c>
      <c r="AF3118" s="54" t="s">
        <v>2</v>
      </c>
      <c r="AG3118" s="54" t="s">
        <v>2</v>
      </c>
    </row>
    <row r="3119" ht="15.75" customHeight="1">
      <c r="B3119" s="56"/>
      <c r="U3119" s="46" t="str">
        <f t="array" ref="U3119">IF($D3119="","",IFERROR(_xlfn.XLOOKUP($D3119,'TIR店舗一覧'!$D:$D,'TIR店舗一覧'!$E:$E,""),""))</f>
        <v/>
      </c>
      <c r="V3119" s="54" t="s">
        <v>2</v>
      </c>
      <c r="W3119" s="54" t="s">
        <v>2</v>
      </c>
      <c r="X3119" s="54" t="s">
        <v>2</v>
      </c>
      <c r="Y3119" s="54" t="s">
        <v>2</v>
      </c>
      <c r="Z3119" s="54" t="s">
        <v>2</v>
      </c>
      <c r="AA3119" s="54" t="s">
        <v>2</v>
      </c>
      <c r="AB3119" s="54" t="s">
        <v>2</v>
      </c>
      <c r="AC3119" s="54" t="s">
        <v>2</v>
      </c>
      <c r="AD3119" s="54" t="s">
        <v>2</v>
      </c>
      <c r="AE3119" s="54" t="s">
        <v>2</v>
      </c>
      <c r="AF3119" s="54" t="s">
        <v>2</v>
      </c>
      <c r="AG3119" s="54" t="s">
        <v>2</v>
      </c>
    </row>
    <row r="3120" ht="15.75" customHeight="1">
      <c r="B3120" s="56"/>
      <c r="U3120" s="46" t="str">
        <f t="array" ref="U3120">IF($D3120="","",IFERROR(_xlfn.XLOOKUP($D3120,'TIR店舗一覧'!$D:$D,'TIR店舗一覧'!$E:$E,""),""))</f>
        <v/>
      </c>
      <c r="V3120" s="54" t="s">
        <v>2</v>
      </c>
      <c r="W3120" s="54" t="s">
        <v>2</v>
      </c>
      <c r="X3120" s="54" t="s">
        <v>2</v>
      </c>
      <c r="Y3120" s="54" t="s">
        <v>2</v>
      </c>
      <c r="Z3120" s="54" t="s">
        <v>2</v>
      </c>
      <c r="AA3120" s="54" t="s">
        <v>2</v>
      </c>
      <c r="AB3120" s="54" t="s">
        <v>2</v>
      </c>
      <c r="AC3120" s="54" t="s">
        <v>2</v>
      </c>
      <c r="AD3120" s="54" t="s">
        <v>2</v>
      </c>
      <c r="AE3120" s="54" t="s">
        <v>2</v>
      </c>
      <c r="AF3120" s="54" t="s">
        <v>2</v>
      </c>
      <c r="AG3120" s="54" t="s">
        <v>2</v>
      </c>
    </row>
    <row r="3121" ht="15.75" customHeight="1">
      <c r="B3121" s="56"/>
      <c r="U3121" s="46" t="str">
        <f t="array" ref="U3121">IF($D3121="","",IFERROR(_xlfn.XLOOKUP($D3121,'TIR店舗一覧'!$D:$D,'TIR店舗一覧'!$E:$E,""),""))</f>
        <v/>
      </c>
      <c r="V3121" s="54" t="s">
        <v>2</v>
      </c>
      <c r="W3121" s="54" t="s">
        <v>2</v>
      </c>
      <c r="X3121" s="54" t="s">
        <v>2</v>
      </c>
      <c r="Y3121" s="54" t="s">
        <v>2</v>
      </c>
      <c r="Z3121" s="54" t="s">
        <v>2</v>
      </c>
      <c r="AA3121" s="54" t="s">
        <v>2</v>
      </c>
      <c r="AB3121" s="54" t="s">
        <v>2</v>
      </c>
      <c r="AC3121" s="54" t="s">
        <v>2</v>
      </c>
      <c r="AD3121" s="54" t="s">
        <v>2</v>
      </c>
      <c r="AE3121" s="54" t="s">
        <v>2</v>
      </c>
      <c r="AF3121" s="54" t="s">
        <v>2</v>
      </c>
      <c r="AG3121" s="54" t="s">
        <v>2</v>
      </c>
    </row>
    <row r="3122" ht="15.75" customHeight="1">
      <c r="B3122" s="56"/>
      <c r="U3122" s="46" t="str">
        <f t="array" ref="U3122">IF($D3122="","",IFERROR(_xlfn.XLOOKUP($D3122,'TIR店舗一覧'!$D:$D,'TIR店舗一覧'!$E:$E,""),""))</f>
        <v/>
      </c>
      <c r="V3122" s="54" t="s">
        <v>2</v>
      </c>
      <c r="W3122" s="54" t="s">
        <v>2</v>
      </c>
      <c r="X3122" s="54" t="s">
        <v>2</v>
      </c>
      <c r="Y3122" s="54" t="s">
        <v>2</v>
      </c>
      <c r="Z3122" s="54" t="s">
        <v>2</v>
      </c>
      <c r="AA3122" s="54" t="s">
        <v>2</v>
      </c>
      <c r="AB3122" s="54" t="s">
        <v>2</v>
      </c>
      <c r="AC3122" s="54" t="s">
        <v>2</v>
      </c>
      <c r="AD3122" s="54" t="s">
        <v>2</v>
      </c>
      <c r="AE3122" s="54" t="s">
        <v>2</v>
      </c>
      <c r="AF3122" s="54" t="s">
        <v>2</v>
      </c>
      <c r="AG3122" s="54" t="s">
        <v>2</v>
      </c>
    </row>
    <row r="3123" ht="15.75" customHeight="1">
      <c r="B3123" s="56"/>
      <c r="U3123" s="46" t="str">
        <f t="array" ref="U3123">IF($D3123="","",IFERROR(_xlfn.XLOOKUP($D3123,'TIR店舗一覧'!$D:$D,'TIR店舗一覧'!$E:$E,""),""))</f>
        <v/>
      </c>
      <c r="V3123" s="54" t="s">
        <v>2</v>
      </c>
      <c r="W3123" s="54" t="s">
        <v>2</v>
      </c>
      <c r="X3123" s="54" t="s">
        <v>2</v>
      </c>
      <c r="Y3123" s="54" t="s">
        <v>2</v>
      </c>
      <c r="Z3123" s="54" t="s">
        <v>2</v>
      </c>
      <c r="AA3123" s="54" t="s">
        <v>2</v>
      </c>
      <c r="AB3123" s="54" t="s">
        <v>2</v>
      </c>
      <c r="AC3123" s="54" t="s">
        <v>2</v>
      </c>
      <c r="AD3123" s="54" t="s">
        <v>2</v>
      </c>
      <c r="AE3123" s="54" t="s">
        <v>2</v>
      </c>
      <c r="AF3123" s="54" t="s">
        <v>2</v>
      </c>
      <c r="AG3123" s="54" t="s">
        <v>2</v>
      </c>
    </row>
    <row r="3124" ht="15.75" customHeight="1">
      <c r="B3124" s="56"/>
      <c r="U3124" s="46" t="str">
        <f t="array" ref="U3124">IF($D3124="","",IFERROR(_xlfn.XLOOKUP($D3124,'TIR店舗一覧'!$D:$D,'TIR店舗一覧'!$E:$E,""),""))</f>
        <v/>
      </c>
      <c r="V3124" s="54" t="s">
        <v>2</v>
      </c>
      <c r="W3124" s="54" t="s">
        <v>2</v>
      </c>
      <c r="X3124" s="54" t="s">
        <v>2</v>
      </c>
      <c r="Y3124" s="54" t="s">
        <v>2</v>
      </c>
      <c r="Z3124" s="54" t="s">
        <v>2</v>
      </c>
      <c r="AA3124" s="54" t="s">
        <v>2</v>
      </c>
      <c r="AB3124" s="54" t="s">
        <v>2</v>
      </c>
      <c r="AC3124" s="54" t="s">
        <v>2</v>
      </c>
      <c r="AD3124" s="54" t="s">
        <v>2</v>
      </c>
      <c r="AE3124" s="54" t="s">
        <v>2</v>
      </c>
      <c r="AF3124" s="54" t="s">
        <v>2</v>
      </c>
      <c r="AG3124" s="54" t="s">
        <v>2</v>
      </c>
    </row>
    <row r="3125" ht="15.75" customHeight="1">
      <c r="B3125" s="56"/>
      <c r="U3125" s="46" t="str">
        <f t="array" ref="U3125">IF($D3125="","",IFERROR(_xlfn.XLOOKUP($D3125,'TIR店舗一覧'!$D:$D,'TIR店舗一覧'!$E:$E,""),""))</f>
        <v/>
      </c>
      <c r="V3125" s="54" t="s">
        <v>2</v>
      </c>
      <c r="W3125" s="54" t="s">
        <v>2</v>
      </c>
      <c r="X3125" s="54" t="s">
        <v>2</v>
      </c>
      <c r="Y3125" s="54" t="s">
        <v>2</v>
      </c>
      <c r="Z3125" s="54" t="s">
        <v>2</v>
      </c>
      <c r="AA3125" s="54" t="s">
        <v>2</v>
      </c>
      <c r="AB3125" s="54" t="s">
        <v>2</v>
      </c>
      <c r="AC3125" s="54" t="s">
        <v>2</v>
      </c>
      <c r="AD3125" s="54" t="s">
        <v>2</v>
      </c>
      <c r="AE3125" s="54" t="s">
        <v>2</v>
      </c>
      <c r="AF3125" s="54" t="s">
        <v>2</v>
      </c>
      <c r="AG3125" s="54" t="s">
        <v>2</v>
      </c>
    </row>
    <row r="3126" ht="15.75" customHeight="1">
      <c r="B3126" s="56"/>
      <c r="U3126" s="46" t="str">
        <f t="array" ref="U3126">IF($D3126="","",IFERROR(_xlfn.XLOOKUP($D3126,'TIR店舗一覧'!$D:$D,'TIR店舗一覧'!$E:$E,""),""))</f>
        <v/>
      </c>
      <c r="V3126" s="54" t="s">
        <v>2</v>
      </c>
      <c r="W3126" s="54" t="s">
        <v>2</v>
      </c>
      <c r="X3126" s="54" t="s">
        <v>2</v>
      </c>
      <c r="Y3126" s="54" t="s">
        <v>2</v>
      </c>
      <c r="Z3126" s="54" t="s">
        <v>2</v>
      </c>
      <c r="AA3126" s="54" t="s">
        <v>2</v>
      </c>
      <c r="AB3126" s="54" t="s">
        <v>2</v>
      </c>
      <c r="AC3126" s="54" t="s">
        <v>2</v>
      </c>
      <c r="AD3126" s="54" t="s">
        <v>2</v>
      </c>
      <c r="AE3126" s="54" t="s">
        <v>2</v>
      </c>
      <c r="AF3126" s="54" t="s">
        <v>2</v>
      </c>
      <c r="AG3126" s="54" t="s">
        <v>2</v>
      </c>
    </row>
    <row r="3127" ht="15.75" customHeight="1">
      <c r="B3127" s="56"/>
      <c r="U3127" s="46" t="str">
        <f t="array" ref="U3127">IF($D3127="","",IFERROR(_xlfn.XLOOKUP($D3127,'TIR店舗一覧'!$D:$D,'TIR店舗一覧'!$E:$E,""),""))</f>
        <v/>
      </c>
      <c r="V3127" s="54" t="s">
        <v>2</v>
      </c>
      <c r="W3127" s="54" t="s">
        <v>2</v>
      </c>
      <c r="X3127" s="54" t="s">
        <v>2</v>
      </c>
      <c r="Y3127" s="54" t="s">
        <v>2</v>
      </c>
      <c r="Z3127" s="54" t="s">
        <v>2</v>
      </c>
      <c r="AA3127" s="54" t="s">
        <v>2</v>
      </c>
      <c r="AB3127" s="54" t="s">
        <v>2</v>
      </c>
      <c r="AC3127" s="54" t="s">
        <v>2</v>
      </c>
      <c r="AD3127" s="54" t="s">
        <v>2</v>
      </c>
      <c r="AE3127" s="54" t="s">
        <v>2</v>
      </c>
      <c r="AF3127" s="54" t="s">
        <v>2</v>
      </c>
      <c r="AG3127" s="54" t="s">
        <v>2</v>
      </c>
    </row>
    <row r="3128" ht="15.75" customHeight="1">
      <c r="B3128" s="56"/>
      <c r="U3128" s="46" t="str">
        <f t="array" ref="U3128">IF($D3128="","",IFERROR(_xlfn.XLOOKUP($D3128,'TIR店舗一覧'!$D:$D,'TIR店舗一覧'!$E:$E,""),""))</f>
        <v/>
      </c>
      <c r="V3128" s="54" t="s">
        <v>2</v>
      </c>
      <c r="W3128" s="54" t="s">
        <v>2</v>
      </c>
      <c r="X3128" s="54" t="s">
        <v>2</v>
      </c>
      <c r="Y3128" s="54" t="s">
        <v>2</v>
      </c>
      <c r="Z3128" s="54" t="s">
        <v>2</v>
      </c>
      <c r="AA3128" s="54" t="s">
        <v>2</v>
      </c>
      <c r="AB3128" s="54" t="s">
        <v>2</v>
      </c>
      <c r="AC3128" s="54" t="s">
        <v>2</v>
      </c>
      <c r="AD3128" s="54" t="s">
        <v>2</v>
      </c>
      <c r="AE3128" s="54" t="s">
        <v>2</v>
      </c>
      <c r="AF3128" s="54" t="s">
        <v>2</v>
      </c>
      <c r="AG3128" s="54" t="s">
        <v>2</v>
      </c>
    </row>
    <row r="3129" ht="15.75" customHeight="1">
      <c r="B3129" s="56"/>
      <c r="U3129" s="46" t="str">
        <f t="array" ref="U3129">IF($D3129="","",IFERROR(_xlfn.XLOOKUP($D3129,'TIR店舗一覧'!$D:$D,'TIR店舗一覧'!$E:$E,""),""))</f>
        <v/>
      </c>
      <c r="V3129" s="54" t="s">
        <v>2</v>
      </c>
      <c r="W3129" s="54" t="s">
        <v>2</v>
      </c>
      <c r="X3129" s="54" t="s">
        <v>2</v>
      </c>
      <c r="Y3129" s="54" t="s">
        <v>2</v>
      </c>
      <c r="Z3129" s="54" t="s">
        <v>2</v>
      </c>
      <c r="AA3129" s="54" t="s">
        <v>2</v>
      </c>
      <c r="AB3129" s="54" t="s">
        <v>2</v>
      </c>
      <c r="AC3129" s="54" t="s">
        <v>2</v>
      </c>
      <c r="AD3129" s="54" t="s">
        <v>2</v>
      </c>
      <c r="AE3129" s="54" t="s">
        <v>2</v>
      </c>
      <c r="AF3129" s="54" t="s">
        <v>2</v>
      </c>
      <c r="AG3129" s="54" t="s">
        <v>2</v>
      </c>
    </row>
    <row r="3130" ht="15.75" customHeight="1">
      <c r="B3130" s="56"/>
      <c r="U3130" s="46" t="str">
        <f t="array" ref="U3130">IF($D3130="","",IFERROR(_xlfn.XLOOKUP($D3130,'TIR店舗一覧'!$D:$D,'TIR店舗一覧'!$E:$E,""),""))</f>
        <v/>
      </c>
      <c r="V3130" s="54" t="s">
        <v>2</v>
      </c>
      <c r="W3130" s="54" t="s">
        <v>2</v>
      </c>
      <c r="X3130" s="54" t="s">
        <v>2</v>
      </c>
      <c r="Y3130" s="54" t="s">
        <v>2</v>
      </c>
      <c r="Z3130" s="54" t="s">
        <v>2</v>
      </c>
      <c r="AA3130" s="54" t="s">
        <v>2</v>
      </c>
      <c r="AB3130" s="54" t="s">
        <v>2</v>
      </c>
      <c r="AC3130" s="54" t="s">
        <v>2</v>
      </c>
      <c r="AD3130" s="54" t="s">
        <v>2</v>
      </c>
      <c r="AE3130" s="54" t="s">
        <v>2</v>
      </c>
      <c r="AF3130" s="54" t="s">
        <v>2</v>
      </c>
      <c r="AG3130" s="54" t="s">
        <v>2</v>
      </c>
    </row>
    <row r="3131" ht="15.75" customHeight="1">
      <c r="B3131" s="56"/>
      <c r="U3131" s="46" t="str">
        <f t="array" ref="U3131">IF($D3131="","",IFERROR(_xlfn.XLOOKUP($D3131,'TIR店舗一覧'!$D:$D,'TIR店舗一覧'!$E:$E,""),""))</f>
        <v/>
      </c>
      <c r="V3131" s="54" t="s">
        <v>2</v>
      </c>
      <c r="W3131" s="54" t="s">
        <v>2</v>
      </c>
      <c r="X3131" s="54" t="s">
        <v>2</v>
      </c>
      <c r="Y3131" s="54" t="s">
        <v>2</v>
      </c>
      <c r="Z3131" s="54" t="s">
        <v>2</v>
      </c>
      <c r="AA3131" s="54" t="s">
        <v>2</v>
      </c>
      <c r="AB3131" s="54" t="s">
        <v>2</v>
      </c>
      <c r="AC3131" s="54" t="s">
        <v>2</v>
      </c>
      <c r="AD3131" s="54" t="s">
        <v>2</v>
      </c>
      <c r="AE3131" s="54" t="s">
        <v>2</v>
      </c>
      <c r="AF3131" s="54" t="s">
        <v>2</v>
      </c>
      <c r="AG3131" s="54" t="s">
        <v>2</v>
      </c>
    </row>
    <row r="3132" ht="15.75" customHeight="1">
      <c r="B3132" s="56"/>
      <c r="U3132" s="46" t="str">
        <f t="array" ref="U3132">IF($D3132="","",IFERROR(_xlfn.XLOOKUP($D3132,'TIR店舗一覧'!$D:$D,'TIR店舗一覧'!$E:$E,""),""))</f>
        <v/>
      </c>
      <c r="V3132" s="54" t="s">
        <v>2</v>
      </c>
      <c r="W3132" s="54" t="s">
        <v>2</v>
      </c>
      <c r="X3132" s="54" t="s">
        <v>2</v>
      </c>
      <c r="Y3132" s="54" t="s">
        <v>2</v>
      </c>
      <c r="Z3132" s="54" t="s">
        <v>2</v>
      </c>
      <c r="AA3132" s="54" t="s">
        <v>2</v>
      </c>
      <c r="AB3132" s="54" t="s">
        <v>2</v>
      </c>
      <c r="AC3132" s="54" t="s">
        <v>2</v>
      </c>
      <c r="AD3132" s="54" t="s">
        <v>2</v>
      </c>
      <c r="AE3132" s="54" t="s">
        <v>2</v>
      </c>
      <c r="AF3132" s="54" t="s">
        <v>2</v>
      </c>
      <c r="AG3132" s="54" t="s">
        <v>2</v>
      </c>
    </row>
    <row r="3133" ht="15.75" customHeight="1">
      <c r="B3133" s="56"/>
      <c r="U3133" s="46" t="str">
        <f t="array" ref="U3133">IF($D3133="","",IFERROR(_xlfn.XLOOKUP($D3133,'TIR店舗一覧'!$D:$D,'TIR店舗一覧'!$E:$E,""),""))</f>
        <v/>
      </c>
      <c r="V3133" s="54" t="s">
        <v>2</v>
      </c>
      <c r="W3133" s="54" t="s">
        <v>2</v>
      </c>
      <c r="X3133" s="54" t="s">
        <v>2</v>
      </c>
      <c r="Y3133" s="54" t="s">
        <v>2</v>
      </c>
      <c r="Z3133" s="54" t="s">
        <v>2</v>
      </c>
      <c r="AA3133" s="54" t="s">
        <v>2</v>
      </c>
      <c r="AB3133" s="54" t="s">
        <v>2</v>
      </c>
      <c r="AC3133" s="54" t="s">
        <v>2</v>
      </c>
      <c r="AD3133" s="54" t="s">
        <v>2</v>
      </c>
      <c r="AE3133" s="54" t="s">
        <v>2</v>
      </c>
      <c r="AF3133" s="54" t="s">
        <v>2</v>
      </c>
      <c r="AG3133" s="54" t="s">
        <v>2</v>
      </c>
    </row>
    <row r="3134" ht="15.75" customHeight="1">
      <c r="B3134" s="56"/>
      <c r="U3134" s="46" t="str">
        <f t="array" ref="U3134">IF($D3134="","",IFERROR(_xlfn.XLOOKUP($D3134,'TIR店舗一覧'!$D:$D,'TIR店舗一覧'!$E:$E,""),""))</f>
        <v/>
      </c>
      <c r="V3134" s="54" t="s">
        <v>2</v>
      </c>
      <c r="W3134" s="54" t="s">
        <v>2</v>
      </c>
      <c r="X3134" s="54" t="s">
        <v>2</v>
      </c>
      <c r="Y3134" s="54" t="s">
        <v>2</v>
      </c>
      <c r="Z3134" s="54" t="s">
        <v>2</v>
      </c>
      <c r="AA3134" s="54" t="s">
        <v>2</v>
      </c>
      <c r="AB3134" s="54" t="s">
        <v>2</v>
      </c>
      <c r="AC3134" s="54" t="s">
        <v>2</v>
      </c>
      <c r="AD3134" s="54" t="s">
        <v>2</v>
      </c>
      <c r="AE3134" s="54" t="s">
        <v>2</v>
      </c>
      <c r="AF3134" s="54" t="s">
        <v>2</v>
      </c>
      <c r="AG3134" s="54" t="s">
        <v>2</v>
      </c>
    </row>
    <row r="3135" ht="15.75" customHeight="1">
      <c r="B3135" s="56"/>
      <c r="U3135" s="46" t="str">
        <f t="array" ref="U3135">IF($D3135="","",IFERROR(_xlfn.XLOOKUP($D3135,'TIR店舗一覧'!$D:$D,'TIR店舗一覧'!$E:$E,""),""))</f>
        <v/>
      </c>
      <c r="V3135" s="54" t="s">
        <v>2</v>
      </c>
      <c r="W3135" s="54" t="s">
        <v>2</v>
      </c>
      <c r="X3135" s="54" t="s">
        <v>2</v>
      </c>
      <c r="Y3135" s="54" t="s">
        <v>2</v>
      </c>
      <c r="Z3135" s="54" t="s">
        <v>2</v>
      </c>
      <c r="AA3135" s="54" t="s">
        <v>2</v>
      </c>
      <c r="AB3135" s="54" t="s">
        <v>2</v>
      </c>
      <c r="AC3135" s="54" t="s">
        <v>2</v>
      </c>
      <c r="AD3135" s="54" t="s">
        <v>2</v>
      </c>
      <c r="AE3135" s="54" t="s">
        <v>2</v>
      </c>
      <c r="AF3135" s="54" t="s">
        <v>2</v>
      </c>
      <c r="AG3135" s="54" t="s">
        <v>2</v>
      </c>
    </row>
    <row r="3136" ht="15.75" customHeight="1">
      <c r="B3136" s="56"/>
      <c r="U3136" s="46" t="str">
        <f t="array" ref="U3136">IF($D3136="","",IFERROR(_xlfn.XLOOKUP($D3136,'TIR店舗一覧'!$D:$D,'TIR店舗一覧'!$E:$E,""),""))</f>
        <v/>
      </c>
      <c r="V3136" s="54" t="s">
        <v>2</v>
      </c>
      <c r="W3136" s="54" t="s">
        <v>2</v>
      </c>
      <c r="X3136" s="54" t="s">
        <v>2</v>
      </c>
      <c r="Y3136" s="54" t="s">
        <v>2</v>
      </c>
      <c r="Z3136" s="54" t="s">
        <v>2</v>
      </c>
      <c r="AA3136" s="54" t="s">
        <v>2</v>
      </c>
      <c r="AB3136" s="54" t="s">
        <v>2</v>
      </c>
      <c r="AC3136" s="54" t="s">
        <v>2</v>
      </c>
      <c r="AD3136" s="54" t="s">
        <v>2</v>
      </c>
      <c r="AE3136" s="54" t="s">
        <v>2</v>
      </c>
      <c r="AF3136" s="54" t="s">
        <v>2</v>
      </c>
      <c r="AG3136" s="54" t="s">
        <v>2</v>
      </c>
    </row>
    <row r="3137" ht="15.75" customHeight="1">
      <c r="B3137" s="56"/>
      <c r="U3137" s="46" t="str">
        <f t="array" ref="U3137">IF($D3137="","",IFERROR(_xlfn.XLOOKUP($D3137,'TIR店舗一覧'!$D:$D,'TIR店舗一覧'!$E:$E,""),""))</f>
        <v/>
      </c>
      <c r="V3137" s="54" t="s">
        <v>2</v>
      </c>
      <c r="W3137" s="54" t="s">
        <v>2</v>
      </c>
      <c r="X3137" s="54" t="s">
        <v>2</v>
      </c>
      <c r="Y3137" s="54" t="s">
        <v>2</v>
      </c>
      <c r="Z3137" s="54" t="s">
        <v>2</v>
      </c>
      <c r="AA3137" s="54" t="s">
        <v>2</v>
      </c>
      <c r="AB3137" s="54" t="s">
        <v>2</v>
      </c>
      <c r="AC3137" s="54" t="s">
        <v>2</v>
      </c>
      <c r="AD3137" s="54" t="s">
        <v>2</v>
      </c>
      <c r="AE3137" s="54" t="s">
        <v>2</v>
      </c>
      <c r="AF3137" s="54" t="s">
        <v>2</v>
      </c>
      <c r="AG3137" s="54" t="s">
        <v>2</v>
      </c>
    </row>
    <row r="3138" ht="15.75" customHeight="1">
      <c r="B3138" s="56"/>
      <c r="U3138" s="46" t="str">
        <f t="array" ref="U3138">IF($D3138="","",IFERROR(_xlfn.XLOOKUP($D3138,'TIR店舗一覧'!$D:$D,'TIR店舗一覧'!$E:$E,""),""))</f>
        <v/>
      </c>
      <c r="V3138" s="54" t="s">
        <v>2</v>
      </c>
      <c r="W3138" s="54" t="s">
        <v>2</v>
      </c>
      <c r="X3138" s="54" t="s">
        <v>2</v>
      </c>
      <c r="Y3138" s="54" t="s">
        <v>2</v>
      </c>
      <c r="Z3138" s="54" t="s">
        <v>2</v>
      </c>
      <c r="AA3138" s="54" t="s">
        <v>2</v>
      </c>
      <c r="AB3138" s="54" t="s">
        <v>2</v>
      </c>
      <c r="AC3138" s="54" t="s">
        <v>2</v>
      </c>
      <c r="AD3138" s="54" t="s">
        <v>2</v>
      </c>
      <c r="AE3138" s="54" t="s">
        <v>2</v>
      </c>
      <c r="AF3138" s="54" t="s">
        <v>2</v>
      </c>
      <c r="AG3138" s="54" t="s">
        <v>2</v>
      </c>
    </row>
    <row r="3139" ht="15.75" customHeight="1">
      <c r="B3139" s="56"/>
      <c r="U3139" s="46" t="str">
        <f t="array" ref="U3139">IF($D3139="","",IFERROR(_xlfn.XLOOKUP($D3139,'TIR店舗一覧'!$D:$D,'TIR店舗一覧'!$E:$E,""),""))</f>
        <v/>
      </c>
      <c r="V3139" s="54" t="s">
        <v>2</v>
      </c>
      <c r="W3139" s="54" t="s">
        <v>2</v>
      </c>
      <c r="X3139" s="54" t="s">
        <v>2</v>
      </c>
      <c r="Y3139" s="54" t="s">
        <v>2</v>
      </c>
      <c r="Z3139" s="54" t="s">
        <v>2</v>
      </c>
      <c r="AA3139" s="54" t="s">
        <v>2</v>
      </c>
      <c r="AB3139" s="54" t="s">
        <v>2</v>
      </c>
      <c r="AC3139" s="54" t="s">
        <v>2</v>
      </c>
      <c r="AD3139" s="54" t="s">
        <v>2</v>
      </c>
      <c r="AE3139" s="54" t="s">
        <v>2</v>
      </c>
      <c r="AF3139" s="54" t="s">
        <v>2</v>
      </c>
      <c r="AG3139" s="54" t="s">
        <v>2</v>
      </c>
    </row>
    <row r="3140" ht="15.75" customHeight="1">
      <c r="B3140" s="56"/>
      <c r="U3140" s="46" t="str">
        <f t="array" ref="U3140">IF($D3140="","",IFERROR(_xlfn.XLOOKUP($D3140,'TIR店舗一覧'!$D:$D,'TIR店舗一覧'!$E:$E,""),""))</f>
        <v/>
      </c>
      <c r="V3140" s="54" t="s">
        <v>2</v>
      </c>
      <c r="W3140" s="54" t="s">
        <v>2</v>
      </c>
      <c r="X3140" s="54" t="s">
        <v>2</v>
      </c>
      <c r="Y3140" s="54" t="s">
        <v>2</v>
      </c>
      <c r="Z3140" s="54" t="s">
        <v>2</v>
      </c>
      <c r="AA3140" s="54" t="s">
        <v>2</v>
      </c>
      <c r="AB3140" s="54" t="s">
        <v>2</v>
      </c>
      <c r="AC3140" s="54" t="s">
        <v>2</v>
      </c>
      <c r="AD3140" s="54" t="s">
        <v>2</v>
      </c>
      <c r="AE3140" s="54" t="s">
        <v>2</v>
      </c>
      <c r="AF3140" s="54" t="s">
        <v>2</v>
      </c>
      <c r="AG3140" s="54" t="s">
        <v>2</v>
      </c>
    </row>
    <row r="3141" ht="15.75" customHeight="1">
      <c r="B3141" s="56"/>
      <c r="U3141" s="46" t="str">
        <f t="array" ref="U3141">IF($D3141="","",IFERROR(_xlfn.XLOOKUP($D3141,'TIR店舗一覧'!$D:$D,'TIR店舗一覧'!$E:$E,""),""))</f>
        <v/>
      </c>
      <c r="V3141" s="54" t="s">
        <v>2</v>
      </c>
      <c r="W3141" s="54" t="s">
        <v>2</v>
      </c>
      <c r="X3141" s="54" t="s">
        <v>2</v>
      </c>
      <c r="Y3141" s="54" t="s">
        <v>2</v>
      </c>
      <c r="Z3141" s="54" t="s">
        <v>2</v>
      </c>
      <c r="AA3141" s="54" t="s">
        <v>2</v>
      </c>
      <c r="AB3141" s="54" t="s">
        <v>2</v>
      </c>
      <c r="AC3141" s="54" t="s">
        <v>2</v>
      </c>
      <c r="AD3141" s="54" t="s">
        <v>2</v>
      </c>
      <c r="AE3141" s="54" t="s">
        <v>2</v>
      </c>
      <c r="AF3141" s="54" t="s">
        <v>2</v>
      </c>
      <c r="AG3141" s="54" t="s">
        <v>2</v>
      </c>
    </row>
    <row r="3142" ht="15.75" customHeight="1">
      <c r="B3142" s="56"/>
      <c r="U3142" s="46" t="str">
        <f t="array" ref="U3142">IF($D3142="","",IFERROR(_xlfn.XLOOKUP($D3142,'TIR店舗一覧'!$D:$D,'TIR店舗一覧'!$E:$E,""),""))</f>
        <v/>
      </c>
      <c r="V3142" s="54" t="s">
        <v>2</v>
      </c>
      <c r="W3142" s="54" t="s">
        <v>2</v>
      </c>
      <c r="X3142" s="54" t="s">
        <v>2</v>
      </c>
      <c r="Y3142" s="54" t="s">
        <v>2</v>
      </c>
      <c r="Z3142" s="54" t="s">
        <v>2</v>
      </c>
      <c r="AA3142" s="54" t="s">
        <v>2</v>
      </c>
      <c r="AB3142" s="54" t="s">
        <v>2</v>
      </c>
      <c r="AC3142" s="54" t="s">
        <v>2</v>
      </c>
      <c r="AD3142" s="54" t="s">
        <v>2</v>
      </c>
      <c r="AE3142" s="54" t="s">
        <v>2</v>
      </c>
      <c r="AF3142" s="54" t="s">
        <v>2</v>
      </c>
      <c r="AG3142" s="54" t="s">
        <v>2</v>
      </c>
    </row>
    <row r="3143" ht="15.75" customHeight="1">
      <c r="B3143" s="56"/>
      <c r="U3143" s="46" t="str">
        <f t="array" ref="U3143">IF($D3143="","",IFERROR(_xlfn.XLOOKUP($D3143,'TIR店舗一覧'!$D:$D,'TIR店舗一覧'!$E:$E,""),""))</f>
        <v/>
      </c>
      <c r="V3143" s="54" t="s">
        <v>2</v>
      </c>
      <c r="W3143" s="54" t="s">
        <v>2</v>
      </c>
      <c r="X3143" s="54" t="s">
        <v>2</v>
      </c>
      <c r="Y3143" s="54" t="s">
        <v>2</v>
      </c>
      <c r="Z3143" s="54" t="s">
        <v>2</v>
      </c>
      <c r="AA3143" s="54" t="s">
        <v>2</v>
      </c>
      <c r="AB3143" s="54" t="s">
        <v>2</v>
      </c>
      <c r="AC3143" s="54" t="s">
        <v>2</v>
      </c>
      <c r="AD3143" s="54" t="s">
        <v>2</v>
      </c>
      <c r="AE3143" s="54" t="s">
        <v>2</v>
      </c>
      <c r="AF3143" s="54" t="s">
        <v>2</v>
      </c>
      <c r="AG3143" s="54" t="s">
        <v>2</v>
      </c>
    </row>
    <row r="3144" ht="15.75" customHeight="1">
      <c r="B3144" s="56"/>
      <c r="U3144" s="46" t="str">
        <f t="array" ref="U3144">IF($D3144="","",IFERROR(_xlfn.XLOOKUP($D3144,'TIR店舗一覧'!$D:$D,'TIR店舗一覧'!$E:$E,""),""))</f>
        <v/>
      </c>
      <c r="V3144" s="54" t="s">
        <v>2</v>
      </c>
      <c r="W3144" s="54" t="s">
        <v>2</v>
      </c>
      <c r="X3144" s="54" t="s">
        <v>2</v>
      </c>
      <c r="Y3144" s="54" t="s">
        <v>2</v>
      </c>
      <c r="Z3144" s="54" t="s">
        <v>2</v>
      </c>
      <c r="AA3144" s="54" t="s">
        <v>2</v>
      </c>
      <c r="AB3144" s="54" t="s">
        <v>2</v>
      </c>
      <c r="AC3144" s="54" t="s">
        <v>2</v>
      </c>
      <c r="AD3144" s="54" t="s">
        <v>2</v>
      </c>
      <c r="AE3144" s="54" t="s">
        <v>2</v>
      </c>
      <c r="AF3144" s="54" t="s">
        <v>2</v>
      </c>
      <c r="AG3144" s="54" t="s">
        <v>2</v>
      </c>
    </row>
    <row r="3145" ht="15.75" customHeight="1">
      <c r="B3145" s="56"/>
      <c r="U3145" s="46" t="str">
        <f t="array" ref="U3145">IF($D3145="","",IFERROR(_xlfn.XLOOKUP($D3145,'TIR店舗一覧'!$D:$D,'TIR店舗一覧'!$E:$E,""),""))</f>
        <v/>
      </c>
      <c r="V3145" s="54" t="s">
        <v>2</v>
      </c>
      <c r="W3145" s="54" t="s">
        <v>2</v>
      </c>
      <c r="X3145" s="54" t="s">
        <v>2</v>
      </c>
      <c r="Y3145" s="54" t="s">
        <v>2</v>
      </c>
      <c r="Z3145" s="54" t="s">
        <v>2</v>
      </c>
      <c r="AA3145" s="54" t="s">
        <v>2</v>
      </c>
      <c r="AB3145" s="54" t="s">
        <v>2</v>
      </c>
      <c r="AC3145" s="54" t="s">
        <v>2</v>
      </c>
      <c r="AD3145" s="54" t="s">
        <v>2</v>
      </c>
      <c r="AE3145" s="54" t="s">
        <v>2</v>
      </c>
      <c r="AF3145" s="54" t="s">
        <v>2</v>
      </c>
      <c r="AG3145" s="54" t="s">
        <v>2</v>
      </c>
    </row>
    <row r="3146" ht="15.75" customHeight="1">
      <c r="B3146" s="56"/>
      <c r="U3146" s="46" t="str">
        <f t="array" ref="U3146">IF($D3146="","",IFERROR(_xlfn.XLOOKUP($D3146,'TIR店舗一覧'!$D:$D,'TIR店舗一覧'!$E:$E,""),""))</f>
        <v/>
      </c>
      <c r="V3146" s="54" t="s">
        <v>2</v>
      </c>
      <c r="W3146" s="54" t="s">
        <v>2</v>
      </c>
      <c r="X3146" s="54" t="s">
        <v>2</v>
      </c>
      <c r="Y3146" s="54" t="s">
        <v>2</v>
      </c>
      <c r="Z3146" s="54" t="s">
        <v>2</v>
      </c>
      <c r="AA3146" s="54" t="s">
        <v>2</v>
      </c>
      <c r="AB3146" s="54" t="s">
        <v>2</v>
      </c>
      <c r="AC3146" s="54" t="s">
        <v>2</v>
      </c>
      <c r="AD3146" s="54" t="s">
        <v>2</v>
      </c>
      <c r="AE3146" s="54" t="s">
        <v>2</v>
      </c>
      <c r="AF3146" s="54" t="s">
        <v>2</v>
      </c>
      <c r="AG3146" s="54" t="s">
        <v>2</v>
      </c>
    </row>
    <row r="3147" ht="15.75" customHeight="1">
      <c r="B3147" s="56"/>
      <c r="U3147" s="46" t="str">
        <f t="array" ref="U3147">IF($D3147="","",IFERROR(_xlfn.XLOOKUP($D3147,'TIR店舗一覧'!$D:$D,'TIR店舗一覧'!$E:$E,""),""))</f>
        <v/>
      </c>
      <c r="V3147" s="54" t="s">
        <v>2</v>
      </c>
      <c r="W3147" s="54" t="s">
        <v>2</v>
      </c>
      <c r="X3147" s="54" t="s">
        <v>2</v>
      </c>
      <c r="Y3147" s="54" t="s">
        <v>2</v>
      </c>
      <c r="Z3147" s="54" t="s">
        <v>2</v>
      </c>
      <c r="AA3147" s="54" t="s">
        <v>2</v>
      </c>
      <c r="AB3147" s="54" t="s">
        <v>2</v>
      </c>
      <c r="AC3147" s="54" t="s">
        <v>2</v>
      </c>
      <c r="AD3147" s="54" t="s">
        <v>2</v>
      </c>
      <c r="AE3147" s="54" t="s">
        <v>2</v>
      </c>
      <c r="AF3147" s="54" t="s">
        <v>2</v>
      </c>
      <c r="AG3147" s="54" t="s">
        <v>2</v>
      </c>
    </row>
    <row r="3148" ht="15.75" customHeight="1">
      <c r="B3148" s="56"/>
      <c r="U3148" s="46" t="str">
        <f t="array" ref="U3148">IF($D3148="","",IFERROR(_xlfn.XLOOKUP($D3148,'TIR店舗一覧'!$D:$D,'TIR店舗一覧'!$E:$E,""),""))</f>
        <v/>
      </c>
      <c r="V3148" s="54" t="s">
        <v>2</v>
      </c>
      <c r="W3148" s="54" t="s">
        <v>2</v>
      </c>
      <c r="X3148" s="54" t="s">
        <v>2</v>
      </c>
      <c r="Y3148" s="54" t="s">
        <v>2</v>
      </c>
      <c r="Z3148" s="54" t="s">
        <v>2</v>
      </c>
      <c r="AA3148" s="54" t="s">
        <v>2</v>
      </c>
      <c r="AB3148" s="54" t="s">
        <v>2</v>
      </c>
      <c r="AC3148" s="54" t="s">
        <v>2</v>
      </c>
      <c r="AD3148" s="54" t="s">
        <v>2</v>
      </c>
      <c r="AE3148" s="54" t="s">
        <v>2</v>
      </c>
      <c r="AF3148" s="54" t="s">
        <v>2</v>
      </c>
      <c r="AG3148" s="54" t="s">
        <v>2</v>
      </c>
    </row>
    <row r="3149" ht="15.75" customHeight="1">
      <c r="B3149" s="56"/>
      <c r="U3149" s="46" t="str">
        <f t="array" ref="U3149">IF($D3149="","",IFERROR(_xlfn.XLOOKUP($D3149,'TIR店舗一覧'!$D:$D,'TIR店舗一覧'!$E:$E,""),""))</f>
        <v/>
      </c>
      <c r="V3149" s="54" t="s">
        <v>2</v>
      </c>
      <c r="W3149" s="54" t="s">
        <v>2</v>
      </c>
      <c r="X3149" s="54" t="s">
        <v>2</v>
      </c>
      <c r="Y3149" s="54" t="s">
        <v>2</v>
      </c>
      <c r="Z3149" s="54" t="s">
        <v>2</v>
      </c>
      <c r="AA3149" s="54" t="s">
        <v>2</v>
      </c>
      <c r="AB3149" s="54" t="s">
        <v>2</v>
      </c>
      <c r="AC3149" s="54" t="s">
        <v>2</v>
      </c>
      <c r="AD3149" s="54" t="s">
        <v>2</v>
      </c>
      <c r="AE3149" s="54" t="s">
        <v>2</v>
      </c>
      <c r="AF3149" s="54" t="s">
        <v>2</v>
      </c>
      <c r="AG3149" s="54" t="s">
        <v>2</v>
      </c>
    </row>
    <row r="3150" ht="15.75" customHeight="1">
      <c r="B3150" s="56"/>
      <c r="U3150" s="46" t="str">
        <f t="array" ref="U3150">IF($D3150="","",IFERROR(_xlfn.XLOOKUP($D3150,'TIR店舗一覧'!$D:$D,'TIR店舗一覧'!$E:$E,""),""))</f>
        <v/>
      </c>
      <c r="V3150" s="54" t="s">
        <v>2</v>
      </c>
      <c r="W3150" s="54" t="s">
        <v>2</v>
      </c>
      <c r="X3150" s="54" t="s">
        <v>2</v>
      </c>
      <c r="Y3150" s="54" t="s">
        <v>2</v>
      </c>
      <c r="Z3150" s="54" t="s">
        <v>2</v>
      </c>
      <c r="AA3150" s="54" t="s">
        <v>2</v>
      </c>
      <c r="AB3150" s="54" t="s">
        <v>2</v>
      </c>
      <c r="AC3150" s="54" t="s">
        <v>2</v>
      </c>
      <c r="AD3150" s="54" t="s">
        <v>2</v>
      </c>
      <c r="AE3150" s="54" t="s">
        <v>2</v>
      </c>
      <c r="AF3150" s="54" t="s">
        <v>2</v>
      </c>
      <c r="AG3150" s="54" t="s">
        <v>2</v>
      </c>
    </row>
    <row r="3151" ht="15.75" customHeight="1">
      <c r="B3151" s="56"/>
      <c r="U3151" s="46" t="str">
        <f t="array" ref="U3151">IF($D3151="","",IFERROR(_xlfn.XLOOKUP($D3151,'TIR店舗一覧'!$D:$D,'TIR店舗一覧'!$E:$E,""),""))</f>
        <v/>
      </c>
      <c r="V3151" s="54" t="s">
        <v>2</v>
      </c>
      <c r="W3151" s="54" t="s">
        <v>2</v>
      </c>
      <c r="X3151" s="54" t="s">
        <v>2</v>
      </c>
      <c r="Y3151" s="54" t="s">
        <v>2</v>
      </c>
      <c r="Z3151" s="54" t="s">
        <v>2</v>
      </c>
      <c r="AA3151" s="54" t="s">
        <v>2</v>
      </c>
      <c r="AB3151" s="54" t="s">
        <v>2</v>
      </c>
      <c r="AC3151" s="54" t="s">
        <v>2</v>
      </c>
      <c r="AD3151" s="54" t="s">
        <v>2</v>
      </c>
      <c r="AE3151" s="54" t="s">
        <v>2</v>
      </c>
      <c r="AF3151" s="54" t="s">
        <v>2</v>
      </c>
      <c r="AG3151" s="54" t="s">
        <v>2</v>
      </c>
    </row>
    <row r="3152" ht="15.75" customHeight="1">
      <c r="B3152" s="56"/>
      <c r="U3152" s="46" t="str">
        <f t="array" ref="U3152">IF($D3152="","",IFERROR(_xlfn.XLOOKUP($D3152,'TIR店舗一覧'!$D:$D,'TIR店舗一覧'!$E:$E,""),""))</f>
        <v/>
      </c>
      <c r="V3152" s="54" t="s">
        <v>2</v>
      </c>
      <c r="W3152" s="54" t="s">
        <v>2</v>
      </c>
      <c r="X3152" s="54" t="s">
        <v>2</v>
      </c>
      <c r="Y3152" s="54" t="s">
        <v>2</v>
      </c>
      <c r="Z3152" s="54" t="s">
        <v>2</v>
      </c>
      <c r="AA3152" s="54" t="s">
        <v>2</v>
      </c>
      <c r="AB3152" s="54" t="s">
        <v>2</v>
      </c>
      <c r="AC3152" s="54" t="s">
        <v>2</v>
      </c>
      <c r="AD3152" s="54" t="s">
        <v>2</v>
      </c>
      <c r="AE3152" s="54" t="s">
        <v>2</v>
      </c>
      <c r="AF3152" s="54" t="s">
        <v>2</v>
      </c>
      <c r="AG3152" s="54" t="s">
        <v>2</v>
      </c>
    </row>
    <row r="3153" ht="15.75" customHeight="1">
      <c r="B3153" s="56"/>
      <c r="U3153" s="46" t="str">
        <f t="array" ref="U3153">IF($D3153="","",IFERROR(_xlfn.XLOOKUP($D3153,'TIR店舗一覧'!$D:$D,'TIR店舗一覧'!$E:$E,""),""))</f>
        <v/>
      </c>
      <c r="V3153" s="54" t="s">
        <v>2</v>
      </c>
      <c r="W3153" s="54" t="s">
        <v>2</v>
      </c>
      <c r="X3153" s="54" t="s">
        <v>2</v>
      </c>
      <c r="Y3153" s="54" t="s">
        <v>2</v>
      </c>
      <c r="Z3153" s="54" t="s">
        <v>2</v>
      </c>
      <c r="AA3153" s="54" t="s">
        <v>2</v>
      </c>
      <c r="AB3153" s="54" t="s">
        <v>2</v>
      </c>
      <c r="AC3153" s="54" t="s">
        <v>2</v>
      </c>
      <c r="AD3153" s="54" t="s">
        <v>2</v>
      </c>
      <c r="AE3153" s="54" t="s">
        <v>2</v>
      </c>
      <c r="AF3153" s="54" t="s">
        <v>2</v>
      </c>
      <c r="AG3153" s="54" t="s">
        <v>2</v>
      </c>
    </row>
    <row r="3154" ht="15.75" customHeight="1">
      <c r="B3154" s="56"/>
      <c r="U3154" s="46" t="str">
        <f t="array" ref="U3154">IF($D3154="","",IFERROR(_xlfn.XLOOKUP($D3154,'TIR店舗一覧'!$D:$D,'TIR店舗一覧'!$E:$E,""),""))</f>
        <v/>
      </c>
      <c r="V3154" s="54" t="s">
        <v>2</v>
      </c>
      <c r="W3154" s="54" t="s">
        <v>2</v>
      </c>
      <c r="X3154" s="54" t="s">
        <v>2</v>
      </c>
      <c r="Y3154" s="54" t="s">
        <v>2</v>
      </c>
      <c r="Z3154" s="54" t="s">
        <v>2</v>
      </c>
      <c r="AA3154" s="54" t="s">
        <v>2</v>
      </c>
      <c r="AB3154" s="54" t="s">
        <v>2</v>
      </c>
      <c r="AC3154" s="54" t="s">
        <v>2</v>
      </c>
      <c r="AD3154" s="54" t="s">
        <v>2</v>
      </c>
      <c r="AE3154" s="54" t="s">
        <v>2</v>
      </c>
      <c r="AF3154" s="54" t="s">
        <v>2</v>
      </c>
      <c r="AG3154" s="54" t="s">
        <v>2</v>
      </c>
    </row>
    <row r="3155" ht="15.75" customHeight="1">
      <c r="B3155" s="56"/>
      <c r="U3155" s="46" t="str">
        <f t="array" ref="U3155">IF($D3155="","",IFERROR(_xlfn.XLOOKUP($D3155,'TIR店舗一覧'!$D:$D,'TIR店舗一覧'!$E:$E,""),""))</f>
        <v/>
      </c>
      <c r="V3155" s="54" t="s">
        <v>2</v>
      </c>
      <c r="W3155" s="54" t="s">
        <v>2</v>
      </c>
      <c r="X3155" s="54" t="s">
        <v>2</v>
      </c>
      <c r="Y3155" s="54" t="s">
        <v>2</v>
      </c>
      <c r="Z3155" s="54" t="s">
        <v>2</v>
      </c>
      <c r="AA3155" s="54" t="s">
        <v>2</v>
      </c>
      <c r="AB3155" s="54" t="s">
        <v>2</v>
      </c>
      <c r="AC3155" s="54" t="s">
        <v>2</v>
      </c>
      <c r="AD3155" s="54" t="s">
        <v>2</v>
      </c>
      <c r="AE3155" s="54" t="s">
        <v>2</v>
      </c>
      <c r="AF3155" s="54" t="s">
        <v>2</v>
      </c>
      <c r="AG3155" s="54" t="s">
        <v>2</v>
      </c>
    </row>
    <row r="3156" ht="15.75" customHeight="1">
      <c r="B3156" s="56"/>
      <c r="U3156" s="46" t="str">
        <f t="array" ref="U3156">IF($D3156="","",IFERROR(_xlfn.XLOOKUP($D3156,'TIR店舗一覧'!$D:$D,'TIR店舗一覧'!$E:$E,""),""))</f>
        <v/>
      </c>
      <c r="V3156" s="54" t="s">
        <v>2</v>
      </c>
      <c r="W3156" s="54" t="s">
        <v>2</v>
      </c>
      <c r="X3156" s="54" t="s">
        <v>2</v>
      </c>
      <c r="Y3156" s="54" t="s">
        <v>2</v>
      </c>
      <c r="Z3156" s="54" t="s">
        <v>2</v>
      </c>
      <c r="AA3156" s="54" t="s">
        <v>2</v>
      </c>
      <c r="AB3156" s="54" t="s">
        <v>2</v>
      </c>
      <c r="AC3156" s="54" t="s">
        <v>2</v>
      </c>
      <c r="AD3156" s="54" t="s">
        <v>2</v>
      </c>
      <c r="AE3156" s="54" t="s">
        <v>2</v>
      </c>
      <c r="AF3156" s="54" t="s">
        <v>2</v>
      </c>
      <c r="AG3156" s="54" t="s">
        <v>2</v>
      </c>
    </row>
    <row r="3157" ht="15.75" customHeight="1">
      <c r="B3157" s="56"/>
      <c r="U3157" s="46" t="str">
        <f t="array" ref="U3157">IF($D3157="","",IFERROR(_xlfn.XLOOKUP($D3157,'TIR店舗一覧'!$D:$D,'TIR店舗一覧'!$E:$E,""),""))</f>
        <v/>
      </c>
      <c r="V3157" s="54" t="s">
        <v>2</v>
      </c>
      <c r="W3157" s="54" t="s">
        <v>2</v>
      </c>
      <c r="X3157" s="54" t="s">
        <v>2</v>
      </c>
      <c r="Y3157" s="54" t="s">
        <v>2</v>
      </c>
      <c r="Z3157" s="54" t="s">
        <v>2</v>
      </c>
      <c r="AA3157" s="54" t="s">
        <v>2</v>
      </c>
      <c r="AB3157" s="54" t="s">
        <v>2</v>
      </c>
      <c r="AC3157" s="54" t="s">
        <v>2</v>
      </c>
      <c r="AD3157" s="54" t="s">
        <v>2</v>
      </c>
      <c r="AE3157" s="54" t="s">
        <v>2</v>
      </c>
      <c r="AF3157" s="54" t="s">
        <v>2</v>
      </c>
      <c r="AG3157" s="54" t="s">
        <v>2</v>
      </c>
    </row>
    <row r="3158" ht="15.75" customHeight="1">
      <c r="B3158" s="56"/>
      <c r="U3158" s="46" t="str">
        <f t="array" ref="U3158">IF($D3158="","",IFERROR(_xlfn.XLOOKUP($D3158,'TIR店舗一覧'!$D:$D,'TIR店舗一覧'!$E:$E,""),""))</f>
        <v/>
      </c>
      <c r="V3158" s="54" t="s">
        <v>2</v>
      </c>
      <c r="W3158" s="54" t="s">
        <v>2</v>
      </c>
      <c r="X3158" s="54" t="s">
        <v>2</v>
      </c>
      <c r="Y3158" s="54" t="s">
        <v>2</v>
      </c>
      <c r="Z3158" s="54" t="s">
        <v>2</v>
      </c>
      <c r="AA3158" s="54" t="s">
        <v>2</v>
      </c>
      <c r="AB3158" s="54" t="s">
        <v>2</v>
      </c>
      <c r="AC3158" s="54" t="s">
        <v>2</v>
      </c>
      <c r="AD3158" s="54" t="s">
        <v>2</v>
      </c>
      <c r="AE3158" s="54" t="s">
        <v>2</v>
      </c>
      <c r="AF3158" s="54" t="s">
        <v>2</v>
      </c>
      <c r="AG3158" s="54" t="s">
        <v>2</v>
      </c>
    </row>
    <row r="3159" ht="15.75" customHeight="1">
      <c r="B3159" s="56"/>
      <c r="U3159" s="46" t="str">
        <f t="array" ref="U3159">IF($D3159="","",IFERROR(_xlfn.XLOOKUP($D3159,'TIR店舗一覧'!$D:$D,'TIR店舗一覧'!$E:$E,""),""))</f>
        <v/>
      </c>
      <c r="V3159" s="54" t="s">
        <v>2</v>
      </c>
      <c r="W3159" s="54" t="s">
        <v>2</v>
      </c>
      <c r="X3159" s="54" t="s">
        <v>2</v>
      </c>
      <c r="Y3159" s="54" t="s">
        <v>2</v>
      </c>
      <c r="Z3159" s="54" t="s">
        <v>2</v>
      </c>
      <c r="AA3159" s="54" t="s">
        <v>2</v>
      </c>
      <c r="AB3159" s="54" t="s">
        <v>2</v>
      </c>
      <c r="AC3159" s="54" t="s">
        <v>2</v>
      </c>
      <c r="AD3159" s="54" t="s">
        <v>2</v>
      </c>
      <c r="AE3159" s="54" t="s">
        <v>2</v>
      </c>
      <c r="AF3159" s="54" t="s">
        <v>2</v>
      </c>
      <c r="AG3159" s="54" t="s">
        <v>2</v>
      </c>
    </row>
    <row r="3160" ht="15.75" customHeight="1">
      <c r="B3160" s="56"/>
      <c r="U3160" s="46" t="str">
        <f t="array" ref="U3160">IF($D3160="","",IFERROR(_xlfn.XLOOKUP($D3160,'TIR店舗一覧'!$D:$D,'TIR店舗一覧'!$E:$E,""),""))</f>
        <v/>
      </c>
      <c r="V3160" s="54" t="s">
        <v>2</v>
      </c>
      <c r="W3160" s="54" t="s">
        <v>2</v>
      </c>
      <c r="X3160" s="54" t="s">
        <v>2</v>
      </c>
      <c r="Y3160" s="54" t="s">
        <v>2</v>
      </c>
      <c r="Z3160" s="54" t="s">
        <v>2</v>
      </c>
      <c r="AA3160" s="54" t="s">
        <v>2</v>
      </c>
      <c r="AB3160" s="54" t="s">
        <v>2</v>
      </c>
      <c r="AC3160" s="54" t="s">
        <v>2</v>
      </c>
      <c r="AD3160" s="54" t="s">
        <v>2</v>
      </c>
      <c r="AE3160" s="54" t="s">
        <v>2</v>
      </c>
      <c r="AF3160" s="54" t="s">
        <v>2</v>
      </c>
      <c r="AG3160" s="54" t="s">
        <v>2</v>
      </c>
    </row>
    <row r="3161" ht="15.75" customHeight="1">
      <c r="B3161" s="56"/>
      <c r="U3161" s="46" t="str">
        <f t="array" ref="U3161">IF($D3161="","",IFERROR(_xlfn.XLOOKUP($D3161,'TIR店舗一覧'!$D:$D,'TIR店舗一覧'!$E:$E,""),""))</f>
        <v/>
      </c>
      <c r="V3161" s="54" t="s">
        <v>2</v>
      </c>
      <c r="W3161" s="54" t="s">
        <v>2</v>
      </c>
      <c r="X3161" s="54" t="s">
        <v>2</v>
      </c>
      <c r="Y3161" s="54" t="s">
        <v>2</v>
      </c>
      <c r="Z3161" s="54" t="s">
        <v>2</v>
      </c>
      <c r="AA3161" s="54" t="s">
        <v>2</v>
      </c>
      <c r="AB3161" s="54" t="s">
        <v>2</v>
      </c>
      <c r="AC3161" s="54" t="s">
        <v>2</v>
      </c>
      <c r="AD3161" s="54" t="s">
        <v>2</v>
      </c>
      <c r="AE3161" s="54" t="s">
        <v>2</v>
      </c>
      <c r="AF3161" s="54" t="s">
        <v>2</v>
      </c>
      <c r="AG3161" s="54" t="s">
        <v>2</v>
      </c>
    </row>
    <row r="3162" ht="15.75" customHeight="1">
      <c r="B3162" s="56"/>
      <c r="U3162" s="46" t="str">
        <f t="array" ref="U3162">IF($D3162="","",IFERROR(_xlfn.XLOOKUP($D3162,'TIR店舗一覧'!$D:$D,'TIR店舗一覧'!$E:$E,""),""))</f>
        <v/>
      </c>
      <c r="V3162" s="54" t="s">
        <v>2</v>
      </c>
      <c r="W3162" s="54" t="s">
        <v>2</v>
      </c>
      <c r="X3162" s="54" t="s">
        <v>2</v>
      </c>
      <c r="Y3162" s="54" t="s">
        <v>2</v>
      </c>
      <c r="Z3162" s="54" t="s">
        <v>2</v>
      </c>
      <c r="AA3162" s="54" t="s">
        <v>2</v>
      </c>
      <c r="AB3162" s="54" t="s">
        <v>2</v>
      </c>
      <c r="AC3162" s="54" t="s">
        <v>2</v>
      </c>
      <c r="AD3162" s="54" t="s">
        <v>2</v>
      </c>
      <c r="AE3162" s="54" t="s">
        <v>2</v>
      </c>
      <c r="AF3162" s="54" t="s">
        <v>2</v>
      </c>
      <c r="AG3162" s="54" t="s">
        <v>2</v>
      </c>
    </row>
    <row r="3163" ht="15.75" customHeight="1">
      <c r="B3163" s="56"/>
      <c r="U3163" s="46" t="str">
        <f t="array" ref="U3163">IF($D3163="","",IFERROR(_xlfn.XLOOKUP($D3163,'TIR店舗一覧'!$D:$D,'TIR店舗一覧'!$E:$E,""),""))</f>
        <v/>
      </c>
      <c r="V3163" s="54" t="s">
        <v>2</v>
      </c>
      <c r="W3163" s="54" t="s">
        <v>2</v>
      </c>
      <c r="X3163" s="54" t="s">
        <v>2</v>
      </c>
      <c r="Y3163" s="54" t="s">
        <v>2</v>
      </c>
      <c r="Z3163" s="54" t="s">
        <v>2</v>
      </c>
      <c r="AA3163" s="54" t="s">
        <v>2</v>
      </c>
      <c r="AB3163" s="54" t="s">
        <v>2</v>
      </c>
      <c r="AC3163" s="54" t="s">
        <v>2</v>
      </c>
      <c r="AD3163" s="54" t="s">
        <v>2</v>
      </c>
      <c r="AE3163" s="54" t="s">
        <v>2</v>
      </c>
      <c r="AF3163" s="54" t="s">
        <v>2</v>
      </c>
      <c r="AG3163" s="54" t="s">
        <v>2</v>
      </c>
    </row>
    <row r="3164" ht="15.75" customHeight="1">
      <c r="B3164" s="56"/>
      <c r="U3164" s="46" t="str">
        <f t="array" ref="U3164">IF($D3164="","",IFERROR(_xlfn.XLOOKUP($D3164,'TIR店舗一覧'!$D:$D,'TIR店舗一覧'!$E:$E,""),""))</f>
        <v/>
      </c>
      <c r="V3164" s="54" t="s">
        <v>2</v>
      </c>
      <c r="W3164" s="54" t="s">
        <v>2</v>
      </c>
      <c r="X3164" s="54" t="s">
        <v>2</v>
      </c>
      <c r="Y3164" s="54" t="s">
        <v>2</v>
      </c>
      <c r="Z3164" s="54" t="s">
        <v>2</v>
      </c>
      <c r="AA3164" s="54" t="s">
        <v>2</v>
      </c>
      <c r="AB3164" s="54" t="s">
        <v>2</v>
      </c>
      <c r="AC3164" s="54" t="s">
        <v>2</v>
      </c>
      <c r="AD3164" s="54" t="s">
        <v>2</v>
      </c>
      <c r="AE3164" s="54" t="s">
        <v>2</v>
      </c>
      <c r="AF3164" s="54" t="s">
        <v>2</v>
      </c>
      <c r="AG3164" s="54" t="s">
        <v>2</v>
      </c>
    </row>
    <row r="3165" ht="15.75" customHeight="1">
      <c r="B3165" s="56"/>
      <c r="U3165" s="46" t="str">
        <f t="array" ref="U3165">IF($D3165="","",IFERROR(_xlfn.XLOOKUP($D3165,'TIR店舗一覧'!$D:$D,'TIR店舗一覧'!$E:$E,""),""))</f>
        <v/>
      </c>
      <c r="V3165" s="54" t="s">
        <v>2</v>
      </c>
      <c r="W3165" s="54" t="s">
        <v>2</v>
      </c>
      <c r="X3165" s="54" t="s">
        <v>2</v>
      </c>
      <c r="Y3165" s="54" t="s">
        <v>2</v>
      </c>
      <c r="Z3165" s="54" t="s">
        <v>2</v>
      </c>
      <c r="AA3165" s="54" t="s">
        <v>2</v>
      </c>
      <c r="AB3165" s="54" t="s">
        <v>2</v>
      </c>
      <c r="AC3165" s="54" t="s">
        <v>2</v>
      </c>
      <c r="AD3165" s="54" t="s">
        <v>2</v>
      </c>
      <c r="AE3165" s="54" t="s">
        <v>2</v>
      </c>
      <c r="AF3165" s="54" t="s">
        <v>2</v>
      </c>
      <c r="AG3165" s="54" t="s">
        <v>2</v>
      </c>
    </row>
    <row r="3166" ht="15.75" customHeight="1">
      <c r="B3166" s="56"/>
      <c r="U3166" s="46" t="str">
        <f t="array" ref="U3166">IF($D3166="","",IFERROR(_xlfn.XLOOKUP($D3166,'TIR店舗一覧'!$D:$D,'TIR店舗一覧'!$E:$E,""),""))</f>
        <v/>
      </c>
      <c r="V3166" s="54" t="s">
        <v>2</v>
      </c>
      <c r="W3166" s="54" t="s">
        <v>2</v>
      </c>
      <c r="X3166" s="54" t="s">
        <v>2</v>
      </c>
      <c r="Y3166" s="54" t="s">
        <v>2</v>
      </c>
      <c r="Z3166" s="54" t="s">
        <v>2</v>
      </c>
      <c r="AA3166" s="54" t="s">
        <v>2</v>
      </c>
      <c r="AB3166" s="54" t="s">
        <v>2</v>
      </c>
      <c r="AC3166" s="54" t="s">
        <v>2</v>
      </c>
      <c r="AD3166" s="54" t="s">
        <v>2</v>
      </c>
      <c r="AE3166" s="54" t="s">
        <v>2</v>
      </c>
      <c r="AF3166" s="54" t="s">
        <v>2</v>
      </c>
      <c r="AG3166" s="54" t="s">
        <v>2</v>
      </c>
    </row>
    <row r="3167" ht="15.75" customHeight="1">
      <c r="B3167" s="56"/>
      <c r="U3167" s="46" t="str">
        <f t="array" ref="U3167">IF($D3167="","",IFERROR(_xlfn.XLOOKUP($D3167,'TIR店舗一覧'!$D:$D,'TIR店舗一覧'!$E:$E,""),""))</f>
        <v/>
      </c>
      <c r="V3167" s="54" t="s">
        <v>2</v>
      </c>
      <c r="W3167" s="54" t="s">
        <v>2</v>
      </c>
      <c r="X3167" s="54" t="s">
        <v>2</v>
      </c>
      <c r="Y3167" s="54" t="s">
        <v>2</v>
      </c>
      <c r="Z3167" s="54" t="s">
        <v>2</v>
      </c>
      <c r="AA3167" s="54" t="s">
        <v>2</v>
      </c>
      <c r="AB3167" s="54" t="s">
        <v>2</v>
      </c>
      <c r="AC3167" s="54" t="s">
        <v>2</v>
      </c>
      <c r="AD3167" s="54" t="s">
        <v>2</v>
      </c>
      <c r="AE3167" s="54" t="s">
        <v>2</v>
      </c>
      <c r="AF3167" s="54" t="s">
        <v>2</v>
      </c>
      <c r="AG3167" s="54" t="s">
        <v>2</v>
      </c>
    </row>
    <row r="3168" ht="15.75" customHeight="1">
      <c r="B3168" s="56"/>
      <c r="U3168" s="46" t="str">
        <f t="array" ref="U3168">IF($D3168="","",IFERROR(_xlfn.XLOOKUP($D3168,'TIR店舗一覧'!$D:$D,'TIR店舗一覧'!$E:$E,""),""))</f>
        <v/>
      </c>
      <c r="V3168" s="54" t="s">
        <v>2</v>
      </c>
      <c r="W3168" s="54" t="s">
        <v>2</v>
      </c>
      <c r="X3168" s="54" t="s">
        <v>2</v>
      </c>
      <c r="Y3168" s="54" t="s">
        <v>2</v>
      </c>
      <c r="Z3168" s="54" t="s">
        <v>2</v>
      </c>
      <c r="AA3168" s="54" t="s">
        <v>2</v>
      </c>
      <c r="AB3168" s="54" t="s">
        <v>2</v>
      </c>
      <c r="AC3168" s="54" t="s">
        <v>2</v>
      </c>
      <c r="AD3168" s="54" t="s">
        <v>2</v>
      </c>
      <c r="AE3168" s="54" t="s">
        <v>2</v>
      </c>
      <c r="AF3168" s="54" t="s">
        <v>2</v>
      </c>
      <c r="AG3168" s="54" t="s">
        <v>2</v>
      </c>
    </row>
    <row r="3169" ht="15.75" customHeight="1">
      <c r="B3169" s="56"/>
      <c r="U3169" s="46" t="str">
        <f t="array" ref="U3169">IF($D3169="","",IFERROR(_xlfn.XLOOKUP($D3169,'TIR店舗一覧'!$D:$D,'TIR店舗一覧'!$E:$E,""),""))</f>
        <v/>
      </c>
      <c r="V3169" s="54" t="s">
        <v>2</v>
      </c>
      <c r="W3169" s="54" t="s">
        <v>2</v>
      </c>
      <c r="X3169" s="54" t="s">
        <v>2</v>
      </c>
      <c r="Y3169" s="54" t="s">
        <v>2</v>
      </c>
      <c r="Z3169" s="54" t="s">
        <v>2</v>
      </c>
      <c r="AA3169" s="54" t="s">
        <v>2</v>
      </c>
      <c r="AB3169" s="54" t="s">
        <v>2</v>
      </c>
      <c r="AC3169" s="54" t="s">
        <v>2</v>
      </c>
      <c r="AD3169" s="54" t="s">
        <v>2</v>
      </c>
      <c r="AE3169" s="54" t="s">
        <v>2</v>
      </c>
      <c r="AF3169" s="54" t="s">
        <v>2</v>
      </c>
      <c r="AG3169" s="54" t="s">
        <v>2</v>
      </c>
    </row>
    <row r="3170" ht="15.75" customHeight="1">
      <c r="B3170" s="56"/>
      <c r="U3170" s="46" t="str">
        <f t="array" ref="U3170">IF($D3170="","",IFERROR(_xlfn.XLOOKUP($D3170,'TIR店舗一覧'!$D:$D,'TIR店舗一覧'!$E:$E,""),""))</f>
        <v/>
      </c>
      <c r="V3170" s="54" t="s">
        <v>2</v>
      </c>
      <c r="W3170" s="54" t="s">
        <v>2</v>
      </c>
      <c r="X3170" s="54" t="s">
        <v>2</v>
      </c>
      <c r="Y3170" s="54" t="s">
        <v>2</v>
      </c>
      <c r="Z3170" s="54" t="s">
        <v>2</v>
      </c>
      <c r="AA3170" s="54" t="s">
        <v>2</v>
      </c>
      <c r="AB3170" s="54" t="s">
        <v>2</v>
      </c>
      <c r="AC3170" s="54" t="s">
        <v>2</v>
      </c>
      <c r="AD3170" s="54" t="s">
        <v>2</v>
      </c>
      <c r="AE3170" s="54" t="s">
        <v>2</v>
      </c>
      <c r="AF3170" s="54" t="s">
        <v>2</v>
      </c>
      <c r="AG3170" s="54" t="s">
        <v>2</v>
      </c>
    </row>
    <row r="3171" ht="15.75" customHeight="1">
      <c r="B3171" s="56"/>
      <c r="U3171" s="46" t="str">
        <f t="array" ref="U3171">IF($D3171="","",IFERROR(_xlfn.XLOOKUP($D3171,'TIR店舗一覧'!$D:$D,'TIR店舗一覧'!$E:$E,""),""))</f>
        <v/>
      </c>
      <c r="V3171" s="54" t="s">
        <v>2</v>
      </c>
      <c r="W3171" s="54" t="s">
        <v>2</v>
      </c>
      <c r="X3171" s="54" t="s">
        <v>2</v>
      </c>
      <c r="Y3171" s="54" t="s">
        <v>2</v>
      </c>
      <c r="Z3171" s="54" t="s">
        <v>2</v>
      </c>
      <c r="AA3171" s="54" t="s">
        <v>2</v>
      </c>
      <c r="AB3171" s="54" t="s">
        <v>2</v>
      </c>
      <c r="AC3171" s="54" t="s">
        <v>2</v>
      </c>
      <c r="AD3171" s="54" t="s">
        <v>2</v>
      </c>
      <c r="AE3171" s="54" t="s">
        <v>2</v>
      </c>
      <c r="AF3171" s="54" t="s">
        <v>2</v>
      </c>
      <c r="AG3171" s="54" t="s">
        <v>2</v>
      </c>
    </row>
    <row r="3172" ht="15.75" customHeight="1">
      <c r="B3172" s="56"/>
      <c r="U3172" s="46" t="str">
        <f t="array" ref="U3172">IF($D3172="","",IFERROR(_xlfn.XLOOKUP($D3172,'TIR店舗一覧'!$D:$D,'TIR店舗一覧'!$E:$E,""),""))</f>
        <v/>
      </c>
      <c r="V3172" s="54" t="s">
        <v>2</v>
      </c>
      <c r="W3172" s="54" t="s">
        <v>2</v>
      </c>
      <c r="X3172" s="54" t="s">
        <v>2</v>
      </c>
      <c r="Y3172" s="54" t="s">
        <v>2</v>
      </c>
      <c r="Z3172" s="54" t="s">
        <v>2</v>
      </c>
      <c r="AA3172" s="54" t="s">
        <v>2</v>
      </c>
      <c r="AB3172" s="54" t="s">
        <v>2</v>
      </c>
      <c r="AC3172" s="54" t="s">
        <v>2</v>
      </c>
      <c r="AD3172" s="54" t="s">
        <v>2</v>
      </c>
      <c r="AE3172" s="54" t="s">
        <v>2</v>
      </c>
      <c r="AF3172" s="54" t="s">
        <v>2</v>
      </c>
      <c r="AG3172" s="54" t="s">
        <v>2</v>
      </c>
    </row>
    <row r="3173" ht="15.75" customHeight="1">
      <c r="B3173" s="56"/>
      <c r="U3173" s="46" t="str">
        <f t="array" ref="U3173">IF($D3173="","",IFERROR(_xlfn.XLOOKUP($D3173,'TIR店舗一覧'!$D:$D,'TIR店舗一覧'!$E:$E,""),""))</f>
        <v/>
      </c>
      <c r="V3173" s="54" t="s">
        <v>2</v>
      </c>
      <c r="W3173" s="54" t="s">
        <v>2</v>
      </c>
      <c r="X3173" s="54" t="s">
        <v>2</v>
      </c>
      <c r="Y3173" s="54" t="s">
        <v>2</v>
      </c>
      <c r="Z3173" s="54" t="s">
        <v>2</v>
      </c>
      <c r="AA3173" s="54" t="s">
        <v>2</v>
      </c>
      <c r="AB3173" s="54" t="s">
        <v>2</v>
      </c>
      <c r="AC3173" s="54" t="s">
        <v>2</v>
      </c>
      <c r="AD3173" s="54" t="s">
        <v>2</v>
      </c>
      <c r="AE3173" s="54" t="s">
        <v>2</v>
      </c>
      <c r="AF3173" s="54" t="s">
        <v>2</v>
      </c>
      <c r="AG3173" s="54" t="s">
        <v>2</v>
      </c>
    </row>
    <row r="3174" ht="15.75" customHeight="1">
      <c r="B3174" s="56"/>
      <c r="U3174" s="46" t="str">
        <f t="array" ref="U3174">IF($D3174="","",IFERROR(_xlfn.XLOOKUP($D3174,'TIR店舗一覧'!$D:$D,'TIR店舗一覧'!$E:$E,""),""))</f>
        <v/>
      </c>
      <c r="V3174" s="54" t="s">
        <v>2</v>
      </c>
      <c r="W3174" s="54" t="s">
        <v>2</v>
      </c>
      <c r="X3174" s="54" t="s">
        <v>2</v>
      </c>
      <c r="Y3174" s="54" t="s">
        <v>2</v>
      </c>
      <c r="Z3174" s="54" t="s">
        <v>2</v>
      </c>
      <c r="AA3174" s="54" t="s">
        <v>2</v>
      </c>
      <c r="AB3174" s="54" t="s">
        <v>2</v>
      </c>
      <c r="AC3174" s="54" t="s">
        <v>2</v>
      </c>
      <c r="AD3174" s="54" t="s">
        <v>2</v>
      </c>
      <c r="AE3174" s="54" t="s">
        <v>2</v>
      </c>
      <c r="AF3174" s="54" t="s">
        <v>2</v>
      </c>
      <c r="AG3174" s="54" t="s">
        <v>2</v>
      </c>
    </row>
    <row r="3175" ht="15.75" customHeight="1">
      <c r="B3175" s="56"/>
      <c r="U3175" s="46" t="str">
        <f t="array" ref="U3175">IF($D3175="","",IFERROR(_xlfn.XLOOKUP($D3175,'TIR店舗一覧'!$D:$D,'TIR店舗一覧'!$E:$E,""),""))</f>
        <v/>
      </c>
      <c r="V3175" s="54" t="s">
        <v>2</v>
      </c>
      <c r="W3175" s="54" t="s">
        <v>2</v>
      </c>
      <c r="X3175" s="54" t="s">
        <v>2</v>
      </c>
      <c r="Y3175" s="54" t="s">
        <v>2</v>
      </c>
      <c r="Z3175" s="54" t="s">
        <v>2</v>
      </c>
      <c r="AA3175" s="54" t="s">
        <v>2</v>
      </c>
      <c r="AB3175" s="54" t="s">
        <v>2</v>
      </c>
      <c r="AC3175" s="54" t="s">
        <v>2</v>
      </c>
      <c r="AD3175" s="54" t="s">
        <v>2</v>
      </c>
      <c r="AE3175" s="54" t="s">
        <v>2</v>
      </c>
      <c r="AF3175" s="54" t="s">
        <v>2</v>
      </c>
      <c r="AG3175" s="54" t="s">
        <v>2</v>
      </c>
    </row>
    <row r="3176" ht="15.75" customHeight="1">
      <c r="B3176" s="56"/>
      <c r="U3176" s="46" t="str">
        <f t="array" ref="U3176">IF($D3176="","",IFERROR(_xlfn.XLOOKUP($D3176,'TIR店舗一覧'!$D:$D,'TIR店舗一覧'!$E:$E,""),""))</f>
        <v/>
      </c>
      <c r="V3176" s="54" t="s">
        <v>2</v>
      </c>
      <c r="W3176" s="54" t="s">
        <v>2</v>
      </c>
      <c r="X3176" s="54" t="s">
        <v>2</v>
      </c>
      <c r="Y3176" s="54" t="s">
        <v>2</v>
      </c>
      <c r="Z3176" s="54" t="s">
        <v>2</v>
      </c>
      <c r="AA3176" s="54" t="s">
        <v>2</v>
      </c>
      <c r="AB3176" s="54" t="s">
        <v>2</v>
      </c>
      <c r="AC3176" s="54" t="s">
        <v>2</v>
      </c>
      <c r="AD3176" s="54" t="s">
        <v>2</v>
      </c>
      <c r="AE3176" s="54" t="s">
        <v>2</v>
      </c>
      <c r="AF3176" s="54" t="s">
        <v>2</v>
      </c>
      <c r="AG3176" s="54" t="s">
        <v>2</v>
      </c>
    </row>
    <row r="3177" ht="15.75" customHeight="1">
      <c r="B3177" s="56"/>
      <c r="U3177" s="46" t="str">
        <f t="array" ref="U3177">IF($D3177="","",IFERROR(_xlfn.XLOOKUP($D3177,'TIR店舗一覧'!$D:$D,'TIR店舗一覧'!$E:$E,""),""))</f>
        <v/>
      </c>
      <c r="V3177" s="54" t="s">
        <v>2</v>
      </c>
      <c r="W3177" s="54" t="s">
        <v>2</v>
      </c>
      <c r="X3177" s="54" t="s">
        <v>2</v>
      </c>
      <c r="Y3177" s="54" t="s">
        <v>2</v>
      </c>
      <c r="Z3177" s="54" t="s">
        <v>2</v>
      </c>
      <c r="AA3177" s="54" t="s">
        <v>2</v>
      </c>
      <c r="AB3177" s="54" t="s">
        <v>2</v>
      </c>
      <c r="AC3177" s="54" t="s">
        <v>2</v>
      </c>
      <c r="AD3177" s="54" t="s">
        <v>2</v>
      </c>
      <c r="AE3177" s="54" t="s">
        <v>2</v>
      </c>
      <c r="AF3177" s="54" t="s">
        <v>2</v>
      </c>
      <c r="AG3177" s="54" t="s">
        <v>2</v>
      </c>
    </row>
    <row r="3178" ht="15.75" customHeight="1">
      <c r="B3178" s="56"/>
      <c r="U3178" s="46" t="str">
        <f t="array" ref="U3178">IF($D3178="","",IFERROR(_xlfn.XLOOKUP($D3178,'TIR店舗一覧'!$D:$D,'TIR店舗一覧'!$E:$E,""),""))</f>
        <v/>
      </c>
      <c r="V3178" s="54" t="s">
        <v>2</v>
      </c>
      <c r="W3178" s="54" t="s">
        <v>2</v>
      </c>
      <c r="X3178" s="54" t="s">
        <v>2</v>
      </c>
      <c r="Y3178" s="54" t="s">
        <v>2</v>
      </c>
      <c r="Z3178" s="54" t="s">
        <v>2</v>
      </c>
      <c r="AA3178" s="54" t="s">
        <v>2</v>
      </c>
      <c r="AB3178" s="54" t="s">
        <v>2</v>
      </c>
      <c r="AC3178" s="54" t="s">
        <v>2</v>
      </c>
      <c r="AD3178" s="54" t="s">
        <v>2</v>
      </c>
      <c r="AE3178" s="54" t="s">
        <v>2</v>
      </c>
      <c r="AF3178" s="54" t="s">
        <v>2</v>
      </c>
      <c r="AG3178" s="54" t="s">
        <v>2</v>
      </c>
    </row>
    <row r="3179" ht="15.75" customHeight="1">
      <c r="B3179" s="56"/>
      <c r="U3179" s="46" t="str">
        <f t="array" ref="U3179">IF($D3179="","",IFERROR(_xlfn.XLOOKUP($D3179,'TIR店舗一覧'!$D:$D,'TIR店舗一覧'!$E:$E,""),""))</f>
        <v/>
      </c>
      <c r="V3179" s="54" t="s">
        <v>2</v>
      </c>
      <c r="W3179" s="54" t="s">
        <v>2</v>
      </c>
      <c r="X3179" s="54" t="s">
        <v>2</v>
      </c>
      <c r="Y3179" s="54" t="s">
        <v>2</v>
      </c>
      <c r="Z3179" s="54" t="s">
        <v>2</v>
      </c>
      <c r="AA3179" s="54" t="s">
        <v>2</v>
      </c>
      <c r="AB3179" s="54" t="s">
        <v>2</v>
      </c>
      <c r="AC3179" s="54" t="s">
        <v>2</v>
      </c>
      <c r="AD3179" s="54" t="s">
        <v>2</v>
      </c>
      <c r="AE3179" s="54" t="s">
        <v>2</v>
      </c>
      <c r="AF3179" s="54" t="s">
        <v>2</v>
      </c>
      <c r="AG3179" s="54" t="s">
        <v>2</v>
      </c>
    </row>
    <row r="3180" ht="15.75" customHeight="1">
      <c r="B3180" s="56"/>
      <c r="U3180" s="46" t="str">
        <f t="array" ref="U3180">IF($D3180="","",IFERROR(_xlfn.XLOOKUP($D3180,'TIR店舗一覧'!$D:$D,'TIR店舗一覧'!$E:$E,""),""))</f>
        <v/>
      </c>
      <c r="V3180" s="54" t="s">
        <v>2</v>
      </c>
      <c r="W3180" s="54" t="s">
        <v>2</v>
      </c>
      <c r="X3180" s="54" t="s">
        <v>2</v>
      </c>
      <c r="Y3180" s="54" t="s">
        <v>2</v>
      </c>
      <c r="Z3180" s="54" t="s">
        <v>2</v>
      </c>
      <c r="AA3180" s="54" t="s">
        <v>2</v>
      </c>
      <c r="AB3180" s="54" t="s">
        <v>2</v>
      </c>
      <c r="AC3180" s="54" t="s">
        <v>2</v>
      </c>
      <c r="AD3180" s="54" t="s">
        <v>2</v>
      </c>
      <c r="AE3180" s="54" t="s">
        <v>2</v>
      </c>
      <c r="AF3180" s="54" t="s">
        <v>2</v>
      </c>
      <c r="AG3180" s="54" t="s">
        <v>2</v>
      </c>
    </row>
    <row r="3181" ht="15.75" customHeight="1">
      <c r="B3181" s="56"/>
      <c r="U3181" s="46" t="str">
        <f t="array" ref="U3181">IF($D3181="","",IFERROR(_xlfn.XLOOKUP($D3181,'TIR店舗一覧'!$D:$D,'TIR店舗一覧'!$E:$E,""),""))</f>
        <v/>
      </c>
      <c r="V3181" s="54" t="s">
        <v>2</v>
      </c>
      <c r="W3181" s="54" t="s">
        <v>2</v>
      </c>
      <c r="X3181" s="54" t="s">
        <v>2</v>
      </c>
      <c r="Y3181" s="54" t="s">
        <v>2</v>
      </c>
      <c r="Z3181" s="54" t="s">
        <v>2</v>
      </c>
      <c r="AA3181" s="54" t="s">
        <v>2</v>
      </c>
      <c r="AB3181" s="54" t="s">
        <v>2</v>
      </c>
      <c r="AC3181" s="54" t="s">
        <v>2</v>
      </c>
      <c r="AD3181" s="54" t="s">
        <v>2</v>
      </c>
      <c r="AE3181" s="54" t="s">
        <v>2</v>
      </c>
      <c r="AF3181" s="54" t="s">
        <v>2</v>
      </c>
      <c r="AG3181" s="54" t="s">
        <v>2</v>
      </c>
    </row>
    <row r="3182" ht="15.75" customHeight="1">
      <c r="B3182" s="56"/>
      <c r="U3182" s="46" t="str">
        <f t="array" ref="U3182">IF($D3182="","",IFERROR(_xlfn.XLOOKUP($D3182,'TIR店舗一覧'!$D:$D,'TIR店舗一覧'!$E:$E,""),""))</f>
        <v/>
      </c>
      <c r="V3182" s="54" t="s">
        <v>2</v>
      </c>
      <c r="W3182" s="54" t="s">
        <v>2</v>
      </c>
      <c r="X3182" s="54" t="s">
        <v>2</v>
      </c>
      <c r="Y3182" s="54" t="s">
        <v>2</v>
      </c>
      <c r="Z3182" s="54" t="s">
        <v>2</v>
      </c>
      <c r="AA3182" s="54" t="s">
        <v>2</v>
      </c>
      <c r="AB3182" s="54" t="s">
        <v>2</v>
      </c>
      <c r="AC3182" s="54" t="s">
        <v>2</v>
      </c>
      <c r="AD3182" s="54" t="s">
        <v>2</v>
      </c>
      <c r="AE3182" s="54" t="s">
        <v>2</v>
      </c>
      <c r="AF3182" s="54" t="s">
        <v>2</v>
      </c>
      <c r="AG3182" s="54" t="s">
        <v>2</v>
      </c>
    </row>
    <row r="3183" ht="15.75" customHeight="1">
      <c r="B3183" s="56"/>
      <c r="U3183" s="46" t="str">
        <f t="array" ref="U3183">IF($D3183="","",IFERROR(_xlfn.XLOOKUP($D3183,'TIR店舗一覧'!$D:$D,'TIR店舗一覧'!$E:$E,""),""))</f>
        <v/>
      </c>
      <c r="V3183" s="54" t="s">
        <v>2</v>
      </c>
      <c r="W3183" s="54" t="s">
        <v>2</v>
      </c>
      <c r="X3183" s="54" t="s">
        <v>2</v>
      </c>
      <c r="Y3183" s="54" t="s">
        <v>2</v>
      </c>
      <c r="Z3183" s="54" t="s">
        <v>2</v>
      </c>
      <c r="AA3183" s="54" t="s">
        <v>2</v>
      </c>
      <c r="AB3183" s="54" t="s">
        <v>2</v>
      </c>
      <c r="AC3183" s="54" t="s">
        <v>2</v>
      </c>
      <c r="AD3183" s="54" t="s">
        <v>2</v>
      </c>
      <c r="AE3183" s="54" t="s">
        <v>2</v>
      </c>
      <c r="AF3183" s="54" t="s">
        <v>2</v>
      </c>
      <c r="AG3183" s="54" t="s">
        <v>2</v>
      </c>
    </row>
    <row r="3184" ht="15.75" customHeight="1">
      <c r="B3184" s="56"/>
      <c r="U3184" s="46" t="str">
        <f t="array" ref="U3184">IF($D3184="","",IFERROR(_xlfn.XLOOKUP($D3184,'TIR店舗一覧'!$D:$D,'TIR店舗一覧'!$E:$E,""),""))</f>
        <v/>
      </c>
      <c r="V3184" s="54" t="s">
        <v>2</v>
      </c>
      <c r="W3184" s="54" t="s">
        <v>2</v>
      </c>
      <c r="X3184" s="54" t="s">
        <v>2</v>
      </c>
      <c r="Y3184" s="54" t="s">
        <v>2</v>
      </c>
      <c r="Z3184" s="54" t="s">
        <v>2</v>
      </c>
      <c r="AA3184" s="54" t="s">
        <v>2</v>
      </c>
      <c r="AB3184" s="54" t="s">
        <v>2</v>
      </c>
      <c r="AC3184" s="54" t="s">
        <v>2</v>
      </c>
      <c r="AD3184" s="54" t="s">
        <v>2</v>
      </c>
      <c r="AE3184" s="54" t="s">
        <v>2</v>
      </c>
      <c r="AF3184" s="54" t="s">
        <v>2</v>
      </c>
      <c r="AG3184" s="54" t="s">
        <v>2</v>
      </c>
    </row>
    <row r="3185" ht="15.75" customHeight="1">
      <c r="B3185" s="56"/>
      <c r="U3185" s="46" t="str">
        <f t="array" ref="U3185">IF($D3185="","",IFERROR(_xlfn.XLOOKUP($D3185,'TIR店舗一覧'!$D:$D,'TIR店舗一覧'!$E:$E,""),""))</f>
        <v/>
      </c>
      <c r="V3185" s="54" t="s">
        <v>2</v>
      </c>
      <c r="W3185" s="54" t="s">
        <v>2</v>
      </c>
      <c r="X3185" s="54" t="s">
        <v>2</v>
      </c>
      <c r="Y3185" s="54" t="s">
        <v>2</v>
      </c>
      <c r="Z3185" s="54" t="s">
        <v>2</v>
      </c>
      <c r="AA3185" s="54" t="s">
        <v>2</v>
      </c>
      <c r="AB3185" s="54" t="s">
        <v>2</v>
      </c>
      <c r="AC3185" s="54" t="s">
        <v>2</v>
      </c>
      <c r="AD3185" s="54" t="s">
        <v>2</v>
      </c>
      <c r="AE3185" s="54" t="s">
        <v>2</v>
      </c>
      <c r="AF3185" s="54" t="s">
        <v>2</v>
      </c>
      <c r="AG3185" s="54" t="s">
        <v>2</v>
      </c>
    </row>
    <row r="3186" ht="15.75" customHeight="1">
      <c r="B3186" s="56"/>
      <c r="U3186" s="46" t="str">
        <f t="array" ref="U3186">IF($D3186="","",IFERROR(_xlfn.XLOOKUP($D3186,'TIR店舗一覧'!$D:$D,'TIR店舗一覧'!$E:$E,""),""))</f>
        <v/>
      </c>
      <c r="V3186" s="54" t="s">
        <v>2</v>
      </c>
      <c r="W3186" s="54" t="s">
        <v>2</v>
      </c>
      <c r="X3186" s="54" t="s">
        <v>2</v>
      </c>
      <c r="Y3186" s="54" t="s">
        <v>2</v>
      </c>
      <c r="Z3186" s="54" t="s">
        <v>2</v>
      </c>
      <c r="AA3186" s="54" t="s">
        <v>2</v>
      </c>
      <c r="AB3186" s="54" t="s">
        <v>2</v>
      </c>
      <c r="AC3186" s="54" t="s">
        <v>2</v>
      </c>
      <c r="AD3186" s="54" t="s">
        <v>2</v>
      </c>
      <c r="AE3186" s="54" t="s">
        <v>2</v>
      </c>
      <c r="AF3186" s="54" t="s">
        <v>2</v>
      </c>
      <c r="AG3186" s="54" t="s">
        <v>2</v>
      </c>
    </row>
    <row r="3187" ht="15.75" customHeight="1">
      <c r="B3187" s="56"/>
      <c r="U3187" s="46" t="str">
        <f t="array" ref="U3187">IF($D3187="","",IFERROR(_xlfn.XLOOKUP($D3187,'TIR店舗一覧'!$D:$D,'TIR店舗一覧'!$E:$E,""),""))</f>
        <v/>
      </c>
      <c r="V3187" s="54" t="s">
        <v>2</v>
      </c>
      <c r="W3187" s="54" t="s">
        <v>2</v>
      </c>
      <c r="X3187" s="54" t="s">
        <v>2</v>
      </c>
      <c r="Y3187" s="54" t="s">
        <v>2</v>
      </c>
      <c r="Z3187" s="54" t="s">
        <v>2</v>
      </c>
      <c r="AA3187" s="54" t="s">
        <v>2</v>
      </c>
      <c r="AB3187" s="54" t="s">
        <v>2</v>
      </c>
      <c r="AC3187" s="54" t="s">
        <v>2</v>
      </c>
      <c r="AD3187" s="54" t="s">
        <v>2</v>
      </c>
      <c r="AE3187" s="54" t="s">
        <v>2</v>
      </c>
      <c r="AF3187" s="54" t="s">
        <v>2</v>
      </c>
      <c r="AG3187" s="54" t="s">
        <v>2</v>
      </c>
    </row>
    <row r="3188" ht="15.75" customHeight="1">
      <c r="B3188" s="56"/>
      <c r="U3188" s="46" t="str">
        <f t="array" ref="U3188">IF($D3188="","",IFERROR(_xlfn.XLOOKUP($D3188,'TIR店舗一覧'!$D:$D,'TIR店舗一覧'!$E:$E,""),""))</f>
        <v/>
      </c>
      <c r="V3188" s="54" t="s">
        <v>2</v>
      </c>
      <c r="W3188" s="54" t="s">
        <v>2</v>
      </c>
      <c r="X3188" s="54" t="s">
        <v>2</v>
      </c>
      <c r="Y3188" s="54" t="s">
        <v>2</v>
      </c>
      <c r="Z3188" s="54" t="s">
        <v>2</v>
      </c>
      <c r="AA3188" s="54" t="s">
        <v>2</v>
      </c>
      <c r="AB3188" s="54" t="s">
        <v>2</v>
      </c>
      <c r="AC3188" s="54" t="s">
        <v>2</v>
      </c>
      <c r="AD3188" s="54" t="s">
        <v>2</v>
      </c>
      <c r="AE3188" s="54" t="s">
        <v>2</v>
      </c>
      <c r="AF3188" s="54" t="s">
        <v>2</v>
      </c>
      <c r="AG3188" s="54" t="s">
        <v>2</v>
      </c>
    </row>
    <row r="3189" ht="15.75" customHeight="1">
      <c r="B3189" s="56"/>
      <c r="U3189" s="46" t="str">
        <f t="array" ref="U3189">IF($D3189="","",IFERROR(_xlfn.XLOOKUP($D3189,'TIR店舗一覧'!$D:$D,'TIR店舗一覧'!$E:$E,""),""))</f>
        <v/>
      </c>
      <c r="V3189" s="54" t="s">
        <v>2</v>
      </c>
      <c r="W3189" s="54" t="s">
        <v>2</v>
      </c>
      <c r="X3189" s="54" t="s">
        <v>2</v>
      </c>
      <c r="Y3189" s="54" t="s">
        <v>2</v>
      </c>
      <c r="Z3189" s="54" t="s">
        <v>2</v>
      </c>
      <c r="AA3189" s="54" t="s">
        <v>2</v>
      </c>
      <c r="AB3189" s="54" t="s">
        <v>2</v>
      </c>
      <c r="AC3189" s="54" t="s">
        <v>2</v>
      </c>
      <c r="AD3189" s="54" t="s">
        <v>2</v>
      </c>
      <c r="AE3189" s="54" t="s">
        <v>2</v>
      </c>
      <c r="AF3189" s="54" t="s">
        <v>2</v>
      </c>
      <c r="AG3189" s="54" t="s">
        <v>2</v>
      </c>
    </row>
    <row r="3190" ht="15.75" customHeight="1">
      <c r="B3190" s="56"/>
      <c r="U3190" s="46" t="str">
        <f t="array" ref="U3190">IF($D3190="","",IFERROR(_xlfn.XLOOKUP($D3190,'TIR店舗一覧'!$D:$D,'TIR店舗一覧'!$E:$E,""),""))</f>
        <v/>
      </c>
      <c r="V3190" s="54" t="s">
        <v>2</v>
      </c>
      <c r="W3190" s="54" t="s">
        <v>2</v>
      </c>
      <c r="X3190" s="54" t="s">
        <v>2</v>
      </c>
      <c r="Y3190" s="54" t="s">
        <v>2</v>
      </c>
      <c r="Z3190" s="54" t="s">
        <v>2</v>
      </c>
      <c r="AA3190" s="54" t="s">
        <v>2</v>
      </c>
      <c r="AB3190" s="54" t="s">
        <v>2</v>
      </c>
      <c r="AC3190" s="54" t="s">
        <v>2</v>
      </c>
      <c r="AD3190" s="54" t="s">
        <v>2</v>
      </c>
      <c r="AE3190" s="54" t="s">
        <v>2</v>
      </c>
      <c r="AF3190" s="54" t="s">
        <v>2</v>
      </c>
      <c r="AG3190" s="54" t="s">
        <v>2</v>
      </c>
    </row>
    <row r="3191" ht="15.75" customHeight="1">
      <c r="B3191" s="56"/>
      <c r="U3191" s="46" t="str">
        <f t="array" ref="U3191">IF($D3191="","",IFERROR(_xlfn.XLOOKUP($D3191,'TIR店舗一覧'!$D:$D,'TIR店舗一覧'!$E:$E,""),""))</f>
        <v/>
      </c>
      <c r="V3191" s="54" t="s">
        <v>2</v>
      </c>
      <c r="W3191" s="54" t="s">
        <v>2</v>
      </c>
      <c r="X3191" s="54" t="s">
        <v>2</v>
      </c>
      <c r="Y3191" s="54" t="s">
        <v>2</v>
      </c>
      <c r="Z3191" s="54" t="s">
        <v>2</v>
      </c>
      <c r="AA3191" s="54" t="s">
        <v>2</v>
      </c>
      <c r="AB3191" s="54" t="s">
        <v>2</v>
      </c>
      <c r="AC3191" s="54" t="s">
        <v>2</v>
      </c>
      <c r="AD3191" s="54" t="s">
        <v>2</v>
      </c>
      <c r="AE3191" s="54" t="s">
        <v>2</v>
      </c>
      <c r="AF3191" s="54" t="s">
        <v>2</v>
      </c>
      <c r="AG3191" s="54" t="s">
        <v>2</v>
      </c>
    </row>
    <row r="3192" ht="15.75" customHeight="1">
      <c r="B3192" s="56"/>
      <c r="U3192" s="46" t="str">
        <f t="array" ref="U3192">IF($D3192="","",IFERROR(_xlfn.XLOOKUP($D3192,'TIR店舗一覧'!$D:$D,'TIR店舗一覧'!$E:$E,""),""))</f>
        <v/>
      </c>
      <c r="V3192" s="54" t="s">
        <v>2</v>
      </c>
      <c r="W3192" s="54" t="s">
        <v>2</v>
      </c>
      <c r="X3192" s="54" t="s">
        <v>2</v>
      </c>
      <c r="Y3192" s="54" t="s">
        <v>2</v>
      </c>
      <c r="Z3192" s="54" t="s">
        <v>2</v>
      </c>
      <c r="AA3192" s="54" t="s">
        <v>2</v>
      </c>
      <c r="AB3192" s="54" t="s">
        <v>2</v>
      </c>
      <c r="AC3192" s="54" t="s">
        <v>2</v>
      </c>
      <c r="AD3192" s="54" t="s">
        <v>2</v>
      </c>
      <c r="AE3192" s="54" t="s">
        <v>2</v>
      </c>
      <c r="AF3192" s="54" t="s">
        <v>2</v>
      </c>
      <c r="AG3192" s="54" t="s">
        <v>2</v>
      </c>
    </row>
    <row r="3193" ht="15.75" customHeight="1">
      <c r="B3193" s="56"/>
      <c r="U3193" s="46" t="str">
        <f t="array" ref="U3193">IF($D3193="","",IFERROR(_xlfn.XLOOKUP($D3193,'TIR店舗一覧'!$D:$D,'TIR店舗一覧'!$E:$E,""),""))</f>
        <v/>
      </c>
      <c r="V3193" s="54" t="s">
        <v>2</v>
      </c>
      <c r="W3193" s="54" t="s">
        <v>2</v>
      </c>
      <c r="X3193" s="54" t="s">
        <v>2</v>
      </c>
      <c r="Y3193" s="54" t="s">
        <v>2</v>
      </c>
      <c r="Z3193" s="54" t="s">
        <v>2</v>
      </c>
      <c r="AA3193" s="54" t="s">
        <v>2</v>
      </c>
      <c r="AB3193" s="54" t="s">
        <v>2</v>
      </c>
      <c r="AC3193" s="54" t="s">
        <v>2</v>
      </c>
      <c r="AD3193" s="54" t="s">
        <v>2</v>
      </c>
      <c r="AE3193" s="54" t="s">
        <v>2</v>
      </c>
      <c r="AF3193" s="54" t="s">
        <v>2</v>
      </c>
      <c r="AG3193" s="54" t="s">
        <v>2</v>
      </c>
    </row>
    <row r="3194" ht="15.75" customHeight="1">
      <c r="B3194" s="56"/>
      <c r="U3194" s="46" t="str">
        <f t="array" ref="U3194">IF($D3194="","",IFERROR(_xlfn.XLOOKUP($D3194,'TIR店舗一覧'!$D:$D,'TIR店舗一覧'!$E:$E,""),""))</f>
        <v/>
      </c>
      <c r="V3194" s="54" t="s">
        <v>2</v>
      </c>
      <c r="W3194" s="54" t="s">
        <v>2</v>
      </c>
      <c r="X3194" s="54" t="s">
        <v>2</v>
      </c>
      <c r="Y3194" s="54" t="s">
        <v>2</v>
      </c>
      <c r="Z3194" s="54" t="s">
        <v>2</v>
      </c>
      <c r="AA3194" s="54" t="s">
        <v>2</v>
      </c>
      <c r="AB3194" s="54" t="s">
        <v>2</v>
      </c>
      <c r="AC3194" s="54" t="s">
        <v>2</v>
      </c>
      <c r="AD3194" s="54" t="s">
        <v>2</v>
      </c>
      <c r="AE3194" s="54" t="s">
        <v>2</v>
      </c>
      <c r="AF3194" s="54" t="s">
        <v>2</v>
      </c>
      <c r="AG3194" s="54" t="s">
        <v>2</v>
      </c>
    </row>
    <row r="3195" ht="15.75" customHeight="1">
      <c r="B3195" s="56"/>
      <c r="U3195" s="46" t="str">
        <f t="array" ref="U3195">IF($D3195="","",IFERROR(_xlfn.XLOOKUP($D3195,'TIR店舗一覧'!$D:$D,'TIR店舗一覧'!$E:$E,""),""))</f>
        <v/>
      </c>
      <c r="V3195" s="54" t="s">
        <v>2</v>
      </c>
      <c r="W3195" s="54" t="s">
        <v>2</v>
      </c>
      <c r="X3195" s="54" t="s">
        <v>2</v>
      </c>
      <c r="Y3195" s="54" t="s">
        <v>2</v>
      </c>
      <c r="Z3195" s="54" t="s">
        <v>2</v>
      </c>
      <c r="AA3195" s="54" t="s">
        <v>2</v>
      </c>
      <c r="AB3195" s="54" t="s">
        <v>2</v>
      </c>
      <c r="AC3195" s="54" t="s">
        <v>2</v>
      </c>
      <c r="AD3195" s="54" t="s">
        <v>2</v>
      </c>
      <c r="AE3195" s="54" t="s">
        <v>2</v>
      </c>
      <c r="AF3195" s="54" t="s">
        <v>2</v>
      </c>
      <c r="AG3195" s="54" t="s">
        <v>2</v>
      </c>
    </row>
    <row r="3196" ht="15.75" customHeight="1">
      <c r="B3196" s="56"/>
      <c r="U3196" s="46" t="str">
        <f t="array" ref="U3196">IF($D3196="","",IFERROR(_xlfn.XLOOKUP($D3196,'TIR店舗一覧'!$D:$D,'TIR店舗一覧'!$E:$E,""),""))</f>
        <v/>
      </c>
      <c r="V3196" s="54" t="s">
        <v>2</v>
      </c>
      <c r="W3196" s="54" t="s">
        <v>2</v>
      </c>
      <c r="X3196" s="54" t="s">
        <v>2</v>
      </c>
      <c r="Y3196" s="54" t="s">
        <v>2</v>
      </c>
      <c r="Z3196" s="54" t="s">
        <v>2</v>
      </c>
      <c r="AA3196" s="54" t="s">
        <v>2</v>
      </c>
      <c r="AB3196" s="54" t="s">
        <v>2</v>
      </c>
      <c r="AC3196" s="54" t="s">
        <v>2</v>
      </c>
      <c r="AD3196" s="54" t="s">
        <v>2</v>
      </c>
      <c r="AE3196" s="54" t="s">
        <v>2</v>
      </c>
      <c r="AF3196" s="54" t="s">
        <v>2</v>
      </c>
      <c r="AG3196" s="54" t="s">
        <v>2</v>
      </c>
    </row>
    <row r="3197" ht="15.75" customHeight="1">
      <c r="B3197" s="56"/>
      <c r="U3197" s="46" t="str">
        <f t="array" ref="U3197">IF($D3197="","",IFERROR(_xlfn.XLOOKUP($D3197,'TIR店舗一覧'!$D:$D,'TIR店舗一覧'!$E:$E,""),""))</f>
        <v/>
      </c>
      <c r="V3197" s="54" t="s">
        <v>2</v>
      </c>
      <c r="W3197" s="54" t="s">
        <v>2</v>
      </c>
      <c r="X3197" s="54" t="s">
        <v>2</v>
      </c>
      <c r="Y3197" s="54" t="s">
        <v>2</v>
      </c>
      <c r="Z3197" s="54" t="s">
        <v>2</v>
      </c>
      <c r="AA3197" s="54" t="s">
        <v>2</v>
      </c>
      <c r="AB3197" s="54" t="s">
        <v>2</v>
      </c>
      <c r="AC3197" s="54" t="s">
        <v>2</v>
      </c>
      <c r="AD3197" s="54" t="s">
        <v>2</v>
      </c>
      <c r="AE3197" s="54" t="s">
        <v>2</v>
      </c>
      <c r="AF3197" s="54" t="s">
        <v>2</v>
      </c>
      <c r="AG3197" s="54" t="s">
        <v>2</v>
      </c>
    </row>
    <row r="3198" ht="15.75" customHeight="1">
      <c r="B3198" s="56"/>
      <c r="U3198" s="46" t="str">
        <f t="array" ref="U3198">IF($D3198="","",IFERROR(_xlfn.XLOOKUP($D3198,'TIR店舗一覧'!$D:$D,'TIR店舗一覧'!$E:$E,""),""))</f>
        <v/>
      </c>
      <c r="V3198" s="54" t="s">
        <v>2</v>
      </c>
      <c r="W3198" s="54" t="s">
        <v>2</v>
      </c>
      <c r="X3198" s="54" t="s">
        <v>2</v>
      </c>
      <c r="Y3198" s="54" t="s">
        <v>2</v>
      </c>
      <c r="Z3198" s="54" t="s">
        <v>2</v>
      </c>
      <c r="AA3198" s="54" t="s">
        <v>2</v>
      </c>
      <c r="AB3198" s="54" t="s">
        <v>2</v>
      </c>
      <c r="AC3198" s="54" t="s">
        <v>2</v>
      </c>
      <c r="AD3198" s="54" t="s">
        <v>2</v>
      </c>
      <c r="AE3198" s="54" t="s">
        <v>2</v>
      </c>
      <c r="AF3198" s="54" t="s">
        <v>2</v>
      </c>
      <c r="AG3198" s="54" t="s">
        <v>2</v>
      </c>
    </row>
    <row r="3199" ht="15.75" customHeight="1">
      <c r="B3199" s="56"/>
      <c r="U3199" s="46" t="str">
        <f t="array" ref="U3199">IF($D3199="","",IFERROR(_xlfn.XLOOKUP($D3199,'TIR店舗一覧'!$D:$D,'TIR店舗一覧'!$E:$E,""),""))</f>
        <v/>
      </c>
      <c r="V3199" s="54" t="s">
        <v>2</v>
      </c>
      <c r="W3199" s="54" t="s">
        <v>2</v>
      </c>
      <c r="X3199" s="54" t="s">
        <v>2</v>
      </c>
      <c r="Y3199" s="54" t="s">
        <v>2</v>
      </c>
      <c r="Z3199" s="54" t="s">
        <v>2</v>
      </c>
      <c r="AA3199" s="54" t="s">
        <v>2</v>
      </c>
      <c r="AB3199" s="54" t="s">
        <v>2</v>
      </c>
      <c r="AC3199" s="54" t="s">
        <v>2</v>
      </c>
      <c r="AD3199" s="54" t="s">
        <v>2</v>
      </c>
      <c r="AE3199" s="54" t="s">
        <v>2</v>
      </c>
      <c r="AF3199" s="54" t="s">
        <v>2</v>
      </c>
      <c r="AG3199" s="54" t="s">
        <v>2</v>
      </c>
    </row>
    <row r="3200" ht="15.75" customHeight="1">
      <c r="B3200" s="56"/>
      <c r="U3200" s="46" t="str">
        <f t="array" ref="U3200">IF($D3200="","",IFERROR(_xlfn.XLOOKUP($D3200,'TIR店舗一覧'!$D:$D,'TIR店舗一覧'!$E:$E,""),""))</f>
        <v/>
      </c>
      <c r="V3200" s="54" t="s">
        <v>2</v>
      </c>
      <c r="W3200" s="54" t="s">
        <v>2</v>
      </c>
      <c r="X3200" s="54" t="s">
        <v>2</v>
      </c>
      <c r="Y3200" s="54" t="s">
        <v>2</v>
      </c>
      <c r="Z3200" s="54" t="s">
        <v>2</v>
      </c>
      <c r="AA3200" s="54" t="s">
        <v>2</v>
      </c>
      <c r="AB3200" s="54" t="s">
        <v>2</v>
      </c>
      <c r="AC3200" s="54" t="s">
        <v>2</v>
      </c>
      <c r="AD3200" s="54" t="s">
        <v>2</v>
      </c>
      <c r="AE3200" s="54" t="s">
        <v>2</v>
      </c>
      <c r="AF3200" s="54" t="s">
        <v>2</v>
      </c>
      <c r="AG3200" s="54" t="s">
        <v>2</v>
      </c>
    </row>
    <row r="3201" ht="15.75" customHeight="1">
      <c r="B3201" s="56"/>
      <c r="U3201" s="46" t="str">
        <f t="array" ref="U3201">IF($D3201="","",IFERROR(_xlfn.XLOOKUP($D3201,'TIR店舗一覧'!$D:$D,'TIR店舗一覧'!$E:$E,""),""))</f>
        <v/>
      </c>
      <c r="V3201" s="54" t="s">
        <v>2</v>
      </c>
      <c r="W3201" s="54" t="s">
        <v>2</v>
      </c>
      <c r="X3201" s="54" t="s">
        <v>2</v>
      </c>
      <c r="Y3201" s="54" t="s">
        <v>2</v>
      </c>
      <c r="Z3201" s="54" t="s">
        <v>2</v>
      </c>
      <c r="AA3201" s="54" t="s">
        <v>2</v>
      </c>
      <c r="AB3201" s="54" t="s">
        <v>2</v>
      </c>
      <c r="AC3201" s="54" t="s">
        <v>2</v>
      </c>
      <c r="AD3201" s="54" t="s">
        <v>2</v>
      </c>
      <c r="AE3201" s="54" t="s">
        <v>2</v>
      </c>
      <c r="AF3201" s="54" t="s">
        <v>2</v>
      </c>
      <c r="AG3201" s="54" t="s">
        <v>2</v>
      </c>
    </row>
    <row r="3202" ht="15.75" customHeight="1">
      <c r="B3202" s="56"/>
      <c r="U3202" s="46" t="str">
        <f t="array" ref="U3202">IF($D3202="","",IFERROR(_xlfn.XLOOKUP($D3202,'TIR店舗一覧'!$D:$D,'TIR店舗一覧'!$E:$E,""),""))</f>
        <v/>
      </c>
      <c r="V3202" s="54" t="s">
        <v>2</v>
      </c>
      <c r="W3202" s="54" t="s">
        <v>2</v>
      </c>
      <c r="X3202" s="54" t="s">
        <v>2</v>
      </c>
      <c r="Y3202" s="54" t="s">
        <v>2</v>
      </c>
      <c r="Z3202" s="54" t="s">
        <v>2</v>
      </c>
      <c r="AA3202" s="54" t="s">
        <v>2</v>
      </c>
      <c r="AB3202" s="54" t="s">
        <v>2</v>
      </c>
      <c r="AC3202" s="54" t="s">
        <v>2</v>
      </c>
      <c r="AD3202" s="54" t="s">
        <v>2</v>
      </c>
      <c r="AE3202" s="54" t="s">
        <v>2</v>
      </c>
      <c r="AF3202" s="54" t="s">
        <v>2</v>
      </c>
      <c r="AG3202" s="54" t="s">
        <v>2</v>
      </c>
    </row>
    <row r="3203" ht="15.75" customHeight="1">
      <c r="B3203" s="56"/>
      <c r="U3203" s="46" t="str">
        <f t="array" ref="U3203">IF($D3203="","",IFERROR(_xlfn.XLOOKUP($D3203,'TIR店舗一覧'!$D:$D,'TIR店舗一覧'!$E:$E,""),""))</f>
        <v/>
      </c>
      <c r="V3203" s="54" t="s">
        <v>2</v>
      </c>
      <c r="W3203" s="54" t="s">
        <v>2</v>
      </c>
      <c r="X3203" s="54" t="s">
        <v>2</v>
      </c>
      <c r="Y3203" s="54" t="s">
        <v>2</v>
      </c>
      <c r="Z3203" s="54" t="s">
        <v>2</v>
      </c>
      <c r="AA3203" s="54" t="s">
        <v>2</v>
      </c>
      <c r="AB3203" s="54" t="s">
        <v>2</v>
      </c>
      <c r="AC3203" s="54" t="s">
        <v>2</v>
      </c>
      <c r="AD3203" s="54" t="s">
        <v>2</v>
      </c>
      <c r="AE3203" s="54" t="s">
        <v>2</v>
      </c>
      <c r="AF3203" s="54" t="s">
        <v>2</v>
      </c>
      <c r="AG3203" s="54" t="s">
        <v>2</v>
      </c>
    </row>
    <row r="3204" ht="15.75" customHeight="1">
      <c r="B3204" s="56"/>
      <c r="U3204" s="46" t="str">
        <f t="array" ref="U3204">IF($D3204="","",IFERROR(_xlfn.XLOOKUP($D3204,'TIR店舗一覧'!$D:$D,'TIR店舗一覧'!$E:$E,""),""))</f>
        <v/>
      </c>
      <c r="V3204" s="54" t="s">
        <v>2</v>
      </c>
      <c r="W3204" s="54" t="s">
        <v>2</v>
      </c>
      <c r="X3204" s="54" t="s">
        <v>2</v>
      </c>
      <c r="Y3204" s="54" t="s">
        <v>2</v>
      </c>
      <c r="Z3204" s="54" t="s">
        <v>2</v>
      </c>
      <c r="AA3204" s="54" t="s">
        <v>2</v>
      </c>
      <c r="AB3204" s="54" t="s">
        <v>2</v>
      </c>
      <c r="AC3204" s="54" t="s">
        <v>2</v>
      </c>
      <c r="AD3204" s="54" t="s">
        <v>2</v>
      </c>
      <c r="AE3204" s="54" t="s">
        <v>2</v>
      </c>
      <c r="AF3204" s="54" t="s">
        <v>2</v>
      </c>
      <c r="AG3204" s="54" t="s">
        <v>2</v>
      </c>
    </row>
    <row r="3205" ht="15.75" customHeight="1">
      <c r="B3205" s="56"/>
      <c r="U3205" s="46" t="str">
        <f t="array" ref="U3205">IF($D3205="","",IFERROR(_xlfn.XLOOKUP($D3205,'TIR店舗一覧'!$D:$D,'TIR店舗一覧'!$E:$E,""),""))</f>
        <v/>
      </c>
      <c r="V3205" s="54" t="s">
        <v>2</v>
      </c>
      <c r="W3205" s="54" t="s">
        <v>2</v>
      </c>
      <c r="X3205" s="54" t="s">
        <v>2</v>
      </c>
      <c r="Y3205" s="54" t="s">
        <v>2</v>
      </c>
      <c r="Z3205" s="54" t="s">
        <v>2</v>
      </c>
      <c r="AA3205" s="54" t="s">
        <v>2</v>
      </c>
      <c r="AB3205" s="54" t="s">
        <v>2</v>
      </c>
      <c r="AC3205" s="54" t="s">
        <v>2</v>
      </c>
      <c r="AD3205" s="54" t="s">
        <v>2</v>
      </c>
      <c r="AE3205" s="54" t="s">
        <v>2</v>
      </c>
      <c r="AF3205" s="54" t="s">
        <v>2</v>
      </c>
      <c r="AG3205" s="54" t="s">
        <v>2</v>
      </c>
    </row>
    <row r="3206" ht="15.75" customHeight="1">
      <c r="B3206" s="56"/>
      <c r="U3206" s="46" t="str">
        <f t="array" ref="U3206">IF($D3206="","",IFERROR(_xlfn.XLOOKUP($D3206,'TIR店舗一覧'!$D:$D,'TIR店舗一覧'!$E:$E,""),""))</f>
        <v/>
      </c>
      <c r="V3206" s="54" t="s">
        <v>2</v>
      </c>
      <c r="W3206" s="54" t="s">
        <v>2</v>
      </c>
      <c r="X3206" s="54" t="s">
        <v>2</v>
      </c>
      <c r="Y3206" s="54" t="s">
        <v>2</v>
      </c>
      <c r="Z3206" s="54" t="s">
        <v>2</v>
      </c>
      <c r="AA3206" s="54" t="s">
        <v>2</v>
      </c>
      <c r="AB3206" s="54" t="s">
        <v>2</v>
      </c>
      <c r="AC3206" s="54" t="s">
        <v>2</v>
      </c>
      <c r="AD3206" s="54" t="s">
        <v>2</v>
      </c>
      <c r="AE3206" s="54" t="s">
        <v>2</v>
      </c>
      <c r="AF3206" s="54" t="s">
        <v>2</v>
      </c>
      <c r="AG3206" s="54" t="s">
        <v>2</v>
      </c>
    </row>
    <row r="3207" ht="15.75" customHeight="1">
      <c r="B3207" s="56"/>
      <c r="U3207" s="46" t="str">
        <f t="array" ref="U3207">IF($D3207="","",IFERROR(_xlfn.XLOOKUP($D3207,'TIR店舗一覧'!$D:$D,'TIR店舗一覧'!$E:$E,""),""))</f>
        <v/>
      </c>
      <c r="V3207" s="54" t="s">
        <v>2</v>
      </c>
      <c r="W3207" s="54" t="s">
        <v>2</v>
      </c>
      <c r="X3207" s="54" t="s">
        <v>2</v>
      </c>
      <c r="Y3207" s="54" t="s">
        <v>2</v>
      </c>
      <c r="Z3207" s="54" t="s">
        <v>2</v>
      </c>
      <c r="AA3207" s="54" t="s">
        <v>2</v>
      </c>
      <c r="AB3207" s="54" t="s">
        <v>2</v>
      </c>
      <c r="AC3207" s="54" t="s">
        <v>2</v>
      </c>
      <c r="AD3207" s="54" t="s">
        <v>2</v>
      </c>
      <c r="AE3207" s="54" t="s">
        <v>2</v>
      </c>
      <c r="AF3207" s="54" t="s">
        <v>2</v>
      </c>
      <c r="AG3207" s="54" t="s">
        <v>2</v>
      </c>
    </row>
    <row r="3208" ht="15.75" customHeight="1">
      <c r="B3208" s="56"/>
      <c r="U3208" s="46" t="str">
        <f t="array" ref="U3208">IF($D3208="","",IFERROR(_xlfn.XLOOKUP($D3208,'TIR店舗一覧'!$D:$D,'TIR店舗一覧'!$E:$E,""),""))</f>
        <v/>
      </c>
      <c r="V3208" s="54" t="s">
        <v>2</v>
      </c>
      <c r="W3208" s="54" t="s">
        <v>2</v>
      </c>
      <c r="X3208" s="54" t="s">
        <v>2</v>
      </c>
      <c r="Y3208" s="54" t="s">
        <v>2</v>
      </c>
      <c r="Z3208" s="54" t="s">
        <v>2</v>
      </c>
      <c r="AA3208" s="54" t="s">
        <v>2</v>
      </c>
      <c r="AB3208" s="54" t="s">
        <v>2</v>
      </c>
      <c r="AC3208" s="54" t="s">
        <v>2</v>
      </c>
      <c r="AD3208" s="54" t="s">
        <v>2</v>
      </c>
      <c r="AE3208" s="54" t="s">
        <v>2</v>
      </c>
      <c r="AF3208" s="54" t="s">
        <v>2</v>
      </c>
      <c r="AG3208" s="54" t="s">
        <v>2</v>
      </c>
    </row>
    <row r="3209" ht="15.75" customHeight="1">
      <c r="B3209" s="56"/>
      <c r="U3209" s="46" t="str">
        <f t="array" ref="U3209">IF($D3209="","",IFERROR(_xlfn.XLOOKUP($D3209,'TIR店舗一覧'!$D:$D,'TIR店舗一覧'!$E:$E,""),""))</f>
        <v/>
      </c>
      <c r="V3209" s="54" t="s">
        <v>2</v>
      </c>
      <c r="W3209" s="54" t="s">
        <v>2</v>
      </c>
      <c r="X3209" s="54" t="s">
        <v>2</v>
      </c>
      <c r="Y3209" s="54" t="s">
        <v>2</v>
      </c>
      <c r="Z3209" s="54" t="s">
        <v>2</v>
      </c>
      <c r="AA3209" s="54" t="s">
        <v>2</v>
      </c>
      <c r="AB3209" s="54" t="s">
        <v>2</v>
      </c>
      <c r="AC3209" s="54" t="s">
        <v>2</v>
      </c>
      <c r="AD3209" s="54" t="s">
        <v>2</v>
      </c>
      <c r="AE3209" s="54" t="s">
        <v>2</v>
      </c>
      <c r="AF3209" s="54" t="s">
        <v>2</v>
      </c>
      <c r="AG3209" s="54" t="s">
        <v>2</v>
      </c>
    </row>
    <row r="3210" ht="15.75" customHeight="1">
      <c r="B3210" s="56"/>
      <c r="U3210" s="46" t="str">
        <f t="array" ref="U3210">IF($D3210="","",IFERROR(_xlfn.XLOOKUP($D3210,'TIR店舗一覧'!$D:$D,'TIR店舗一覧'!$E:$E,""),""))</f>
        <v/>
      </c>
      <c r="V3210" s="54" t="s">
        <v>2</v>
      </c>
      <c r="W3210" s="54" t="s">
        <v>2</v>
      </c>
      <c r="X3210" s="54" t="s">
        <v>2</v>
      </c>
      <c r="Y3210" s="54" t="s">
        <v>2</v>
      </c>
      <c r="Z3210" s="54" t="s">
        <v>2</v>
      </c>
      <c r="AA3210" s="54" t="s">
        <v>2</v>
      </c>
      <c r="AB3210" s="54" t="s">
        <v>2</v>
      </c>
      <c r="AC3210" s="54" t="s">
        <v>2</v>
      </c>
      <c r="AD3210" s="54" t="s">
        <v>2</v>
      </c>
      <c r="AE3210" s="54" t="s">
        <v>2</v>
      </c>
      <c r="AF3210" s="54" t="s">
        <v>2</v>
      </c>
      <c r="AG3210" s="54" t="s">
        <v>2</v>
      </c>
    </row>
    <row r="3211" ht="15.75" customHeight="1">
      <c r="B3211" s="56"/>
      <c r="U3211" s="46" t="str">
        <f t="array" ref="U3211">IF($D3211="","",IFERROR(_xlfn.XLOOKUP($D3211,'TIR店舗一覧'!$D:$D,'TIR店舗一覧'!$E:$E,""),""))</f>
        <v/>
      </c>
      <c r="V3211" s="54" t="s">
        <v>2</v>
      </c>
      <c r="W3211" s="54" t="s">
        <v>2</v>
      </c>
      <c r="X3211" s="54" t="s">
        <v>2</v>
      </c>
      <c r="Y3211" s="54" t="s">
        <v>2</v>
      </c>
      <c r="Z3211" s="54" t="s">
        <v>2</v>
      </c>
      <c r="AA3211" s="54" t="s">
        <v>2</v>
      </c>
      <c r="AB3211" s="54" t="s">
        <v>2</v>
      </c>
      <c r="AC3211" s="54" t="s">
        <v>2</v>
      </c>
      <c r="AD3211" s="54" t="s">
        <v>2</v>
      </c>
      <c r="AE3211" s="54" t="s">
        <v>2</v>
      </c>
      <c r="AF3211" s="54" t="s">
        <v>2</v>
      </c>
      <c r="AG3211" s="54" t="s">
        <v>2</v>
      </c>
    </row>
    <row r="3212" ht="15.75" customHeight="1">
      <c r="B3212" s="56"/>
      <c r="U3212" s="46" t="str">
        <f t="array" ref="U3212">IF($D3212="","",IFERROR(_xlfn.XLOOKUP($D3212,'TIR店舗一覧'!$D:$D,'TIR店舗一覧'!$E:$E,""),""))</f>
        <v/>
      </c>
      <c r="V3212" s="54" t="s">
        <v>2</v>
      </c>
      <c r="W3212" s="54" t="s">
        <v>2</v>
      </c>
      <c r="X3212" s="54" t="s">
        <v>2</v>
      </c>
      <c r="Y3212" s="54" t="s">
        <v>2</v>
      </c>
      <c r="Z3212" s="54" t="s">
        <v>2</v>
      </c>
      <c r="AA3212" s="54" t="s">
        <v>2</v>
      </c>
      <c r="AB3212" s="54" t="s">
        <v>2</v>
      </c>
      <c r="AC3212" s="54" t="s">
        <v>2</v>
      </c>
      <c r="AD3212" s="54" t="s">
        <v>2</v>
      </c>
      <c r="AE3212" s="54" t="s">
        <v>2</v>
      </c>
      <c r="AF3212" s="54" t="s">
        <v>2</v>
      </c>
      <c r="AG3212" s="54" t="s">
        <v>2</v>
      </c>
    </row>
    <row r="3213" ht="15.75" customHeight="1">
      <c r="B3213" s="56"/>
      <c r="U3213" s="46" t="str">
        <f t="array" ref="U3213">IF($D3213="","",IFERROR(_xlfn.XLOOKUP($D3213,'TIR店舗一覧'!$D:$D,'TIR店舗一覧'!$E:$E,""),""))</f>
        <v/>
      </c>
      <c r="V3213" s="54" t="s">
        <v>2</v>
      </c>
      <c r="W3213" s="54" t="s">
        <v>2</v>
      </c>
      <c r="X3213" s="54" t="s">
        <v>2</v>
      </c>
      <c r="Y3213" s="54" t="s">
        <v>2</v>
      </c>
      <c r="Z3213" s="54" t="s">
        <v>2</v>
      </c>
      <c r="AA3213" s="54" t="s">
        <v>2</v>
      </c>
      <c r="AB3213" s="54" t="s">
        <v>2</v>
      </c>
      <c r="AC3213" s="54" t="s">
        <v>2</v>
      </c>
      <c r="AD3213" s="54" t="s">
        <v>2</v>
      </c>
      <c r="AE3213" s="54" t="s">
        <v>2</v>
      </c>
      <c r="AF3213" s="54" t="s">
        <v>2</v>
      </c>
      <c r="AG3213" s="54" t="s">
        <v>2</v>
      </c>
    </row>
    <row r="3214" ht="15.75" customHeight="1">
      <c r="B3214" s="56"/>
      <c r="U3214" s="46" t="str">
        <f t="array" ref="U3214">IF($D3214="","",IFERROR(_xlfn.XLOOKUP($D3214,'TIR店舗一覧'!$D:$D,'TIR店舗一覧'!$E:$E,""),""))</f>
        <v/>
      </c>
      <c r="V3214" s="54" t="s">
        <v>2</v>
      </c>
      <c r="W3214" s="54" t="s">
        <v>2</v>
      </c>
      <c r="X3214" s="54" t="s">
        <v>2</v>
      </c>
      <c r="Y3214" s="54" t="s">
        <v>2</v>
      </c>
      <c r="Z3214" s="54" t="s">
        <v>2</v>
      </c>
      <c r="AA3214" s="54" t="s">
        <v>2</v>
      </c>
      <c r="AB3214" s="54" t="s">
        <v>2</v>
      </c>
      <c r="AC3214" s="54" t="s">
        <v>2</v>
      </c>
      <c r="AD3214" s="54" t="s">
        <v>2</v>
      </c>
      <c r="AE3214" s="54" t="s">
        <v>2</v>
      </c>
      <c r="AF3214" s="54" t="s">
        <v>2</v>
      </c>
      <c r="AG3214" s="54" t="s">
        <v>2</v>
      </c>
    </row>
    <row r="3215" ht="15.75" customHeight="1">
      <c r="B3215" s="56"/>
      <c r="U3215" s="46" t="str">
        <f t="array" ref="U3215">IF($D3215="","",IFERROR(_xlfn.XLOOKUP($D3215,'TIR店舗一覧'!$D:$D,'TIR店舗一覧'!$E:$E,""),""))</f>
        <v/>
      </c>
      <c r="V3215" s="54" t="s">
        <v>2</v>
      </c>
      <c r="W3215" s="54" t="s">
        <v>2</v>
      </c>
      <c r="X3215" s="54" t="s">
        <v>2</v>
      </c>
      <c r="Y3215" s="54" t="s">
        <v>2</v>
      </c>
      <c r="Z3215" s="54" t="s">
        <v>2</v>
      </c>
      <c r="AA3215" s="54" t="s">
        <v>2</v>
      </c>
      <c r="AB3215" s="54" t="s">
        <v>2</v>
      </c>
      <c r="AC3215" s="54" t="s">
        <v>2</v>
      </c>
      <c r="AD3215" s="54" t="s">
        <v>2</v>
      </c>
      <c r="AE3215" s="54" t="s">
        <v>2</v>
      </c>
      <c r="AF3215" s="54" t="s">
        <v>2</v>
      </c>
      <c r="AG3215" s="54" t="s">
        <v>2</v>
      </c>
    </row>
    <row r="3216" ht="15.75" customHeight="1">
      <c r="B3216" s="56"/>
      <c r="U3216" s="46" t="str">
        <f t="array" ref="U3216">IF($D3216="","",IFERROR(_xlfn.XLOOKUP($D3216,'TIR店舗一覧'!$D:$D,'TIR店舗一覧'!$E:$E,""),""))</f>
        <v/>
      </c>
      <c r="V3216" s="54" t="s">
        <v>2</v>
      </c>
      <c r="W3216" s="54" t="s">
        <v>2</v>
      </c>
      <c r="X3216" s="54" t="s">
        <v>2</v>
      </c>
      <c r="Y3216" s="54" t="s">
        <v>2</v>
      </c>
      <c r="Z3216" s="54" t="s">
        <v>2</v>
      </c>
      <c r="AA3216" s="54" t="s">
        <v>2</v>
      </c>
      <c r="AB3216" s="54" t="s">
        <v>2</v>
      </c>
      <c r="AC3216" s="54" t="s">
        <v>2</v>
      </c>
      <c r="AD3216" s="54" t="s">
        <v>2</v>
      </c>
      <c r="AE3216" s="54" t="s">
        <v>2</v>
      </c>
      <c r="AF3216" s="54" t="s">
        <v>2</v>
      </c>
      <c r="AG3216" s="54" t="s">
        <v>2</v>
      </c>
    </row>
    <row r="3217" ht="15.75" customHeight="1">
      <c r="B3217" s="56"/>
      <c r="U3217" s="46" t="str">
        <f t="array" ref="U3217">IF($D3217="","",IFERROR(_xlfn.XLOOKUP($D3217,'TIR店舗一覧'!$D:$D,'TIR店舗一覧'!$E:$E,""),""))</f>
        <v/>
      </c>
      <c r="V3217" s="54" t="s">
        <v>2</v>
      </c>
      <c r="W3217" s="54" t="s">
        <v>2</v>
      </c>
      <c r="X3217" s="54" t="s">
        <v>2</v>
      </c>
      <c r="Y3217" s="54" t="s">
        <v>2</v>
      </c>
      <c r="Z3217" s="54" t="s">
        <v>2</v>
      </c>
      <c r="AA3217" s="54" t="s">
        <v>2</v>
      </c>
      <c r="AB3217" s="54" t="s">
        <v>2</v>
      </c>
      <c r="AC3217" s="54" t="s">
        <v>2</v>
      </c>
      <c r="AD3217" s="54" t="s">
        <v>2</v>
      </c>
      <c r="AE3217" s="54" t="s">
        <v>2</v>
      </c>
      <c r="AF3217" s="54" t="s">
        <v>2</v>
      </c>
      <c r="AG3217" s="54" t="s">
        <v>2</v>
      </c>
    </row>
    <row r="3218" ht="15.75" customHeight="1">
      <c r="B3218" s="56"/>
      <c r="U3218" s="46" t="str">
        <f t="array" ref="U3218">IF($D3218="","",IFERROR(_xlfn.XLOOKUP($D3218,'TIR店舗一覧'!$D:$D,'TIR店舗一覧'!$E:$E,""),""))</f>
        <v/>
      </c>
      <c r="V3218" s="54" t="s">
        <v>2</v>
      </c>
      <c r="W3218" s="54" t="s">
        <v>2</v>
      </c>
      <c r="X3218" s="54" t="s">
        <v>2</v>
      </c>
      <c r="Y3218" s="54" t="s">
        <v>2</v>
      </c>
      <c r="Z3218" s="54" t="s">
        <v>2</v>
      </c>
      <c r="AA3218" s="54" t="s">
        <v>2</v>
      </c>
      <c r="AB3218" s="54" t="s">
        <v>2</v>
      </c>
      <c r="AC3218" s="54" t="s">
        <v>2</v>
      </c>
      <c r="AD3218" s="54" t="s">
        <v>2</v>
      </c>
      <c r="AE3218" s="54" t="s">
        <v>2</v>
      </c>
      <c r="AF3218" s="54" t="s">
        <v>2</v>
      </c>
      <c r="AG3218" s="54" t="s">
        <v>2</v>
      </c>
    </row>
    <row r="3219" ht="15.75" customHeight="1">
      <c r="B3219" s="56"/>
      <c r="U3219" s="46" t="str">
        <f t="array" ref="U3219">IF($D3219="","",IFERROR(_xlfn.XLOOKUP($D3219,'TIR店舗一覧'!$D:$D,'TIR店舗一覧'!$E:$E,""),""))</f>
        <v/>
      </c>
      <c r="V3219" s="54" t="s">
        <v>2</v>
      </c>
      <c r="W3219" s="54" t="s">
        <v>2</v>
      </c>
      <c r="X3219" s="54" t="s">
        <v>2</v>
      </c>
      <c r="Y3219" s="54" t="s">
        <v>2</v>
      </c>
      <c r="Z3219" s="54" t="s">
        <v>2</v>
      </c>
      <c r="AA3219" s="54" t="s">
        <v>2</v>
      </c>
      <c r="AB3219" s="54" t="s">
        <v>2</v>
      </c>
      <c r="AC3219" s="54" t="s">
        <v>2</v>
      </c>
      <c r="AD3219" s="54" t="s">
        <v>2</v>
      </c>
      <c r="AE3219" s="54" t="s">
        <v>2</v>
      </c>
      <c r="AF3219" s="54" t="s">
        <v>2</v>
      </c>
      <c r="AG3219" s="54" t="s">
        <v>2</v>
      </c>
    </row>
    <row r="3220" ht="15.75" customHeight="1">
      <c r="B3220" s="56"/>
      <c r="U3220" s="46" t="str">
        <f t="array" ref="U3220">IF($D3220="","",IFERROR(_xlfn.XLOOKUP($D3220,'TIR店舗一覧'!$D:$D,'TIR店舗一覧'!$E:$E,""),""))</f>
        <v/>
      </c>
      <c r="V3220" s="54" t="s">
        <v>2</v>
      </c>
      <c r="W3220" s="54" t="s">
        <v>2</v>
      </c>
      <c r="X3220" s="54" t="s">
        <v>2</v>
      </c>
      <c r="Y3220" s="54" t="s">
        <v>2</v>
      </c>
      <c r="Z3220" s="54" t="s">
        <v>2</v>
      </c>
      <c r="AA3220" s="54" t="s">
        <v>2</v>
      </c>
      <c r="AB3220" s="54" t="s">
        <v>2</v>
      </c>
      <c r="AC3220" s="54" t="s">
        <v>2</v>
      </c>
      <c r="AD3220" s="54" t="s">
        <v>2</v>
      </c>
      <c r="AE3220" s="54" t="s">
        <v>2</v>
      </c>
      <c r="AF3220" s="54" t="s">
        <v>2</v>
      </c>
      <c r="AG3220" s="54" t="s">
        <v>2</v>
      </c>
    </row>
    <row r="3221" ht="15.75" customHeight="1">
      <c r="B3221" s="56"/>
      <c r="U3221" s="46" t="str">
        <f t="array" ref="U3221">IF($D3221="","",IFERROR(_xlfn.XLOOKUP($D3221,'TIR店舗一覧'!$D:$D,'TIR店舗一覧'!$E:$E,""),""))</f>
        <v/>
      </c>
      <c r="V3221" s="54" t="s">
        <v>2</v>
      </c>
      <c r="W3221" s="54" t="s">
        <v>2</v>
      </c>
      <c r="X3221" s="54" t="s">
        <v>2</v>
      </c>
      <c r="Y3221" s="54" t="s">
        <v>2</v>
      </c>
      <c r="Z3221" s="54" t="s">
        <v>2</v>
      </c>
      <c r="AA3221" s="54" t="s">
        <v>2</v>
      </c>
      <c r="AB3221" s="54" t="s">
        <v>2</v>
      </c>
      <c r="AC3221" s="54" t="s">
        <v>2</v>
      </c>
      <c r="AD3221" s="54" t="s">
        <v>2</v>
      </c>
      <c r="AE3221" s="54" t="s">
        <v>2</v>
      </c>
      <c r="AF3221" s="54" t="s">
        <v>2</v>
      </c>
      <c r="AG3221" s="54" t="s">
        <v>2</v>
      </c>
    </row>
    <row r="3222" ht="15.75" customHeight="1">
      <c r="B3222" s="56"/>
      <c r="U3222" s="46" t="str">
        <f t="array" ref="U3222">IF($D3222="","",IFERROR(_xlfn.XLOOKUP($D3222,'TIR店舗一覧'!$D:$D,'TIR店舗一覧'!$E:$E,""),""))</f>
        <v/>
      </c>
      <c r="V3222" s="54" t="s">
        <v>2</v>
      </c>
      <c r="W3222" s="54" t="s">
        <v>2</v>
      </c>
      <c r="X3222" s="54" t="s">
        <v>2</v>
      </c>
      <c r="Y3222" s="54" t="s">
        <v>2</v>
      </c>
      <c r="Z3222" s="54" t="s">
        <v>2</v>
      </c>
      <c r="AA3222" s="54" t="s">
        <v>2</v>
      </c>
      <c r="AB3222" s="54" t="s">
        <v>2</v>
      </c>
      <c r="AC3222" s="54" t="s">
        <v>2</v>
      </c>
      <c r="AD3222" s="54" t="s">
        <v>2</v>
      </c>
      <c r="AE3222" s="54" t="s">
        <v>2</v>
      </c>
      <c r="AF3222" s="54" t="s">
        <v>2</v>
      </c>
      <c r="AG3222" s="54" t="s">
        <v>2</v>
      </c>
    </row>
    <row r="3223" ht="15.75" customHeight="1">
      <c r="B3223" s="56"/>
      <c r="U3223" s="46" t="str">
        <f t="array" ref="U3223">IF($D3223="","",IFERROR(_xlfn.XLOOKUP($D3223,'TIR店舗一覧'!$D:$D,'TIR店舗一覧'!$E:$E,""),""))</f>
        <v/>
      </c>
      <c r="V3223" s="54" t="s">
        <v>2</v>
      </c>
      <c r="W3223" s="54" t="s">
        <v>2</v>
      </c>
      <c r="X3223" s="54" t="s">
        <v>2</v>
      </c>
      <c r="Y3223" s="54" t="s">
        <v>2</v>
      </c>
      <c r="Z3223" s="54" t="s">
        <v>2</v>
      </c>
      <c r="AA3223" s="54" t="s">
        <v>2</v>
      </c>
      <c r="AB3223" s="54" t="s">
        <v>2</v>
      </c>
      <c r="AC3223" s="54" t="s">
        <v>2</v>
      </c>
      <c r="AD3223" s="54" t="s">
        <v>2</v>
      </c>
      <c r="AE3223" s="54" t="s">
        <v>2</v>
      </c>
      <c r="AF3223" s="54" t="s">
        <v>2</v>
      </c>
      <c r="AG3223" s="54" t="s">
        <v>2</v>
      </c>
    </row>
    <row r="3224" ht="15.75" customHeight="1">
      <c r="B3224" s="56"/>
      <c r="U3224" s="46" t="str">
        <f t="array" ref="U3224">IF($D3224="","",IFERROR(_xlfn.XLOOKUP($D3224,'TIR店舗一覧'!$D:$D,'TIR店舗一覧'!$E:$E,""),""))</f>
        <v/>
      </c>
      <c r="V3224" s="54" t="s">
        <v>2</v>
      </c>
      <c r="W3224" s="54" t="s">
        <v>2</v>
      </c>
      <c r="X3224" s="54" t="s">
        <v>2</v>
      </c>
      <c r="Y3224" s="54" t="s">
        <v>2</v>
      </c>
      <c r="Z3224" s="54" t="s">
        <v>2</v>
      </c>
      <c r="AA3224" s="54" t="s">
        <v>2</v>
      </c>
      <c r="AB3224" s="54" t="s">
        <v>2</v>
      </c>
      <c r="AC3224" s="54" t="s">
        <v>2</v>
      </c>
      <c r="AD3224" s="54" t="s">
        <v>2</v>
      </c>
      <c r="AE3224" s="54" t="s">
        <v>2</v>
      </c>
      <c r="AF3224" s="54" t="s">
        <v>2</v>
      </c>
      <c r="AG3224" s="54" t="s">
        <v>2</v>
      </c>
    </row>
    <row r="3225" ht="15.75" customHeight="1">
      <c r="B3225" s="56"/>
      <c r="U3225" s="46" t="str">
        <f t="array" ref="U3225">IF($D3225="","",IFERROR(_xlfn.XLOOKUP($D3225,'TIR店舗一覧'!$D:$D,'TIR店舗一覧'!$E:$E,""),""))</f>
        <v/>
      </c>
      <c r="V3225" s="54" t="s">
        <v>2</v>
      </c>
      <c r="W3225" s="54" t="s">
        <v>2</v>
      </c>
      <c r="X3225" s="54" t="s">
        <v>2</v>
      </c>
      <c r="Y3225" s="54" t="s">
        <v>2</v>
      </c>
      <c r="Z3225" s="54" t="s">
        <v>2</v>
      </c>
      <c r="AA3225" s="54" t="s">
        <v>2</v>
      </c>
      <c r="AB3225" s="54" t="s">
        <v>2</v>
      </c>
      <c r="AC3225" s="54" t="s">
        <v>2</v>
      </c>
      <c r="AD3225" s="54" t="s">
        <v>2</v>
      </c>
      <c r="AE3225" s="54" t="s">
        <v>2</v>
      </c>
      <c r="AF3225" s="54" t="s">
        <v>2</v>
      </c>
      <c r="AG3225" s="54" t="s">
        <v>2</v>
      </c>
    </row>
    <row r="3226" ht="15.75" customHeight="1">
      <c r="B3226" s="56"/>
      <c r="U3226" s="46" t="str">
        <f t="array" ref="U3226">IF($D3226="","",IFERROR(_xlfn.XLOOKUP($D3226,'TIR店舗一覧'!$D:$D,'TIR店舗一覧'!$E:$E,""),""))</f>
        <v/>
      </c>
      <c r="V3226" s="54" t="s">
        <v>2</v>
      </c>
      <c r="W3226" s="54" t="s">
        <v>2</v>
      </c>
      <c r="X3226" s="54" t="s">
        <v>2</v>
      </c>
      <c r="Y3226" s="54" t="s">
        <v>2</v>
      </c>
      <c r="Z3226" s="54" t="s">
        <v>2</v>
      </c>
      <c r="AA3226" s="54" t="s">
        <v>2</v>
      </c>
      <c r="AB3226" s="54" t="s">
        <v>2</v>
      </c>
      <c r="AC3226" s="54" t="s">
        <v>2</v>
      </c>
      <c r="AD3226" s="54" t="s">
        <v>2</v>
      </c>
      <c r="AE3226" s="54" t="s">
        <v>2</v>
      </c>
      <c r="AF3226" s="54" t="s">
        <v>2</v>
      </c>
      <c r="AG3226" s="54" t="s">
        <v>2</v>
      </c>
    </row>
    <row r="3227" ht="15.75" customHeight="1">
      <c r="B3227" s="56"/>
      <c r="U3227" s="46" t="str">
        <f t="array" ref="U3227">IF($D3227="","",IFERROR(_xlfn.XLOOKUP($D3227,'TIR店舗一覧'!$D:$D,'TIR店舗一覧'!$E:$E,""),""))</f>
        <v/>
      </c>
      <c r="V3227" s="54" t="s">
        <v>2</v>
      </c>
      <c r="W3227" s="54" t="s">
        <v>2</v>
      </c>
      <c r="X3227" s="54" t="s">
        <v>2</v>
      </c>
      <c r="Y3227" s="54" t="s">
        <v>2</v>
      </c>
      <c r="Z3227" s="54" t="s">
        <v>2</v>
      </c>
      <c r="AA3227" s="54" t="s">
        <v>2</v>
      </c>
      <c r="AB3227" s="54" t="s">
        <v>2</v>
      </c>
      <c r="AC3227" s="54" t="s">
        <v>2</v>
      </c>
      <c r="AD3227" s="54" t="s">
        <v>2</v>
      </c>
      <c r="AE3227" s="54" t="s">
        <v>2</v>
      </c>
      <c r="AF3227" s="54" t="s">
        <v>2</v>
      </c>
      <c r="AG3227" s="54" t="s">
        <v>2</v>
      </c>
    </row>
    <row r="3228" ht="15.75" customHeight="1">
      <c r="B3228" s="56"/>
      <c r="U3228" s="46" t="str">
        <f t="array" ref="U3228">IF($D3228="","",IFERROR(_xlfn.XLOOKUP($D3228,'TIR店舗一覧'!$D:$D,'TIR店舗一覧'!$E:$E,""),""))</f>
        <v/>
      </c>
      <c r="V3228" s="54" t="s">
        <v>2</v>
      </c>
      <c r="W3228" s="54" t="s">
        <v>2</v>
      </c>
      <c r="X3228" s="54" t="s">
        <v>2</v>
      </c>
      <c r="Y3228" s="54" t="s">
        <v>2</v>
      </c>
      <c r="Z3228" s="54" t="s">
        <v>2</v>
      </c>
      <c r="AA3228" s="54" t="s">
        <v>2</v>
      </c>
      <c r="AB3228" s="54" t="s">
        <v>2</v>
      </c>
      <c r="AC3228" s="54" t="s">
        <v>2</v>
      </c>
      <c r="AD3228" s="54" t="s">
        <v>2</v>
      </c>
      <c r="AE3228" s="54" t="s">
        <v>2</v>
      </c>
      <c r="AF3228" s="54" t="s">
        <v>2</v>
      </c>
      <c r="AG3228" s="54" t="s">
        <v>2</v>
      </c>
    </row>
    <row r="3229" ht="15.75" customHeight="1">
      <c r="B3229" s="56"/>
      <c r="U3229" s="46" t="str">
        <f t="array" ref="U3229">IF($D3229="","",IFERROR(_xlfn.XLOOKUP($D3229,'TIR店舗一覧'!$D:$D,'TIR店舗一覧'!$E:$E,""),""))</f>
        <v/>
      </c>
      <c r="V3229" s="54" t="s">
        <v>2</v>
      </c>
      <c r="W3229" s="54" t="s">
        <v>2</v>
      </c>
      <c r="X3229" s="54" t="s">
        <v>2</v>
      </c>
      <c r="Y3229" s="54" t="s">
        <v>2</v>
      </c>
      <c r="Z3229" s="54" t="s">
        <v>2</v>
      </c>
      <c r="AA3229" s="54" t="s">
        <v>2</v>
      </c>
      <c r="AB3229" s="54" t="s">
        <v>2</v>
      </c>
      <c r="AC3229" s="54" t="s">
        <v>2</v>
      </c>
      <c r="AD3229" s="54" t="s">
        <v>2</v>
      </c>
      <c r="AE3229" s="54" t="s">
        <v>2</v>
      </c>
      <c r="AF3229" s="54" t="s">
        <v>2</v>
      </c>
      <c r="AG3229" s="54" t="s">
        <v>2</v>
      </c>
    </row>
    <row r="3230" ht="15.75" customHeight="1">
      <c r="B3230" s="56"/>
      <c r="U3230" s="46" t="str">
        <f t="array" ref="U3230">IF($D3230="","",IFERROR(_xlfn.XLOOKUP($D3230,'TIR店舗一覧'!$D:$D,'TIR店舗一覧'!$E:$E,""),""))</f>
        <v/>
      </c>
      <c r="V3230" s="54" t="s">
        <v>2</v>
      </c>
      <c r="W3230" s="54" t="s">
        <v>2</v>
      </c>
      <c r="X3230" s="54" t="s">
        <v>2</v>
      </c>
      <c r="Y3230" s="54" t="s">
        <v>2</v>
      </c>
      <c r="Z3230" s="54" t="s">
        <v>2</v>
      </c>
      <c r="AA3230" s="54" t="s">
        <v>2</v>
      </c>
      <c r="AB3230" s="54" t="s">
        <v>2</v>
      </c>
      <c r="AC3230" s="54" t="s">
        <v>2</v>
      </c>
      <c r="AD3230" s="54" t="s">
        <v>2</v>
      </c>
      <c r="AE3230" s="54" t="s">
        <v>2</v>
      </c>
      <c r="AF3230" s="54" t="s">
        <v>2</v>
      </c>
      <c r="AG3230" s="54" t="s">
        <v>2</v>
      </c>
    </row>
    <row r="3231" ht="15.75" customHeight="1">
      <c r="B3231" s="56"/>
      <c r="U3231" s="46" t="str">
        <f t="array" ref="U3231">IF($D3231="","",IFERROR(_xlfn.XLOOKUP($D3231,'TIR店舗一覧'!$D:$D,'TIR店舗一覧'!$E:$E,""),""))</f>
        <v/>
      </c>
      <c r="V3231" s="54" t="s">
        <v>2</v>
      </c>
      <c r="W3231" s="54" t="s">
        <v>2</v>
      </c>
      <c r="X3231" s="54" t="s">
        <v>2</v>
      </c>
      <c r="Y3231" s="54" t="s">
        <v>2</v>
      </c>
      <c r="Z3231" s="54" t="s">
        <v>2</v>
      </c>
      <c r="AA3231" s="54" t="s">
        <v>2</v>
      </c>
      <c r="AB3231" s="54" t="s">
        <v>2</v>
      </c>
      <c r="AC3231" s="54" t="s">
        <v>2</v>
      </c>
      <c r="AD3231" s="54" t="s">
        <v>2</v>
      </c>
      <c r="AE3231" s="54" t="s">
        <v>2</v>
      </c>
      <c r="AF3231" s="54" t="s">
        <v>2</v>
      </c>
      <c r="AG3231" s="54" t="s">
        <v>2</v>
      </c>
    </row>
    <row r="3232" ht="15.75" customHeight="1">
      <c r="B3232" s="56"/>
      <c r="U3232" s="46" t="str">
        <f t="array" ref="U3232">IF($D3232="","",IFERROR(_xlfn.XLOOKUP($D3232,'TIR店舗一覧'!$D:$D,'TIR店舗一覧'!$E:$E,""),""))</f>
        <v/>
      </c>
      <c r="V3232" s="54" t="s">
        <v>2</v>
      </c>
      <c r="W3232" s="54" t="s">
        <v>2</v>
      </c>
      <c r="X3232" s="54" t="s">
        <v>2</v>
      </c>
      <c r="Y3232" s="54" t="s">
        <v>2</v>
      </c>
      <c r="Z3232" s="54" t="s">
        <v>2</v>
      </c>
      <c r="AA3232" s="54" t="s">
        <v>2</v>
      </c>
      <c r="AB3232" s="54" t="s">
        <v>2</v>
      </c>
      <c r="AC3232" s="54" t="s">
        <v>2</v>
      </c>
      <c r="AD3232" s="54" t="s">
        <v>2</v>
      </c>
      <c r="AE3232" s="54" t="s">
        <v>2</v>
      </c>
      <c r="AF3232" s="54" t="s">
        <v>2</v>
      </c>
      <c r="AG3232" s="54" t="s">
        <v>2</v>
      </c>
    </row>
    <row r="3233" ht="15.75" customHeight="1">
      <c r="B3233" s="56"/>
      <c r="U3233" s="46" t="str">
        <f t="array" ref="U3233">IF($D3233="","",IFERROR(_xlfn.XLOOKUP($D3233,'TIR店舗一覧'!$D:$D,'TIR店舗一覧'!$E:$E,""),""))</f>
        <v/>
      </c>
      <c r="V3233" s="54" t="s">
        <v>2</v>
      </c>
      <c r="W3233" s="54" t="s">
        <v>2</v>
      </c>
      <c r="X3233" s="54" t="s">
        <v>2</v>
      </c>
      <c r="Y3233" s="54" t="s">
        <v>2</v>
      </c>
      <c r="Z3233" s="54" t="s">
        <v>2</v>
      </c>
      <c r="AA3233" s="54" t="s">
        <v>2</v>
      </c>
      <c r="AB3233" s="54" t="s">
        <v>2</v>
      </c>
      <c r="AC3233" s="54" t="s">
        <v>2</v>
      </c>
      <c r="AD3233" s="54" t="s">
        <v>2</v>
      </c>
      <c r="AE3233" s="54" t="s">
        <v>2</v>
      </c>
      <c r="AF3233" s="54" t="s">
        <v>2</v>
      </c>
      <c r="AG3233" s="54" t="s">
        <v>2</v>
      </c>
    </row>
    <row r="3234" ht="15.75" customHeight="1">
      <c r="B3234" s="56"/>
      <c r="U3234" s="46" t="str">
        <f t="array" ref="U3234">IF($D3234="","",IFERROR(_xlfn.XLOOKUP($D3234,'TIR店舗一覧'!$D:$D,'TIR店舗一覧'!$E:$E,""),""))</f>
        <v/>
      </c>
      <c r="V3234" s="54" t="s">
        <v>2</v>
      </c>
      <c r="W3234" s="54" t="s">
        <v>2</v>
      </c>
      <c r="X3234" s="54" t="s">
        <v>2</v>
      </c>
      <c r="Y3234" s="54" t="s">
        <v>2</v>
      </c>
      <c r="Z3234" s="54" t="s">
        <v>2</v>
      </c>
      <c r="AA3234" s="54" t="s">
        <v>2</v>
      </c>
      <c r="AB3234" s="54" t="s">
        <v>2</v>
      </c>
      <c r="AC3234" s="54" t="s">
        <v>2</v>
      </c>
      <c r="AD3234" s="54" t="s">
        <v>2</v>
      </c>
      <c r="AE3234" s="54" t="s">
        <v>2</v>
      </c>
      <c r="AF3234" s="54" t="s">
        <v>2</v>
      </c>
      <c r="AG3234" s="54" t="s">
        <v>2</v>
      </c>
    </row>
    <row r="3235" ht="15.75" customHeight="1">
      <c r="B3235" s="56"/>
      <c r="U3235" s="46" t="str">
        <f t="array" ref="U3235">IF($D3235="","",IFERROR(_xlfn.XLOOKUP($D3235,'TIR店舗一覧'!$D:$D,'TIR店舗一覧'!$E:$E,""),""))</f>
        <v/>
      </c>
      <c r="V3235" s="54" t="s">
        <v>2</v>
      </c>
      <c r="W3235" s="54" t="s">
        <v>2</v>
      </c>
      <c r="X3235" s="54" t="s">
        <v>2</v>
      </c>
      <c r="Y3235" s="54" t="s">
        <v>2</v>
      </c>
      <c r="Z3235" s="54" t="s">
        <v>2</v>
      </c>
      <c r="AA3235" s="54" t="s">
        <v>2</v>
      </c>
      <c r="AB3235" s="54" t="s">
        <v>2</v>
      </c>
      <c r="AC3235" s="54" t="s">
        <v>2</v>
      </c>
      <c r="AD3235" s="54" t="s">
        <v>2</v>
      </c>
      <c r="AE3235" s="54" t="s">
        <v>2</v>
      </c>
      <c r="AF3235" s="54" t="s">
        <v>2</v>
      </c>
      <c r="AG3235" s="54" t="s">
        <v>2</v>
      </c>
    </row>
    <row r="3236" ht="15.75" customHeight="1">
      <c r="B3236" s="56"/>
      <c r="U3236" s="46" t="str">
        <f t="array" ref="U3236">IF($D3236="","",IFERROR(_xlfn.XLOOKUP($D3236,'TIR店舗一覧'!$D:$D,'TIR店舗一覧'!$E:$E,""),""))</f>
        <v/>
      </c>
      <c r="V3236" s="54" t="s">
        <v>2</v>
      </c>
      <c r="W3236" s="54" t="s">
        <v>2</v>
      </c>
      <c r="X3236" s="54" t="s">
        <v>2</v>
      </c>
      <c r="Y3236" s="54" t="s">
        <v>2</v>
      </c>
      <c r="Z3236" s="54" t="s">
        <v>2</v>
      </c>
      <c r="AA3236" s="54" t="s">
        <v>2</v>
      </c>
      <c r="AB3236" s="54" t="s">
        <v>2</v>
      </c>
      <c r="AC3236" s="54" t="s">
        <v>2</v>
      </c>
      <c r="AD3236" s="54" t="s">
        <v>2</v>
      </c>
      <c r="AE3236" s="54" t="s">
        <v>2</v>
      </c>
      <c r="AF3236" s="54" t="s">
        <v>2</v>
      </c>
      <c r="AG3236" s="54" t="s">
        <v>2</v>
      </c>
    </row>
    <row r="3237" ht="15.75" customHeight="1">
      <c r="B3237" s="56"/>
      <c r="U3237" s="46" t="str">
        <f t="array" ref="U3237">IF($D3237="","",IFERROR(_xlfn.XLOOKUP($D3237,'TIR店舗一覧'!$D:$D,'TIR店舗一覧'!$E:$E,""),""))</f>
        <v/>
      </c>
      <c r="V3237" s="54" t="s">
        <v>2</v>
      </c>
      <c r="W3237" s="54" t="s">
        <v>2</v>
      </c>
      <c r="X3237" s="54" t="s">
        <v>2</v>
      </c>
      <c r="Y3237" s="54" t="s">
        <v>2</v>
      </c>
      <c r="Z3237" s="54" t="s">
        <v>2</v>
      </c>
      <c r="AA3237" s="54" t="s">
        <v>2</v>
      </c>
      <c r="AB3237" s="54" t="s">
        <v>2</v>
      </c>
      <c r="AC3237" s="54" t="s">
        <v>2</v>
      </c>
      <c r="AD3237" s="54" t="s">
        <v>2</v>
      </c>
      <c r="AE3237" s="54" t="s">
        <v>2</v>
      </c>
      <c r="AF3237" s="54" t="s">
        <v>2</v>
      </c>
      <c r="AG3237" s="54" t="s">
        <v>2</v>
      </c>
    </row>
    <row r="3238" ht="15.75" customHeight="1">
      <c r="B3238" s="56"/>
      <c r="U3238" s="46" t="str">
        <f t="array" ref="U3238">IF($D3238="","",IFERROR(_xlfn.XLOOKUP($D3238,'TIR店舗一覧'!$D:$D,'TIR店舗一覧'!$E:$E,""),""))</f>
        <v/>
      </c>
      <c r="V3238" s="54" t="s">
        <v>2</v>
      </c>
      <c r="W3238" s="54" t="s">
        <v>2</v>
      </c>
      <c r="X3238" s="54" t="s">
        <v>2</v>
      </c>
      <c r="Y3238" s="54" t="s">
        <v>2</v>
      </c>
      <c r="Z3238" s="54" t="s">
        <v>2</v>
      </c>
      <c r="AA3238" s="54" t="s">
        <v>2</v>
      </c>
      <c r="AB3238" s="54" t="s">
        <v>2</v>
      </c>
      <c r="AC3238" s="54" t="s">
        <v>2</v>
      </c>
      <c r="AD3238" s="54" t="s">
        <v>2</v>
      </c>
      <c r="AE3238" s="54" t="s">
        <v>2</v>
      </c>
      <c r="AF3238" s="54" t="s">
        <v>2</v>
      </c>
      <c r="AG3238" s="54" t="s">
        <v>2</v>
      </c>
    </row>
    <row r="3239" ht="15.75" customHeight="1">
      <c r="B3239" s="56"/>
      <c r="U3239" s="46" t="str">
        <f t="array" ref="U3239">IF($D3239="","",IFERROR(_xlfn.XLOOKUP($D3239,'TIR店舗一覧'!$D:$D,'TIR店舗一覧'!$E:$E,""),""))</f>
        <v/>
      </c>
      <c r="V3239" s="54" t="s">
        <v>2</v>
      </c>
      <c r="W3239" s="54" t="s">
        <v>2</v>
      </c>
      <c r="X3239" s="54" t="s">
        <v>2</v>
      </c>
      <c r="Y3239" s="54" t="s">
        <v>2</v>
      </c>
      <c r="Z3239" s="54" t="s">
        <v>2</v>
      </c>
      <c r="AA3239" s="54" t="s">
        <v>2</v>
      </c>
      <c r="AB3239" s="54" t="s">
        <v>2</v>
      </c>
      <c r="AC3239" s="54" t="s">
        <v>2</v>
      </c>
      <c r="AD3239" s="54" t="s">
        <v>2</v>
      </c>
      <c r="AE3239" s="54" t="s">
        <v>2</v>
      </c>
      <c r="AF3239" s="54" t="s">
        <v>2</v>
      </c>
      <c r="AG3239" s="54" t="s">
        <v>2</v>
      </c>
    </row>
    <row r="3240" ht="15.75" customHeight="1">
      <c r="B3240" s="56"/>
      <c r="U3240" s="46" t="str">
        <f t="array" ref="U3240">IF($D3240="","",IFERROR(_xlfn.XLOOKUP($D3240,'TIR店舗一覧'!$D:$D,'TIR店舗一覧'!$E:$E,""),""))</f>
        <v/>
      </c>
      <c r="V3240" s="54" t="s">
        <v>2</v>
      </c>
      <c r="W3240" s="54" t="s">
        <v>2</v>
      </c>
      <c r="X3240" s="54" t="s">
        <v>2</v>
      </c>
      <c r="Y3240" s="54" t="s">
        <v>2</v>
      </c>
      <c r="Z3240" s="54" t="s">
        <v>2</v>
      </c>
      <c r="AA3240" s="54" t="s">
        <v>2</v>
      </c>
      <c r="AB3240" s="54" t="s">
        <v>2</v>
      </c>
      <c r="AC3240" s="54" t="s">
        <v>2</v>
      </c>
      <c r="AD3240" s="54" t="s">
        <v>2</v>
      </c>
      <c r="AE3240" s="54" t="s">
        <v>2</v>
      </c>
      <c r="AF3240" s="54" t="s">
        <v>2</v>
      </c>
      <c r="AG3240" s="54" t="s">
        <v>2</v>
      </c>
    </row>
    <row r="3241" ht="15.75" customHeight="1">
      <c r="B3241" s="56"/>
      <c r="U3241" s="46" t="str">
        <f t="array" ref="U3241">IF($D3241="","",IFERROR(_xlfn.XLOOKUP($D3241,'TIR店舗一覧'!$D:$D,'TIR店舗一覧'!$E:$E,""),""))</f>
        <v/>
      </c>
      <c r="V3241" s="54" t="s">
        <v>2</v>
      </c>
      <c r="W3241" s="54" t="s">
        <v>2</v>
      </c>
      <c r="X3241" s="54" t="s">
        <v>2</v>
      </c>
      <c r="Y3241" s="54" t="s">
        <v>2</v>
      </c>
      <c r="Z3241" s="54" t="s">
        <v>2</v>
      </c>
      <c r="AA3241" s="54" t="s">
        <v>2</v>
      </c>
      <c r="AB3241" s="54" t="s">
        <v>2</v>
      </c>
      <c r="AC3241" s="54" t="s">
        <v>2</v>
      </c>
      <c r="AD3241" s="54" t="s">
        <v>2</v>
      </c>
      <c r="AE3241" s="54" t="s">
        <v>2</v>
      </c>
      <c r="AF3241" s="54" t="s">
        <v>2</v>
      </c>
      <c r="AG3241" s="54" t="s">
        <v>2</v>
      </c>
    </row>
    <row r="3242" ht="15.75" customHeight="1">
      <c r="B3242" s="56"/>
      <c r="U3242" s="46" t="str">
        <f t="array" ref="U3242">IF($D3242="","",IFERROR(_xlfn.XLOOKUP($D3242,'TIR店舗一覧'!$D:$D,'TIR店舗一覧'!$E:$E,""),""))</f>
        <v/>
      </c>
      <c r="V3242" s="54" t="s">
        <v>2</v>
      </c>
      <c r="W3242" s="54" t="s">
        <v>2</v>
      </c>
      <c r="X3242" s="54" t="s">
        <v>2</v>
      </c>
      <c r="Y3242" s="54" t="s">
        <v>2</v>
      </c>
      <c r="Z3242" s="54" t="s">
        <v>2</v>
      </c>
      <c r="AA3242" s="54" t="s">
        <v>2</v>
      </c>
      <c r="AB3242" s="54" t="s">
        <v>2</v>
      </c>
      <c r="AC3242" s="54" t="s">
        <v>2</v>
      </c>
      <c r="AD3242" s="54" t="s">
        <v>2</v>
      </c>
      <c r="AE3242" s="54" t="s">
        <v>2</v>
      </c>
      <c r="AF3242" s="54" t="s">
        <v>2</v>
      </c>
      <c r="AG3242" s="54" t="s">
        <v>2</v>
      </c>
    </row>
    <row r="3243" ht="15.75" customHeight="1">
      <c r="B3243" s="56"/>
      <c r="U3243" s="46" t="str">
        <f t="array" ref="U3243">IF($D3243="","",IFERROR(_xlfn.XLOOKUP($D3243,'TIR店舗一覧'!$D:$D,'TIR店舗一覧'!$E:$E,""),""))</f>
        <v/>
      </c>
      <c r="V3243" s="54" t="s">
        <v>2</v>
      </c>
      <c r="W3243" s="54" t="s">
        <v>2</v>
      </c>
      <c r="X3243" s="54" t="s">
        <v>2</v>
      </c>
      <c r="Y3243" s="54" t="s">
        <v>2</v>
      </c>
      <c r="Z3243" s="54" t="s">
        <v>2</v>
      </c>
      <c r="AA3243" s="54" t="s">
        <v>2</v>
      </c>
      <c r="AB3243" s="54" t="s">
        <v>2</v>
      </c>
      <c r="AC3243" s="54" t="s">
        <v>2</v>
      </c>
      <c r="AD3243" s="54" t="s">
        <v>2</v>
      </c>
      <c r="AE3243" s="54" t="s">
        <v>2</v>
      </c>
      <c r="AF3243" s="54" t="s">
        <v>2</v>
      </c>
      <c r="AG3243" s="54" t="s">
        <v>2</v>
      </c>
    </row>
    <row r="3244" ht="15.75" customHeight="1">
      <c r="B3244" s="56"/>
      <c r="U3244" s="46" t="str">
        <f t="array" ref="U3244">IF($D3244="","",IFERROR(_xlfn.XLOOKUP($D3244,'TIR店舗一覧'!$D:$D,'TIR店舗一覧'!$E:$E,""),""))</f>
        <v/>
      </c>
      <c r="V3244" s="54" t="s">
        <v>2</v>
      </c>
      <c r="W3244" s="54" t="s">
        <v>2</v>
      </c>
      <c r="X3244" s="54" t="s">
        <v>2</v>
      </c>
      <c r="Y3244" s="54" t="s">
        <v>2</v>
      </c>
      <c r="Z3244" s="54" t="s">
        <v>2</v>
      </c>
      <c r="AA3244" s="54" t="s">
        <v>2</v>
      </c>
      <c r="AB3244" s="54" t="s">
        <v>2</v>
      </c>
      <c r="AC3244" s="54" t="s">
        <v>2</v>
      </c>
      <c r="AD3244" s="54" t="s">
        <v>2</v>
      </c>
      <c r="AE3244" s="54" t="s">
        <v>2</v>
      </c>
      <c r="AF3244" s="54" t="s">
        <v>2</v>
      </c>
      <c r="AG3244" s="54" t="s">
        <v>2</v>
      </c>
    </row>
    <row r="3245" ht="15.75" customHeight="1">
      <c r="B3245" s="56"/>
      <c r="U3245" s="46" t="str">
        <f t="array" ref="U3245">IF($D3245="","",IFERROR(_xlfn.XLOOKUP($D3245,'TIR店舗一覧'!$D:$D,'TIR店舗一覧'!$E:$E,""),""))</f>
        <v/>
      </c>
      <c r="V3245" s="54" t="s">
        <v>2</v>
      </c>
      <c r="W3245" s="54" t="s">
        <v>2</v>
      </c>
      <c r="X3245" s="54" t="s">
        <v>2</v>
      </c>
      <c r="Y3245" s="54" t="s">
        <v>2</v>
      </c>
      <c r="Z3245" s="54" t="s">
        <v>2</v>
      </c>
      <c r="AA3245" s="54" t="s">
        <v>2</v>
      </c>
      <c r="AB3245" s="54" t="s">
        <v>2</v>
      </c>
      <c r="AC3245" s="54" t="s">
        <v>2</v>
      </c>
      <c r="AD3245" s="54" t="s">
        <v>2</v>
      </c>
      <c r="AE3245" s="54" t="s">
        <v>2</v>
      </c>
      <c r="AF3245" s="54" t="s">
        <v>2</v>
      </c>
      <c r="AG3245" s="54" t="s">
        <v>2</v>
      </c>
    </row>
    <row r="3246" ht="15.75" customHeight="1">
      <c r="B3246" s="56"/>
      <c r="U3246" s="46" t="str">
        <f t="array" ref="U3246">IF($D3246="","",IFERROR(_xlfn.XLOOKUP($D3246,'TIR店舗一覧'!$D:$D,'TIR店舗一覧'!$E:$E,""),""))</f>
        <v/>
      </c>
      <c r="V3246" s="54" t="s">
        <v>2</v>
      </c>
      <c r="W3246" s="54" t="s">
        <v>2</v>
      </c>
      <c r="X3246" s="54" t="s">
        <v>2</v>
      </c>
      <c r="Y3246" s="54" t="s">
        <v>2</v>
      </c>
      <c r="Z3246" s="54" t="s">
        <v>2</v>
      </c>
      <c r="AA3246" s="54" t="s">
        <v>2</v>
      </c>
      <c r="AB3246" s="54" t="s">
        <v>2</v>
      </c>
      <c r="AC3246" s="54" t="s">
        <v>2</v>
      </c>
      <c r="AD3246" s="54" t="s">
        <v>2</v>
      </c>
      <c r="AE3246" s="54" t="s">
        <v>2</v>
      </c>
      <c r="AF3246" s="54" t="s">
        <v>2</v>
      </c>
      <c r="AG3246" s="54" t="s">
        <v>2</v>
      </c>
    </row>
    <row r="3247" ht="15.75" customHeight="1">
      <c r="B3247" s="56"/>
      <c r="U3247" s="46" t="str">
        <f t="array" ref="U3247">IF($D3247="","",IFERROR(_xlfn.XLOOKUP($D3247,'TIR店舗一覧'!$D:$D,'TIR店舗一覧'!$E:$E,""),""))</f>
        <v/>
      </c>
      <c r="V3247" s="54" t="s">
        <v>2</v>
      </c>
      <c r="W3247" s="54" t="s">
        <v>2</v>
      </c>
      <c r="X3247" s="54" t="s">
        <v>2</v>
      </c>
      <c r="Y3247" s="54" t="s">
        <v>2</v>
      </c>
      <c r="Z3247" s="54" t="s">
        <v>2</v>
      </c>
      <c r="AA3247" s="54" t="s">
        <v>2</v>
      </c>
      <c r="AB3247" s="54" t="s">
        <v>2</v>
      </c>
      <c r="AC3247" s="54" t="s">
        <v>2</v>
      </c>
      <c r="AD3247" s="54" t="s">
        <v>2</v>
      </c>
      <c r="AE3247" s="54" t="s">
        <v>2</v>
      </c>
      <c r="AF3247" s="54" t="s">
        <v>2</v>
      </c>
      <c r="AG3247" s="54" t="s">
        <v>2</v>
      </c>
    </row>
    <row r="3248" ht="15.75" customHeight="1">
      <c r="B3248" s="56"/>
      <c r="U3248" s="46" t="str">
        <f t="array" ref="U3248">IF($D3248="","",IFERROR(_xlfn.XLOOKUP($D3248,'TIR店舗一覧'!$D:$D,'TIR店舗一覧'!$E:$E,""),""))</f>
        <v/>
      </c>
      <c r="V3248" s="54" t="s">
        <v>2</v>
      </c>
      <c r="W3248" s="54" t="s">
        <v>2</v>
      </c>
      <c r="X3248" s="54" t="s">
        <v>2</v>
      </c>
      <c r="Y3248" s="54" t="s">
        <v>2</v>
      </c>
      <c r="Z3248" s="54" t="s">
        <v>2</v>
      </c>
      <c r="AA3248" s="54" t="s">
        <v>2</v>
      </c>
      <c r="AB3248" s="54" t="s">
        <v>2</v>
      </c>
      <c r="AC3248" s="54" t="s">
        <v>2</v>
      </c>
      <c r="AD3248" s="54" t="s">
        <v>2</v>
      </c>
      <c r="AE3248" s="54" t="s">
        <v>2</v>
      </c>
      <c r="AF3248" s="54" t="s">
        <v>2</v>
      </c>
      <c r="AG3248" s="54" t="s">
        <v>2</v>
      </c>
    </row>
    <row r="3249" ht="15.75" customHeight="1">
      <c r="B3249" s="56"/>
      <c r="U3249" s="46" t="str">
        <f t="array" ref="U3249">IF($D3249="","",IFERROR(_xlfn.XLOOKUP($D3249,'TIR店舗一覧'!$D:$D,'TIR店舗一覧'!$E:$E,""),""))</f>
        <v/>
      </c>
      <c r="V3249" s="54" t="s">
        <v>2</v>
      </c>
      <c r="W3249" s="54" t="s">
        <v>2</v>
      </c>
      <c r="X3249" s="54" t="s">
        <v>2</v>
      </c>
      <c r="Y3249" s="54" t="s">
        <v>2</v>
      </c>
      <c r="Z3249" s="54" t="s">
        <v>2</v>
      </c>
      <c r="AA3249" s="54" t="s">
        <v>2</v>
      </c>
      <c r="AB3249" s="54" t="s">
        <v>2</v>
      </c>
      <c r="AC3249" s="54" t="s">
        <v>2</v>
      </c>
      <c r="AD3249" s="54" t="s">
        <v>2</v>
      </c>
      <c r="AE3249" s="54" t="s">
        <v>2</v>
      </c>
      <c r="AF3249" s="54" t="s">
        <v>2</v>
      </c>
      <c r="AG3249" s="54" t="s">
        <v>2</v>
      </c>
    </row>
    <row r="3250" ht="15.75" customHeight="1">
      <c r="B3250" s="56"/>
      <c r="U3250" s="46" t="str">
        <f t="array" ref="U3250">IF($D3250="","",IFERROR(_xlfn.XLOOKUP($D3250,'TIR店舗一覧'!$D:$D,'TIR店舗一覧'!$E:$E,""),""))</f>
        <v/>
      </c>
      <c r="V3250" s="54" t="s">
        <v>2</v>
      </c>
      <c r="W3250" s="54" t="s">
        <v>2</v>
      </c>
      <c r="X3250" s="54" t="s">
        <v>2</v>
      </c>
      <c r="Y3250" s="54" t="s">
        <v>2</v>
      </c>
      <c r="Z3250" s="54" t="s">
        <v>2</v>
      </c>
      <c r="AA3250" s="54" t="s">
        <v>2</v>
      </c>
      <c r="AB3250" s="54" t="s">
        <v>2</v>
      </c>
      <c r="AC3250" s="54" t="s">
        <v>2</v>
      </c>
      <c r="AD3250" s="54" t="s">
        <v>2</v>
      </c>
      <c r="AE3250" s="54" t="s">
        <v>2</v>
      </c>
      <c r="AF3250" s="54" t="s">
        <v>2</v>
      </c>
      <c r="AG3250" s="54" t="s">
        <v>2</v>
      </c>
    </row>
    <row r="3251" ht="15.75" customHeight="1">
      <c r="B3251" s="56"/>
      <c r="U3251" s="46" t="str">
        <f t="array" ref="U3251">IF($D3251="","",IFERROR(_xlfn.XLOOKUP($D3251,'TIR店舗一覧'!$D:$D,'TIR店舗一覧'!$E:$E,""),""))</f>
        <v/>
      </c>
      <c r="V3251" s="54" t="s">
        <v>2</v>
      </c>
      <c r="W3251" s="54" t="s">
        <v>2</v>
      </c>
      <c r="X3251" s="54" t="s">
        <v>2</v>
      </c>
      <c r="Y3251" s="54" t="s">
        <v>2</v>
      </c>
      <c r="Z3251" s="54" t="s">
        <v>2</v>
      </c>
      <c r="AA3251" s="54" t="s">
        <v>2</v>
      </c>
      <c r="AB3251" s="54" t="s">
        <v>2</v>
      </c>
      <c r="AC3251" s="54" t="s">
        <v>2</v>
      </c>
      <c r="AD3251" s="54" t="s">
        <v>2</v>
      </c>
      <c r="AE3251" s="54" t="s">
        <v>2</v>
      </c>
      <c r="AF3251" s="54" t="s">
        <v>2</v>
      </c>
      <c r="AG3251" s="54" t="s">
        <v>2</v>
      </c>
    </row>
    <row r="3252" ht="15.75" customHeight="1">
      <c r="B3252" s="56"/>
      <c r="U3252" s="46" t="str">
        <f t="array" ref="U3252">IF($D3252="","",IFERROR(_xlfn.XLOOKUP($D3252,'TIR店舗一覧'!$D:$D,'TIR店舗一覧'!$E:$E,""),""))</f>
        <v/>
      </c>
      <c r="V3252" s="54" t="s">
        <v>2</v>
      </c>
      <c r="W3252" s="54" t="s">
        <v>2</v>
      </c>
      <c r="X3252" s="54" t="s">
        <v>2</v>
      </c>
      <c r="Y3252" s="54" t="s">
        <v>2</v>
      </c>
      <c r="Z3252" s="54" t="s">
        <v>2</v>
      </c>
      <c r="AA3252" s="54" t="s">
        <v>2</v>
      </c>
      <c r="AB3252" s="54" t="s">
        <v>2</v>
      </c>
      <c r="AC3252" s="54" t="s">
        <v>2</v>
      </c>
      <c r="AD3252" s="54" t="s">
        <v>2</v>
      </c>
      <c r="AE3252" s="54" t="s">
        <v>2</v>
      </c>
      <c r="AF3252" s="54" t="s">
        <v>2</v>
      </c>
      <c r="AG3252" s="54" t="s">
        <v>2</v>
      </c>
    </row>
    <row r="3253" ht="15.75" customHeight="1">
      <c r="B3253" s="56"/>
      <c r="U3253" s="46" t="str">
        <f t="array" ref="U3253">IF($D3253="","",IFERROR(_xlfn.XLOOKUP($D3253,'TIR店舗一覧'!$D:$D,'TIR店舗一覧'!$E:$E,""),""))</f>
        <v/>
      </c>
      <c r="V3253" s="54" t="s">
        <v>2</v>
      </c>
      <c r="W3253" s="54" t="s">
        <v>2</v>
      </c>
      <c r="X3253" s="54" t="s">
        <v>2</v>
      </c>
      <c r="Y3253" s="54" t="s">
        <v>2</v>
      </c>
      <c r="Z3253" s="54" t="s">
        <v>2</v>
      </c>
      <c r="AA3253" s="54" t="s">
        <v>2</v>
      </c>
      <c r="AB3253" s="54" t="s">
        <v>2</v>
      </c>
      <c r="AC3253" s="54" t="s">
        <v>2</v>
      </c>
      <c r="AD3253" s="54" t="s">
        <v>2</v>
      </c>
      <c r="AE3253" s="54" t="s">
        <v>2</v>
      </c>
      <c r="AF3253" s="54" t="s">
        <v>2</v>
      </c>
      <c r="AG3253" s="54" t="s">
        <v>2</v>
      </c>
    </row>
    <row r="3254" ht="15.75" customHeight="1">
      <c r="B3254" s="56"/>
      <c r="U3254" s="46" t="str">
        <f t="array" ref="U3254">IF($D3254="","",IFERROR(_xlfn.XLOOKUP($D3254,'TIR店舗一覧'!$D:$D,'TIR店舗一覧'!$E:$E,""),""))</f>
        <v/>
      </c>
      <c r="V3254" s="54" t="s">
        <v>2</v>
      </c>
      <c r="W3254" s="54" t="s">
        <v>2</v>
      </c>
      <c r="X3254" s="54" t="s">
        <v>2</v>
      </c>
      <c r="Y3254" s="54" t="s">
        <v>2</v>
      </c>
      <c r="Z3254" s="54" t="s">
        <v>2</v>
      </c>
      <c r="AA3254" s="54" t="s">
        <v>2</v>
      </c>
      <c r="AB3254" s="54" t="s">
        <v>2</v>
      </c>
      <c r="AC3254" s="54" t="s">
        <v>2</v>
      </c>
      <c r="AD3254" s="54" t="s">
        <v>2</v>
      </c>
      <c r="AE3254" s="54" t="s">
        <v>2</v>
      </c>
      <c r="AF3254" s="54" t="s">
        <v>2</v>
      </c>
      <c r="AG3254" s="54" t="s">
        <v>2</v>
      </c>
    </row>
    <row r="3255" ht="15.75" customHeight="1">
      <c r="B3255" s="56"/>
      <c r="U3255" s="46" t="str">
        <f t="array" ref="U3255">IF($D3255="","",IFERROR(_xlfn.XLOOKUP($D3255,'TIR店舗一覧'!$D:$D,'TIR店舗一覧'!$E:$E,""),""))</f>
        <v/>
      </c>
      <c r="V3255" s="54" t="s">
        <v>2</v>
      </c>
      <c r="W3255" s="54" t="s">
        <v>2</v>
      </c>
      <c r="X3255" s="54" t="s">
        <v>2</v>
      </c>
      <c r="Y3255" s="54" t="s">
        <v>2</v>
      </c>
      <c r="Z3255" s="54" t="s">
        <v>2</v>
      </c>
      <c r="AA3255" s="54" t="s">
        <v>2</v>
      </c>
      <c r="AB3255" s="54" t="s">
        <v>2</v>
      </c>
      <c r="AC3255" s="54" t="s">
        <v>2</v>
      </c>
      <c r="AD3255" s="54" t="s">
        <v>2</v>
      </c>
      <c r="AE3255" s="54" t="s">
        <v>2</v>
      </c>
      <c r="AF3255" s="54" t="s">
        <v>2</v>
      </c>
      <c r="AG3255" s="54" t="s">
        <v>2</v>
      </c>
    </row>
    <row r="3256" ht="15.75" customHeight="1">
      <c r="B3256" s="56"/>
      <c r="U3256" s="46" t="str">
        <f t="array" ref="U3256">IF($D3256="","",IFERROR(_xlfn.XLOOKUP($D3256,'TIR店舗一覧'!$D:$D,'TIR店舗一覧'!$E:$E,""),""))</f>
        <v/>
      </c>
      <c r="V3256" s="54" t="s">
        <v>2</v>
      </c>
      <c r="W3256" s="54" t="s">
        <v>2</v>
      </c>
      <c r="X3256" s="54" t="s">
        <v>2</v>
      </c>
      <c r="Y3256" s="54" t="s">
        <v>2</v>
      </c>
      <c r="Z3256" s="54" t="s">
        <v>2</v>
      </c>
      <c r="AA3256" s="54" t="s">
        <v>2</v>
      </c>
      <c r="AB3256" s="54" t="s">
        <v>2</v>
      </c>
      <c r="AC3256" s="54" t="s">
        <v>2</v>
      </c>
      <c r="AD3256" s="54" t="s">
        <v>2</v>
      </c>
      <c r="AE3256" s="54" t="s">
        <v>2</v>
      </c>
      <c r="AF3256" s="54" t="s">
        <v>2</v>
      </c>
      <c r="AG3256" s="54" t="s">
        <v>2</v>
      </c>
    </row>
    <row r="3257" ht="15.75" customHeight="1">
      <c r="B3257" s="56"/>
      <c r="U3257" s="46" t="str">
        <f t="array" ref="U3257">IF($D3257="","",IFERROR(_xlfn.XLOOKUP($D3257,'TIR店舗一覧'!$D:$D,'TIR店舗一覧'!$E:$E,""),""))</f>
        <v/>
      </c>
      <c r="V3257" s="54" t="s">
        <v>2</v>
      </c>
      <c r="W3257" s="54" t="s">
        <v>2</v>
      </c>
      <c r="X3257" s="54" t="s">
        <v>2</v>
      </c>
      <c r="Y3257" s="54" t="s">
        <v>2</v>
      </c>
      <c r="Z3257" s="54" t="s">
        <v>2</v>
      </c>
      <c r="AA3257" s="54" t="s">
        <v>2</v>
      </c>
      <c r="AB3257" s="54" t="s">
        <v>2</v>
      </c>
      <c r="AC3257" s="54" t="s">
        <v>2</v>
      </c>
      <c r="AD3257" s="54" t="s">
        <v>2</v>
      </c>
      <c r="AE3257" s="54" t="s">
        <v>2</v>
      </c>
      <c r="AF3257" s="54" t="s">
        <v>2</v>
      </c>
      <c r="AG3257" s="54" t="s">
        <v>2</v>
      </c>
    </row>
    <row r="3258" ht="15.75" customHeight="1">
      <c r="B3258" s="56"/>
      <c r="U3258" s="46" t="str">
        <f t="array" ref="U3258">IF($D3258="","",IFERROR(_xlfn.XLOOKUP($D3258,'TIR店舗一覧'!$D:$D,'TIR店舗一覧'!$E:$E,""),""))</f>
        <v/>
      </c>
      <c r="V3258" s="54" t="s">
        <v>2</v>
      </c>
      <c r="W3258" s="54" t="s">
        <v>2</v>
      </c>
      <c r="X3258" s="54" t="s">
        <v>2</v>
      </c>
      <c r="Y3258" s="54" t="s">
        <v>2</v>
      </c>
      <c r="Z3258" s="54" t="s">
        <v>2</v>
      </c>
      <c r="AA3258" s="54" t="s">
        <v>2</v>
      </c>
      <c r="AB3258" s="54" t="s">
        <v>2</v>
      </c>
      <c r="AC3258" s="54" t="s">
        <v>2</v>
      </c>
      <c r="AD3258" s="54" t="s">
        <v>2</v>
      </c>
      <c r="AE3258" s="54" t="s">
        <v>2</v>
      </c>
      <c r="AF3258" s="54" t="s">
        <v>2</v>
      </c>
      <c r="AG3258" s="54" t="s">
        <v>2</v>
      </c>
    </row>
    <row r="3259" ht="15.75" customHeight="1">
      <c r="B3259" s="56"/>
      <c r="U3259" s="46" t="str">
        <f t="array" ref="U3259">IF($D3259="","",IFERROR(_xlfn.XLOOKUP($D3259,'TIR店舗一覧'!$D:$D,'TIR店舗一覧'!$E:$E,""),""))</f>
        <v/>
      </c>
      <c r="V3259" s="54" t="s">
        <v>2</v>
      </c>
      <c r="W3259" s="54" t="s">
        <v>2</v>
      </c>
      <c r="X3259" s="54" t="s">
        <v>2</v>
      </c>
      <c r="Y3259" s="54" t="s">
        <v>2</v>
      </c>
      <c r="Z3259" s="54" t="s">
        <v>2</v>
      </c>
      <c r="AA3259" s="54" t="s">
        <v>2</v>
      </c>
      <c r="AB3259" s="54" t="s">
        <v>2</v>
      </c>
      <c r="AC3259" s="54" t="s">
        <v>2</v>
      </c>
      <c r="AD3259" s="54" t="s">
        <v>2</v>
      </c>
      <c r="AE3259" s="54" t="s">
        <v>2</v>
      </c>
      <c r="AF3259" s="54" t="s">
        <v>2</v>
      </c>
      <c r="AG3259" s="54" t="s">
        <v>2</v>
      </c>
    </row>
    <row r="3260" ht="15.75" customHeight="1">
      <c r="B3260" s="56"/>
      <c r="U3260" s="46" t="str">
        <f t="array" ref="U3260">IF($D3260="","",IFERROR(_xlfn.XLOOKUP($D3260,'TIR店舗一覧'!$D:$D,'TIR店舗一覧'!$E:$E,""),""))</f>
        <v/>
      </c>
      <c r="V3260" s="54" t="s">
        <v>2</v>
      </c>
      <c r="W3260" s="54" t="s">
        <v>2</v>
      </c>
      <c r="X3260" s="54" t="s">
        <v>2</v>
      </c>
      <c r="Y3260" s="54" t="s">
        <v>2</v>
      </c>
      <c r="Z3260" s="54" t="s">
        <v>2</v>
      </c>
      <c r="AA3260" s="54" t="s">
        <v>2</v>
      </c>
      <c r="AB3260" s="54" t="s">
        <v>2</v>
      </c>
      <c r="AC3260" s="54" t="s">
        <v>2</v>
      </c>
      <c r="AD3260" s="54" t="s">
        <v>2</v>
      </c>
      <c r="AE3260" s="54" t="s">
        <v>2</v>
      </c>
      <c r="AF3260" s="54" t="s">
        <v>2</v>
      </c>
      <c r="AG3260" s="54" t="s">
        <v>2</v>
      </c>
    </row>
    <row r="3261" ht="15.75" customHeight="1">
      <c r="B3261" s="56"/>
      <c r="U3261" s="46" t="str">
        <f t="array" ref="U3261">IF($D3261="","",IFERROR(_xlfn.XLOOKUP($D3261,'TIR店舗一覧'!$D:$D,'TIR店舗一覧'!$E:$E,""),""))</f>
        <v/>
      </c>
      <c r="V3261" s="54" t="s">
        <v>2</v>
      </c>
      <c r="W3261" s="54" t="s">
        <v>2</v>
      </c>
      <c r="X3261" s="54" t="s">
        <v>2</v>
      </c>
      <c r="Y3261" s="54" t="s">
        <v>2</v>
      </c>
      <c r="Z3261" s="54" t="s">
        <v>2</v>
      </c>
      <c r="AA3261" s="54" t="s">
        <v>2</v>
      </c>
      <c r="AB3261" s="54" t="s">
        <v>2</v>
      </c>
      <c r="AC3261" s="54" t="s">
        <v>2</v>
      </c>
      <c r="AD3261" s="54" t="s">
        <v>2</v>
      </c>
      <c r="AE3261" s="54" t="s">
        <v>2</v>
      </c>
      <c r="AF3261" s="54" t="s">
        <v>2</v>
      </c>
      <c r="AG3261" s="54" t="s">
        <v>2</v>
      </c>
    </row>
    <row r="3262" ht="15.75" customHeight="1">
      <c r="B3262" s="56"/>
      <c r="U3262" s="46" t="str">
        <f t="array" ref="U3262">IF($D3262="","",IFERROR(_xlfn.XLOOKUP($D3262,'TIR店舗一覧'!$D:$D,'TIR店舗一覧'!$E:$E,""),""))</f>
        <v/>
      </c>
      <c r="V3262" s="54" t="s">
        <v>2</v>
      </c>
      <c r="W3262" s="54" t="s">
        <v>2</v>
      </c>
      <c r="X3262" s="54" t="s">
        <v>2</v>
      </c>
      <c r="Y3262" s="54" t="s">
        <v>2</v>
      </c>
      <c r="Z3262" s="54" t="s">
        <v>2</v>
      </c>
      <c r="AA3262" s="54" t="s">
        <v>2</v>
      </c>
      <c r="AB3262" s="54" t="s">
        <v>2</v>
      </c>
      <c r="AC3262" s="54" t="s">
        <v>2</v>
      </c>
      <c r="AD3262" s="54" t="s">
        <v>2</v>
      </c>
      <c r="AE3262" s="54" t="s">
        <v>2</v>
      </c>
      <c r="AF3262" s="54" t="s">
        <v>2</v>
      </c>
      <c r="AG3262" s="54" t="s">
        <v>2</v>
      </c>
    </row>
    <row r="3263" ht="15.75" customHeight="1">
      <c r="B3263" s="56"/>
      <c r="U3263" s="46" t="str">
        <f t="array" ref="U3263">IF($D3263="","",IFERROR(_xlfn.XLOOKUP($D3263,'TIR店舗一覧'!$D:$D,'TIR店舗一覧'!$E:$E,""),""))</f>
        <v/>
      </c>
      <c r="V3263" s="54" t="s">
        <v>2</v>
      </c>
      <c r="W3263" s="54" t="s">
        <v>2</v>
      </c>
      <c r="X3263" s="54" t="s">
        <v>2</v>
      </c>
      <c r="Y3263" s="54" t="s">
        <v>2</v>
      </c>
      <c r="Z3263" s="54" t="s">
        <v>2</v>
      </c>
      <c r="AA3263" s="54" t="s">
        <v>2</v>
      </c>
      <c r="AB3263" s="54" t="s">
        <v>2</v>
      </c>
      <c r="AC3263" s="54" t="s">
        <v>2</v>
      </c>
      <c r="AD3263" s="54" t="s">
        <v>2</v>
      </c>
      <c r="AE3263" s="54" t="s">
        <v>2</v>
      </c>
      <c r="AF3263" s="54" t="s">
        <v>2</v>
      </c>
      <c r="AG3263" s="54" t="s">
        <v>2</v>
      </c>
    </row>
    <row r="3264" ht="15.75" customHeight="1">
      <c r="B3264" s="56"/>
      <c r="U3264" s="46" t="str">
        <f t="array" ref="U3264">IF($D3264="","",IFERROR(_xlfn.XLOOKUP($D3264,'TIR店舗一覧'!$D:$D,'TIR店舗一覧'!$E:$E,""),""))</f>
        <v/>
      </c>
      <c r="V3264" s="54" t="s">
        <v>2</v>
      </c>
      <c r="W3264" s="54" t="s">
        <v>2</v>
      </c>
      <c r="X3264" s="54" t="s">
        <v>2</v>
      </c>
      <c r="Y3264" s="54" t="s">
        <v>2</v>
      </c>
      <c r="Z3264" s="54" t="s">
        <v>2</v>
      </c>
      <c r="AA3264" s="54" t="s">
        <v>2</v>
      </c>
      <c r="AB3264" s="54" t="s">
        <v>2</v>
      </c>
      <c r="AC3264" s="54" t="s">
        <v>2</v>
      </c>
      <c r="AD3264" s="54" t="s">
        <v>2</v>
      </c>
      <c r="AE3264" s="54" t="s">
        <v>2</v>
      </c>
      <c r="AF3264" s="54" t="s">
        <v>2</v>
      </c>
      <c r="AG3264" s="54" t="s">
        <v>2</v>
      </c>
    </row>
    <row r="3265" ht="15.75" customHeight="1">
      <c r="B3265" s="56"/>
      <c r="U3265" s="46" t="str">
        <f t="array" ref="U3265">IF($D3265="","",IFERROR(_xlfn.XLOOKUP($D3265,'TIR店舗一覧'!$D:$D,'TIR店舗一覧'!$E:$E,""),""))</f>
        <v/>
      </c>
      <c r="V3265" s="54" t="s">
        <v>2</v>
      </c>
      <c r="W3265" s="54" t="s">
        <v>2</v>
      </c>
      <c r="X3265" s="54" t="s">
        <v>2</v>
      </c>
      <c r="Y3265" s="54" t="s">
        <v>2</v>
      </c>
      <c r="Z3265" s="54" t="s">
        <v>2</v>
      </c>
      <c r="AA3265" s="54" t="s">
        <v>2</v>
      </c>
      <c r="AB3265" s="54" t="s">
        <v>2</v>
      </c>
      <c r="AC3265" s="54" t="s">
        <v>2</v>
      </c>
      <c r="AD3265" s="54" t="s">
        <v>2</v>
      </c>
      <c r="AE3265" s="54" t="s">
        <v>2</v>
      </c>
      <c r="AF3265" s="54" t="s">
        <v>2</v>
      </c>
      <c r="AG3265" s="54" t="s">
        <v>2</v>
      </c>
    </row>
    <row r="3266" ht="15.75" customHeight="1">
      <c r="B3266" s="56"/>
      <c r="U3266" s="46" t="str">
        <f t="array" ref="U3266">IF($D3266="","",IFERROR(_xlfn.XLOOKUP($D3266,'TIR店舗一覧'!$D:$D,'TIR店舗一覧'!$E:$E,""),""))</f>
        <v/>
      </c>
      <c r="V3266" s="54" t="s">
        <v>2</v>
      </c>
      <c r="W3266" s="54" t="s">
        <v>2</v>
      </c>
      <c r="X3266" s="54" t="s">
        <v>2</v>
      </c>
      <c r="Y3266" s="54" t="s">
        <v>2</v>
      </c>
      <c r="Z3266" s="54" t="s">
        <v>2</v>
      </c>
      <c r="AA3266" s="54" t="s">
        <v>2</v>
      </c>
      <c r="AB3266" s="54" t="s">
        <v>2</v>
      </c>
      <c r="AC3266" s="54" t="s">
        <v>2</v>
      </c>
      <c r="AD3266" s="54" t="s">
        <v>2</v>
      </c>
      <c r="AE3266" s="54" t="s">
        <v>2</v>
      </c>
      <c r="AF3266" s="54" t="s">
        <v>2</v>
      </c>
      <c r="AG3266" s="54" t="s">
        <v>2</v>
      </c>
    </row>
    <row r="3267" ht="15.75" customHeight="1">
      <c r="B3267" s="56"/>
      <c r="U3267" s="46" t="str">
        <f t="array" ref="U3267">IF($D3267="","",IFERROR(_xlfn.XLOOKUP($D3267,'TIR店舗一覧'!$D:$D,'TIR店舗一覧'!$E:$E,""),""))</f>
        <v/>
      </c>
      <c r="V3267" s="54" t="s">
        <v>2</v>
      </c>
      <c r="W3267" s="54" t="s">
        <v>2</v>
      </c>
      <c r="X3267" s="54" t="s">
        <v>2</v>
      </c>
      <c r="Y3267" s="54" t="s">
        <v>2</v>
      </c>
      <c r="Z3267" s="54" t="s">
        <v>2</v>
      </c>
      <c r="AA3267" s="54" t="s">
        <v>2</v>
      </c>
      <c r="AB3267" s="54" t="s">
        <v>2</v>
      </c>
      <c r="AC3267" s="54" t="s">
        <v>2</v>
      </c>
      <c r="AD3267" s="54" t="s">
        <v>2</v>
      </c>
      <c r="AE3267" s="54" t="s">
        <v>2</v>
      </c>
      <c r="AF3267" s="54" t="s">
        <v>2</v>
      </c>
      <c r="AG3267" s="54" t="s">
        <v>2</v>
      </c>
    </row>
    <row r="3268" ht="15.75" customHeight="1">
      <c r="B3268" s="56"/>
      <c r="U3268" s="46" t="str">
        <f t="array" ref="U3268">IF($D3268="","",IFERROR(_xlfn.XLOOKUP($D3268,'TIR店舗一覧'!$D:$D,'TIR店舗一覧'!$E:$E,""),""))</f>
        <v/>
      </c>
      <c r="V3268" s="54" t="s">
        <v>2</v>
      </c>
      <c r="W3268" s="54" t="s">
        <v>2</v>
      </c>
      <c r="X3268" s="54" t="s">
        <v>2</v>
      </c>
      <c r="Y3268" s="54" t="s">
        <v>2</v>
      </c>
      <c r="Z3268" s="54" t="s">
        <v>2</v>
      </c>
      <c r="AA3268" s="54" t="s">
        <v>2</v>
      </c>
      <c r="AB3268" s="54" t="s">
        <v>2</v>
      </c>
      <c r="AC3268" s="54" t="s">
        <v>2</v>
      </c>
      <c r="AD3268" s="54" t="s">
        <v>2</v>
      </c>
      <c r="AE3268" s="54" t="s">
        <v>2</v>
      </c>
      <c r="AF3268" s="54" t="s">
        <v>2</v>
      </c>
      <c r="AG3268" s="54" t="s">
        <v>2</v>
      </c>
    </row>
    <row r="3269" ht="15.75" customHeight="1">
      <c r="B3269" s="56"/>
      <c r="U3269" s="46" t="str">
        <f t="array" ref="U3269">IF($D3269="","",IFERROR(_xlfn.XLOOKUP($D3269,'TIR店舗一覧'!$D:$D,'TIR店舗一覧'!$E:$E,""),""))</f>
        <v/>
      </c>
      <c r="V3269" s="54" t="s">
        <v>2</v>
      </c>
      <c r="W3269" s="54" t="s">
        <v>2</v>
      </c>
      <c r="X3269" s="54" t="s">
        <v>2</v>
      </c>
      <c r="Y3269" s="54" t="s">
        <v>2</v>
      </c>
      <c r="Z3269" s="54" t="s">
        <v>2</v>
      </c>
      <c r="AA3269" s="54" t="s">
        <v>2</v>
      </c>
      <c r="AB3269" s="54" t="s">
        <v>2</v>
      </c>
      <c r="AC3269" s="54" t="s">
        <v>2</v>
      </c>
      <c r="AD3269" s="54" t="s">
        <v>2</v>
      </c>
      <c r="AE3269" s="54" t="s">
        <v>2</v>
      </c>
      <c r="AF3269" s="54" t="s">
        <v>2</v>
      </c>
      <c r="AG3269" s="54" t="s">
        <v>2</v>
      </c>
    </row>
    <row r="3270" ht="15.75" customHeight="1">
      <c r="B3270" s="56"/>
      <c r="U3270" s="46" t="str">
        <f t="array" ref="U3270">IF($D3270="","",IFERROR(_xlfn.XLOOKUP($D3270,'TIR店舗一覧'!$D:$D,'TIR店舗一覧'!$E:$E,""),""))</f>
        <v/>
      </c>
      <c r="V3270" s="54" t="s">
        <v>2</v>
      </c>
      <c r="W3270" s="54" t="s">
        <v>2</v>
      </c>
      <c r="X3270" s="54" t="s">
        <v>2</v>
      </c>
      <c r="Y3270" s="54" t="s">
        <v>2</v>
      </c>
      <c r="Z3270" s="54" t="s">
        <v>2</v>
      </c>
      <c r="AA3270" s="54" t="s">
        <v>2</v>
      </c>
      <c r="AB3270" s="54" t="s">
        <v>2</v>
      </c>
      <c r="AC3270" s="54" t="s">
        <v>2</v>
      </c>
      <c r="AD3270" s="54" t="s">
        <v>2</v>
      </c>
      <c r="AE3270" s="54" t="s">
        <v>2</v>
      </c>
      <c r="AF3270" s="54" t="s">
        <v>2</v>
      </c>
      <c r="AG3270" s="54" t="s">
        <v>2</v>
      </c>
    </row>
    <row r="3271" ht="15.75" customHeight="1">
      <c r="B3271" s="56"/>
      <c r="U3271" s="46" t="str">
        <f t="array" ref="U3271">IF($D3271="","",IFERROR(_xlfn.XLOOKUP($D3271,'TIR店舗一覧'!$D:$D,'TIR店舗一覧'!$E:$E,""),""))</f>
        <v/>
      </c>
      <c r="V3271" s="54" t="s">
        <v>2</v>
      </c>
      <c r="W3271" s="54" t="s">
        <v>2</v>
      </c>
      <c r="X3271" s="54" t="s">
        <v>2</v>
      </c>
      <c r="Y3271" s="54" t="s">
        <v>2</v>
      </c>
      <c r="Z3271" s="54" t="s">
        <v>2</v>
      </c>
      <c r="AA3271" s="54" t="s">
        <v>2</v>
      </c>
      <c r="AB3271" s="54" t="s">
        <v>2</v>
      </c>
      <c r="AC3271" s="54" t="s">
        <v>2</v>
      </c>
      <c r="AD3271" s="54" t="s">
        <v>2</v>
      </c>
      <c r="AE3271" s="54" t="s">
        <v>2</v>
      </c>
      <c r="AF3271" s="54" t="s">
        <v>2</v>
      </c>
      <c r="AG3271" s="54" t="s">
        <v>2</v>
      </c>
    </row>
    <row r="3272" ht="15.75" customHeight="1">
      <c r="B3272" s="56"/>
      <c r="U3272" s="46" t="str">
        <f t="array" ref="U3272">IF($D3272="","",IFERROR(_xlfn.XLOOKUP($D3272,'TIR店舗一覧'!$D:$D,'TIR店舗一覧'!$E:$E,""),""))</f>
        <v/>
      </c>
      <c r="V3272" s="54" t="s">
        <v>2</v>
      </c>
      <c r="W3272" s="54" t="s">
        <v>2</v>
      </c>
      <c r="X3272" s="54" t="s">
        <v>2</v>
      </c>
      <c r="Y3272" s="54" t="s">
        <v>2</v>
      </c>
      <c r="Z3272" s="54" t="s">
        <v>2</v>
      </c>
      <c r="AA3272" s="54" t="s">
        <v>2</v>
      </c>
      <c r="AB3272" s="54" t="s">
        <v>2</v>
      </c>
      <c r="AC3272" s="54" t="s">
        <v>2</v>
      </c>
      <c r="AD3272" s="54" t="s">
        <v>2</v>
      </c>
      <c r="AE3272" s="54" t="s">
        <v>2</v>
      </c>
      <c r="AF3272" s="54" t="s">
        <v>2</v>
      </c>
      <c r="AG3272" s="54" t="s">
        <v>2</v>
      </c>
    </row>
    <row r="3273" ht="15.75" customHeight="1">
      <c r="B3273" s="56"/>
      <c r="U3273" s="46" t="str">
        <f t="array" ref="U3273">IF($D3273="","",IFERROR(_xlfn.XLOOKUP($D3273,'TIR店舗一覧'!$D:$D,'TIR店舗一覧'!$E:$E,""),""))</f>
        <v/>
      </c>
      <c r="V3273" s="54" t="s">
        <v>2</v>
      </c>
      <c r="W3273" s="54" t="s">
        <v>2</v>
      </c>
      <c r="X3273" s="54" t="s">
        <v>2</v>
      </c>
      <c r="Y3273" s="54" t="s">
        <v>2</v>
      </c>
      <c r="Z3273" s="54" t="s">
        <v>2</v>
      </c>
      <c r="AA3273" s="54" t="s">
        <v>2</v>
      </c>
      <c r="AB3273" s="54" t="s">
        <v>2</v>
      </c>
      <c r="AC3273" s="54" t="s">
        <v>2</v>
      </c>
      <c r="AD3273" s="54" t="s">
        <v>2</v>
      </c>
      <c r="AE3273" s="54" t="s">
        <v>2</v>
      </c>
      <c r="AF3273" s="54" t="s">
        <v>2</v>
      </c>
      <c r="AG3273" s="54" t="s">
        <v>2</v>
      </c>
    </row>
    <row r="3274" ht="15.75" customHeight="1">
      <c r="B3274" s="56"/>
      <c r="U3274" s="46" t="str">
        <f t="array" ref="U3274">IF($D3274="","",IFERROR(_xlfn.XLOOKUP($D3274,'TIR店舗一覧'!$D:$D,'TIR店舗一覧'!$E:$E,""),""))</f>
        <v/>
      </c>
      <c r="V3274" s="54" t="s">
        <v>2</v>
      </c>
      <c r="W3274" s="54" t="s">
        <v>2</v>
      </c>
      <c r="X3274" s="54" t="s">
        <v>2</v>
      </c>
      <c r="Y3274" s="54" t="s">
        <v>2</v>
      </c>
      <c r="Z3274" s="54" t="s">
        <v>2</v>
      </c>
      <c r="AA3274" s="54" t="s">
        <v>2</v>
      </c>
      <c r="AB3274" s="54" t="s">
        <v>2</v>
      </c>
      <c r="AC3274" s="54" t="s">
        <v>2</v>
      </c>
      <c r="AD3274" s="54" t="s">
        <v>2</v>
      </c>
      <c r="AE3274" s="54" t="s">
        <v>2</v>
      </c>
      <c r="AF3274" s="54" t="s">
        <v>2</v>
      </c>
      <c r="AG3274" s="54" t="s">
        <v>2</v>
      </c>
    </row>
    <row r="3275" ht="15.75" customHeight="1">
      <c r="B3275" s="56"/>
      <c r="U3275" s="46" t="str">
        <f t="array" ref="U3275">IF($D3275="","",IFERROR(_xlfn.XLOOKUP($D3275,'TIR店舗一覧'!$D:$D,'TIR店舗一覧'!$E:$E,""),""))</f>
        <v/>
      </c>
      <c r="V3275" s="54" t="s">
        <v>2</v>
      </c>
      <c r="W3275" s="54" t="s">
        <v>2</v>
      </c>
      <c r="X3275" s="54" t="s">
        <v>2</v>
      </c>
      <c r="Y3275" s="54" t="s">
        <v>2</v>
      </c>
      <c r="Z3275" s="54" t="s">
        <v>2</v>
      </c>
      <c r="AA3275" s="54" t="s">
        <v>2</v>
      </c>
      <c r="AB3275" s="54" t="s">
        <v>2</v>
      </c>
      <c r="AC3275" s="54" t="s">
        <v>2</v>
      </c>
      <c r="AD3275" s="54" t="s">
        <v>2</v>
      </c>
      <c r="AE3275" s="54" t="s">
        <v>2</v>
      </c>
      <c r="AF3275" s="54" t="s">
        <v>2</v>
      </c>
      <c r="AG3275" s="54" t="s">
        <v>2</v>
      </c>
    </row>
    <row r="3276" ht="15.75" customHeight="1">
      <c r="B3276" s="56"/>
      <c r="U3276" s="46" t="str">
        <f t="array" ref="U3276">IF($D3276="","",IFERROR(_xlfn.XLOOKUP($D3276,'TIR店舗一覧'!$D:$D,'TIR店舗一覧'!$E:$E,""),""))</f>
        <v/>
      </c>
      <c r="V3276" s="54" t="s">
        <v>2</v>
      </c>
      <c r="W3276" s="54" t="s">
        <v>2</v>
      </c>
      <c r="X3276" s="54" t="s">
        <v>2</v>
      </c>
      <c r="Y3276" s="54" t="s">
        <v>2</v>
      </c>
      <c r="Z3276" s="54" t="s">
        <v>2</v>
      </c>
      <c r="AA3276" s="54" t="s">
        <v>2</v>
      </c>
      <c r="AB3276" s="54" t="s">
        <v>2</v>
      </c>
      <c r="AC3276" s="54" t="s">
        <v>2</v>
      </c>
      <c r="AD3276" s="54" t="s">
        <v>2</v>
      </c>
      <c r="AE3276" s="54" t="s">
        <v>2</v>
      </c>
      <c r="AF3276" s="54" t="s">
        <v>2</v>
      </c>
      <c r="AG3276" s="54" t="s">
        <v>2</v>
      </c>
    </row>
    <row r="3277" ht="15.75" customHeight="1">
      <c r="B3277" s="56"/>
      <c r="U3277" s="46" t="str">
        <f t="array" ref="U3277">IF($D3277="","",IFERROR(_xlfn.XLOOKUP($D3277,'TIR店舗一覧'!$D:$D,'TIR店舗一覧'!$E:$E,""),""))</f>
        <v/>
      </c>
      <c r="V3277" s="54" t="s">
        <v>2</v>
      </c>
      <c r="W3277" s="54" t="s">
        <v>2</v>
      </c>
      <c r="X3277" s="54" t="s">
        <v>2</v>
      </c>
      <c r="Y3277" s="54" t="s">
        <v>2</v>
      </c>
      <c r="Z3277" s="54" t="s">
        <v>2</v>
      </c>
      <c r="AA3277" s="54" t="s">
        <v>2</v>
      </c>
      <c r="AB3277" s="54" t="s">
        <v>2</v>
      </c>
      <c r="AC3277" s="54" t="s">
        <v>2</v>
      </c>
      <c r="AD3277" s="54" t="s">
        <v>2</v>
      </c>
      <c r="AE3277" s="54" t="s">
        <v>2</v>
      </c>
      <c r="AF3277" s="54" t="s">
        <v>2</v>
      </c>
      <c r="AG3277" s="54" t="s">
        <v>2</v>
      </c>
    </row>
    <row r="3278" ht="15.75" customHeight="1">
      <c r="B3278" s="56"/>
      <c r="U3278" s="46" t="str">
        <f t="array" ref="U3278">IF($D3278="","",IFERROR(_xlfn.XLOOKUP($D3278,'TIR店舗一覧'!$D:$D,'TIR店舗一覧'!$E:$E,""),""))</f>
        <v/>
      </c>
      <c r="V3278" s="54" t="s">
        <v>2</v>
      </c>
      <c r="W3278" s="54" t="s">
        <v>2</v>
      </c>
      <c r="X3278" s="54" t="s">
        <v>2</v>
      </c>
      <c r="Y3278" s="54" t="s">
        <v>2</v>
      </c>
      <c r="Z3278" s="54" t="s">
        <v>2</v>
      </c>
      <c r="AA3278" s="54" t="s">
        <v>2</v>
      </c>
      <c r="AB3278" s="54" t="s">
        <v>2</v>
      </c>
      <c r="AC3278" s="54" t="s">
        <v>2</v>
      </c>
      <c r="AD3278" s="54" t="s">
        <v>2</v>
      </c>
      <c r="AE3278" s="54" t="s">
        <v>2</v>
      </c>
      <c r="AF3278" s="54" t="s">
        <v>2</v>
      </c>
      <c r="AG3278" s="54" t="s">
        <v>2</v>
      </c>
    </row>
    <row r="3279" ht="15.75" customHeight="1">
      <c r="B3279" s="56"/>
      <c r="U3279" s="46" t="str">
        <f t="array" ref="U3279">IF($D3279="","",IFERROR(_xlfn.XLOOKUP($D3279,'TIR店舗一覧'!$D:$D,'TIR店舗一覧'!$E:$E,""),""))</f>
        <v/>
      </c>
      <c r="V3279" s="54" t="s">
        <v>2</v>
      </c>
      <c r="W3279" s="54" t="s">
        <v>2</v>
      </c>
      <c r="X3279" s="54" t="s">
        <v>2</v>
      </c>
      <c r="Y3279" s="54" t="s">
        <v>2</v>
      </c>
      <c r="Z3279" s="54" t="s">
        <v>2</v>
      </c>
      <c r="AA3279" s="54" t="s">
        <v>2</v>
      </c>
      <c r="AB3279" s="54" t="s">
        <v>2</v>
      </c>
      <c r="AC3279" s="54" t="s">
        <v>2</v>
      </c>
      <c r="AD3279" s="54" t="s">
        <v>2</v>
      </c>
      <c r="AE3279" s="54" t="s">
        <v>2</v>
      </c>
      <c r="AF3279" s="54" t="s">
        <v>2</v>
      </c>
      <c r="AG3279" s="54" t="s">
        <v>2</v>
      </c>
    </row>
    <row r="3280" ht="15.75" customHeight="1">
      <c r="B3280" s="56"/>
      <c r="U3280" s="46" t="str">
        <f t="array" ref="U3280">IF($D3280="","",IFERROR(_xlfn.XLOOKUP($D3280,'TIR店舗一覧'!$D:$D,'TIR店舗一覧'!$E:$E,""),""))</f>
        <v/>
      </c>
      <c r="V3280" s="54" t="s">
        <v>2</v>
      </c>
      <c r="W3280" s="54" t="s">
        <v>2</v>
      </c>
      <c r="X3280" s="54" t="s">
        <v>2</v>
      </c>
      <c r="Y3280" s="54" t="s">
        <v>2</v>
      </c>
      <c r="Z3280" s="54" t="s">
        <v>2</v>
      </c>
      <c r="AA3280" s="54" t="s">
        <v>2</v>
      </c>
      <c r="AB3280" s="54" t="s">
        <v>2</v>
      </c>
      <c r="AC3280" s="54" t="s">
        <v>2</v>
      </c>
      <c r="AD3280" s="54" t="s">
        <v>2</v>
      </c>
      <c r="AE3280" s="54" t="s">
        <v>2</v>
      </c>
      <c r="AF3280" s="54" t="s">
        <v>2</v>
      </c>
      <c r="AG3280" s="54" t="s">
        <v>2</v>
      </c>
    </row>
    <row r="3281" ht="15.75" customHeight="1">
      <c r="B3281" s="56"/>
      <c r="U3281" s="46" t="str">
        <f t="array" ref="U3281">IF($D3281="","",IFERROR(_xlfn.XLOOKUP($D3281,'TIR店舗一覧'!$D:$D,'TIR店舗一覧'!$E:$E,""),""))</f>
        <v/>
      </c>
      <c r="V3281" s="54" t="s">
        <v>2</v>
      </c>
      <c r="W3281" s="54" t="s">
        <v>2</v>
      </c>
      <c r="X3281" s="54" t="s">
        <v>2</v>
      </c>
      <c r="Y3281" s="54" t="s">
        <v>2</v>
      </c>
      <c r="Z3281" s="54" t="s">
        <v>2</v>
      </c>
      <c r="AA3281" s="54" t="s">
        <v>2</v>
      </c>
      <c r="AB3281" s="54" t="s">
        <v>2</v>
      </c>
      <c r="AC3281" s="54" t="s">
        <v>2</v>
      </c>
      <c r="AD3281" s="54" t="s">
        <v>2</v>
      </c>
      <c r="AE3281" s="54" t="s">
        <v>2</v>
      </c>
      <c r="AF3281" s="54" t="s">
        <v>2</v>
      </c>
      <c r="AG3281" s="54" t="s">
        <v>2</v>
      </c>
    </row>
    <row r="3282" ht="15.75" customHeight="1">
      <c r="B3282" s="56"/>
      <c r="U3282" s="46" t="str">
        <f t="array" ref="U3282">IF($D3282="","",IFERROR(_xlfn.XLOOKUP($D3282,'TIR店舗一覧'!$D:$D,'TIR店舗一覧'!$E:$E,""),""))</f>
        <v/>
      </c>
      <c r="V3282" s="54" t="s">
        <v>2</v>
      </c>
      <c r="W3282" s="54" t="s">
        <v>2</v>
      </c>
      <c r="X3282" s="54" t="s">
        <v>2</v>
      </c>
      <c r="Y3282" s="54" t="s">
        <v>2</v>
      </c>
      <c r="Z3282" s="54" t="s">
        <v>2</v>
      </c>
      <c r="AA3282" s="54" t="s">
        <v>2</v>
      </c>
      <c r="AB3282" s="54" t="s">
        <v>2</v>
      </c>
      <c r="AC3282" s="54" t="s">
        <v>2</v>
      </c>
      <c r="AD3282" s="54" t="s">
        <v>2</v>
      </c>
      <c r="AE3282" s="54" t="s">
        <v>2</v>
      </c>
      <c r="AF3282" s="54" t="s">
        <v>2</v>
      </c>
      <c r="AG3282" s="54" t="s">
        <v>2</v>
      </c>
    </row>
    <row r="3283" ht="15.75" customHeight="1">
      <c r="B3283" s="56"/>
      <c r="U3283" s="46" t="str">
        <f t="array" ref="U3283">IF($D3283="","",IFERROR(_xlfn.XLOOKUP($D3283,'TIR店舗一覧'!$D:$D,'TIR店舗一覧'!$E:$E,""),""))</f>
        <v/>
      </c>
      <c r="V3283" s="54" t="s">
        <v>2</v>
      </c>
      <c r="W3283" s="54" t="s">
        <v>2</v>
      </c>
      <c r="X3283" s="54" t="s">
        <v>2</v>
      </c>
      <c r="Y3283" s="54" t="s">
        <v>2</v>
      </c>
      <c r="Z3283" s="54" t="s">
        <v>2</v>
      </c>
      <c r="AA3283" s="54" t="s">
        <v>2</v>
      </c>
      <c r="AB3283" s="54" t="s">
        <v>2</v>
      </c>
      <c r="AC3283" s="54" t="s">
        <v>2</v>
      </c>
      <c r="AD3283" s="54" t="s">
        <v>2</v>
      </c>
      <c r="AE3283" s="54" t="s">
        <v>2</v>
      </c>
      <c r="AF3283" s="54" t="s">
        <v>2</v>
      </c>
      <c r="AG3283" s="54" t="s">
        <v>2</v>
      </c>
    </row>
    <row r="3284" ht="15.75" customHeight="1">
      <c r="B3284" s="56"/>
      <c r="U3284" s="46" t="str">
        <f t="array" ref="U3284">IF($D3284="","",IFERROR(_xlfn.XLOOKUP($D3284,'TIR店舗一覧'!$D:$D,'TIR店舗一覧'!$E:$E,""),""))</f>
        <v/>
      </c>
      <c r="V3284" s="54" t="s">
        <v>2</v>
      </c>
      <c r="W3284" s="54" t="s">
        <v>2</v>
      </c>
      <c r="X3284" s="54" t="s">
        <v>2</v>
      </c>
      <c r="Y3284" s="54" t="s">
        <v>2</v>
      </c>
      <c r="Z3284" s="54" t="s">
        <v>2</v>
      </c>
      <c r="AA3284" s="54" t="s">
        <v>2</v>
      </c>
      <c r="AB3284" s="54" t="s">
        <v>2</v>
      </c>
      <c r="AC3284" s="54" t="s">
        <v>2</v>
      </c>
      <c r="AD3284" s="54" t="s">
        <v>2</v>
      </c>
      <c r="AE3284" s="54" t="s">
        <v>2</v>
      </c>
      <c r="AF3284" s="54" t="s">
        <v>2</v>
      </c>
      <c r="AG3284" s="54" t="s">
        <v>2</v>
      </c>
    </row>
    <row r="3285" ht="15.75" customHeight="1">
      <c r="B3285" s="56"/>
      <c r="U3285" s="46" t="str">
        <f t="array" ref="U3285">IF($D3285="","",IFERROR(_xlfn.XLOOKUP($D3285,'TIR店舗一覧'!$D:$D,'TIR店舗一覧'!$E:$E,""),""))</f>
        <v/>
      </c>
      <c r="V3285" s="54" t="s">
        <v>2</v>
      </c>
      <c r="W3285" s="54" t="s">
        <v>2</v>
      </c>
      <c r="X3285" s="54" t="s">
        <v>2</v>
      </c>
      <c r="Y3285" s="54" t="s">
        <v>2</v>
      </c>
      <c r="Z3285" s="54" t="s">
        <v>2</v>
      </c>
      <c r="AA3285" s="54" t="s">
        <v>2</v>
      </c>
      <c r="AB3285" s="54" t="s">
        <v>2</v>
      </c>
      <c r="AC3285" s="54" t="s">
        <v>2</v>
      </c>
      <c r="AD3285" s="54" t="s">
        <v>2</v>
      </c>
      <c r="AE3285" s="54" t="s">
        <v>2</v>
      </c>
      <c r="AF3285" s="54" t="s">
        <v>2</v>
      </c>
      <c r="AG3285" s="54" t="s">
        <v>2</v>
      </c>
    </row>
    <row r="3286" ht="15.75" customHeight="1">
      <c r="B3286" s="56"/>
      <c r="U3286" s="46" t="str">
        <f t="array" ref="U3286">IF($D3286="","",IFERROR(_xlfn.XLOOKUP($D3286,'TIR店舗一覧'!$D:$D,'TIR店舗一覧'!$E:$E,""),""))</f>
        <v/>
      </c>
      <c r="V3286" s="54" t="s">
        <v>2</v>
      </c>
      <c r="W3286" s="54" t="s">
        <v>2</v>
      </c>
      <c r="X3286" s="54" t="s">
        <v>2</v>
      </c>
      <c r="Y3286" s="54" t="s">
        <v>2</v>
      </c>
      <c r="Z3286" s="54" t="s">
        <v>2</v>
      </c>
      <c r="AA3286" s="54" t="s">
        <v>2</v>
      </c>
      <c r="AB3286" s="54" t="s">
        <v>2</v>
      </c>
      <c r="AC3286" s="54" t="s">
        <v>2</v>
      </c>
      <c r="AD3286" s="54" t="s">
        <v>2</v>
      </c>
      <c r="AE3286" s="54" t="s">
        <v>2</v>
      </c>
      <c r="AF3286" s="54" t="s">
        <v>2</v>
      </c>
      <c r="AG3286" s="54" t="s">
        <v>2</v>
      </c>
    </row>
    <row r="3287" ht="15.75" customHeight="1">
      <c r="B3287" s="56"/>
      <c r="U3287" s="46" t="str">
        <f t="array" ref="U3287">IF($D3287="","",IFERROR(_xlfn.XLOOKUP($D3287,'TIR店舗一覧'!$D:$D,'TIR店舗一覧'!$E:$E,""),""))</f>
        <v/>
      </c>
      <c r="V3287" s="54" t="s">
        <v>2</v>
      </c>
      <c r="W3287" s="54" t="s">
        <v>2</v>
      </c>
      <c r="X3287" s="54" t="s">
        <v>2</v>
      </c>
      <c r="Y3287" s="54" t="s">
        <v>2</v>
      </c>
      <c r="Z3287" s="54" t="s">
        <v>2</v>
      </c>
      <c r="AA3287" s="54" t="s">
        <v>2</v>
      </c>
      <c r="AB3287" s="54" t="s">
        <v>2</v>
      </c>
      <c r="AC3287" s="54" t="s">
        <v>2</v>
      </c>
      <c r="AD3287" s="54" t="s">
        <v>2</v>
      </c>
      <c r="AE3287" s="54" t="s">
        <v>2</v>
      </c>
      <c r="AF3287" s="54" t="s">
        <v>2</v>
      </c>
      <c r="AG3287" s="54" t="s">
        <v>2</v>
      </c>
    </row>
    <row r="3288" ht="15.75" customHeight="1">
      <c r="B3288" s="56"/>
      <c r="U3288" s="46" t="str">
        <f t="array" ref="U3288">IF($D3288="","",IFERROR(_xlfn.XLOOKUP($D3288,'TIR店舗一覧'!$D:$D,'TIR店舗一覧'!$E:$E,""),""))</f>
        <v/>
      </c>
      <c r="V3288" s="54" t="s">
        <v>2</v>
      </c>
      <c r="W3288" s="54" t="s">
        <v>2</v>
      </c>
      <c r="X3288" s="54" t="s">
        <v>2</v>
      </c>
      <c r="Y3288" s="54" t="s">
        <v>2</v>
      </c>
      <c r="Z3288" s="54" t="s">
        <v>2</v>
      </c>
      <c r="AA3288" s="54" t="s">
        <v>2</v>
      </c>
      <c r="AB3288" s="54" t="s">
        <v>2</v>
      </c>
      <c r="AC3288" s="54" t="s">
        <v>2</v>
      </c>
      <c r="AD3288" s="54" t="s">
        <v>2</v>
      </c>
      <c r="AE3288" s="54" t="s">
        <v>2</v>
      </c>
      <c r="AF3288" s="54" t="s">
        <v>2</v>
      </c>
      <c r="AG3288" s="54" t="s">
        <v>2</v>
      </c>
    </row>
    <row r="3289" ht="15.75" customHeight="1">
      <c r="B3289" s="56"/>
      <c r="U3289" s="46" t="str">
        <f t="array" ref="U3289">IF($D3289="","",IFERROR(_xlfn.XLOOKUP($D3289,'TIR店舗一覧'!$D:$D,'TIR店舗一覧'!$E:$E,""),""))</f>
        <v/>
      </c>
      <c r="V3289" s="54" t="s">
        <v>2</v>
      </c>
      <c r="W3289" s="54" t="s">
        <v>2</v>
      </c>
      <c r="X3289" s="54" t="s">
        <v>2</v>
      </c>
      <c r="Y3289" s="54" t="s">
        <v>2</v>
      </c>
      <c r="Z3289" s="54" t="s">
        <v>2</v>
      </c>
      <c r="AA3289" s="54" t="s">
        <v>2</v>
      </c>
      <c r="AB3289" s="54" t="s">
        <v>2</v>
      </c>
      <c r="AC3289" s="54" t="s">
        <v>2</v>
      </c>
      <c r="AD3289" s="54" t="s">
        <v>2</v>
      </c>
      <c r="AE3289" s="54" t="s">
        <v>2</v>
      </c>
      <c r="AF3289" s="54" t="s">
        <v>2</v>
      </c>
      <c r="AG3289" s="54" t="s">
        <v>2</v>
      </c>
    </row>
    <row r="3290" ht="15.75" customHeight="1">
      <c r="B3290" s="56"/>
      <c r="U3290" s="46" t="str">
        <f t="array" ref="U3290">IF($D3290="","",IFERROR(_xlfn.XLOOKUP($D3290,'TIR店舗一覧'!$D:$D,'TIR店舗一覧'!$E:$E,""),""))</f>
        <v/>
      </c>
      <c r="V3290" s="54" t="s">
        <v>2</v>
      </c>
      <c r="W3290" s="54" t="s">
        <v>2</v>
      </c>
      <c r="X3290" s="54" t="s">
        <v>2</v>
      </c>
      <c r="Y3290" s="54" t="s">
        <v>2</v>
      </c>
      <c r="Z3290" s="54" t="s">
        <v>2</v>
      </c>
      <c r="AA3290" s="54" t="s">
        <v>2</v>
      </c>
      <c r="AB3290" s="54" t="s">
        <v>2</v>
      </c>
      <c r="AC3290" s="54" t="s">
        <v>2</v>
      </c>
      <c r="AD3290" s="54" t="s">
        <v>2</v>
      </c>
      <c r="AE3290" s="54" t="s">
        <v>2</v>
      </c>
      <c r="AF3290" s="54" t="s">
        <v>2</v>
      </c>
      <c r="AG3290" s="54" t="s">
        <v>2</v>
      </c>
    </row>
    <row r="3291" ht="15.75" customHeight="1">
      <c r="B3291" s="56"/>
      <c r="U3291" s="46" t="str">
        <f t="array" ref="U3291">IF($D3291="","",IFERROR(_xlfn.XLOOKUP($D3291,'TIR店舗一覧'!$D:$D,'TIR店舗一覧'!$E:$E,""),""))</f>
        <v/>
      </c>
      <c r="V3291" s="54" t="s">
        <v>2</v>
      </c>
      <c r="W3291" s="54" t="s">
        <v>2</v>
      </c>
      <c r="X3291" s="54" t="s">
        <v>2</v>
      </c>
      <c r="Y3291" s="54" t="s">
        <v>2</v>
      </c>
      <c r="Z3291" s="54" t="s">
        <v>2</v>
      </c>
      <c r="AA3291" s="54" t="s">
        <v>2</v>
      </c>
      <c r="AB3291" s="54" t="s">
        <v>2</v>
      </c>
      <c r="AC3291" s="54" t="s">
        <v>2</v>
      </c>
      <c r="AD3291" s="54" t="s">
        <v>2</v>
      </c>
      <c r="AE3291" s="54" t="s">
        <v>2</v>
      </c>
      <c r="AF3291" s="54" t="s">
        <v>2</v>
      </c>
      <c r="AG3291" s="54" t="s">
        <v>2</v>
      </c>
    </row>
    <row r="3292" ht="15.75" customHeight="1">
      <c r="B3292" s="56"/>
      <c r="U3292" s="46" t="str">
        <f t="array" ref="U3292">IF($D3292="","",IFERROR(_xlfn.XLOOKUP($D3292,'TIR店舗一覧'!$D:$D,'TIR店舗一覧'!$E:$E,""),""))</f>
        <v/>
      </c>
      <c r="V3292" s="54" t="s">
        <v>2</v>
      </c>
      <c r="W3292" s="54" t="s">
        <v>2</v>
      </c>
      <c r="X3292" s="54" t="s">
        <v>2</v>
      </c>
      <c r="Y3292" s="54" t="s">
        <v>2</v>
      </c>
      <c r="Z3292" s="54" t="s">
        <v>2</v>
      </c>
      <c r="AA3292" s="54" t="s">
        <v>2</v>
      </c>
      <c r="AB3292" s="54" t="s">
        <v>2</v>
      </c>
      <c r="AC3292" s="54" t="s">
        <v>2</v>
      </c>
      <c r="AD3292" s="54" t="s">
        <v>2</v>
      </c>
      <c r="AE3292" s="54" t="s">
        <v>2</v>
      </c>
      <c r="AF3292" s="54" t="s">
        <v>2</v>
      </c>
      <c r="AG3292" s="54" t="s">
        <v>2</v>
      </c>
    </row>
    <row r="3293" ht="15.75" customHeight="1">
      <c r="B3293" s="56"/>
      <c r="U3293" s="46" t="str">
        <f t="array" ref="U3293">IF($D3293="","",IFERROR(_xlfn.XLOOKUP($D3293,'TIR店舗一覧'!$D:$D,'TIR店舗一覧'!$E:$E,""),""))</f>
        <v/>
      </c>
      <c r="V3293" s="54" t="s">
        <v>2</v>
      </c>
      <c r="W3293" s="54" t="s">
        <v>2</v>
      </c>
      <c r="X3293" s="54" t="s">
        <v>2</v>
      </c>
      <c r="Y3293" s="54" t="s">
        <v>2</v>
      </c>
      <c r="Z3293" s="54" t="s">
        <v>2</v>
      </c>
      <c r="AA3293" s="54" t="s">
        <v>2</v>
      </c>
      <c r="AB3293" s="54" t="s">
        <v>2</v>
      </c>
      <c r="AC3293" s="54" t="s">
        <v>2</v>
      </c>
      <c r="AD3293" s="54" t="s">
        <v>2</v>
      </c>
      <c r="AE3293" s="54" t="s">
        <v>2</v>
      </c>
      <c r="AF3293" s="54" t="s">
        <v>2</v>
      </c>
      <c r="AG3293" s="54" t="s">
        <v>2</v>
      </c>
    </row>
    <row r="3294" ht="15.75" customHeight="1">
      <c r="B3294" s="56"/>
      <c r="U3294" s="46" t="str">
        <f t="array" ref="U3294">IF($D3294="","",IFERROR(_xlfn.XLOOKUP($D3294,'TIR店舗一覧'!$D:$D,'TIR店舗一覧'!$E:$E,""),""))</f>
        <v/>
      </c>
      <c r="V3294" s="54" t="s">
        <v>2</v>
      </c>
      <c r="W3294" s="54" t="s">
        <v>2</v>
      </c>
      <c r="X3294" s="54" t="s">
        <v>2</v>
      </c>
      <c r="Y3294" s="54" t="s">
        <v>2</v>
      </c>
      <c r="Z3294" s="54" t="s">
        <v>2</v>
      </c>
      <c r="AA3294" s="54" t="s">
        <v>2</v>
      </c>
      <c r="AB3294" s="54" t="s">
        <v>2</v>
      </c>
      <c r="AC3294" s="54" t="s">
        <v>2</v>
      </c>
      <c r="AD3294" s="54" t="s">
        <v>2</v>
      </c>
      <c r="AE3294" s="54" t="s">
        <v>2</v>
      </c>
      <c r="AF3294" s="54" t="s">
        <v>2</v>
      </c>
      <c r="AG3294" s="54" t="s">
        <v>2</v>
      </c>
    </row>
    <row r="3295" ht="15.75" customHeight="1">
      <c r="B3295" s="56"/>
      <c r="U3295" s="46" t="str">
        <f t="array" ref="U3295">IF($D3295="","",IFERROR(_xlfn.XLOOKUP($D3295,'TIR店舗一覧'!$D:$D,'TIR店舗一覧'!$E:$E,""),""))</f>
        <v/>
      </c>
      <c r="V3295" s="54" t="s">
        <v>2</v>
      </c>
      <c r="W3295" s="54" t="s">
        <v>2</v>
      </c>
      <c r="X3295" s="54" t="s">
        <v>2</v>
      </c>
      <c r="Y3295" s="54" t="s">
        <v>2</v>
      </c>
      <c r="Z3295" s="54" t="s">
        <v>2</v>
      </c>
      <c r="AA3295" s="54" t="s">
        <v>2</v>
      </c>
      <c r="AB3295" s="54" t="s">
        <v>2</v>
      </c>
      <c r="AC3295" s="54" t="s">
        <v>2</v>
      </c>
      <c r="AD3295" s="54" t="s">
        <v>2</v>
      </c>
      <c r="AE3295" s="54" t="s">
        <v>2</v>
      </c>
      <c r="AF3295" s="54" t="s">
        <v>2</v>
      </c>
      <c r="AG3295" s="54" t="s">
        <v>2</v>
      </c>
    </row>
    <row r="3296" ht="15.75" customHeight="1">
      <c r="B3296" s="56"/>
      <c r="U3296" s="46" t="str">
        <f t="array" ref="U3296">IF($D3296="","",IFERROR(_xlfn.XLOOKUP($D3296,'TIR店舗一覧'!$D:$D,'TIR店舗一覧'!$E:$E,""),""))</f>
        <v/>
      </c>
      <c r="V3296" s="54" t="s">
        <v>2</v>
      </c>
      <c r="W3296" s="54" t="s">
        <v>2</v>
      </c>
      <c r="X3296" s="54" t="s">
        <v>2</v>
      </c>
      <c r="Y3296" s="54" t="s">
        <v>2</v>
      </c>
      <c r="Z3296" s="54" t="s">
        <v>2</v>
      </c>
      <c r="AA3296" s="54" t="s">
        <v>2</v>
      </c>
      <c r="AB3296" s="54" t="s">
        <v>2</v>
      </c>
      <c r="AC3296" s="54" t="s">
        <v>2</v>
      </c>
      <c r="AD3296" s="54" t="s">
        <v>2</v>
      </c>
      <c r="AE3296" s="54" t="s">
        <v>2</v>
      </c>
      <c r="AF3296" s="54" t="s">
        <v>2</v>
      </c>
      <c r="AG3296" s="54" t="s">
        <v>2</v>
      </c>
    </row>
    <row r="3297" ht="15.75" customHeight="1">
      <c r="B3297" s="56"/>
      <c r="U3297" s="46" t="str">
        <f t="array" ref="U3297">IF($D3297="","",IFERROR(_xlfn.XLOOKUP($D3297,'TIR店舗一覧'!$D:$D,'TIR店舗一覧'!$E:$E,""),""))</f>
        <v/>
      </c>
      <c r="V3297" s="54" t="s">
        <v>2</v>
      </c>
      <c r="W3297" s="54" t="s">
        <v>2</v>
      </c>
      <c r="X3297" s="54" t="s">
        <v>2</v>
      </c>
      <c r="Y3297" s="54" t="s">
        <v>2</v>
      </c>
      <c r="Z3297" s="54" t="s">
        <v>2</v>
      </c>
      <c r="AA3297" s="54" t="s">
        <v>2</v>
      </c>
      <c r="AB3297" s="54" t="s">
        <v>2</v>
      </c>
      <c r="AC3297" s="54" t="s">
        <v>2</v>
      </c>
      <c r="AD3297" s="54" t="s">
        <v>2</v>
      </c>
      <c r="AE3297" s="54" t="s">
        <v>2</v>
      </c>
      <c r="AF3297" s="54" t="s">
        <v>2</v>
      </c>
      <c r="AG3297" s="54" t="s">
        <v>2</v>
      </c>
    </row>
    <row r="3298" ht="15.75" customHeight="1">
      <c r="B3298" s="56"/>
      <c r="U3298" s="46" t="str">
        <f t="array" ref="U3298">IF($D3298="","",IFERROR(_xlfn.XLOOKUP($D3298,'TIR店舗一覧'!$D:$D,'TIR店舗一覧'!$E:$E,""),""))</f>
        <v/>
      </c>
      <c r="V3298" s="54" t="s">
        <v>2</v>
      </c>
      <c r="W3298" s="54" t="s">
        <v>2</v>
      </c>
      <c r="X3298" s="54" t="s">
        <v>2</v>
      </c>
      <c r="Y3298" s="54" t="s">
        <v>2</v>
      </c>
      <c r="Z3298" s="54" t="s">
        <v>2</v>
      </c>
      <c r="AA3298" s="54" t="s">
        <v>2</v>
      </c>
      <c r="AB3298" s="54" t="s">
        <v>2</v>
      </c>
      <c r="AC3298" s="54" t="s">
        <v>2</v>
      </c>
      <c r="AD3298" s="54" t="s">
        <v>2</v>
      </c>
      <c r="AE3298" s="54" t="s">
        <v>2</v>
      </c>
      <c r="AF3298" s="54" t="s">
        <v>2</v>
      </c>
      <c r="AG3298" s="54" t="s">
        <v>2</v>
      </c>
    </row>
    <row r="3299" ht="15.75" customHeight="1">
      <c r="B3299" s="56"/>
      <c r="U3299" s="46" t="str">
        <f t="array" ref="U3299">IF($D3299="","",IFERROR(_xlfn.XLOOKUP($D3299,'TIR店舗一覧'!$D:$D,'TIR店舗一覧'!$E:$E,""),""))</f>
        <v/>
      </c>
      <c r="V3299" s="54" t="s">
        <v>2</v>
      </c>
      <c r="W3299" s="54" t="s">
        <v>2</v>
      </c>
      <c r="X3299" s="54" t="s">
        <v>2</v>
      </c>
      <c r="Y3299" s="54" t="s">
        <v>2</v>
      </c>
      <c r="Z3299" s="54" t="s">
        <v>2</v>
      </c>
      <c r="AA3299" s="54" t="s">
        <v>2</v>
      </c>
      <c r="AB3299" s="54" t="s">
        <v>2</v>
      </c>
      <c r="AC3299" s="54" t="s">
        <v>2</v>
      </c>
      <c r="AD3299" s="54" t="s">
        <v>2</v>
      </c>
      <c r="AE3299" s="54" t="s">
        <v>2</v>
      </c>
      <c r="AF3299" s="54" t="s">
        <v>2</v>
      </c>
      <c r="AG3299" s="54" t="s">
        <v>2</v>
      </c>
    </row>
    <row r="3300" ht="15.75" customHeight="1">
      <c r="B3300" s="56"/>
      <c r="U3300" s="46" t="str">
        <f t="array" ref="U3300">IF($D3300="","",IFERROR(_xlfn.XLOOKUP($D3300,'TIR店舗一覧'!$D:$D,'TIR店舗一覧'!$E:$E,""),""))</f>
        <v/>
      </c>
      <c r="V3300" s="54" t="s">
        <v>2</v>
      </c>
      <c r="W3300" s="54" t="s">
        <v>2</v>
      </c>
      <c r="X3300" s="54" t="s">
        <v>2</v>
      </c>
      <c r="Y3300" s="54" t="s">
        <v>2</v>
      </c>
      <c r="Z3300" s="54" t="s">
        <v>2</v>
      </c>
      <c r="AA3300" s="54" t="s">
        <v>2</v>
      </c>
      <c r="AB3300" s="54" t="s">
        <v>2</v>
      </c>
      <c r="AC3300" s="54" t="s">
        <v>2</v>
      </c>
      <c r="AD3300" s="54" t="s">
        <v>2</v>
      </c>
      <c r="AE3300" s="54" t="s">
        <v>2</v>
      </c>
      <c r="AF3300" s="54" t="s">
        <v>2</v>
      </c>
      <c r="AG3300" s="54" t="s">
        <v>2</v>
      </c>
    </row>
    <row r="3301" ht="15.75" customHeight="1">
      <c r="B3301" s="56"/>
      <c r="U3301" s="46" t="str">
        <f t="array" ref="U3301">IF($D3301="","",IFERROR(_xlfn.XLOOKUP($D3301,'TIR店舗一覧'!$D:$D,'TIR店舗一覧'!$E:$E,""),""))</f>
        <v/>
      </c>
      <c r="V3301" s="54" t="s">
        <v>2</v>
      </c>
      <c r="W3301" s="54" t="s">
        <v>2</v>
      </c>
      <c r="X3301" s="54" t="s">
        <v>2</v>
      </c>
      <c r="Y3301" s="54" t="s">
        <v>2</v>
      </c>
      <c r="Z3301" s="54" t="s">
        <v>2</v>
      </c>
      <c r="AA3301" s="54" t="s">
        <v>2</v>
      </c>
      <c r="AB3301" s="54" t="s">
        <v>2</v>
      </c>
      <c r="AC3301" s="54" t="s">
        <v>2</v>
      </c>
      <c r="AD3301" s="54" t="s">
        <v>2</v>
      </c>
      <c r="AE3301" s="54" t="s">
        <v>2</v>
      </c>
      <c r="AF3301" s="54" t="s">
        <v>2</v>
      </c>
      <c r="AG3301" s="54" t="s">
        <v>2</v>
      </c>
    </row>
    <row r="3302" ht="15.75" customHeight="1">
      <c r="B3302" s="56"/>
      <c r="U3302" s="46" t="str">
        <f t="array" ref="U3302">IF($D3302="","",IFERROR(_xlfn.XLOOKUP($D3302,'TIR店舗一覧'!$D:$D,'TIR店舗一覧'!$E:$E,""),""))</f>
        <v/>
      </c>
      <c r="V3302" s="54" t="s">
        <v>2</v>
      </c>
      <c r="W3302" s="54" t="s">
        <v>2</v>
      </c>
      <c r="X3302" s="54" t="s">
        <v>2</v>
      </c>
      <c r="Y3302" s="54" t="s">
        <v>2</v>
      </c>
      <c r="Z3302" s="54" t="s">
        <v>2</v>
      </c>
      <c r="AA3302" s="54" t="s">
        <v>2</v>
      </c>
      <c r="AB3302" s="54" t="s">
        <v>2</v>
      </c>
      <c r="AC3302" s="54" t="s">
        <v>2</v>
      </c>
      <c r="AD3302" s="54" t="s">
        <v>2</v>
      </c>
      <c r="AE3302" s="54" t="s">
        <v>2</v>
      </c>
      <c r="AF3302" s="54" t="s">
        <v>2</v>
      </c>
      <c r="AG3302" s="54" t="s">
        <v>2</v>
      </c>
    </row>
    <row r="3303" ht="15.75" customHeight="1">
      <c r="B3303" s="56"/>
      <c r="U3303" s="46" t="str">
        <f t="array" ref="U3303">IF($D3303="","",IFERROR(_xlfn.XLOOKUP($D3303,'TIR店舗一覧'!$D:$D,'TIR店舗一覧'!$E:$E,""),""))</f>
        <v/>
      </c>
      <c r="V3303" s="54" t="s">
        <v>2</v>
      </c>
      <c r="W3303" s="54" t="s">
        <v>2</v>
      </c>
      <c r="X3303" s="54" t="s">
        <v>2</v>
      </c>
      <c r="Y3303" s="54" t="s">
        <v>2</v>
      </c>
      <c r="Z3303" s="54" t="s">
        <v>2</v>
      </c>
      <c r="AA3303" s="54" t="s">
        <v>2</v>
      </c>
      <c r="AB3303" s="54" t="s">
        <v>2</v>
      </c>
      <c r="AC3303" s="54" t="s">
        <v>2</v>
      </c>
      <c r="AD3303" s="54" t="s">
        <v>2</v>
      </c>
      <c r="AE3303" s="54" t="s">
        <v>2</v>
      </c>
      <c r="AF3303" s="54" t="s">
        <v>2</v>
      </c>
      <c r="AG3303" s="54" t="s">
        <v>2</v>
      </c>
    </row>
    <row r="3304" ht="15.75" customHeight="1">
      <c r="B3304" s="56"/>
      <c r="U3304" s="46" t="str">
        <f t="array" ref="U3304">IF($D3304="","",IFERROR(_xlfn.XLOOKUP($D3304,'TIR店舗一覧'!$D:$D,'TIR店舗一覧'!$E:$E,""),""))</f>
        <v/>
      </c>
      <c r="V3304" s="54" t="s">
        <v>2</v>
      </c>
      <c r="W3304" s="54" t="s">
        <v>2</v>
      </c>
      <c r="X3304" s="54" t="s">
        <v>2</v>
      </c>
      <c r="Y3304" s="54" t="s">
        <v>2</v>
      </c>
      <c r="Z3304" s="54" t="s">
        <v>2</v>
      </c>
      <c r="AA3304" s="54" t="s">
        <v>2</v>
      </c>
      <c r="AB3304" s="54" t="s">
        <v>2</v>
      </c>
      <c r="AC3304" s="54" t="s">
        <v>2</v>
      </c>
      <c r="AD3304" s="54" t="s">
        <v>2</v>
      </c>
      <c r="AE3304" s="54" t="s">
        <v>2</v>
      </c>
      <c r="AF3304" s="54" t="s">
        <v>2</v>
      </c>
      <c r="AG3304" s="54" t="s">
        <v>2</v>
      </c>
    </row>
    <row r="3305" ht="15.75" customHeight="1">
      <c r="B3305" s="56"/>
      <c r="U3305" s="46" t="str">
        <f t="array" ref="U3305">IF($D3305="","",IFERROR(_xlfn.XLOOKUP($D3305,'TIR店舗一覧'!$D:$D,'TIR店舗一覧'!$E:$E,""),""))</f>
        <v/>
      </c>
      <c r="V3305" s="54" t="s">
        <v>2</v>
      </c>
      <c r="W3305" s="54" t="s">
        <v>2</v>
      </c>
      <c r="X3305" s="54" t="s">
        <v>2</v>
      </c>
      <c r="Y3305" s="54" t="s">
        <v>2</v>
      </c>
      <c r="Z3305" s="54" t="s">
        <v>2</v>
      </c>
      <c r="AA3305" s="54" t="s">
        <v>2</v>
      </c>
      <c r="AB3305" s="54" t="s">
        <v>2</v>
      </c>
      <c r="AC3305" s="54" t="s">
        <v>2</v>
      </c>
      <c r="AD3305" s="54" t="s">
        <v>2</v>
      </c>
      <c r="AE3305" s="54" t="s">
        <v>2</v>
      </c>
      <c r="AF3305" s="54" t="s">
        <v>2</v>
      </c>
      <c r="AG3305" s="54" t="s">
        <v>2</v>
      </c>
    </row>
    <row r="3306" ht="15.75" customHeight="1">
      <c r="B3306" s="56"/>
      <c r="U3306" s="46" t="str">
        <f t="array" ref="U3306">IF($D3306="","",IFERROR(_xlfn.XLOOKUP($D3306,'TIR店舗一覧'!$D:$D,'TIR店舗一覧'!$E:$E,""),""))</f>
        <v/>
      </c>
      <c r="V3306" s="54" t="s">
        <v>2</v>
      </c>
      <c r="W3306" s="54" t="s">
        <v>2</v>
      </c>
      <c r="X3306" s="54" t="s">
        <v>2</v>
      </c>
      <c r="Y3306" s="54" t="s">
        <v>2</v>
      </c>
      <c r="Z3306" s="54" t="s">
        <v>2</v>
      </c>
      <c r="AA3306" s="54" t="s">
        <v>2</v>
      </c>
      <c r="AB3306" s="54" t="s">
        <v>2</v>
      </c>
      <c r="AC3306" s="54" t="s">
        <v>2</v>
      </c>
      <c r="AD3306" s="54" t="s">
        <v>2</v>
      </c>
      <c r="AE3306" s="54" t="s">
        <v>2</v>
      </c>
      <c r="AF3306" s="54" t="s">
        <v>2</v>
      </c>
      <c r="AG3306" s="54" t="s">
        <v>2</v>
      </c>
    </row>
    <row r="3307" ht="15.75" customHeight="1">
      <c r="B3307" s="56"/>
      <c r="U3307" s="46" t="str">
        <f t="array" ref="U3307">IF($D3307="","",IFERROR(_xlfn.XLOOKUP($D3307,'TIR店舗一覧'!$D:$D,'TIR店舗一覧'!$E:$E,""),""))</f>
        <v/>
      </c>
      <c r="V3307" s="54" t="s">
        <v>2</v>
      </c>
      <c r="W3307" s="54" t="s">
        <v>2</v>
      </c>
      <c r="X3307" s="54" t="s">
        <v>2</v>
      </c>
      <c r="Y3307" s="54" t="s">
        <v>2</v>
      </c>
      <c r="Z3307" s="54" t="s">
        <v>2</v>
      </c>
      <c r="AA3307" s="54" t="s">
        <v>2</v>
      </c>
      <c r="AB3307" s="54" t="s">
        <v>2</v>
      </c>
      <c r="AC3307" s="54" t="s">
        <v>2</v>
      </c>
      <c r="AD3307" s="54" t="s">
        <v>2</v>
      </c>
      <c r="AE3307" s="54" t="s">
        <v>2</v>
      </c>
      <c r="AF3307" s="54" t="s">
        <v>2</v>
      </c>
      <c r="AG3307" s="54" t="s">
        <v>2</v>
      </c>
    </row>
    <row r="3308" ht="15.75" customHeight="1">
      <c r="B3308" s="56"/>
      <c r="U3308" s="46" t="str">
        <f t="array" ref="U3308">IF($D3308="","",IFERROR(_xlfn.XLOOKUP($D3308,'TIR店舗一覧'!$D:$D,'TIR店舗一覧'!$E:$E,""),""))</f>
        <v/>
      </c>
      <c r="V3308" s="54" t="s">
        <v>2</v>
      </c>
      <c r="W3308" s="54" t="s">
        <v>2</v>
      </c>
      <c r="X3308" s="54" t="s">
        <v>2</v>
      </c>
      <c r="Y3308" s="54" t="s">
        <v>2</v>
      </c>
      <c r="Z3308" s="54" t="s">
        <v>2</v>
      </c>
      <c r="AA3308" s="54" t="s">
        <v>2</v>
      </c>
      <c r="AB3308" s="54" t="s">
        <v>2</v>
      </c>
      <c r="AC3308" s="54" t="s">
        <v>2</v>
      </c>
      <c r="AD3308" s="54" t="s">
        <v>2</v>
      </c>
      <c r="AE3308" s="54" t="s">
        <v>2</v>
      </c>
      <c r="AF3308" s="54" t="s">
        <v>2</v>
      </c>
      <c r="AG3308" s="54" t="s">
        <v>2</v>
      </c>
    </row>
    <row r="3309" ht="15.75" customHeight="1">
      <c r="B3309" s="56"/>
      <c r="U3309" s="46" t="str">
        <f t="array" ref="U3309">IF($D3309="","",IFERROR(_xlfn.XLOOKUP($D3309,'TIR店舗一覧'!$D:$D,'TIR店舗一覧'!$E:$E,""),""))</f>
        <v/>
      </c>
      <c r="V3309" s="54" t="s">
        <v>2</v>
      </c>
      <c r="W3309" s="54" t="s">
        <v>2</v>
      </c>
      <c r="X3309" s="54" t="s">
        <v>2</v>
      </c>
      <c r="Y3309" s="54" t="s">
        <v>2</v>
      </c>
      <c r="Z3309" s="54" t="s">
        <v>2</v>
      </c>
      <c r="AA3309" s="54" t="s">
        <v>2</v>
      </c>
      <c r="AB3309" s="54" t="s">
        <v>2</v>
      </c>
      <c r="AC3309" s="54" t="s">
        <v>2</v>
      </c>
      <c r="AD3309" s="54" t="s">
        <v>2</v>
      </c>
      <c r="AE3309" s="54" t="s">
        <v>2</v>
      </c>
      <c r="AF3309" s="54" t="s">
        <v>2</v>
      </c>
      <c r="AG3309" s="54" t="s">
        <v>2</v>
      </c>
    </row>
    <row r="3310" ht="15.75" customHeight="1">
      <c r="B3310" s="56"/>
      <c r="U3310" s="46" t="str">
        <f t="array" ref="U3310">IF($D3310="","",IFERROR(_xlfn.XLOOKUP($D3310,'TIR店舗一覧'!$D:$D,'TIR店舗一覧'!$E:$E,""),""))</f>
        <v/>
      </c>
      <c r="V3310" s="54" t="s">
        <v>2</v>
      </c>
      <c r="W3310" s="54" t="s">
        <v>2</v>
      </c>
      <c r="X3310" s="54" t="s">
        <v>2</v>
      </c>
      <c r="Y3310" s="54" t="s">
        <v>2</v>
      </c>
      <c r="Z3310" s="54" t="s">
        <v>2</v>
      </c>
      <c r="AA3310" s="54" t="s">
        <v>2</v>
      </c>
      <c r="AB3310" s="54" t="s">
        <v>2</v>
      </c>
      <c r="AC3310" s="54" t="s">
        <v>2</v>
      </c>
      <c r="AD3310" s="54" t="s">
        <v>2</v>
      </c>
      <c r="AE3310" s="54" t="s">
        <v>2</v>
      </c>
      <c r="AF3310" s="54" t="s">
        <v>2</v>
      </c>
      <c r="AG3310" s="54" t="s">
        <v>2</v>
      </c>
    </row>
    <row r="3311" ht="15.75" customHeight="1">
      <c r="B3311" s="56"/>
      <c r="U3311" s="46" t="str">
        <f t="array" ref="U3311">IF($D3311="","",IFERROR(_xlfn.XLOOKUP($D3311,'TIR店舗一覧'!$D:$D,'TIR店舗一覧'!$E:$E,""),""))</f>
        <v/>
      </c>
      <c r="V3311" s="54" t="s">
        <v>2</v>
      </c>
      <c r="W3311" s="54" t="s">
        <v>2</v>
      </c>
      <c r="X3311" s="54" t="s">
        <v>2</v>
      </c>
      <c r="Y3311" s="54" t="s">
        <v>2</v>
      </c>
      <c r="Z3311" s="54" t="s">
        <v>2</v>
      </c>
      <c r="AA3311" s="54" t="s">
        <v>2</v>
      </c>
      <c r="AB3311" s="54" t="s">
        <v>2</v>
      </c>
      <c r="AC3311" s="54" t="s">
        <v>2</v>
      </c>
      <c r="AD3311" s="54" t="s">
        <v>2</v>
      </c>
      <c r="AE3311" s="54" t="s">
        <v>2</v>
      </c>
      <c r="AF3311" s="54" t="s">
        <v>2</v>
      </c>
      <c r="AG3311" s="54" t="s">
        <v>2</v>
      </c>
    </row>
    <row r="3312" ht="15.75" customHeight="1">
      <c r="B3312" s="56"/>
      <c r="U3312" s="46" t="str">
        <f t="array" ref="U3312">IF($D3312="","",IFERROR(_xlfn.XLOOKUP($D3312,'TIR店舗一覧'!$D:$D,'TIR店舗一覧'!$E:$E,""),""))</f>
        <v/>
      </c>
      <c r="V3312" s="54" t="s">
        <v>2</v>
      </c>
      <c r="W3312" s="54" t="s">
        <v>2</v>
      </c>
      <c r="X3312" s="54" t="s">
        <v>2</v>
      </c>
      <c r="Y3312" s="54" t="s">
        <v>2</v>
      </c>
      <c r="Z3312" s="54" t="s">
        <v>2</v>
      </c>
      <c r="AA3312" s="54" t="s">
        <v>2</v>
      </c>
      <c r="AB3312" s="54" t="s">
        <v>2</v>
      </c>
      <c r="AC3312" s="54" t="s">
        <v>2</v>
      </c>
      <c r="AD3312" s="54" t="s">
        <v>2</v>
      </c>
      <c r="AE3312" s="54" t="s">
        <v>2</v>
      </c>
      <c r="AF3312" s="54" t="s">
        <v>2</v>
      </c>
      <c r="AG3312" s="54" t="s">
        <v>2</v>
      </c>
    </row>
    <row r="3313" ht="15.75" customHeight="1">
      <c r="B3313" s="56"/>
      <c r="U3313" s="46" t="str">
        <f t="array" ref="U3313">IF($D3313="","",IFERROR(_xlfn.XLOOKUP($D3313,'TIR店舗一覧'!$D:$D,'TIR店舗一覧'!$E:$E,""),""))</f>
        <v/>
      </c>
      <c r="V3313" s="54" t="s">
        <v>2</v>
      </c>
      <c r="W3313" s="54" t="s">
        <v>2</v>
      </c>
      <c r="X3313" s="54" t="s">
        <v>2</v>
      </c>
      <c r="Y3313" s="54" t="s">
        <v>2</v>
      </c>
      <c r="Z3313" s="54" t="s">
        <v>2</v>
      </c>
      <c r="AA3313" s="54" t="s">
        <v>2</v>
      </c>
      <c r="AB3313" s="54" t="s">
        <v>2</v>
      </c>
      <c r="AC3313" s="54" t="s">
        <v>2</v>
      </c>
      <c r="AD3313" s="54" t="s">
        <v>2</v>
      </c>
      <c r="AE3313" s="54" t="s">
        <v>2</v>
      </c>
      <c r="AF3313" s="54" t="s">
        <v>2</v>
      </c>
      <c r="AG3313" s="54" t="s">
        <v>2</v>
      </c>
    </row>
    <row r="3314" ht="15.75" customHeight="1">
      <c r="B3314" s="56"/>
      <c r="U3314" s="46" t="str">
        <f t="array" ref="U3314">IF($D3314="","",IFERROR(_xlfn.XLOOKUP($D3314,'TIR店舗一覧'!$D:$D,'TIR店舗一覧'!$E:$E,""),""))</f>
        <v/>
      </c>
      <c r="V3314" s="54" t="s">
        <v>2</v>
      </c>
      <c r="W3314" s="54" t="s">
        <v>2</v>
      </c>
      <c r="X3314" s="54" t="s">
        <v>2</v>
      </c>
      <c r="Y3314" s="54" t="s">
        <v>2</v>
      </c>
      <c r="Z3314" s="54" t="s">
        <v>2</v>
      </c>
      <c r="AA3314" s="54" t="s">
        <v>2</v>
      </c>
      <c r="AB3314" s="54" t="s">
        <v>2</v>
      </c>
      <c r="AC3314" s="54" t="s">
        <v>2</v>
      </c>
      <c r="AD3314" s="54" t="s">
        <v>2</v>
      </c>
      <c r="AE3314" s="54" t="s">
        <v>2</v>
      </c>
      <c r="AF3314" s="54" t="s">
        <v>2</v>
      </c>
      <c r="AG3314" s="54" t="s">
        <v>2</v>
      </c>
    </row>
    <row r="3315" ht="15.75" customHeight="1">
      <c r="B3315" s="56"/>
      <c r="U3315" s="46" t="str">
        <f t="array" ref="U3315">IF($D3315="","",IFERROR(_xlfn.XLOOKUP($D3315,'TIR店舗一覧'!$D:$D,'TIR店舗一覧'!$E:$E,""),""))</f>
        <v/>
      </c>
      <c r="V3315" s="54" t="s">
        <v>2</v>
      </c>
      <c r="W3315" s="54" t="s">
        <v>2</v>
      </c>
      <c r="X3315" s="54" t="s">
        <v>2</v>
      </c>
      <c r="Y3315" s="54" t="s">
        <v>2</v>
      </c>
      <c r="Z3315" s="54" t="s">
        <v>2</v>
      </c>
      <c r="AA3315" s="54" t="s">
        <v>2</v>
      </c>
      <c r="AB3315" s="54" t="s">
        <v>2</v>
      </c>
      <c r="AC3315" s="54" t="s">
        <v>2</v>
      </c>
      <c r="AD3315" s="54" t="s">
        <v>2</v>
      </c>
      <c r="AE3315" s="54" t="s">
        <v>2</v>
      </c>
      <c r="AF3315" s="54" t="s">
        <v>2</v>
      </c>
      <c r="AG3315" s="54" t="s">
        <v>2</v>
      </c>
    </row>
    <row r="3316" ht="15.75" customHeight="1">
      <c r="B3316" s="56"/>
      <c r="U3316" s="46" t="str">
        <f t="array" ref="U3316">IF($D3316="","",IFERROR(_xlfn.XLOOKUP($D3316,'TIR店舗一覧'!$D:$D,'TIR店舗一覧'!$E:$E,""),""))</f>
        <v/>
      </c>
      <c r="V3316" s="54" t="s">
        <v>2</v>
      </c>
      <c r="W3316" s="54" t="s">
        <v>2</v>
      </c>
      <c r="X3316" s="54" t="s">
        <v>2</v>
      </c>
      <c r="Y3316" s="54" t="s">
        <v>2</v>
      </c>
      <c r="Z3316" s="54" t="s">
        <v>2</v>
      </c>
      <c r="AA3316" s="54" t="s">
        <v>2</v>
      </c>
      <c r="AB3316" s="54" t="s">
        <v>2</v>
      </c>
      <c r="AC3316" s="54" t="s">
        <v>2</v>
      </c>
      <c r="AD3316" s="54" t="s">
        <v>2</v>
      </c>
      <c r="AE3316" s="54" t="s">
        <v>2</v>
      </c>
      <c r="AF3316" s="54" t="s">
        <v>2</v>
      </c>
      <c r="AG3316" s="54" t="s">
        <v>2</v>
      </c>
    </row>
    <row r="3317" ht="15.75" customHeight="1">
      <c r="B3317" s="56"/>
      <c r="U3317" s="46" t="str">
        <f t="array" ref="U3317">IF($D3317="","",IFERROR(_xlfn.XLOOKUP($D3317,'TIR店舗一覧'!$D:$D,'TIR店舗一覧'!$E:$E,""),""))</f>
        <v/>
      </c>
      <c r="V3317" s="54" t="s">
        <v>2</v>
      </c>
      <c r="W3317" s="54" t="s">
        <v>2</v>
      </c>
      <c r="X3317" s="54" t="s">
        <v>2</v>
      </c>
      <c r="Y3317" s="54" t="s">
        <v>2</v>
      </c>
      <c r="Z3317" s="54" t="s">
        <v>2</v>
      </c>
      <c r="AA3317" s="54" t="s">
        <v>2</v>
      </c>
      <c r="AB3317" s="54" t="s">
        <v>2</v>
      </c>
      <c r="AC3317" s="54" t="s">
        <v>2</v>
      </c>
      <c r="AD3317" s="54" t="s">
        <v>2</v>
      </c>
      <c r="AE3317" s="54" t="s">
        <v>2</v>
      </c>
      <c r="AF3317" s="54" t="s">
        <v>2</v>
      </c>
      <c r="AG3317" s="54" t="s">
        <v>2</v>
      </c>
    </row>
    <row r="3318" ht="15.75" customHeight="1">
      <c r="B3318" s="56"/>
      <c r="U3318" s="46" t="str">
        <f t="array" ref="U3318">IF($D3318="","",IFERROR(_xlfn.XLOOKUP($D3318,'TIR店舗一覧'!$D:$D,'TIR店舗一覧'!$E:$E,""),""))</f>
        <v/>
      </c>
      <c r="V3318" s="54" t="s">
        <v>2</v>
      </c>
      <c r="W3318" s="54" t="s">
        <v>2</v>
      </c>
      <c r="X3318" s="54" t="s">
        <v>2</v>
      </c>
      <c r="Y3318" s="54" t="s">
        <v>2</v>
      </c>
      <c r="Z3318" s="54" t="s">
        <v>2</v>
      </c>
      <c r="AA3318" s="54" t="s">
        <v>2</v>
      </c>
      <c r="AB3318" s="54" t="s">
        <v>2</v>
      </c>
      <c r="AC3318" s="54" t="s">
        <v>2</v>
      </c>
      <c r="AD3318" s="54" t="s">
        <v>2</v>
      </c>
      <c r="AE3318" s="54" t="s">
        <v>2</v>
      </c>
      <c r="AF3318" s="54" t="s">
        <v>2</v>
      </c>
      <c r="AG3318" s="54" t="s">
        <v>2</v>
      </c>
    </row>
    <row r="3319" ht="15.75" customHeight="1">
      <c r="B3319" s="56"/>
      <c r="U3319" s="46" t="str">
        <f t="array" ref="U3319">IF($D3319="","",IFERROR(_xlfn.XLOOKUP($D3319,'TIR店舗一覧'!$D:$D,'TIR店舗一覧'!$E:$E,""),""))</f>
        <v/>
      </c>
      <c r="V3319" s="54" t="s">
        <v>2</v>
      </c>
      <c r="W3319" s="54" t="s">
        <v>2</v>
      </c>
      <c r="X3319" s="54" t="s">
        <v>2</v>
      </c>
      <c r="Y3319" s="54" t="s">
        <v>2</v>
      </c>
      <c r="Z3319" s="54" t="s">
        <v>2</v>
      </c>
      <c r="AA3319" s="54" t="s">
        <v>2</v>
      </c>
      <c r="AB3319" s="54" t="s">
        <v>2</v>
      </c>
      <c r="AC3319" s="54" t="s">
        <v>2</v>
      </c>
      <c r="AD3319" s="54" t="s">
        <v>2</v>
      </c>
      <c r="AE3319" s="54" t="s">
        <v>2</v>
      </c>
      <c r="AF3319" s="54" t="s">
        <v>2</v>
      </c>
      <c r="AG3319" s="54" t="s">
        <v>2</v>
      </c>
    </row>
    <row r="3320" ht="15.75" customHeight="1">
      <c r="B3320" s="56"/>
      <c r="U3320" s="46" t="str">
        <f t="array" ref="U3320">IF($D3320="","",IFERROR(_xlfn.XLOOKUP($D3320,'TIR店舗一覧'!$D:$D,'TIR店舗一覧'!$E:$E,""),""))</f>
        <v/>
      </c>
      <c r="V3320" s="54" t="s">
        <v>2</v>
      </c>
      <c r="W3320" s="54" t="s">
        <v>2</v>
      </c>
      <c r="X3320" s="54" t="s">
        <v>2</v>
      </c>
      <c r="Y3320" s="54" t="s">
        <v>2</v>
      </c>
      <c r="Z3320" s="54" t="s">
        <v>2</v>
      </c>
      <c r="AA3320" s="54" t="s">
        <v>2</v>
      </c>
      <c r="AB3320" s="54" t="s">
        <v>2</v>
      </c>
      <c r="AC3320" s="54" t="s">
        <v>2</v>
      </c>
      <c r="AD3320" s="54" t="s">
        <v>2</v>
      </c>
      <c r="AE3320" s="54" t="s">
        <v>2</v>
      </c>
      <c r="AF3320" s="54" t="s">
        <v>2</v>
      </c>
      <c r="AG3320" s="54" t="s">
        <v>2</v>
      </c>
    </row>
    <row r="3321" ht="15.75" customHeight="1">
      <c r="B3321" s="56"/>
      <c r="U3321" s="46" t="str">
        <f t="array" ref="U3321">IF($D3321="","",IFERROR(_xlfn.XLOOKUP($D3321,'TIR店舗一覧'!$D:$D,'TIR店舗一覧'!$E:$E,""),""))</f>
        <v/>
      </c>
      <c r="V3321" s="54" t="s">
        <v>2</v>
      </c>
      <c r="W3321" s="54" t="s">
        <v>2</v>
      </c>
      <c r="X3321" s="54" t="s">
        <v>2</v>
      </c>
      <c r="Y3321" s="54" t="s">
        <v>2</v>
      </c>
      <c r="Z3321" s="54" t="s">
        <v>2</v>
      </c>
      <c r="AA3321" s="54" t="s">
        <v>2</v>
      </c>
      <c r="AB3321" s="54" t="s">
        <v>2</v>
      </c>
      <c r="AC3321" s="54" t="s">
        <v>2</v>
      </c>
      <c r="AD3321" s="54" t="s">
        <v>2</v>
      </c>
      <c r="AE3321" s="54" t="s">
        <v>2</v>
      </c>
      <c r="AF3321" s="54" t="s">
        <v>2</v>
      </c>
      <c r="AG3321" s="54" t="s">
        <v>2</v>
      </c>
    </row>
    <row r="3322" ht="15.75" customHeight="1">
      <c r="B3322" s="56"/>
      <c r="U3322" s="46" t="str">
        <f t="array" ref="U3322">IF($D3322="","",IFERROR(_xlfn.XLOOKUP($D3322,'TIR店舗一覧'!$D:$D,'TIR店舗一覧'!$E:$E,""),""))</f>
        <v/>
      </c>
      <c r="V3322" s="54" t="s">
        <v>2</v>
      </c>
      <c r="W3322" s="54" t="s">
        <v>2</v>
      </c>
      <c r="X3322" s="54" t="s">
        <v>2</v>
      </c>
      <c r="Y3322" s="54" t="s">
        <v>2</v>
      </c>
      <c r="Z3322" s="54" t="s">
        <v>2</v>
      </c>
      <c r="AA3322" s="54" t="s">
        <v>2</v>
      </c>
      <c r="AB3322" s="54" t="s">
        <v>2</v>
      </c>
      <c r="AC3322" s="54" t="s">
        <v>2</v>
      </c>
      <c r="AD3322" s="54" t="s">
        <v>2</v>
      </c>
      <c r="AE3322" s="54" t="s">
        <v>2</v>
      </c>
      <c r="AF3322" s="54" t="s">
        <v>2</v>
      </c>
      <c r="AG3322" s="54" t="s">
        <v>2</v>
      </c>
    </row>
    <row r="3323" ht="15.75" customHeight="1">
      <c r="B3323" s="56"/>
      <c r="U3323" s="46" t="str">
        <f t="array" ref="U3323">IF($D3323="","",IFERROR(_xlfn.XLOOKUP($D3323,'TIR店舗一覧'!$D:$D,'TIR店舗一覧'!$E:$E,""),""))</f>
        <v/>
      </c>
      <c r="V3323" s="54" t="s">
        <v>2</v>
      </c>
      <c r="W3323" s="54" t="s">
        <v>2</v>
      </c>
      <c r="X3323" s="54" t="s">
        <v>2</v>
      </c>
      <c r="Y3323" s="54" t="s">
        <v>2</v>
      </c>
      <c r="Z3323" s="54" t="s">
        <v>2</v>
      </c>
      <c r="AA3323" s="54" t="s">
        <v>2</v>
      </c>
      <c r="AB3323" s="54" t="s">
        <v>2</v>
      </c>
      <c r="AC3323" s="54" t="s">
        <v>2</v>
      </c>
      <c r="AD3323" s="54" t="s">
        <v>2</v>
      </c>
      <c r="AE3323" s="54" t="s">
        <v>2</v>
      </c>
      <c r="AF3323" s="54" t="s">
        <v>2</v>
      </c>
      <c r="AG3323" s="54" t="s">
        <v>2</v>
      </c>
    </row>
    <row r="3324" ht="15.75" customHeight="1">
      <c r="B3324" s="56"/>
      <c r="U3324" s="46" t="str">
        <f t="array" ref="U3324">IF($D3324="","",IFERROR(_xlfn.XLOOKUP($D3324,'TIR店舗一覧'!$D:$D,'TIR店舗一覧'!$E:$E,""),""))</f>
        <v/>
      </c>
      <c r="V3324" s="54" t="s">
        <v>2</v>
      </c>
      <c r="W3324" s="54" t="s">
        <v>2</v>
      </c>
      <c r="X3324" s="54" t="s">
        <v>2</v>
      </c>
      <c r="Y3324" s="54" t="s">
        <v>2</v>
      </c>
      <c r="Z3324" s="54" t="s">
        <v>2</v>
      </c>
      <c r="AA3324" s="54" t="s">
        <v>2</v>
      </c>
      <c r="AB3324" s="54" t="s">
        <v>2</v>
      </c>
      <c r="AC3324" s="54" t="s">
        <v>2</v>
      </c>
      <c r="AD3324" s="54" t="s">
        <v>2</v>
      </c>
      <c r="AE3324" s="54" t="s">
        <v>2</v>
      </c>
      <c r="AF3324" s="54" t="s">
        <v>2</v>
      </c>
      <c r="AG3324" s="54" t="s">
        <v>2</v>
      </c>
    </row>
    <row r="3325" ht="15.75" customHeight="1">
      <c r="B3325" s="56"/>
      <c r="U3325" s="46" t="str">
        <f t="array" ref="U3325">IF($D3325="","",IFERROR(_xlfn.XLOOKUP($D3325,'TIR店舗一覧'!$D:$D,'TIR店舗一覧'!$E:$E,""),""))</f>
        <v/>
      </c>
      <c r="V3325" s="54" t="s">
        <v>2</v>
      </c>
      <c r="W3325" s="54" t="s">
        <v>2</v>
      </c>
      <c r="X3325" s="54" t="s">
        <v>2</v>
      </c>
      <c r="Y3325" s="54" t="s">
        <v>2</v>
      </c>
      <c r="Z3325" s="54" t="s">
        <v>2</v>
      </c>
      <c r="AA3325" s="54" t="s">
        <v>2</v>
      </c>
      <c r="AB3325" s="54" t="s">
        <v>2</v>
      </c>
      <c r="AC3325" s="54" t="s">
        <v>2</v>
      </c>
      <c r="AD3325" s="54" t="s">
        <v>2</v>
      </c>
      <c r="AE3325" s="54" t="s">
        <v>2</v>
      </c>
      <c r="AF3325" s="54" t="s">
        <v>2</v>
      </c>
      <c r="AG3325" s="54" t="s">
        <v>2</v>
      </c>
    </row>
    <row r="3326" ht="15.75" customHeight="1">
      <c r="B3326" s="56"/>
      <c r="U3326" s="46" t="str">
        <f t="array" ref="U3326">IF($D3326="","",IFERROR(_xlfn.XLOOKUP($D3326,'TIR店舗一覧'!$D:$D,'TIR店舗一覧'!$E:$E,""),""))</f>
        <v/>
      </c>
      <c r="V3326" s="54" t="s">
        <v>2</v>
      </c>
      <c r="W3326" s="54" t="s">
        <v>2</v>
      </c>
      <c r="X3326" s="54" t="s">
        <v>2</v>
      </c>
      <c r="Y3326" s="54" t="s">
        <v>2</v>
      </c>
      <c r="Z3326" s="54" t="s">
        <v>2</v>
      </c>
      <c r="AA3326" s="54" t="s">
        <v>2</v>
      </c>
      <c r="AB3326" s="54" t="s">
        <v>2</v>
      </c>
      <c r="AC3326" s="54" t="s">
        <v>2</v>
      </c>
      <c r="AD3326" s="54" t="s">
        <v>2</v>
      </c>
      <c r="AE3326" s="54" t="s">
        <v>2</v>
      </c>
      <c r="AF3326" s="54" t="s">
        <v>2</v>
      </c>
      <c r="AG3326" s="54" t="s">
        <v>2</v>
      </c>
    </row>
    <row r="3327" ht="15.75" customHeight="1">
      <c r="B3327" s="56"/>
      <c r="U3327" s="46" t="str">
        <f t="array" ref="U3327">IF($D3327="","",IFERROR(_xlfn.XLOOKUP($D3327,'TIR店舗一覧'!$D:$D,'TIR店舗一覧'!$E:$E,""),""))</f>
        <v/>
      </c>
      <c r="V3327" s="54" t="s">
        <v>2</v>
      </c>
      <c r="W3327" s="54" t="s">
        <v>2</v>
      </c>
      <c r="X3327" s="54" t="s">
        <v>2</v>
      </c>
      <c r="Y3327" s="54" t="s">
        <v>2</v>
      </c>
      <c r="Z3327" s="54" t="s">
        <v>2</v>
      </c>
      <c r="AA3327" s="54" t="s">
        <v>2</v>
      </c>
      <c r="AB3327" s="54" t="s">
        <v>2</v>
      </c>
      <c r="AC3327" s="54" t="s">
        <v>2</v>
      </c>
      <c r="AD3327" s="54" t="s">
        <v>2</v>
      </c>
      <c r="AE3327" s="54" t="s">
        <v>2</v>
      </c>
      <c r="AF3327" s="54" t="s">
        <v>2</v>
      </c>
      <c r="AG3327" s="54" t="s">
        <v>2</v>
      </c>
    </row>
    <row r="3328" ht="15.75" customHeight="1">
      <c r="B3328" s="56"/>
      <c r="U3328" s="46" t="str">
        <f t="array" ref="U3328">IF($D3328="","",IFERROR(_xlfn.XLOOKUP($D3328,'TIR店舗一覧'!$D:$D,'TIR店舗一覧'!$E:$E,""),""))</f>
        <v/>
      </c>
      <c r="V3328" s="54" t="s">
        <v>2</v>
      </c>
      <c r="W3328" s="54" t="s">
        <v>2</v>
      </c>
      <c r="X3328" s="54" t="s">
        <v>2</v>
      </c>
      <c r="Y3328" s="54" t="s">
        <v>2</v>
      </c>
      <c r="Z3328" s="54" t="s">
        <v>2</v>
      </c>
      <c r="AA3328" s="54" t="s">
        <v>2</v>
      </c>
      <c r="AB3328" s="54" t="s">
        <v>2</v>
      </c>
      <c r="AC3328" s="54" t="s">
        <v>2</v>
      </c>
      <c r="AD3328" s="54" t="s">
        <v>2</v>
      </c>
      <c r="AE3328" s="54" t="s">
        <v>2</v>
      </c>
      <c r="AF3328" s="54" t="s">
        <v>2</v>
      </c>
      <c r="AG3328" s="54" t="s">
        <v>2</v>
      </c>
    </row>
    <row r="3329" ht="15.75" customHeight="1">
      <c r="B3329" s="56"/>
      <c r="U3329" s="46" t="str">
        <f t="array" ref="U3329">IF($D3329="","",IFERROR(_xlfn.XLOOKUP($D3329,'TIR店舗一覧'!$D:$D,'TIR店舗一覧'!$E:$E,""),""))</f>
        <v/>
      </c>
      <c r="V3329" s="54" t="s">
        <v>2</v>
      </c>
      <c r="W3329" s="54" t="s">
        <v>2</v>
      </c>
      <c r="X3329" s="54" t="s">
        <v>2</v>
      </c>
      <c r="Y3329" s="54" t="s">
        <v>2</v>
      </c>
      <c r="Z3329" s="54" t="s">
        <v>2</v>
      </c>
      <c r="AA3329" s="54" t="s">
        <v>2</v>
      </c>
      <c r="AB3329" s="54" t="s">
        <v>2</v>
      </c>
      <c r="AC3329" s="54" t="s">
        <v>2</v>
      </c>
      <c r="AD3329" s="54" t="s">
        <v>2</v>
      </c>
      <c r="AE3329" s="54" t="s">
        <v>2</v>
      </c>
      <c r="AF3329" s="54" t="s">
        <v>2</v>
      </c>
      <c r="AG3329" s="54" t="s">
        <v>2</v>
      </c>
    </row>
    <row r="3330" ht="15.75" customHeight="1">
      <c r="B3330" s="56"/>
      <c r="U3330" s="46" t="str">
        <f t="array" ref="U3330">IF($D3330="","",IFERROR(_xlfn.XLOOKUP($D3330,'TIR店舗一覧'!$D:$D,'TIR店舗一覧'!$E:$E,""),""))</f>
        <v/>
      </c>
      <c r="V3330" s="54" t="s">
        <v>2</v>
      </c>
      <c r="W3330" s="54" t="s">
        <v>2</v>
      </c>
      <c r="X3330" s="54" t="s">
        <v>2</v>
      </c>
      <c r="Y3330" s="54" t="s">
        <v>2</v>
      </c>
      <c r="Z3330" s="54" t="s">
        <v>2</v>
      </c>
      <c r="AA3330" s="54" t="s">
        <v>2</v>
      </c>
      <c r="AB3330" s="54" t="s">
        <v>2</v>
      </c>
      <c r="AC3330" s="54" t="s">
        <v>2</v>
      </c>
      <c r="AD3330" s="54" t="s">
        <v>2</v>
      </c>
      <c r="AE3330" s="54" t="s">
        <v>2</v>
      </c>
      <c r="AF3330" s="54" t="s">
        <v>2</v>
      </c>
      <c r="AG3330" s="54" t="s">
        <v>2</v>
      </c>
    </row>
    <row r="3331" ht="15.75" customHeight="1">
      <c r="B3331" s="56"/>
      <c r="U3331" s="46" t="str">
        <f t="array" ref="U3331">IF($D3331="","",IFERROR(_xlfn.XLOOKUP($D3331,'TIR店舗一覧'!$D:$D,'TIR店舗一覧'!$E:$E,""),""))</f>
        <v/>
      </c>
      <c r="V3331" s="54" t="s">
        <v>2</v>
      </c>
      <c r="W3331" s="54" t="s">
        <v>2</v>
      </c>
      <c r="X3331" s="54" t="s">
        <v>2</v>
      </c>
      <c r="Y3331" s="54" t="s">
        <v>2</v>
      </c>
      <c r="Z3331" s="54" t="s">
        <v>2</v>
      </c>
      <c r="AA3331" s="54" t="s">
        <v>2</v>
      </c>
      <c r="AB3331" s="54" t="s">
        <v>2</v>
      </c>
      <c r="AC3331" s="54" t="s">
        <v>2</v>
      </c>
      <c r="AD3331" s="54" t="s">
        <v>2</v>
      </c>
      <c r="AE3331" s="54" t="s">
        <v>2</v>
      </c>
      <c r="AF3331" s="54" t="s">
        <v>2</v>
      </c>
      <c r="AG3331" s="54" t="s">
        <v>2</v>
      </c>
    </row>
    <row r="3332" ht="15.75" customHeight="1">
      <c r="B3332" s="56"/>
      <c r="U3332" s="46" t="str">
        <f t="array" ref="U3332">IF($D3332="","",IFERROR(_xlfn.XLOOKUP($D3332,'TIR店舗一覧'!$D:$D,'TIR店舗一覧'!$E:$E,""),""))</f>
        <v/>
      </c>
      <c r="V3332" s="54" t="s">
        <v>2</v>
      </c>
      <c r="W3332" s="54" t="s">
        <v>2</v>
      </c>
      <c r="X3332" s="54" t="s">
        <v>2</v>
      </c>
      <c r="Y3332" s="54" t="s">
        <v>2</v>
      </c>
      <c r="Z3332" s="54" t="s">
        <v>2</v>
      </c>
      <c r="AA3332" s="54" t="s">
        <v>2</v>
      </c>
      <c r="AB3332" s="54" t="s">
        <v>2</v>
      </c>
      <c r="AC3332" s="54" t="s">
        <v>2</v>
      </c>
      <c r="AD3332" s="54" t="s">
        <v>2</v>
      </c>
      <c r="AE3332" s="54" t="s">
        <v>2</v>
      </c>
      <c r="AF3332" s="54" t="s">
        <v>2</v>
      </c>
      <c r="AG3332" s="54" t="s">
        <v>2</v>
      </c>
    </row>
    <row r="3333" ht="15.75" customHeight="1">
      <c r="B3333" s="56"/>
      <c r="U3333" s="46" t="str">
        <f t="array" ref="U3333">IF($D3333="","",IFERROR(_xlfn.XLOOKUP($D3333,'TIR店舗一覧'!$D:$D,'TIR店舗一覧'!$E:$E,""),""))</f>
        <v/>
      </c>
      <c r="V3333" s="54" t="s">
        <v>2</v>
      </c>
      <c r="W3333" s="54" t="s">
        <v>2</v>
      </c>
      <c r="X3333" s="54" t="s">
        <v>2</v>
      </c>
      <c r="Y3333" s="54" t="s">
        <v>2</v>
      </c>
      <c r="Z3333" s="54" t="s">
        <v>2</v>
      </c>
      <c r="AA3333" s="54" t="s">
        <v>2</v>
      </c>
      <c r="AB3333" s="54" t="s">
        <v>2</v>
      </c>
      <c r="AC3333" s="54" t="s">
        <v>2</v>
      </c>
      <c r="AD3333" s="54" t="s">
        <v>2</v>
      </c>
      <c r="AE3333" s="54" t="s">
        <v>2</v>
      </c>
      <c r="AF3333" s="54" t="s">
        <v>2</v>
      </c>
      <c r="AG3333" s="54" t="s">
        <v>2</v>
      </c>
    </row>
    <row r="3334" ht="15.75" customHeight="1">
      <c r="B3334" s="56"/>
      <c r="U3334" s="46" t="str">
        <f t="array" ref="U3334">IF($D3334="","",IFERROR(_xlfn.XLOOKUP($D3334,'TIR店舗一覧'!$D:$D,'TIR店舗一覧'!$E:$E,""),""))</f>
        <v/>
      </c>
      <c r="V3334" s="54" t="s">
        <v>2</v>
      </c>
      <c r="W3334" s="54" t="s">
        <v>2</v>
      </c>
      <c r="X3334" s="54" t="s">
        <v>2</v>
      </c>
      <c r="Y3334" s="54" t="s">
        <v>2</v>
      </c>
      <c r="Z3334" s="54" t="s">
        <v>2</v>
      </c>
      <c r="AA3334" s="54" t="s">
        <v>2</v>
      </c>
      <c r="AB3334" s="54" t="s">
        <v>2</v>
      </c>
      <c r="AC3334" s="54" t="s">
        <v>2</v>
      </c>
      <c r="AD3334" s="54" t="s">
        <v>2</v>
      </c>
      <c r="AE3334" s="54" t="s">
        <v>2</v>
      </c>
      <c r="AF3334" s="54" t="s">
        <v>2</v>
      </c>
      <c r="AG3334" s="54" t="s">
        <v>2</v>
      </c>
    </row>
    <row r="3335" ht="15.75" customHeight="1">
      <c r="B3335" s="56"/>
      <c r="U3335" s="46" t="str">
        <f t="array" ref="U3335">IF($D3335="","",IFERROR(_xlfn.XLOOKUP($D3335,'TIR店舗一覧'!$D:$D,'TIR店舗一覧'!$E:$E,""),""))</f>
        <v/>
      </c>
      <c r="V3335" s="54" t="s">
        <v>2</v>
      </c>
      <c r="W3335" s="54" t="s">
        <v>2</v>
      </c>
      <c r="X3335" s="54" t="s">
        <v>2</v>
      </c>
      <c r="Y3335" s="54" t="s">
        <v>2</v>
      </c>
      <c r="Z3335" s="54" t="s">
        <v>2</v>
      </c>
      <c r="AA3335" s="54" t="s">
        <v>2</v>
      </c>
      <c r="AB3335" s="54" t="s">
        <v>2</v>
      </c>
      <c r="AC3335" s="54" t="s">
        <v>2</v>
      </c>
      <c r="AD3335" s="54" t="s">
        <v>2</v>
      </c>
      <c r="AE3335" s="54" t="s">
        <v>2</v>
      </c>
      <c r="AF3335" s="54" t="s">
        <v>2</v>
      </c>
      <c r="AG3335" s="54" t="s">
        <v>2</v>
      </c>
    </row>
    <row r="3336" ht="15.75" customHeight="1">
      <c r="B3336" s="56"/>
      <c r="U3336" s="46" t="str">
        <f t="array" ref="U3336">IF($D3336="","",IFERROR(_xlfn.XLOOKUP($D3336,'TIR店舗一覧'!$D:$D,'TIR店舗一覧'!$E:$E,""),""))</f>
        <v/>
      </c>
      <c r="V3336" s="54" t="s">
        <v>2</v>
      </c>
      <c r="W3336" s="54" t="s">
        <v>2</v>
      </c>
      <c r="X3336" s="54" t="s">
        <v>2</v>
      </c>
      <c r="Y3336" s="54" t="s">
        <v>2</v>
      </c>
      <c r="Z3336" s="54" t="s">
        <v>2</v>
      </c>
      <c r="AA3336" s="54" t="s">
        <v>2</v>
      </c>
      <c r="AB3336" s="54" t="s">
        <v>2</v>
      </c>
      <c r="AC3336" s="54" t="s">
        <v>2</v>
      </c>
      <c r="AD3336" s="54" t="s">
        <v>2</v>
      </c>
      <c r="AE3336" s="54" t="s">
        <v>2</v>
      </c>
      <c r="AF3336" s="54" t="s">
        <v>2</v>
      </c>
      <c r="AG3336" s="54" t="s">
        <v>2</v>
      </c>
    </row>
    <row r="3337" ht="15.75" customHeight="1">
      <c r="B3337" s="56"/>
      <c r="U3337" s="46" t="str">
        <f t="array" ref="U3337">IF($D3337="","",IFERROR(_xlfn.XLOOKUP($D3337,'TIR店舗一覧'!$D:$D,'TIR店舗一覧'!$E:$E,""),""))</f>
        <v/>
      </c>
      <c r="V3337" s="54" t="s">
        <v>2</v>
      </c>
      <c r="W3337" s="54" t="s">
        <v>2</v>
      </c>
      <c r="X3337" s="54" t="s">
        <v>2</v>
      </c>
      <c r="Y3337" s="54" t="s">
        <v>2</v>
      </c>
      <c r="Z3337" s="54" t="s">
        <v>2</v>
      </c>
      <c r="AA3337" s="54" t="s">
        <v>2</v>
      </c>
      <c r="AB3337" s="54" t="s">
        <v>2</v>
      </c>
      <c r="AC3337" s="54" t="s">
        <v>2</v>
      </c>
      <c r="AD3337" s="54" t="s">
        <v>2</v>
      </c>
      <c r="AE3337" s="54" t="s">
        <v>2</v>
      </c>
      <c r="AF3337" s="54" t="s">
        <v>2</v>
      </c>
      <c r="AG3337" s="54" t="s">
        <v>2</v>
      </c>
    </row>
    <row r="3338" ht="15.75" customHeight="1">
      <c r="B3338" s="56"/>
      <c r="U3338" s="46" t="str">
        <f t="array" ref="U3338">IF($D3338="","",IFERROR(_xlfn.XLOOKUP($D3338,'TIR店舗一覧'!$D:$D,'TIR店舗一覧'!$E:$E,""),""))</f>
        <v/>
      </c>
      <c r="V3338" s="54" t="s">
        <v>2</v>
      </c>
      <c r="W3338" s="54" t="s">
        <v>2</v>
      </c>
      <c r="X3338" s="54" t="s">
        <v>2</v>
      </c>
      <c r="Y3338" s="54" t="s">
        <v>2</v>
      </c>
      <c r="Z3338" s="54" t="s">
        <v>2</v>
      </c>
      <c r="AA3338" s="54" t="s">
        <v>2</v>
      </c>
      <c r="AB3338" s="54" t="s">
        <v>2</v>
      </c>
      <c r="AC3338" s="54" t="s">
        <v>2</v>
      </c>
      <c r="AD3338" s="54" t="s">
        <v>2</v>
      </c>
      <c r="AE3338" s="54" t="s">
        <v>2</v>
      </c>
      <c r="AF3338" s="54" t="s">
        <v>2</v>
      </c>
      <c r="AG3338" s="54" t="s">
        <v>2</v>
      </c>
    </row>
    <row r="3339" ht="15.75" customHeight="1">
      <c r="B3339" s="56"/>
      <c r="U3339" s="46" t="str">
        <f t="array" ref="U3339">IF($D3339="","",IFERROR(_xlfn.XLOOKUP($D3339,'TIR店舗一覧'!$D:$D,'TIR店舗一覧'!$E:$E,""),""))</f>
        <v/>
      </c>
      <c r="V3339" s="54" t="s">
        <v>2</v>
      </c>
      <c r="W3339" s="54" t="s">
        <v>2</v>
      </c>
      <c r="X3339" s="54" t="s">
        <v>2</v>
      </c>
      <c r="Y3339" s="54" t="s">
        <v>2</v>
      </c>
      <c r="Z3339" s="54" t="s">
        <v>2</v>
      </c>
      <c r="AA3339" s="54" t="s">
        <v>2</v>
      </c>
      <c r="AB3339" s="54" t="s">
        <v>2</v>
      </c>
      <c r="AC3339" s="54" t="s">
        <v>2</v>
      </c>
      <c r="AD3339" s="54" t="s">
        <v>2</v>
      </c>
      <c r="AE3339" s="54" t="s">
        <v>2</v>
      </c>
      <c r="AF3339" s="54" t="s">
        <v>2</v>
      </c>
      <c r="AG3339" s="54" t="s">
        <v>2</v>
      </c>
    </row>
    <row r="3340" ht="15.75" customHeight="1">
      <c r="B3340" s="56"/>
      <c r="U3340" s="46" t="str">
        <f t="array" ref="U3340">IF($D3340="","",IFERROR(_xlfn.XLOOKUP($D3340,'TIR店舗一覧'!$D:$D,'TIR店舗一覧'!$E:$E,""),""))</f>
        <v/>
      </c>
      <c r="V3340" s="54" t="s">
        <v>2</v>
      </c>
      <c r="W3340" s="54" t="s">
        <v>2</v>
      </c>
      <c r="X3340" s="54" t="s">
        <v>2</v>
      </c>
      <c r="Y3340" s="54" t="s">
        <v>2</v>
      </c>
      <c r="Z3340" s="54" t="s">
        <v>2</v>
      </c>
      <c r="AA3340" s="54" t="s">
        <v>2</v>
      </c>
      <c r="AB3340" s="54" t="s">
        <v>2</v>
      </c>
      <c r="AC3340" s="54" t="s">
        <v>2</v>
      </c>
      <c r="AD3340" s="54" t="s">
        <v>2</v>
      </c>
      <c r="AE3340" s="54" t="s">
        <v>2</v>
      </c>
      <c r="AF3340" s="54" t="s">
        <v>2</v>
      </c>
      <c r="AG3340" s="54" t="s">
        <v>2</v>
      </c>
    </row>
    <row r="3341" ht="15.75" customHeight="1">
      <c r="B3341" s="56"/>
      <c r="U3341" s="46" t="str">
        <f t="array" ref="U3341">IF($D3341="","",IFERROR(_xlfn.XLOOKUP($D3341,'TIR店舗一覧'!$D:$D,'TIR店舗一覧'!$E:$E,""),""))</f>
        <v/>
      </c>
      <c r="V3341" s="54" t="s">
        <v>2</v>
      </c>
      <c r="W3341" s="54" t="s">
        <v>2</v>
      </c>
      <c r="X3341" s="54" t="s">
        <v>2</v>
      </c>
      <c r="Y3341" s="54" t="s">
        <v>2</v>
      </c>
      <c r="Z3341" s="54" t="s">
        <v>2</v>
      </c>
      <c r="AA3341" s="54" t="s">
        <v>2</v>
      </c>
      <c r="AB3341" s="54" t="s">
        <v>2</v>
      </c>
      <c r="AC3341" s="54" t="s">
        <v>2</v>
      </c>
      <c r="AD3341" s="54" t="s">
        <v>2</v>
      </c>
      <c r="AE3341" s="54" t="s">
        <v>2</v>
      </c>
      <c r="AF3341" s="54" t="s">
        <v>2</v>
      </c>
      <c r="AG3341" s="54" t="s">
        <v>2</v>
      </c>
    </row>
    <row r="3342" ht="15.75" customHeight="1">
      <c r="B3342" s="56"/>
      <c r="U3342" s="46" t="str">
        <f t="array" ref="U3342">IF($D3342="","",IFERROR(_xlfn.XLOOKUP($D3342,'TIR店舗一覧'!$D:$D,'TIR店舗一覧'!$E:$E,""),""))</f>
        <v/>
      </c>
      <c r="V3342" s="54" t="s">
        <v>2</v>
      </c>
      <c r="W3342" s="54" t="s">
        <v>2</v>
      </c>
      <c r="X3342" s="54" t="s">
        <v>2</v>
      </c>
      <c r="Y3342" s="54" t="s">
        <v>2</v>
      </c>
      <c r="Z3342" s="54" t="s">
        <v>2</v>
      </c>
      <c r="AA3342" s="54" t="s">
        <v>2</v>
      </c>
      <c r="AB3342" s="54" t="s">
        <v>2</v>
      </c>
      <c r="AC3342" s="54" t="s">
        <v>2</v>
      </c>
      <c r="AD3342" s="54" t="s">
        <v>2</v>
      </c>
      <c r="AE3342" s="54" t="s">
        <v>2</v>
      </c>
      <c r="AF3342" s="54" t="s">
        <v>2</v>
      </c>
      <c r="AG3342" s="54" t="s">
        <v>2</v>
      </c>
    </row>
    <row r="3343" ht="15.75" customHeight="1">
      <c r="B3343" s="56"/>
      <c r="U3343" s="46" t="str">
        <f t="array" ref="U3343">IF($D3343="","",IFERROR(_xlfn.XLOOKUP($D3343,'TIR店舗一覧'!$D:$D,'TIR店舗一覧'!$E:$E,""),""))</f>
        <v/>
      </c>
      <c r="V3343" s="54" t="s">
        <v>2</v>
      </c>
      <c r="W3343" s="54" t="s">
        <v>2</v>
      </c>
      <c r="X3343" s="54" t="s">
        <v>2</v>
      </c>
      <c r="Y3343" s="54" t="s">
        <v>2</v>
      </c>
      <c r="Z3343" s="54" t="s">
        <v>2</v>
      </c>
      <c r="AA3343" s="54" t="s">
        <v>2</v>
      </c>
      <c r="AB3343" s="54" t="s">
        <v>2</v>
      </c>
      <c r="AC3343" s="54" t="s">
        <v>2</v>
      </c>
      <c r="AD3343" s="54" t="s">
        <v>2</v>
      </c>
      <c r="AE3343" s="54" t="s">
        <v>2</v>
      </c>
      <c r="AF3343" s="54" t="s">
        <v>2</v>
      </c>
      <c r="AG3343" s="54" t="s">
        <v>2</v>
      </c>
    </row>
    <row r="3344" ht="15.75" customHeight="1">
      <c r="B3344" s="56"/>
      <c r="U3344" s="46" t="str">
        <f t="array" ref="U3344">IF($D3344="","",IFERROR(_xlfn.XLOOKUP($D3344,'TIR店舗一覧'!$D:$D,'TIR店舗一覧'!$E:$E,""),""))</f>
        <v/>
      </c>
      <c r="V3344" s="54" t="s">
        <v>2</v>
      </c>
      <c r="W3344" s="54" t="s">
        <v>2</v>
      </c>
      <c r="X3344" s="54" t="s">
        <v>2</v>
      </c>
      <c r="Y3344" s="54" t="s">
        <v>2</v>
      </c>
      <c r="Z3344" s="54" t="s">
        <v>2</v>
      </c>
      <c r="AA3344" s="54" t="s">
        <v>2</v>
      </c>
      <c r="AB3344" s="54" t="s">
        <v>2</v>
      </c>
      <c r="AC3344" s="54" t="s">
        <v>2</v>
      </c>
      <c r="AD3344" s="54" t="s">
        <v>2</v>
      </c>
      <c r="AE3344" s="54" t="s">
        <v>2</v>
      </c>
      <c r="AF3344" s="54" t="s">
        <v>2</v>
      </c>
      <c r="AG3344" s="54" t="s">
        <v>2</v>
      </c>
    </row>
    <row r="3345" ht="15.75" customHeight="1">
      <c r="B3345" s="56"/>
      <c r="U3345" s="46" t="str">
        <f t="array" ref="U3345">IF($D3345="","",IFERROR(_xlfn.XLOOKUP($D3345,'TIR店舗一覧'!$D:$D,'TIR店舗一覧'!$E:$E,""),""))</f>
        <v/>
      </c>
      <c r="V3345" s="54" t="s">
        <v>2</v>
      </c>
      <c r="W3345" s="54" t="s">
        <v>2</v>
      </c>
      <c r="X3345" s="54" t="s">
        <v>2</v>
      </c>
      <c r="Y3345" s="54" t="s">
        <v>2</v>
      </c>
      <c r="Z3345" s="54" t="s">
        <v>2</v>
      </c>
      <c r="AA3345" s="54" t="s">
        <v>2</v>
      </c>
      <c r="AB3345" s="54" t="s">
        <v>2</v>
      </c>
      <c r="AC3345" s="54" t="s">
        <v>2</v>
      </c>
      <c r="AD3345" s="54" t="s">
        <v>2</v>
      </c>
      <c r="AE3345" s="54" t="s">
        <v>2</v>
      </c>
      <c r="AF3345" s="54" t="s">
        <v>2</v>
      </c>
      <c r="AG3345" s="54" t="s">
        <v>2</v>
      </c>
    </row>
    <row r="3346" ht="15.75" customHeight="1">
      <c r="B3346" s="56"/>
      <c r="U3346" s="46" t="str">
        <f t="array" ref="U3346">IF($D3346="","",IFERROR(_xlfn.XLOOKUP($D3346,'TIR店舗一覧'!$D:$D,'TIR店舗一覧'!$E:$E,""),""))</f>
        <v/>
      </c>
      <c r="V3346" s="54" t="s">
        <v>2</v>
      </c>
      <c r="W3346" s="54" t="s">
        <v>2</v>
      </c>
      <c r="X3346" s="54" t="s">
        <v>2</v>
      </c>
      <c r="Y3346" s="54" t="s">
        <v>2</v>
      </c>
      <c r="Z3346" s="54" t="s">
        <v>2</v>
      </c>
      <c r="AA3346" s="54" t="s">
        <v>2</v>
      </c>
      <c r="AB3346" s="54" t="s">
        <v>2</v>
      </c>
      <c r="AC3346" s="54" t="s">
        <v>2</v>
      </c>
      <c r="AD3346" s="54" t="s">
        <v>2</v>
      </c>
      <c r="AE3346" s="54" t="s">
        <v>2</v>
      </c>
      <c r="AF3346" s="54" t="s">
        <v>2</v>
      </c>
      <c r="AG3346" s="54" t="s">
        <v>2</v>
      </c>
    </row>
    <row r="3347" ht="15.75" customHeight="1">
      <c r="B3347" s="56"/>
      <c r="U3347" s="46" t="str">
        <f t="array" ref="U3347">IF($D3347="","",IFERROR(_xlfn.XLOOKUP($D3347,'TIR店舗一覧'!$D:$D,'TIR店舗一覧'!$E:$E,""),""))</f>
        <v/>
      </c>
      <c r="V3347" s="54" t="s">
        <v>2</v>
      </c>
      <c r="W3347" s="54" t="s">
        <v>2</v>
      </c>
      <c r="X3347" s="54" t="s">
        <v>2</v>
      </c>
      <c r="Y3347" s="54" t="s">
        <v>2</v>
      </c>
      <c r="Z3347" s="54" t="s">
        <v>2</v>
      </c>
      <c r="AA3347" s="54" t="s">
        <v>2</v>
      </c>
      <c r="AB3347" s="54" t="s">
        <v>2</v>
      </c>
      <c r="AC3347" s="54" t="s">
        <v>2</v>
      </c>
      <c r="AD3347" s="54" t="s">
        <v>2</v>
      </c>
      <c r="AE3347" s="54" t="s">
        <v>2</v>
      </c>
      <c r="AF3347" s="54" t="s">
        <v>2</v>
      </c>
      <c r="AG3347" s="54" t="s">
        <v>2</v>
      </c>
    </row>
    <row r="3348" ht="15.75" customHeight="1">
      <c r="B3348" s="56"/>
      <c r="U3348" s="46" t="str">
        <f t="array" ref="U3348">IF($D3348="","",IFERROR(_xlfn.XLOOKUP($D3348,'TIR店舗一覧'!$D:$D,'TIR店舗一覧'!$E:$E,""),""))</f>
        <v/>
      </c>
      <c r="V3348" s="54" t="s">
        <v>2</v>
      </c>
      <c r="W3348" s="54" t="s">
        <v>2</v>
      </c>
      <c r="X3348" s="54" t="s">
        <v>2</v>
      </c>
      <c r="Y3348" s="54" t="s">
        <v>2</v>
      </c>
      <c r="Z3348" s="54" t="s">
        <v>2</v>
      </c>
      <c r="AA3348" s="54" t="s">
        <v>2</v>
      </c>
      <c r="AB3348" s="54" t="s">
        <v>2</v>
      </c>
      <c r="AC3348" s="54" t="s">
        <v>2</v>
      </c>
      <c r="AD3348" s="54" t="s">
        <v>2</v>
      </c>
      <c r="AE3348" s="54" t="s">
        <v>2</v>
      </c>
      <c r="AF3348" s="54" t="s">
        <v>2</v>
      </c>
      <c r="AG3348" s="54" t="s">
        <v>2</v>
      </c>
    </row>
    <row r="3349" ht="15.75" customHeight="1">
      <c r="B3349" s="56"/>
      <c r="U3349" s="46" t="str">
        <f t="array" ref="U3349">IF($D3349="","",IFERROR(_xlfn.XLOOKUP($D3349,'TIR店舗一覧'!$D:$D,'TIR店舗一覧'!$E:$E,""),""))</f>
        <v/>
      </c>
      <c r="V3349" s="54" t="s">
        <v>2</v>
      </c>
      <c r="W3349" s="54" t="s">
        <v>2</v>
      </c>
      <c r="X3349" s="54" t="s">
        <v>2</v>
      </c>
      <c r="Y3349" s="54" t="s">
        <v>2</v>
      </c>
      <c r="Z3349" s="54" t="s">
        <v>2</v>
      </c>
      <c r="AA3349" s="54" t="s">
        <v>2</v>
      </c>
      <c r="AB3349" s="54" t="s">
        <v>2</v>
      </c>
      <c r="AC3349" s="54" t="s">
        <v>2</v>
      </c>
      <c r="AD3349" s="54" t="s">
        <v>2</v>
      </c>
      <c r="AE3349" s="54" t="s">
        <v>2</v>
      </c>
      <c r="AF3349" s="54" t="s">
        <v>2</v>
      </c>
      <c r="AG3349" s="54" t="s">
        <v>2</v>
      </c>
    </row>
    <row r="3350" ht="15.75" customHeight="1">
      <c r="B3350" s="56"/>
      <c r="U3350" s="46" t="str">
        <f t="array" ref="U3350">IF($D3350="","",IFERROR(_xlfn.XLOOKUP($D3350,'TIR店舗一覧'!$D:$D,'TIR店舗一覧'!$E:$E,""),""))</f>
        <v/>
      </c>
      <c r="V3350" s="54" t="s">
        <v>2</v>
      </c>
      <c r="W3350" s="54" t="s">
        <v>2</v>
      </c>
      <c r="X3350" s="54" t="s">
        <v>2</v>
      </c>
      <c r="Y3350" s="54" t="s">
        <v>2</v>
      </c>
      <c r="Z3350" s="54" t="s">
        <v>2</v>
      </c>
      <c r="AA3350" s="54" t="s">
        <v>2</v>
      </c>
      <c r="AB3350" s="54" t="s">
        <v>2</v>
      </c>
      <c r="AC3350" s="54" t="s">
        <v>2</v>
      </c>
      <c r="AD3350" s="54" t="s">
        <v>2</v>
      </c>
      <c r="AE3350" s="54" t="s">
        <v>2</v>
      </c>
      <c r="AF3350" s="54" t="s">
        <v>2</v>
      </c>
      <c r="AG3350" s="54" t="s">
        <v>2</v>
      </c>
    </row>
    <row r="3351" ht="15.75" customHeight="1">
      <c r="B3351" s="56"/>
      <c r="U3351" s="46" t="str">
        <f t="array" ref="U3351">IF($D3351="","",IFERROR(_xlfn.XLOOKUP($D3351,'TIR店舗一覧'!$D:$D,'TIR店舗一覧'!$E:$E,""),""))</f>
        <v/>
      </c>
      <c r="V3351" s="54" t="s">
        <v>2</v>
      </c>
      <c r="W3351" s="54" t="s">
        <v>2</v>
      </c>
      <c r="X3351" s="54" t="s">
        <v>2</v>
      </c>
      <c r="Y3351" s="54" t="s">
        <v>2</v>
      </c>
      <c r="Z3351" s="54" t="s">
        <v>2</v>
      </c>
      <c r="AA3351" s="54" t="s">
        <v>2</v>
      </c>
      <c r="AB3351" s="54" t="s">
        <v>2</v>
      </c>
      <c r="AC3351" s="54" t="s">
        <v>2</v>
      </c>
      <c r="AD3351" s="54" t="s">
        <v>2</v>
      </c>
      <c r="AE3351" s="54" t="s">
        <v>2</v>
      </c>
      <c r="AF3351" s="54" t="s">
        <v>2</v>
      </c>
      <c r="AG3351" s="54" t="s">
        <v>2</v>
      </c>
    </row>
    <row r="3352" ht="15.75" customHeight="1">
      <c r="B3352" s="56"/>
      <c r="U3352" s="46" t="str">
        <f t="array" ref="U3352">IF($D3352="","",IFERROR(_xlfn.XLOOKUP($D3352,'TIR店舗一覧'!$D:$D,'TIR店舗一覧'!$E:$E,""),""))</f>
        <v/>
      </c>
      <c r="V3352" s="54" t="s">
        <v>2</v>
      </c>
      <c r="W3352" s="54" t="s">
        <v>2</v>
      </c>
      <c r="X3352" s="54" t="s">
        <v>2</v>
      </c>
      <c r="Y3352" s="54" t="s">
        <v>2</v>
      </c>
      <c r="Z3352" s="54" t="s">
        <v>2</v>
      </c>
      <c r="AA3352" s="54" t="s">
        <v>2</v>
      </c>
      <c r="AB3352" s="54" t="s">
        <v>2</v>
      </c>
      <c r="AC3352" s="54" t="s">
        <v>2</v>
      </c>
      <c r="AD3352" s="54" t="s">
        <v>2</v>
      </c>
      <c r="AE3352" s="54" t="s">
        <v>2</v>
      </c>
      <c r="AF3352" s="54" t="s">
        <v>2</v>
      </c>
      <c r="AG3352" s="54" t="s">
        <v>2</v>
      </c>
    </row>
    <row r="3353" ht="15.75" customHeight="1">
      <c r="B3353" s="56"/>
      <c r="U3353" s="46" t="str">
        <f t="array" ref="U3353">IF($D3353="","",IFERROR(_xlfn.XLOOKUP($D3353,'TIR店舗一覧'!$D:$D,'TIR店舗一覧'!$E:$E,""),""))</f>
        <v/>
      </c>
      <c r="V3353" s="54" t="s">
        <v>2</v>
      </c>
      <c r="W3353" s="54" t="s">
        <v>2</v>
      </c>
      <c r="X3353" s="54" t="s">
        <v>2</v>
      </c>
      <c r="Y3353" s="54" t="s">
        <v>2</v>
      </c>
      <c r="Z3353" s="54" t="s">
        <v>2</v>
      </c>
      <c r="AA3353" s="54" t="s">
        <v>2</v>
      </c>
      <c r="AB3353" s="54" t="s">
        <v>2</v>
      </c>
      <c r="AC3353" s="54" t="s">
        <v>2</v>
      </c>
      <c r="AD3353" s="54" t="s">
        <v>2</v>
      </c>
      <c r="AE3353" s="54" t="s">
        <v>2</v>
      </c>
      <c r="AF3353" s="54" t="s">
        <v>2</v>
      </c>
      <c r="AG3353" s="54" t="s">
        <v>2</v>
      </c>
    </row>
    <row r="3354" ht="15.75" customHeight="1">
      <c r="B3354" s="56"/>
      <c r="U3354" s="46" t="str">
        <f t="array" ref="U3354">IF($D3354="","",IFERROR(_xlfn.XLOOKUP($D3354,'TIR店舗一覧'!$D:$D,'TIR店舗一覧'!$E:$E,""),""))</f>
        <v/>
      </c>
      <c r="V3354" s="54" t="s">
        <v>2</v>
      </c>
      <c r="W3354" s="54" t="s">
        <v>2</v>
      </c>
      <c r="X3354" s="54" t="s">
        <v>2</v>
      </c>
      <c r="Y3354" s="54" t="s">
        <v>2</v>
      </c>
      <c r="Z3354" s="54" t="s">
        <v>2</v>
      </c>
      <c r="AA3354" s="54" t="s">
        <v>2</v>
      </c>
      <c r="AB3354" s="54" t="s">
        <v>2</v>
      </c>
      <c r="AC3354" s="54" t="s">
        <v>2</v>
      </c>
      <c r="AD3354" s="54" t="s">
        <v>2</v>
      </c>
      <c r="AE3354" s="54" t="s">
        <v>2</v>
      </c>
      <c r="AF3354" s="54" t="s">
        <v>2</v>
      </c>
      <c r="AG3354" s="54" t="s">
        <v>2</v>
      </c>
    </row>
    <row r="3355" ht="15.75" customHeight="1">
      <c r="B3355" s="56"/>
      <c r="U3355" s="46" t="str">
        <f t="array" ref="U3355">IF($D3355="","",IFERROR(_xlfn.XLOOKUP($D3355,'TIR店舗一覧'!$D:$D,'TIR店舗一覧'!$E:$E,""),""))</f>
        <v/>
      </c>
      <c r="V3355" s="54" t="s">
        <v>2</v>
      </c>
      <c r="W3355" s="54" t="s">
        <v>2</v>
      </c>
      <c r="X3355" s="54" t="s">
        <v>2</v>
      </c>
      <c r="Y3355" s="54" t="s">
        <v>2</v>
      </c>
      <c r="Z3355" s="54" t="s">
        <v>2</v>
      </c>
      <c r="AA3355" s="54" t="s">
        <v>2</v>
      </c>
      <c r="AB3355" s="54" t="s">
        <v>2</v>
      </c>
      <c r="AC3355" s="54" t="s">
        <v>2</v>
      </c>
      <c r="AD3355" s="54" t="s">
        <v>2</v>
      </c>
      <c r="AE3355" s="54" t="s">
        <v>2</v>
      </c>
      <c r="AF3355" s="54" t="s">
        <v>2</v>
      </c>
      <c r="AG3355" s="54" t="s">
        <v>2</v>
      </c>
    </row>
    <row r="3356" ht="15.75" customHeight="1">
      <c r="B3356" s="56"/>
      <c r="U3356" s="46" t="str">
        <f t="array" ref="U3356">IF($D3356="","",IFERROR(_xlfn.XLOOKUP($D3356,'TIR店舗一覧'!$D:$D,'TIR店舗一覧'!$E:$E,""),""))</f>
        <v/>
      </c>
      <c r="V3356" s="54" t="s">
        <v>2</v>
      </c>
      <c r="W3356" s="54" t="s">
        <v>2</v>
      </c>
      <c r="X3356" s="54" t="s">
        <v>2</v>
      </c>
      <c r="Y3356" s="54" t="s">
        <v>2</v>
      </c>
      <c r="Z3356" s="54" t="s">
        <v>2</v>
      </c>
      <c r="AA3356" s="54" t="s">
        <v>2</v>
      </c>
      <c r="AB3356" s="54" t="s">
        <v>2</v>
      </c>
      <c r="AC3356" s="54" t="s">
        <v>2</v>
      </c>
      <c r="AD3356" s="54" t="s">
        <v>2</v>
      </c>
      <c r="AE3356" s="54" t="s">
        <v>2</v>
      </c>
      <c r="AF3356" s="54" t="s">
        <v>2</v>
      </c>
      <c r="AG3356" s="54" t="s">
        <v>2</v>
      </c>
    </row>
    <row r="3357" ht="15.75" customHeight="1">
      <c r="B3357" s="56"/>
      <c r="U3357" s="46" t="str">
        <f t="array" ref="U3357">IF($D3357="","",IFERROR(_xlfn.XLOOKUP($D3357,'TIR店舗一覧'!$D:$D,'TIR店舗一覧'!$E:$E,""),""))</f>
        <v/>
      </c>
      <c r="V3357" s="54" t="s">
        <v>2</v>
      </c>
      <c r="W3357" s="54" t="s">
        <v>2</v>
      </c>
      <c r="X3357" s="54" t="s">
        <v>2</v>
      </c>
      <c r="Y3357" s="54" t="s">
        <v>2</v>
      </c>
      <c r="Z3357" s="54" t="s">
        <v>2</v>
      </c>
      <c r="AA3357" s="54" t="s">
        <v>2</v>
      </c>
      <c r="AB3357" s="54" t="s">
        <v>2</v>
      </c>
      <c r="AC3357" s="54" t="s">
        <v>2</v>
      </c>
      <c r="AD3357" s="54" t="s">
        <v>2</v>
      </c>
      <c r="AE3357" s="54" t="s">
        <v>2</v>
      </c>
      <c r="AF3357" s="54" t="s">
        <v>2</v>
      </c>
      <c r="AG3357" s="54" t="s">
        <v>2</v>
      </c>
    </row>
    <row r="3358" ht="15.75" customHeight="1">
      <c r="B3358" s="56"/>
      <c r="U3358" s="46" t="str">
        <f t="array" ref="U3358">IF($D3358="","",IFERROR(_xlfn.XLOOKUP($D3358,'TIR店舗一覧'!$D:$D,'TIR店舗一覧'!$E:$E,""),""))</f>
        <v/>
      </c>
      <c r="V3358" s="54" t="s">
        <v>2</v>
      </c>
      <c r="W3358" s="54" t="s">
        <v>2</v>
      </c>
      <c r="X3358" s="54" t="s">
        <v>2</v>
      </c>
      <c r="Y3358" s="54" t="s">
        <v>2</v>
      </c>
      <c r="Z3358" s="54" t="s">
        <v>2</v>
      </c>
      <c r="AA3358" s="54" t="s">
        <v>2</v>
      </c>
      <c r="AB3358" s="54" t="s">
        <v>2</v>
      </c>
      <c r="AC3358" s="54" t="s">
        <v>2</v>
      </c>
      <c r="AD3358" s="54" t="s">
        <v>2</v>
      </c>
      <c r="AE3358" s="54" t="s">
        <v>2</v>
      </c>
      <c r="AF3358" s="54" t="s">
        <v>2</v>
      </c>
      <c r="AG3358" s="54" t="s">
        <v>2</v>
      </c>
    </row>
    <row r="3359" ht="15.75" customHeight="1">
      <c r="B3359" s="56"/>
      <c r="U3359" s="46" t="str">
        <f t="array" ref="U3359">IF($D3359="","",IFERROR(_xlfn.XLOOKUP($D3359,'TIR店舗一覧'!$D:$D,'TIR店舗一覧'!$E:$E,""),""))</f>
        <v/>
      </c>
      <c r="V3359" s="54" t="s">
        <v>2</v>
      </c>
      <c r="W3359" s="54" t="s">
        <v>2</v>
      </c>
      <c r="X3359" s="54" t="s">
        <v>2</v>
      </c>
      <c r="Y3359" s="54" t="s">
        <v>2</v>
      </c>
      <c r="Z3359" s="54" t="s">
        <v>2</v>
      </c>
      <c r="AA3359" s="54" t="s">
        <v>2</v>
      </c>
      <c r="AB3359" s="54" t="s">
        <v>2</v>
      </c>
      <c r="AC3359" s="54" t="s">
        <v>2</v>
      </c>
      <c r="AD3359" s="54" t="s">
        <v>2</v>
      </c>
      <c r="AE3359" s="54" t="s">
        <v>2</v>
      </c>
      <c r="AF3359" s="54" t="s">
        <v>2</v>
      </c>
      <c r="AG3359" s="54" t="s">
        <v>2</v>
      </c>
    </row>
    <row r="3360" ht="15.75" customHeight="1">
      <c r="B3360" s="56"/>
      <c r="U3360" s="46" t="str">
        <f t="array" ref="U3360">IF($D3360="","",IFERROR(_xlfn.XLOOKUP($D3360,'TIR店舗一覧'!$D:$D,'TIR店舗一覧'!$E:$E,""),""))</f>
        <v/>
      </c>
      <c r="V3360" s="54" t="s">
        <v>2</v>
      </c>
      <c r="W3360" s="54" t="s">
        <v>2</v>
      </c>
      <c r="X3360" s="54" t="s">
        <v>2</v>
      </c>
      <c r="Y3360" s="54" t="s">
        <v>2</v>
      </c>
      <c r="Z3360" s="54" t="s">
        <v>2</v>
      </c>
      <c r="AA3360" s="54" t="s">
        <v>2</v>
      </c>
      <c r="AB3360" s="54" t="s">
        <v>2</v>
      </c>
      <c r="AC3360" s="54" t="s">
        <v>2</v>
      </c>
      <c r="AD3360" s="54" t="s">
        <v>2</v>
      </c>
      <c r="AE3360" s="54" t="s">
        <v>2</v>
      </c>
      <c r="AF3360" s="54" t="s">
        <v>2</v>
      </c>
      <c r="AG3360" s="54" t="s">
        <v>2</v>
      </c>
    </row>
    <row r="3361" ht="15.75" customHeight="1">
      <c r="B3361" s="56"/>
      <c r="U3361" s="46" t="str">
        <f t="array" ref="U3361">IF($D3361="","",IFERROR(_xlfn.XLOOKUP($D3361,'TIR店舗一覧'!$D:$D,'TIR店舗一覧'!$E:$E,""),""))</f>
        <v/>
      </c>
      <c r="V3361" s="54" t="s">
        <v>2</v>
      </c>
      <c r="W3361" s="54" t="s">
        <v>2</v>
      </c>
      <c r="X3361" s="54" t="s">
        <v>2</v>
      </c>
      <c r="Y3361" s="54" t="s">
        <v>2</v>
      </c>
      <c r="Z3361" s="54" t="s">
        <v>2</v>
      </c>
      <c r="AA3361" s="54" t="s">
        <v>2</v>
      </c>
      <c r="AB3361" s="54" t="s">
        <v>2</v>
      </c>
      <c r="AC3361" s="54" t="s">
        <v>2</v>
      </c>
      <c r="AD3361" s="54" t="s">
        <v>2</v>
      </c>
      <c r="AE3361" s="54" t="s">
        <v>2</v>
      </c>
      <c r="AF3361" s="54" t="s">
        <v>2</v>
      </c>
      <c r="AG3361" s="54" t="s">
        <v>2</v>
      </c>
    </row>
    <row r="3362" ht="15.75" customHeight="1">
      <c r="B3362" s="56"/>
      <c r="U3362" s="46" t="str">
        <f t="array" ref="U3362">IF($D3362="","",IFERROR(_xlfn.XLOOKUP($D3362,'TIR店舗一覧'!$D:$D,'TIR店舗一覧'!$E:$E,""),""))</f>
        <v/>
      </c>
      <c r="V3362" s="54" t="s">
        <v>2</v>
      </c>
      <c r="W3362" s="54" t="s">
        <v>2</v>
      </c>
      <c r="X3362" s="54" t="s">
        <v>2</v>
      </c>
      <c r="Y3362" s="54" t="s">
        <v>2</v>
      </c>
      <c r="Z3362" s="54" t="s">
        <v>2</v>
      </c>
      <c r="AA3362" s="54" t="s">
        <v>2</v>
      </c>
      <c r="AB3362" s="54" t="s">
        <v>2</v>
      </c>
      <c r="AC3362" s="54" t="s">
        <v>2</v>
      </c>
      <c r="AD3362" s="54" t="s">
        <v>2</v>
      </c>
      <c r="AE3362" s="54" t="s">
        <v>2</v>
      </c>
      <c r="AF3362" s="54" t="s">
        <v>2</v>
      </c>
      <c r="AG3362" s="54" t="s">
        <v>2</v>
      </c>
    </row>
    <row r="3363" ht="15.75" customHeight="1">
      <c r="B3363" s="56"/>
      <c r="U3363" s="46" t="str">
        <f t="array" ref="U3363">IF($D3363="","",IFERROR(_xlfn.XLOOKUP($D3363,'TIR店舗一覧'!$D:$D,'TIR店舗一覧'!$E:$E,""),""))</f>
        <v/>
      </c>
      <c r="V3363" s="54" t="s">
        <v>2</v>
      </c>
      <c r="W3363" s="54" t="s">
        <v>2</v>
      </c>
      <c r="X3363" s="54" t="s">
        <v>2</v>
      </c>
      <c r="Y3363" s="54" t="s">
        <v>2</v>
      </c>
      <c r="Z3363" s="54" t="s">
        <v>2</v>
      </c>
      <c r="AA3363" s="54" t="s">
        <v>2</v>
      </c>
      <c r="AB3363" s="54" t="s">
        <v>2</v>
      </c>
      <c r="AC3363" s="54" t="s">
        <v>2</v>
      </c>
      <c r="AD3363" s="54" t="s">
        <v>2</v>
      </c>
      <c r="AE3363" s="54" t="s">
        <v>2</v>
      </c>
      <c r="AF3363" s="54" t="s">
        <v>2</v>
      </c>
      <c r="AG3363" s="54" t="s">
        <v>2</v>
      </c>
    </row>
    <row r="3364" ht="15.75" customHeight="1">
      <c r="B3364" s="56"/>
      <c r="U3364" s="46" t="str">
        <f t="array" ref="U3364">IF($D3364="","",IFERROR(_xlfn.XLOOKUP($D3364,'TIR店舗一覧'!$D:$D,'TIR店舗一覧'!$E:$E,""),""))</f>
        <v/>
      </c>
      <c r="V3364" s="54" t="s">
        <v>2</v>
      </c>
      <c r="W3364" s="54" t="s">
        <v>2</v>
      </c>
      <c r="X3364" s="54" t="s">
        <v>2</v>
      </c>
      <c r="Y3364" s="54" t="s">
        <v>2</v>
      </c>
      <c r="Z3364" s="54" t="s">
        <v>2</v>
      </c>
      <c r="AA3364" s="54" t="s">
        <v>2</v>
      </c>
      <c r="AB3364" s="54" t="s">
        <v>2</v>
      </c>
      <c r="AC3364" s="54" t="s">
        <v>2</v>
      </c>
      <c r="AD3364" s="54" t="s">
        <v>2</v>
      </c>
      <c r="AE3364" s="54" t="s">
        <v>2</v>
      </c>
      <c r="AF3364" s="54" t="s">
        <v>2</v>
      </c>
      <c r="AG3364" s="54" t="s">
        <v>2</v>
      </c>
    </row>
    <row r="3365" ht="15.75" customHeight="1">
      <c r="B3365" s="56"/>
      <c r="U3365" s="46" t="str">
        <f t="array" ref="U3365">IF($D3365="","",IFERROR(_xlfn.XLOOKUP($D3365,'TIR店舗一覧'!$D:$D,'TIR店舗一覧'!$E:$E,""),""))</f>
        <v/>
      </c>
      <c r="V3365" s="54" t="s">
        <v>2</v>
      </c>
      <c r="W3365" s="54" t="s">
        <v>2</v>
      </c>
      <c r="X3365" s="54" t="s">
        <v>2</v>
      </c>
      <c r="Y3365" s="54" t="s">
        <v>2</v>
      </c>
      <c r="Z3365" s="54" t="s">
        <v>2</v>
      </c>
      <c r="AA3365" s="54" t="s">
        <v>2</v>
      </c>
      <c r="AB3365" s="54" t="s">
        <v>2</v>
      </c>
      <c r="AC3365" s="54" t="s">
        <v>2</v>
      </c>
      <c r="AD3365" s="54" t="s">
        <v>2</v>
      </c>
      <c r="AE3365" s="54" t="s">
        <v>2</v>
      </c>
      <c r="AF3365" s="54" t="s">
        <v>2</v>
      </c>
      <c r="AG3365" s="54" t="s">
        <v>2</v>
      </c>
    </row>
    <row r="3366" ht="15.75" customHeight="1">
      <c r="B3366" s="56"/>
      <c r="U3366" s="46" t="str">
        <f t="array" ref="U3366">IF($D3366="","",IFERROR(_xlfn.XLOOKUP($D3366,'TIR店舗一覧'!$D:$D,'TIR店舗一覧'!$E:$E,""),""))</f>
        <v/>
      </c>
      <c r="V3366" s="54" t="s">
        <v>2</v>
      </c>
      <c r="W3366" s="54" t="s">
        <v>2</v>
      </c>
      <c r="X3366" s="54" t="s">
        <v>2</v>
      </c>
      <c r="Y3366" s="54" t="s">
        <v>2</v>
      </c>
      <c r="Z3366" s="54" t="s">
        <v>2</v>
      </c>
      <c r="AA3366" s="54" t="s">
        <v>2</v>
      </c>
      <c r="AB3366" s="54" t="s">
        <v>2</v>
      </c>
      <c r="AC3366" s="54" t="s">
        <v>2</v>
      </c>
      <c r="AD3366" s="54" t="s">
        <v>2</v>
      </c>
      <c r="AE3366" s="54" t="s">
        <v>2</v>
      </c>
      <c r="AF3366" s="54" t="s">
        <v>2</v>
      </c>
      <c r="AG3366" s="54" t="s">
        <v>2</v>
      </c>
    </row>
    <row r="3367" ht="15.75" customHeight="1">
      <c r="B3367" s="56"/>
      <c r="U3367" s="46" t="str">
        <f t="array" ref="U3367">IF($D3367="","",IFERROR(_xlfn.XLOOKUP($D3367,'TIR店舗一覧'!$D:$D,'TIR店舗一覧'!$E:$E,""),""))</f>
        <v/>
      </c>
      <c r="V3367" s="54" t="s">
        <v>2</v>
      </c>
      <c r="W3367" s="54" t="s">
        <v>2</v>
      </c>
      <c r="X3367" s="54" t="s">
        <v>2</v>
      </c>
      <c r="Y3367" s="54" t="s">
        <v>2</v>
      </c>
      <c r="Z3367" s="54" t="s">
        <v>2</v>
      </c>
      <c r="AA3367" s="54" t="s">
        <v>2</v>
      </c>
      <c r="AB3367" s="54" t="s">
        <v>2</v>
      </c>
      <c r="AC3367" s="54" t="s">
        <v>2</v>
      </c>
      <c r="AD3367" s="54" t="s">
        <v>2</v>
      </c>
      <c r="AE3367" s="54" t="s">
        <v>2</v>
      </c>
      <c r="AF3367" s="54" t="s">
        <v>2</v>
      </c>
      <c r="AG3367" s="54" t="s">
        <v>2</v>
      </c>
    </row>
    <row r="3368" ht="15.75" customHeight="1">
      <c r="B3368" s="56"/>
      <c r="U3368" s="46" t="str">
        <f t="array" ref="U3368">IF($D3368="","",IFERROR(_xlfn.XLOOKUP($D3368,'TIR店舗一覧'!$D:$D,'TIR店舗一覧'!$E:$E,""),""))</f>
        <v/>
      </c>
      <c r="V3368" s="54" t="s">
        <v>2</v>
      </c>
      <c r="W3368" s="54" t="s">
        <v>2</v>
      </c>
      <c r="X3368" s="54" t="s">
        <v>2</v>
      </c>
      <c r="Y3368" s="54" t="s">
        <v>2</v>
      </c>
      <c r="Z3368" s="54" t="s">
        <v>2</v>
      </c>
      <c r="AA3368" s="54" t="s">
        <v>2</v>
      </c>
      <c r="AB3368" s="54" t="s">
        <v>2</v>
      </c>
      <c r="AC3368" s="54" t="s">
        <v>2</v>
      </c>
      <c r="AD3368" s="54" t="s">
        <v>2</v>
      </c>
      <c r="AE3368" s="54" t="s">
        <v>2</v>
      </c>
      <c r="AF3368" s="54" t="s">
        <v>2</v>
      </c>
      <c r="AG3368" s="54" t="s">
        <v>2</v>
      </c>
    </row>
    <row r="3369" ht="15.75" customHeight="1">
      <c r="B3369" s="56"/>
      <c r="U3369" s="46" t="str">
        <f t="array" ref="U3369">IF($D3369="","",IFERROR(_xlfn.XLOOKUP($D3369,'TIR店舗一覧'!$D:$D,'TIR店舗一覧'!$E:$E,""),""))</f>
        <v/>
      </c>
      <c r="V3369" s="54" t="s">
        <v>2</v>
      </c>
      <c r="W3369" s="54" t="s">
        <v>2</v>
      </c>
      <c r="X3369" s="54" t="s">
        <v>2</v>
      </c>
      <c r="Y3369" s="54" t="s">
        <v>2</v>
      </c>
      <c r="Z3369" s="54" t="s">
        <v>2</v>
      </c>
      <c r="AA3369" s="54" t="s">
        <v>2</v>
      </c>
      <c r="AB3369" s="54" t="s">
        <v>2</v>
      </c>
      <c r="AC3369" s="54" t="s">
        <v>2</v>
      </c>
      <c r="AD3369" s="54" t="s">
        <v>2</v>
      </c>
      <c r="AE3369" s="54" t="s">
        <v>2</v>
      </c>
      <c r="AF3369" s="54" t="s">
        <v>2</v>
      </c>
      <c r="AG3369" s="54" t="s">
        <v>2</v>
      </c>
    </row>
    <row r="3370" ht="15.75" customHeight="1">
      <c r="B3370" s="56"/>
      <c r="U3370" s="46" t="str">
        <f t="array" ref="U3370">IF($D3370="","",IFERROR(_xlfn.XLOOKUP($D3370,'TIR店舗一覧'!$D:$D,'TIR店舗一覧'!$E:$E,""),""))</f>
        <v/>
      </c>
      <c r="V3370" s="54" t="s">
        <v>2</v>
      </c>
      <c r="W3370" s="54" t="s">
        <v>2</v>
      </c>
      <c r="X3370" s="54" t="s">
        <v>2</v>
      </c>
      <c r="Y3370" s="54" t="s">
        <v>2</v>
      </c>
      <c r="Z3370" s="54" t="s">
        <v>2</v>
      </c>
      <c r="AA3370" s="54" t="s">
        <v>2</v>
      </c>
      <c r="AB3370" s="54" t="s">
        <v>2</v>
      </c>
      <c r="AC3370" s="54" t="s">
        <v>2</v>
      </c>
      <c r="AD3370" s="54" t="s">
        <v>2</v>
      </c>
      <c r="AE3370" s="54" t="s">
        <v>2</v>
      </c>
      <c r="AF3370" s="54" t="s">
        <v>2</v>
      </c>
      <c r="AG3370" s="54" t="s">
        <v>2</v>
      </c>
    </row>
    <row r="3371" ht="15.75" customHeight="1">
      <c r="B3371" s="56"/>
      <c r="U3371" s="46" t="str">
        <f t="array" ref="U3371">IF($D3371="","",IFERROR(_xlfn.XLOOKUP($D3371,'TIR店舗一覧'!$D:$D,'TIR店舗一覧'!$E:$E,""),""))</f>
        <v/>
      </c>
      <c r="V3371" s="54" t="s">
        <v>2</v>
      </c>
      <c r="W3371" s="54" t="s">
        <v>2</v>
      </c>
      <c r="X3371" s="54" t="s">
        <v>2</v>
      </c>
      <c r="Y3371" s="54" t="s">
        <v>2</v>
      </c>
      <c r="Z3371" s="54" t="s">
        <v>2</v>
      </c>
      <c r="AA3371" s="54" t="s">
        <v>2</v>
      </c>
      <c r="AB3371" s="54" t="s">
        <v>2</v>
      </c>
      <c r="AC3371" s="54" t="s">
        <v>2</v>
      </c>
      <c r="AD3371" s="54" t="s">
        <v>2</v>
      </c>
      <c r="AE3371" s="54" t="s">
        <v>2</v>
      </c>
      <c r="AF3371" s="54" t="s">
        <v>2</v>
      </c>
      <c r="AG3371" s="54" t="s">
        <v>2</v>
      </c>
    </row>
    <row r="3372" ht="15.75" customHeight="1">
      <c r="B3372" s="56"/>
      <c r="U3372" s="46" t="str">
        <f t="array" ref="U3372">IF($D3372="","",IFERROR(_xlfn.XLOOKUP($D3372,'TIR店舗一覧'!$D:$D,'TIR店舗一覧'!$E:$E,""),""))</f>
        <v/>
      </c>
      <c r="V3372" s="54" t="s">
        <v>2</v>
      </c>
      <c r="W3372" s="54" t="s">
        <v>2</v>
      </c>
      <c r="X3372" s="54" t="s">
        <v>2</v>
      </c>
      <c r="Y3372" s="54" t="s">
        <v>2</v>
      </c>
      <c r="Z3372" s="54" t="s">
        <v>2</v>
      </c>
      <c r="AA3372" s="54" t="s">
        <v>2</v>
      </c>
      <c r="AB3372" s="54" t="s">
        <v>2</v>
      </c>
      <c r="AC3372" s="54" t="s">
        <v>2</v>
      </c>
      <c r="AD3372" s="54" t="s">
        <v>2</v>
      </c>
      <c r="AE3372" s="54" t="s">
        <v>2</v>
      </c>
      <c r="AF3372" s="54" t="s">
        <v>2</v>
      </c>
      <c r="AG3372" s="54" t="s">
        <v>2</v>
      </c>
    </row>
    <row r="3373" ht="15.75" customHeight="1">
      <c r="B3373" s="56"/>
      <c r="U3373" s="46" t="str">
        <f t="array" ref="U3373">IF($D3373="","",IFERROR(_xlfn.XLOOKUP($D3373,'TIR店舗一覧'!$D:$D,'TIR店舗一覧'!$E:$E,""),""))</f>
        <v/>
      </c>
      <c r="V3373" s="54" t="s">
        <v>2</v>
      </c>
      <c r="W3373" s="54" t="s">
        <v>2</v>
      </c>
      <c r="X3373" s="54" t="s">
        <v>2</v>
      </c>
      <c r="Y3373" s="54" t="s">
        <v>2</v>
      </c>
      <c r="Z3373" s="54" t="s">
        <v>2</v>
      </c>
      <c r="AA3373" s="54" t="s">
        <v>2</v>
      </c>
      <c r="AB3373" s="54" t="s">
        <v>2</v>
      </c>
      <c r="AC3373" s="54" t="s">
        <v>2</v>
      </c>
      <c r="AD3373" s="54" t="s">
        <v>2</v>
      </c>
      <c r="AE3373" s="54" t="s">
        <v>2</v>
      </c>
      <c r="AF3373" s="54" t="s">
        <v>2</v>
      </c>
      <c r="AG3373" s="54" t="s">
        <v>2</v>
      </c>
    </row>
    <row r="3374" ht="15.75" customHeight="1">
      <c r="B3374" s="56"/>
      <c r="U3374" s="46" t="str">
        <f t="array" ref="U3374">IF($D3374="","",IFERROR(_xlfn.XLOOKUP($D3374,'TIR店舗一覧'!$D:$D,'TIR店舗一覧'!$E:$E,""),""))</f>
        <v/>
      </c>
      <c r="V3374" s="54" t="s">
        <v>2</v>
      </c>
      <c r="W3374" s="54" t="s">
        <v>2</v>
      </c>
      <c r="X3374" s="54" t="s">
        <v>2</v>
      </c>
      <c r="Y3374" s="54" t="s">
        <v>2</v>
      </c>
      <c r="Z3374" s="54" t="s">
        <v>2</v>
      </c>
      <c r="AA3374" s="54" t="s">
        <v>2</v>
      </c>
      <c r="AB3374" s="54" t="s">
        <v>2</v>
      </c>
      <c r="AC3374" s="54" t="s">
        <v>2</v>
      </c>
      <c r="AD3374" s="54" t="s">
        <v>2</v>
      </c>
      <c r="AE3374" s="54" t="s">
        <v>2</v>
      </c>
      <c r="AF3374" s="54" t="s">
        <v>2</v>
      </c>
      <c r="AG3374" s="54" t="s">
        <v>2</v>
      </c>
    </row>
    <row r="3375" ht="15.75" customHeight="1">
      <c r="B3375" s="56"/>
      <c r="U3375" s="46" t="str">
        <f t="array" ref="U3375">IF($D3375="","",IFERROR(_xlfn.XLOOKUP($D3375,'TIR店舗一覧'!$D:$D,'TIR店舗一覧'!$E:$E,""),""))</f>
        <v/>
      </c>
      <c r="V3375" s="54" t="s">
        <v>2</v>
      </c>
      <c r="W3375" s="54" t="s">
        <v>2</v>
      </c>
      <c r="X3375" s="54" t="s">
        <v>2</v>
      </c>
      <c r="Y3375" s="54" t="s">
        <v>2</v>
      </c>
      <c r="Z3375" s="54" t="s">
        <v>2</v>
      </c>
      <c r="AA3375" s="54" t="s">
        <v>2</v>
      </c>
      <c r="AB3375" s="54" t="s">
        <v>2</v>
      </c>
      <c r="AC3375" s="54" t="s">
        <v>2</v>
      </c>
      <c r="AD3375" s="54" t="s">
        <v>2</v>
      </c>
      <c r="AE3375" s="54" t="s">
        <v>2</v>
      </c>
      <c r="AF3375" s="54" t="s">
        <v>2</v>
      </c>
      <c r="AG3375" s="54" t="s">
        <v>2</v>
      </c>
    </row>
    <row r="3376" ht="15.75" customHeight="1">
      <c r="B3376" s="56"/>
      <c r="U3376" s="46" t="str">
        <f t="array" ref="U3376">IF($D3376="","",IFERROR(_xlfn.XLOOKUP($D3376,'TIR店舗一覧'!$D:$D,'TIR店舗一覧'!$E:$E,""),""))</f>
        <v/>
      </c>
      <c r="V3376" s="54" t="s">
        <v>2</v>
      </c>
      <c r="W3376" s="54" t="s">
        <v>2</v>
      </c>
      <c r="X3376" s="54" t="s">
        <v>2</v>
      </c>
      <c r="Y3376" s="54" t="s">
        <v>2</v>
      </c>
      <c r="Z3376" s="54" t="s">
        <v>2</v>
      </c>
      <c r="AA3376" s="54" t="s">
        <v>2</v>
      </c>
      <c r="AB3376" s="54" t="s">
        <v>2</v>
      </c>
      <c r="AC3376" s="54" t="s">
        <v>2</v>
      </c>
      <c r="AD3376" s="54" t="s">
        <v>2</v>
      </c>
      <c r="AE3376" s="54" t="s">
        <v>2</v>
      </c>
      <c r="AF3376" s="54" t="s">
        <v>2</v>
      </c>
      <c r="AG3376" s="54" t="s">
        <v>2</v>
      </c>
    </row>
    <row r="3377" ht="15.75" customHeight="1">
      <c r="B3377" s="56"/>
      <c r="U3377" s="46" t="str">
        <f t="array" ref="U3377">IF($D3377="","",IFERROR(_xlfn.XLOOKUP($D3377,'TIR店舗一覧'!$D:$D,'TIR店舗一覧'!$E:$E,""),""))</f>
        <v/>
      </c>
      <c r="V3377" s="54" t="s">
        <v>2</v>
      </c>
      <c r="W3377" s="54" t="s">
        <v>2</v>
      </c>
      <c r="X3377" s="54" t="s">
        <v>2</v>
      </c>
      <c r="Y3377" s="54" t="s">
        <v>2</v>
      </c>
      <c r="Z3377" s="54" t="s">
        <v>2</v>
      </c>
      <c r="AA3377" s="54" t="s">
        <v>2</v>
      </c>
      <c r="AB3377" s="54" t="s">
        <v>2</v>
      </c>
      <c r="AC3377" s="54" t="s">
        <v>2</v>
      </c>
      <c r="AD3377" s="54" t="s">
        <v>2</v>
      </c>
      <c r="AE3377" s="54" t="s">
        <v>2</v>
      </c>
      <c r="AF3377" s="54" t="s">
        <v>2</v>
      </c>
      <c r="AG3377" s="54" t="s">
        <v>2</v>
      </c>
    </row>
    <row r="3378" ht="15.75" customHeight="1">
      <c r="B3378" s="56"/>
      <c r="U3378" s="46" t="str">
        <f t="array" ref="U3378">IF($D3378="","",IFERROR(_xlfn.XLOOKUP($D3378,'TIR店舗一覧'!$D:$D,'TIR店舗一覧'!$E:$E,""),""))</f>
        <v/>
      </c>
      <c r="V3378" s="54" t="s">
        <v>2</v>
      </c>
      <c r="W3378" s="54" t="s">
        <v>2</v>
      </c>
      <c r="X3378" s="54" t="s">
        <v>2</v>
      </c>
      <c r="Y3378" s="54" t="s">
        <v>2</v>
      </c>
      <c r="Z3378" s="54" t="s">
        <v>2</v>
      </c>
      <c r="AA3378" s="54" t="s">
        <v>2</v>
      </c>
      <c r="AB3378" s="54" t="s">
        <v>2</v>
      </c>
      <c r="AC3378" s="54" t="s">
        <v>2</v>
      </c>
      <c r="AD3378" s="54" t="s">
        <v>2</v>
      </c>
      <c r="AE3378" s="54" t="s">
        <v>2</v>
      </c>
      <c r="AF3378" s="54" t="s">
        <v>2</v>
      </c>
      <c r="AG3378" s="54" t="s">
        <v>2</v>
      </c>
    </row>
    <row r="3379" ht="15.75" customHeight="1">
      <c r="B3379" s="56"/>
      <c r="U3379" s="46" t="str">
        <f t="array" ref="U3379">IF($D3379="","",IFERROR(_xlfn.XLOOKUP($D3379,'TIR店舗一覧'!$D:$D,'TIR店舗一覧'!$E:$E,""),""))</f>
        <v/>
      </c>
      <c r="V3379" s="54" t="s">
        <v>2</v>
      </c>
      <c r="W3379" s="54" t="s">
        <v>2</v>
      </c>
      <c r="X3379" s="54" t="s">
        <v>2</v>
      </c>
      <c r="Y3379" s="54" t="s">
        <v>2</v>
      </c>
      <c r="Z3379" s="54" t="s">
        <v>2</v>
      </c>
      <c r="AA3379" s="54" t="s">
        <v>2</v>
      </c>
      <c r="AB3379" s="54" t="s">
        <v>2</v>
      </c>
      <c r="AC3379" s="54" t="s">
        <v>2</v>
      </c>
      <c r="AD3379" s="54" t="s">
        <v>2</v>
      </c>
      <c r="AE3379" s="54" t="s">
        <v>2</v>
      </c>
      <c r="AF3379" s="54" t="s">
        <v>2</v>
      </c>
      <c r="AG3379" s="54" t="s">
        <v>2</v>
      </c>
    </row>
    <row r="3380" ht="15.75" customHeight="1">
      <c r="B3380" s="56"/>
      <c r="U3380" s="46" t="str">
        <f t="array" ref="U3380">IF($D3380="","",IFERROR(_xlfn.XLOOKUP($D3380,'TIR店舗一覧'!$D:$D,'TIR店舗一覧'!$E:$E,""),""))</f>
        <v/>
      </c>
      <c r="V3380" s="54" t="s">
        <v>2</v>
      </c>
      <c r="W3380" s="54" t="s">
        <v>2</v>
      </c>
      <c r="X3380" s="54" t="s">
        <v>2</v>
      </c>
      <c r="Y3380" s="54" t="s">
        <v>2</v>
      </c>
      <c r="Z3380" s="54" t="s">
        <v>2</v>
      </c>
      <c r="AA3380" s="54" t="s">
        <v>2</v>
      </c>
      <c r="AB3380" s="54" t="s">
        <v>2</v>
      </c>
      <c r="AC3380" s="54" t="s">
        <v>2</v>
      </c>
      <c r="AD3380" s="54" t="s">
        <v>2</v>
      </c>
      <c r="AE3380" s="54" t="s">
        <v>2</v>
      </c>
      <c r="AF3380" s="54" t="s">
        <v>2</v>
      </c>
      <c r="AG3380" s="54" t="s">
        <v>2</v>
      </c>
    </row>
    <row r="3381" ht="15.75" customHeight="1">
      <c r="B3381" s="56"/>
      <c r="U3381" s="46" t="str">
        <f t="array" ref="U3381">IF($D3381="","",IFERROR(_xlfn.XLOOKUP($D3381,'TIR店舗一覧'!$D:$D,'TIR店舗一覧'!$E:$E,""),""))</f>
        <v/>
      </c>
      <c r="V3381" s="54" t="s">
        <v>2</v>
      </c>
      <c r="W3381" s="54" t="s">
        <v>2</v>
      </c>
      <c r="X3381" s="54" t="s">
        <v>2</v>
      </c>
      <c r="Y3381" s="54" t="s">
        <v>2</v>
      </c>
      <c r="Z3381" s="54" t="s">
        <v>2</v>
      </c>
      <c r="AA3381" s="54" t="s">
        <v>2</v>
      </c>
      <c r="AB3381" s="54" t="s">
        <v>2</v>
      </c>
      <c r="AC3381" s="54" t="s">
        <v>2</v>
      </c>
      <c r="AD3381" s="54" t="s">
        <v>2</v>
      </c>
      <c r="AE3381" s="54" t="s">
        <v>2</v>
      </c>
      <c r="AF3381" s="54" t="s">
        <v>2</v>
      </c>
      <c r="AG3381" s="54" t="s">
        <v>2</v>
      </c>
    </row>
    <row r="3382" ht="15.75" customHeight="1">
      <c r="B3382" s="56"/>
      <c r="U3382" s="46" t="str">
        <f t="array" ref="U3382">IF($D3382="","",IFERROR(_xlfn.XLOOKUP($D3382,'TIR店舗一覧'!$D:$D,'TIR店舗一覧'!$E:$E,""),""))</f>
        <v/>
      </c>
      <c r="V3382" s="54" t="s">
        <v>2</v>
      </c>
      <c r="W3382" s="54" t="s">
        <v>2</v>
      </c>
      <c r="X3382" s="54" t="s">
        <v>2</v>
      </c>
      <c r="Y3382" s="54" t="s">
        <v>2</v>
      </c>
      <c r="Z3382" s="54" t="s">
        <v>2</v>
      </c>
      <c r="AA3382" s="54" t="s">
        <v>2</v>
      </c>
      <c r="AB3382" s="54" t="s">
        <v>2</v>
      </c>
      <c r="AC3382" s="54" t="s">
        <v>2</v>
      </c>
      <c r="AD3382" s="54" t="s">
        <v>2</v>
      </c>
      <c r="AE3382" s="54" t="s">
        <v>2</v>
      </c>
      <c r="AF3382" s="54" t="s">
        <v>2</v>
      </c>
      <c r="AG3382" s="54" t="s">
        <v>2</v>
      </c>
    </row>
    <row r="3383" ht="15.75" customHeight="1">
      <c r="B3383" s="56"/>
      <c r="U3383" s="46" t="str">
        <f t="array" ref="U3383">IF($D3383="","",IFERROR(_xlfn.XLOOKUP($D3383,'TIR店舗一覧'!$D:$D,'TIR店舗一覧'!$E:$E,""),""))</f>
        <v/>
      </c>
      <c r="V3383" s="54" t="s">
        <v>2</v>
      </c>
      <c r="W3383" s="54" t="s">
        <v>2</v>
      </c>
      <c r="X3383" s="54" t="s">
        <v>2</v>
      </c>
      <c r="Y3383" s="54" t="s">
        <v>2</v>
      </c>
      <c r="Z3383" s="54" t="s">
        <v>2</v>
      </c>
      <c r="AA3383" s="54" t="s">
        <v>2</v>
      </c>
      <c r="AB3383" s="54" t="s">
        <v>2</v>
      </c>
      <c r="AC3383" s="54" t="s">
        <v>2</v>
      </c>
      <c r="AD3383" s="54" t="s">
        <v>2</v>
      </c>
      <c r="AE3383" s="54" t="s">
        <v>2</v>
      </c>
      <c r="AF3383" s="54" t="s">
        <v>2</v>
      </c>
      <c r="AG3383" s="54" t="s">
        <v>2</v>
      </c>
    </row>
    <row r="3384" ht="15.75" customHeight="1">
      <c r="B3384" s="56"/>
      <c r="U3384" s="46" t="str">
        <f t="array" ref="U3384">IF($D3384="","",IFERROR(_xlfn.XLOOKUP($D3384,'TIR店舗一覧'!$D:$D,'TIR店舗一覧'!$E:$E,""),""))</f>
        <v/>
      </c>
      <c r="V3384" s="54" t="s">
        <v>2</v>
      </c>
      <c r="W3384" s="54" t="s">
        <v>2</v>
      </c>
      <c r="X3384" s="54" t="s">
        <v>2</v>
      </c>
      <c r="Y3384" s="54" t="s">
        <v>2</v>
      </c>
      <c r="Z3384" s="54" t="s">
        <v>2</v>
      </c>
      <c r="AA3384" s="54" t="s">
        <v>2</v>
      </c>
      <c r="AB3384" s="54" t="s">
        <v>2</v>
      </c>
      <c r="AC3384" s="54" t="s">
        <v>2</v>
      </c>
      <c r="AD3384" s="54" t="s">
        <v>2</v>
      </c>
      <c r="AE3384" s="54" t="s">
        <v>2</v>
      </c>
      <c r="AF3384" s="54" t="s">
        <v>2</v>
      </c>
      <c r="AG3384" s="54" t="s">
        <v>2</v>
      </c>
    </row>
    <row r="3385" ht="15.75" customHeight="1">
      <c r="B3385" s="56"/>
      <c r="U3385" s="46" t="str">
        <f t="array" ref="U3385">IF($D3385="","",IFERROR(_xlfn.XLOOKUP($D3385,'TIR店舗一覧'!$D:$D,'TIR店舗一覧'!$E:$E,""),""))</f>
        <v/>
      </c>
      <c r="V3385" s="54" t="s">
        <v>2</v>
      </c>
      <c r="W3385" s="54" t="s">
        <v>2</v>
      </c>
      <c r="X3385" s="54" t="s">
        <v>2</v>
      </c>
      <c r="Y3385" s="54" t="s">
        <v>2</v>
      </c>
      <c r="Z3385" s="54" t="s">
        <v>2</v>
      </c>
      <c r="AA3385" s="54" t="s">
        <v>2</v>
      </c>
      <c r="AB3385" s="54" t="s">
        <v>2</v>
      </c>
      <c r="AC3385" s="54" t="s">
        <v>2</v>
      </c>
      <c r="AD3385" s="54" t="s">
        <v>2</v>
      </c>
      <c r="AE3385" s="54" t="s">
        <v>2</v>
      </c>
      <c r="AF3385" s="54" t="s">
        <v>2</v>
      </c>
      <c r="AG3385" s="54" t="s">
        <v>2</v>
      </c>
    </row>
    <row r="3386" ht="15.75" customHeight="1">
      <c r="B3386" s="56"/>
      <c r="U3386" s="46" t="str">
        <f t="array" ref="U3386">IF($D3386="","",IFERROR(_xlfn.XLOOKUP($D3386,'TIR店舗一覧'!$D:$D,'TIR店舗一覧'!$E:$E,""),""))</f>
        <v/>
      </c>
      <c r="V3386" s="54" t="s">
        <v>2</v>
      </c>
      <c r="W3386" s="54" t="s">
        <v>2</v>
      </c>
      <c r="X3386" s="54" t="s">
        <v>2</v>
      </c>
      <c r="Y3386" s="54" t="s">
        <v>2</v>
      </c>
      <c r="Z3386" s="54" t="s">
        <v>2</v>
      </c>
      <c r="AA3386" s="54" t="s">
        <v>2</v>
      </c>
      <c r="AB3386" s="54" t="s">
        <v>2</v>
      </c>
      <c r="AC3386" s="54" t="s">
        <v>2</v>
      </c>
      <c r="AD3386" s="54" t="s">
        <v>2</v>
      </c>
      <c r="AE3386" s="54" t="s">
        <v>2</v>
      </c>
      <c r="AF3386" s="54" t="s">
        <v>2</v>
      </c>
      <c r="AG3386" s="54" t="s">
        <v>2</v>
      </c>
    </row>
    <row r="3387" ht="15.75" customHeight="1">
      <c r="B3387" s="56"/>
      <c r="U3387" s="46" t="str">
        <f t="array" ref="U3387">IF($D3387="","",IFERROR(_xlfn.XLOOKUP($D3387,'TIR店舗一覧'!$D:$D,'TIR店舗一覧'!$E:$E,""),""))</f>
        <v/>
      </c>
      <c r="V3387" s="54" t="s">
        <v>2</v>
      </c>
      <c r="W3387" s="54" t="s">
        <v>2</v>
      </c>
      <c r="X3387" s="54" t="s">
        <v>2</v>
      </c>
      <c r="Y3387" s="54" t="s">
        <v>2</v>
      </c>
      <c r="Z3387" s="54" t="s">
        <v>2</v>
      </c>
      <c r="AA3387" s="54" t="s">
        <v>2</v>
      </c>
      <c r="AB3387" s="54" t="s">
        <v>2</v>
      </c>
      <c r="AC3387" s="54" t="s">
        <v>2</v>
      </c>
      <c r="AD3387" s="54" t="s">
        <v>2</v>
      </c>
      <c r="AE3387" s="54" t="s">
        <v>2</v>
      </c>
      <c r="AF3387" s="54" t="s">
        <v>2</v>
      </c>
      <c r="AG3387" s="54" t="s">
        <v>2</v>
      </c>
    </row>
    <row r="3388" ht="15.75" customHeight="1">
      <c r="B3388" s="56"/>
      <c r="U3388" s="46" t="str">
        <f t="array" ref="U3388">IF($D3388="","",IFERROR(_xlfn.XLOOKUP($D3388,'TIR店舗一覧'!$D:$D,'TIR店舗一覧'!$E:$E,""),""))</f>
        <v/>
      </c>
      <c r="V3388" s="54" t="s">
        <v>2</v>
      </c>
      <c r="W3388" s="54" t="s">
        <v>2</v>
      </c>
      <c r="X3388" s="54" t="s">
        <v>2</v>
      </c>
      <c r="Y3388" s="54" t="s">
        <v>2</v>
      </c>
      <c r="Z3388" s="54" t="s">
        <v>2</v>
      </c>
      <c r="AA3388" s="54" t="s">
        <v>2</v>
      </c>
      <c r="AB3388" s="54" t="s">
        <v>2</v>
      </c>
      <c r="AC3388" s="54" t="s">
        <v>2</v>
      </c>
      <c r="AD3388" s="54" t="s">
        <v>2</v>
      </c>
      <c r="AE3388" s="54" t="s">
        <v>2</v>
      </c>
      <c r="AF3388" s="54" t="s">
        <v>2</v>
      </c>
      <c r="AG3388" s="54" t="s">
        <v>2</v>
      </c>
    </row>
    <row r="3389" ht="15.75" customHeight="1">
      <c r="B3389" s="56"/>
      <c r="U3389" s="46" t="str">
        <f t="array" ref="U3389">IF($D3389="","",IFERROR(_xlfn.XLOOKUP($D3389,'TIR店舗一覧'!$D:$D,'TIR店舗一覧'!$E:$E,""),""))</f>
        <v/>
      </c>
      <c r="V3389" s="54" t="s">
        <v>2</v>
      </c>
      <c r="W3389" s="54" t="s">
        <v>2</v>
      </c>
      <c r="X3389" s="54" t="s">
        <v>2</v>
      </c>
      <c r="Y3389" s="54" t="s">
        <v>2</v>
      </c>
      <c r="Z3389" s="54" t="s">
        <v>2</v>
      </c>
      <c r="AA3389" s="54" t="s">
        <v>2</v>
      </c>
      <c r="AB3389" s="54" t="s">
        <v>2</v>
      </c>
      <c r="AC3389" s="54" t="s">
        <v>2</v>
      </c>
      <c r="AD3389" s="54" t="s">
        <v>2</v>
      </c>
      <c r="AE3389" s="54" t="s">
        <v>2</v>
      </c>
      <c r="AF3389" s="54" t="s">
        <v>2</v>
      </c>
      <c r="AG3389" s="54" t="s">
        <v>2</v>
      </c>
    </row>
    <row r="3390" ht="15.75" customHeight="1">
      <c r="B3390" s="56"/>
      <c r="U3390" s="46" t="str">
        <f t="array" ref="U3390">IF($D3390="","",IFERROR(_xlfn.XLOOKUP($D3390,'TIR店舗一覧'!$D:$D,'TIR店舗一覧'!$E:$E,""),""))</f>
        <v/>
      </c>
      <c r="V3390" s="54" t="s">
        <v>2</v>
      </c>
      <c r="W3390" s="54" t="s">
        <v>2</v>
      </c>
      <c r="X3390" s="54" t="s">
        <v>2</v>
      </c>
      <c r="Y3390" s="54" t="s">
        <v>2</v>
      </c>
      <c r="Z3390" s="54" t="s">
        <v>2</v>
      </c>
      <c r="AA3390" s="54" t="s">
        <v>2</v>
      </c>
      <c r="AB3390" s="54" t="s">
        <v>2</v>
      </c>
      <c r="AC3390" s="54" t="s">
        <v>2</v>
      </c>
      <c r="AD3390" s="54" t="s">
        <v>2</v>
      </c>
      <c r="AE3390" s="54" t="s">
        <v>2</v>
      </c>
      <c r="AF3390" s="54" t="s">
        <v>2</v>
      </c>
      <c r="AG3390" s="54" t="s">
        <v>2</v>
      </c>
    </row>
    <row r="3391" ht="15.75" customHeight="1">
      <c r="B3391" s="56"/>
      <c r="U3391" s="46" t="str">
        <f t="array" ref="U3391">IF($D3391="","",IFERROR(_xlfn.XLOOKUP($D3391,'TIR店舗一覧'!$D:$D,'TIR店舗一覧'!$E:$E,""),""))</f>
        <v/>
      </c>
      <c r="V3391" s="54" t="s">
        <v>2</v>
      </c>
      <c r="W3391" s="54" t="s">
        <v>2</v>
      </c>
      <c r="X3391" s="54" t="s">
        <v>2</v>
      </c>
      <c r="Y3391" s="54" t="s">
        <v>2</v>
      </c>
      <c r="Z3391" s="54" t="s">
        <v>2</v>
      </c>
      <c r="AA3391" s="54" t="s">
        <v>2</v>
      </c>
      <c r="AB3391" s="54" t="s">
        <v>2</v>
      </c>
      <c r="AC3391" s="54" t="s">
        <v>2</v>
      </c>
      <c r="AD3391" s="54" t="s">
        <v>2</v>
      </c>
      <c r="AE3391" s="54" t="s">
        <v>2</v>
      </c>
      <c r="AF3391" s="54" t="s">
        <v>2</v>
      </c>
      <c r="AG3391" s="54" t="s">
        <v>2</v>
      </c>
    </row>
    <row r="3392" ht="15.75" customHeight="1">
      <c r="B3392" s="56"/>
      <c r="U3392" s="46" t="str">
        <f t="array" ref="U3392">IF($D3392="","",IFERROR(_xlfn.XLOOKUP($D3392,'TIR店舗一覧'!$D:$D,'TIR店舗一覧'!$E:$E,""),""))</f>
        <v/>
      </c>
      <c r="V3392" s="54" t="s">
        <v>2</v>
      </c>
      <c r="W3392" s="54" t="s">
        <v>2</v>
      </c>
      <c r="X3392" s="54" t="s">
        <v>2</v>
      </c>
      <c r="Y3392" s="54" t="s">
        <v>2</v>
      </c>
      <c r="Z3392" s="54" t="s">
        <v>2</v>
      </c>
      <c r="AA3392" s="54" t="s">
        <v>2</v>
      </c>
      <c r="AB3392" s="54" t="s">
        <v>2</v>
      </c>
      <c r="AC3392" s="54" t="s">
        <v>2</v>
      </c>
      <c r="AD3392" s="54" t="s">
        <v>2</v>
      </c>
      <c r="AE3392" s="54" t="s">
        <v>2</v>
      </c>
      <c r="AF3392" s="54" t="s">
        <v>2</v>
      </c>
      <c r="AG3392" s="54" t="s">
        <v>2</v>
      </c>
    </row>
    <row r="3393" ht="15.75" customHeight="1">
      <c r="B3393" s="56"/>
      <c r="U3393" s="46" t="str">
        <f t="array" ref="U3393">IF($D3393="","",IFERROR(_xlfn.XLOOKUP($D3393,'TIR店舗一覧'!$D:$D,'TIR店舗一覧'!$E:$E,""),""))</f>
        <v/>
      </c>
      <c r="V3393" s="54" t="s">
        <v>2</v>
      </c>
      <c r="W3393" s="54" t="s">
        <v>2</v>
      </c>
      <c r="X3393" s="54" t="s">
        <v>2</v>
      </c>
      <c r="Y3393" s="54" t="s">
        <v>2</v>
      </c>
      <c r="Z3393" s="54" t="s">
        <v>2</v>
      </c>
      <c r="AA3393" s="54" t="s">
        <v>2</v>
      </c>
      <c r="AB3393" s="54" t="s">
        <v>2</v>
      </c>
      <c r="AC3393" s="54" t="s">
        <v>2</v>
      </c>
      <c r="AD3393" s="54" t="s">
        <v>2</v>
      </c>
      <c r="AE3393" s="54" t="s">
        <v>2</v>
      </c>
      <c r="AF3393" s="54" t="s">
        <v>2</v>
      </c>
      <c r="AG3393" s="54" t="s">
        <v>2</v>
      </c>
    </row>
    <row r="3394" ht="15.75" customHeight="1">
      <c r="B3394" s="56"/>
      <c r="U3394" s="46" t="str">
        <f t="array" ref="U3394">IF($D3394="","",IFERROR(_xlfn.XLOOKUP($D3394,'TIR店舗一覧'!$D:$D,'TIR店舗一覧'!$E:$E,""),""))</f>
        <v/>
      </c>
      <c r="V3394" s="54" t="s">
        <v>2</v>
      </c>
      <c r="W3394" s="54" t="s">
        <v>2</v>
      </c>
      <c r="X3394" s="54" t="s">
        <v>2</v>
      </c>
      <c r="Y3394" s="54" t="s">
        <v>2</v>
      </c>
      <c r="Z3394" s="54" t="s">
        <v>2</v>
      </c>
      <c r="AA3394" s="54" t="s">
        <v>2</v>
      </c>
      <c r="AB3394" s="54" t="s">
        <v>2</v>
      </c>
      <c r="AC3394" s="54" t="s">
        <v>2</v>
      </c>
      <c r="AD3394" s="54" t="s">
        <v>2</v>
      </c>
      <c r="AE3394" s="54" t="s">
        <v>2</v>
      </c>
      <c r="AF3394" s="54" t="s">
        <v>2</v>
      </c>
      <c r="AG3394" s="54" t="s">
        <v>2</v>
      </c>
    </row>
    <row r="3395" ht="15.75" customHeight="1">
      <c r="B3395" s="56"/>
      <c r="U3395" s="46" t="str">
        <f t="array" ref="U3395">IF($D3395="","",IFERROR(_xlfn.XLOOKUP($D3395,'TIR店舗一覧'!$D:$D,'TIR店舗一覧'!$E:$E,""),""))</f>
        <v/>
      </c>
      <c r="V3395" s="54" t="s">
        <v>2</v>
      </c>
      <c r="W3395" s="54" t="s">
        <v>2</v>
      </c>
      <c r="X3395" s="54" t="s">
        <v>2</v>
      </c>
      <c r="Y3395" s="54" t="s">
        <v>2</v>
      </c>
      <c r="Z3395" s="54" t="s">
        <v>2</v>
      </c>
      <c r="AA3395" s="54" t="s">
        <v>2</v>
      </c>
      <c r="AB3395" s="54" t="s">
        <v>2</v>
      </c>
      <c r="AC3395" s="54" t="s">
        <v>2</v>
      </c>
      <c r="AD3395" s="54" t="s">
        <v>2</v>
      </c>
      <c r="AE3395" s="54" t="s">
        <v>2</v>
      </c>
      <c r="AF3395" s="54" t="s">
        <v>2</v>
      </c>
      <c r="AG3395" s="54" t="s">
        <v>2</v>
      </c>
    </row>
    <row r="3396" ht="15.75" customHeight="1">
      <c r="B3396" s="56"/>
      <c r="U3396" s="46" t="str">
        <f t="array" ref="U3396">IF($D3396="","",IFERROR(_xlfn.XLOOKUP($D3396,'TIR店舗一覧'!$D:$D,'TIR店舗一覧'!$E:$E,""),""))</f>
        <v/>
      </c>
      <c r="V3396" s="54" t="s">
        <v>2</v>
      </c>
      <c r="W3396" s="54" t="s">
        <v>2</v>
      </c>
      <c r="X3396" s="54" t="s">
        <v>2</v>
      </c>
      <c r="Y3396" s="54" t="s">
        <v>2</v>
      </c>
      <c r="Z3396" s="54" t="s">
        <v>2</v>
      </c>
      <c r="AA3396" s="54" t="s">
        <v>2</v>
      </c>
      <c r="AB3396" s="54" t="s">
        <v>2</v>
      </c>
      <c r="AC3396" s="54" t="s">
        <v>2</v>
      </c>
      <c r="AD3396" s="54" t="s">
        <v>2</v>
      </c>
      <c r="AE3396" s="54" t="s">
        <v>2</v>
      </c>
      <c r="AF3396" s="54" t="s">
        <v>2</v>
      </c>
      <c r="AG3396" s="54" t="s">
        <v>2</v>
      </c>
    </row>
    <row r="3397" ht="15.75" customHeight="1">
      <c r="B3397" s="56"/>
      <c r="U3397" s="46" t="str">
        <f t="array" ref="U3397">IF($D3397="","",IFERROR(_xlfn.XLOOKUP($D3397,'TIR店舗一覧'!$D:$D,'TIR店舗一覧'!$E:$E,""),""))</f>
        <v/>
      </c>
      <c r="V3397" s="54" t="s">
        <v>2</v>
      </c>
      <c r="W3397" s="54" t="s">
        <v>2</v>
      </c>
      <c r="X3397" s="54" t="s">
        <v>2</v>
      </c>
      <c r="Y3397" s="54" t="s">
        <v>2</v>
      </c>
      <c r="Z3397" s="54" t="s">
        <v>2</v>
      </c>
      <c r="AA3397" s="54" t="s">
        <v>2</v>
      </c>
      <c r="AB3397" s="54" t="s">
        <v>2</v>
      </c>
      <c r="AC3397" s="54" t="s">
        <v>2</v>
      </c>
      <c r="AD3397" s="54" t="s">
        <v>2</v>
      </c>
      <c r="AE3397" s="54" t="s">
        <v>2</v>
      </c>
      <c r="AF3397" s="54" t="s">
        <v>2</v>
      </c>
      <c r="AG3397" s="54" t="s">
        <v>2</v>
      </c>
    </row>
    <row r="3398" ht="15.75" customHeight="1">
      <c r="B3398" s="56"/>
      <c r="U3398" s="46" t="str">
        <f t="array" ref="U3398">IF($D3398="","",IFERROR(_xlfn.XLOOKUP($D3398,'TIR店舗一覧'!$D:$D,'TIR店舗一覧'!$E:$E,""),""))</f>
        <v/>
      </c>
      <c r="V3398" s="54" t="s">
        <v>2</v>
      </c>
      <c r="W3398" s="54" t="s">
        <v>2</v>
      </c>
      <c r="X3398" s="54" t="s">
        <v>2</v>
      </c>
      <c r="Y3398" s="54" t="s">
        <v>2</v>
      </c>
      <c r="Z3398" s="54" t="s">
        <v>2</v>
      </c>
      <c r="AA3398" s="54" t="s">
        <v>2</v>
      </c>
      <c r="AB3398" s="54" t="s">
        <v>2</v>
      </c>
      <c r="AC3398" s="54" t="s">
        <v>2</v>
      </c>
      <c r="AD3398" s="54" t="s">
        <v>2</v>
      </c>
      <c r="AE3398" s="54" t="s">
        <v>2</v>
      </c>
      <c r="AF3398" s="54" t="s">
        <v>2</v>
      </c>
      <c r="AG3398" s="54" t="s">
        <v>2</v>
      </c>
    </row>
    <row r="3399" ht="15.75" customHeight="1">
      <c r="B3399" s="56"/>
      <c r="U3399" s="46" t="str">
        <f t="array" ref="U3399">IF($D3399="","",IFERROR(_xlfn.XLOOKUP($D3399,'TIR店舗一覧'!$D:$D,'TIR店舗一覧'!$E:$E,""),""))</f>
        <v/>
      </c>
      <c r="V3399" s="54" t="s">
        <v>2</v>
      </c>
      <c r="W3399" s="54" t="s">
        <v>2</v>
      </c>
      <c r="X3399" s="54" t="s">
        <v>2</v>
      </c>
      <c r="Y3399" s="54" t="s">
        <v>2</v>
      </c>
      <c r="Z3399" s="54" t="s">
        <v>2</v>
      </c>
      <c r="AA3399" s="54" t="s">
        <v>2</v>
      </c>
      <c r="AB3399" s="54" t="s">
        <v>2</v>
      </c>
      <c r="AC3399" s="54" t="s">
        <v>2</v>
      </c>
      <c r="AD3399" s="54" t="s">
        <v>2</v>
      </c>
      <c r="AE3399" s="54" t="s">
        <v>2</v>
      </c>
      <c r="AF3399" s="54" t="s">
        <v>2</v>
      </c>
      <c r="AG3399" s="54" t="s">
        <v>2</v>
      </c>
    </row>
    <row r="3400" ht="15.75" customHeight="1">
      <c r="B3400" s="56"/>
      <c r="U3400" s="46" t="str">
        <f t="array" ref="U3400">IF($D3400="","",IFERROR(_xlfn.XLOOKUP($D3400,'TIR店舗一覧'!$D:$D,'TIR店舗一覧'!$E:$E,""),""))</f>
        <v/>
      </c>
      <c r="V3400" s="54" t="s">
        <v>2</v>
      </c>
      <c r="W3400" s="54" t="s">
        <v>2</v>
      </c>
      <c r="X3400" s="54" t="s">
        <v>2</v>
      </c>
      <c r="Y3400" s="54" t="s">
        <v>2</v>
      </c>
      <c r="Z3400" s="54" t="s">
        <v>2</v>
      </c>
      <c r="AA3400" s="54" t="s">
        <v>2</v>
      </c>
      <c r="AB3400" s="54" t="s">
        <v>2</v>
      </c>
      <c r="AC3400" s="54" t="s">
        <v>2</v>
      </c>
      <c r="AD3400" s="54" t="s">
        <v>2</v>
      </c>
      <c r="AE3400" s="54" t="s">
        <v>2</v>
      </c>
      <c r="AF3400" s="54" t="s">
        <v>2</v>
      </c>
      <c r="AG3400" s="54" t="s">
        <v>2</v>
      </c>
    </row>
    <row r="3401" ht="15.75" customHeight="1">
      <c r="B3401" s="56"/>
      <c r="U3401" s="46" t="str">
        <f t="array" ref="U3401">IF($D3401="","",IFERROR(_xlfn.XLOOKUP($D3401,'TIR店舗一覧'!$D:$D,'TIR店舗一覧'!$E:$E,""),""))</f>
        <v/>
      </c>
      <c r="V3401" s="54" t="s">
        <v>2</v>
      </c>
      <c r="W3401" s="54" t="s">
        <v>2</v>
      </c>
      <c r="X3401" s="54" t="s">
        <v>2</v>
      </c>
      <c r="Y3401" s="54" t="s">
        <v>2</v>
      </c>
      <c r="Z3401" s="54" t="s">
        <v>2</v>
      </c>
      <c r="AA3401" s="54" t="s">
        <v>2</v>
      </c>
      <c r="AB3401" s="54" t="s">
        <v>2</v>
      </c>
      <c r="AC3401" s="54" t="s">
        <v>2</v>
      </c>
      <c r="AD3401" s="54" t="s">
        <v>2</v>
      </c>
      <c r="AE3401" s="54" t="s">
        <v>2</v>
      </c>
      <c r="AF3401" s="54" t="s">
        <v>2</v>
      </c>
      <c r="AG3401" s="54" t="s">
        <v>2</v>
      </c>
    </row>
    <row r="3402" ht="15.75" customHeight="1">
      <c r="B3402" s="56"/>
      <c r="U3402" s="46" t="str">
        <f t="array" ref="U3402">IF($D3402="","",IFERROR(_xlfn.XLOOKUP($D3402,'TIR店舗一覧'!$D:$D,'TIR店舗一覧'!$E:$E,""),""))</f>
        <v/>
      </c>
      <c r="V3402" s="54" t="s">
        <v>2</v>
      </c>
      <c r="W3402" s="54" t="s">
        <v>2</v>
      </c>
      <c r="X3402" s="54" t="s">
        <v>2</v>
      </c>
      <c r="Y3402" s="54" t="s">
        <v>2</v>
      </c>
      <c r="Z3402" s="54" t="s">
        <v>2</v>
      </c>
      <c r="AA3402" s="54" t="s">
        <v>2</v>
      </c>
      <c r="AB3402" s="54" t="s">
        <v>2</v>
      </c>
      <c r="AC3402" s="54" t="s">
        <v>2</v>
      </c>
      <c r="AD3402" s="54" t="s">
        <v>2</v>
      </c>
      <c r="AE3402" s="54" t="s">
        <v>2</v>
      </c>
      <c r="AF3402" s="54" t="s">
        <v>2</v>
      </c>
      <c r="AG3402" s="54" t="s">
        <v>2</v>
      </c>
    </row>
    <row r="3403" ht="15.75" customHeight="1">
      <c r="B3403" s="56"/>
      <c r="U3403" s="46" t="str">
        <f t="array" ref="U3403">IF($D3403="","",IFERROR(_xlfn.XLOOKUP($D3403,'TIR店舗一覧'!$D:$D,'TIR店舗一覧'!$E:$E,""),""))</f>
        <v/>
      </c>
      <c r="V3403" s="54" t="s">
        <v>2</v>
      </c>
      <c r="W3403" s="54" t="s">
        <v>2</v>
      </c>
      <c r="X3403" s="54" t="s">
        <v>2</v>
      </c>
      <c r="Y3403" s="54" t="s">
        <v>2</v>
      </c>
      <c r="Z3403" s="54" t="s">
        <v>2</v>
      </c>
      <c r="AA3403" s="54" t="s">
        <v>2</v>
      </c>
      <c r="AB3403" s="54" t="s">
        <v>2</v>
      </c>
      <c r="AC3403" s="54" t="s">
        <v>2</v>
      </c>
      <c r="AD3403" s="54" t="s">
        <v>2</v>
      </c>
      <c r="AE3403" s="54" t="s">
        <v>2</v>
      </c>
      <c r="AF3403" s="54" t="s">
        <v>2</v>
      </c>
      <c r="AG3403" s="54" t="s">
        <v>2</v>
      </c>
    </row>
    <row r="3404" ht="15.75" customHeight="1">
      <c r="B3404" s="56"/>
      <c r="U3404" s="46" t="str">
        <f t="array" ref="U3404">IF($D3404="","",IFERROR(_xlfn.XLOOKUP($D3404,'TIR店舗一覧'!$D:$D,'TIR店舗一覧'!$E:$E,""),""))</f>
        <v/>
      </c>
      <c r="V3404" s="54" t="s">
        <v>2</v>
      </c>
      <c r="W3404" s="54" t="s">
        <v>2</v>
      </c>
      <c r="X3404" s="54" t="s">
        <v>2</v>
      </c>
      <c r="Y3404" s="54" t="s">
        <v>2</v>
      </c>
      <c r="Z3404" s="54" t="s">
        <v>2</v>
      </c>
      <c r="AA3404" s="54" t="s">
        <v>2</v>
      </c>
      <c r="AB3404" s="54" t="s">
        <v>2</v>
      </c>
      <c r="AC3404" s="54" t="s">
        <v>2</v>
      </c>
      <c r="AD3404" s="54" t="s">
        <v>2</v>
      </c>
      <c r="AE3404" s="54" t="s">
        <v>2</v>
      </c>
      <c r="AF3404" s="54" t="s">
        <v>2</v>
      </c>
      <c r="AG3404" s="54" t="s">
        <v>2</v>
      </c>
    </row>
    <row r="3405" ht="15.75" customHeight="1">
      <c r="B3405" s="56"/>
      <c r="U3405" s="46" t="str">
        <f t="array" ref="U3405">IF($D3405="","",IFERROR(_xlfn.XLOOKUP($D3405,'TIR店舗一覧'!$D:$D,'TIR店舗一覧'!$E:$E,""),""))</f>
        <v/>
      </c>
      <c r="V3405" s="54" t="s">
        <v>2</v>
      </c>
      <c r="W3405" s="54" t="s">
        <v>2</v>
      </c>
      <c r="X3405" s="54" t="s">
        <v>2</v>
      </c>
      <c r="Y3405" s="54" t="s">
        <v>2</v>
      </c>
      <c r="Z3405" s="54" t="s">
        <v>2</v>
      </c>
      <c r="AA3405" s="54" t="s">
        <v>2</v>
      </c>
      <c r="AB3405" s="54" t="s">
        <v>2</v>
      </c>
      <c r="AC3405" s="54" t="s">
        <v>2</v>
      </c>
      <c r="AD3405" s="54" t="s">
        <v>2</v>
      </c>
      <c r="AE3405" s="54" t="s">
        <v>2</v>
      </c>
      <c r="AF3405" s="54" t="s">
        <v>2</v>
      </c>
      <c r="AG3405" s="54" t="s">
        <v>2</v>
      </c>
    </row>
    <row r="3406" ht="15.75" customHeight="1">
      <c r="B3406" s="56"/>
      <c r="U3406" s="46" t="str">
        <f t="array" ref="U3406">IF($D3406="","",IFERROR(_xlfn.XLOOKUP($D3406,'TIR店舗一覧'!$D:$D,'TIR店舗一覧'!$E:$E,""),""))</f>
        <v/>
      </c>
      <c r="V3406" s="54" t="s">
        <v>2</v>
      </c>
      <c r="W3406" s="54" t="s">
        <v>2</v>
      </c>
      <c r="X3406" s="54" t="s">
        <v>2</v>
      </c>
      <c r="Y3406" s="54" t="s">
        <v>2</v>
      </c>
      <c r="Z3406" s="54" t="s">
        <v>2</v>
      </c>
      <c r="AA3406" s="54" t="s">
        <v>2</v>
      </c>
      <c r="AB3406" s="54" t="s">
        <v>2</v>
      </c>
      <c r="AC3406" s="54" t="s">
        <v>2</v>
      </c>
      <c r="AD3406" s="54" t="s">
        <v>2</v>
      </c>
      <c r="AE3406" s="54" t="s">
        <v>2</v>
      </c>
      <c r="AF3406" s="54" t="s">
        <v>2</v>
      </c>
      <c r="AG3406" s="54" t="s">
        <v>2</v>
      </c>
    </row>
    <row r="3407" ht="15.75" customHeight="1">
      <c r="B3407" s="56"/>
      <c r="U3407" s="46" t="str">
        <f t="array" ref="U3407">IF($D3407="","",IFERROR(_xlfn.XLOOKUP($D3407,'TIR店舗一覧'!$D:$D,'TIR店舗一覧'!$E:$E,""),""))</f>
        <v/>
      </c>
      <c r="V3407" s="54" t="s">
        <v>2</v>
      </c>
      <c r="W3407" s="54" t="s">
        <v>2</v>
      </c>
      <c r="X3407" s="54" t="s">
        <v>2</v>
      </c>
      <c r="Y3407" s="54" t="s">
        <v>2</v>
      </c>
      <c r="Z3407" s="54" t="s">
        <v>2</v>
      </c>
      <c r="AA3407" s="54" t="s">
        <v>2</v>
      </c>
      <c r="AB3407" s="54" t="s">
        <v>2</v>
      </c>
      <c r="AC3407" s="54" t="s">
        <v>2</v>
      </c>
      <c r="AD3407" s="54" t="s">
        <v>2</v>
      </c>
      <c r="AE3407" s="54" t="s">
        <v>2</v>
      </c>
      <c r="AF3407" s="54" t="s">
        <v>2</v>
      </c>
      <c r="AG3407" s="54" t="s">
        <v>2</v>
      </c>
    </row>
    <row r="3408" ht="15.75" customHeight="1">
      <c r="B3408" s="56"/>
      <c r="U3408" s="46" t="str">
        <f t="array" ref="U3408">IF($D3408="","",IFERROR(_xlfn.XLOOKUP($D3408,'TIR店舗一覧'!$D:$D,'TIR店舗一覧'!$E:$E,""),""))</f>
        <v/>
      </c>
      <c r="V3408" s="54" t="s">
        <v>2</v>
      </c>
      <c r="W3408" s="54" t="s">
        <v>2</v>
      </c>
      <c r="X3408" s="54" t="s">
        <v>2</v>
      </c>
      <c r="Y3408" s="54" t="s">
        <v>2</v>
      </c>
      <c r="Z3408" s="54" t="s">
        <v>2</v>
      </c>
      <c r="AA3408" s="54" t="s">
        <v>2</v>
      </c>
      <c r="AB3408" s="54" t="s">
        <v>2</v>
      </c>
      <c r="AC3408" s="54" t="s">
        <v>2</v>
      </c>
      <c r="AD3408" s="54" t="s">
        <v>2</v>
      </c>
      <c r="AE3408" s="54" t="s">
        <v>2</v>
      </c>
      <c r="AF3408" s="54" t="s">
        <v>2</v>
      </c>
      <c r="AG3408" s="54" t="s">
        <v>2</v>
      </c>
    </row>
    <row r="3409" ht="15.75" customHeight="1">
      <c r="B3409" s="56"/>
      <c r="U3409" s="46" t="str">
        <f t="array" ref="U3409">IF($D3409="","",IFERROR(_xlfn.XLOOKUP($D3409,'TIR店舗一覧'!$D:$D,'TIR店舗一覧'!$E:$E,""),""))</f>
        <v/>
      </c>
      <c r="V3409" s="54" t="s">
        <v>2</v>
      </c>
      <c r="W3409" s="54" t="s">
        <v>2</v>
      </c>
      <c r="X3409" s="54" t="s">
        <v>2</v>
      </c>
      <c r="Y3409" s="54" t="s">
        <v>2</v>
      </c>
      <c r="Z3409" s="54" t="s">
        <v>2</v>
      </c>
      <c r="AA3409" s="54" t="s">
        <v>2</v>
      </c>
      <c r="AB3409" s="54" t="s">
        <v>2</v>
      </c>
      <c r="AC3409" s="54" t="s">
        <v>2</v>
      </c>
      <c r="AD3409" s="54" t="s">
        <v>2</v>
      </c>
      <c r="AE3409" s="54" t="s">
        <v>2</v>
      </c>
      <c r="AF3409" s="54" t="s">
        <v>2</v>
      </c>
      <c r="AG3409" s="54" t="s">
        <v>2</v>
      </c>
    </row>
    <row r="3410" ht="15.75" customHeight="1">
      <c r="B3410" s="56"/>
      <c r="U3410" s="46" t="str">
        <f t="array" ref="U3410">IF($D3410="","",IFERROR(_xlfn.XLOOKUP($D3410,'TIR店舗一覧'!$D:$D,'TIR店舗一覧'!$E:$E,""),""))</f>
        <v/>
      </c>
      <c r="V3410" s="54" t="s">
        <v>2</v>
      </c>
      <c r="W3410" s="54" t="s">
        <v>2</v>
      </c>
      <c r="X3410" s="54" t="s">
        <v>2</v>
      </c>
      <c r="Y3410" s="54" t="s">
        <v>2</v>
      </c>
      <c r="Z3410" s="54" t="s">
        <v>2</v>
      </c>
      <c r="AA3410" s="54" t="s">
        <v>2</v>
      </c>
      <c r="AB3410" s="54" t="s">
        <v>2</v>
      </c>
      <c r="AC3410" s="54" t="s">
        <v>2</v>
      </c>
      <c r="AD3410" s="54" t="s">
        <v>2</v>
      </c>
      <c r="AE3410" s="54" t="s">
        <v>2</v>
      </c>
      <c r="AF3410" s="54" t="s">
        <v>2</v>
      </c>
      <c r="AG3410" s="54" t="s">
        <v>2</v>
      </c>
    </row>
    <row r="3411" ht="15.75" customHeight="1">
      <c r="B3411" s="56"/>
      <c r="U3411" s="46" t="str">
        <f t="array" ref="U3411">IF($D3411="","",IFERROR(_xlfn.XLOOKUP($D3411,'TIR店舗一覧'!$D:$D,'TIR店舗一覧'!$E:$E,""),""))</f>
        <v/>
      </c>
      <c r="V3411" s="54" t="s">
        <v>2</v>
      </c>
      <c r="W3411" s="54" t="s">
        <v>2</v>
      </c>
      <c r="X3411" s="54" t="s">
        <v>2</v>
      </c>
      <c r="Y3411" s="54" t="s">
        <v>2</v>
      </c>
      <c r="Z3411" s="54" t="s">
        <v>2</v>
      </c>
      <c r="AA3411" s="54" t="s">
        <v>2</v>
      </c>
      <c r="AB3411" s="54" t="s">
        <v>2</v>
      </c>
      <c r="AC3411" s="54" t="s">
        <v>2</v>
      </c>
      <c r="AD3411" s="54" t="s">
        <v>2</v>
      </c>
      <c r="AE3411" s="54" t="s">
        <v>2</v>
      </c>
      <c r="AF3411" s="54" t="s">
        <v>2</v>
      </c>
      <c r="AG3411" s="54" t="s">
        <v>2</v>
      </c>
    </row>
    <row r="3412" ht="15.75" customHeight="1">
      <c r="B3412" s="56"/>
      <c r="U3412" s="46" t="str">
        <f t="array" ref="U3412">IF($D3412="","",IFERROR(_xlfn.XLOOKUP($D3412,'TIR店舗一覧'!$D:$D,'TIR店舗一覧'!$E:$E,""),""))</f>
        <v/>
      </c>
      <c r="V3412" s="54" t="s">
        <v>2</v>
      </c>
      <c r="W3412" s="54" t="s">
        <v>2</v>
      </c>
      <c r="X3412" s="54" t="s">
        <v>2</v>
      </c>
      <c r="Y3412" s="54" t="s">
        <v>2</v>
      </c>
      <c r="Z3412" s="54" t="s">
        <v>2</v>
      </c>
      <c r="AA3412" s="54" t="s">
        <v>2</v>
      </c>
      <c r="AB3412" s="54" t="s">
        <v>2</v>
      </c>
      <c r="AC3412" s="54" t="s">
        <v>2</v>
      </c>
      <c r="AD3412" s="54" t="s">
        <v>2</v>
      </c>
      <c r="AE3412" s="54" t="s">
        <v>2</v>
      </c>
      <c r="AF3412" s="54" t="s">
        <v>2</v>
      </c>
      <c r="AG3412" s="54" t="s">
        <v>2</v>
      </c>
    </row>
    <row r="3413" ht="15.75" customHeight="1">
      <c r="B3413" s="56"/>
      <c r="U3413" s="46" t="str">
        <f t="array" ref="U3413">IF($D3413="","",IFERROR(_xlfn.XLOOKUP($D3413,'TIR店舗一覧'!$D:$D,'TIR店舗一覧'!$E:$E,""),""))</f>
        <v/>
      </c>
      <c r="V3413" s="54" t="s">
        <v>2</v>
      </c>
      <c r="W3413" s="54" t="s">
        <v>2</v>
      </c>
      <c r="X3413" s="54" t="s">
        <v>2</v>
      </c>
      <c r="Y3413" s="54" t="s">
        <v>2</v>
      </c>
      <c r="Z3413" s="54" t="s">
        <v>2</v>
      </c>
      <c r="AA3413" s="54" t="s">
        <v>2</v>
      </c>
      <c r="AB3413" s="54" t="s">
        <v>2</v>
      </c>
      <c r="AC3413" s="54" t="s">
        <v>2</v>
      </c>
      <c r="AD3413" s="54" t="s">
        <v>2</v>
      </c>
      <c r="AE3413" s="54" t="s">
        <v>2</v>
      </c>
      <c r="AF3413" s="54" t="s">
        <v>2</v>
      </c>
      <c r="AG3413" s="54" t="s">
        <v>2</v>
      </c>
    </row>
    <row r="3414" ht="15.75" customHeight="1">
      <c r="B3414" s="56"/>
      <c r="U3414" s="46" t="str">
        <f t="array" ref="U3414">IF($D3414="","",IFERROR(_xlfn.XLOOKUP($D3414,'TIR店舗一覧'!$D:$D,'TIR店舗一覧'!$E:$E,""),""))</f>
        <v/>
      </c>
      <c r="V3414" s="54" t="s">
        <v>2</v>
      </c>
      <c r="W3414" s="54" t="s">
        <v>2</v>
      </c>
      <c r="X3414" s="54" t="s">
        <v>2</v>
      </c>
      <c r="Y3414" s="54" t="s">
        <v>2</v>
      </c>
      <c r="Z3414" s="54" t="s">
        <v>2</v>
      </c>
      <c r="AA3414" s="54" t="s">
        <v>2</v>
      </c>
      <c r="AB3414" s="54" t="s">
        <v>2</v>
      </c>
      <c r="AC3414" s="54" t="s">
        <v>2</v>
      </c>
      <c r="AD3414" s="54" t="s">
        <v>2</v>
      </c>
      <c r="AE3414" s="54" t="s">
        <v>2</v>
      </c>
      <c r="AF3414" s="54" t="s">
        <v>2</v>
      </c>
      <c r="AG3414" s="54" t="s">
        <v>2</v>
      </c>
    </row>
    <row r="3415" ht="15.75" customHeight="1">
      <c r="B3415" s="56"/>
      <c r="U3415" s="46" t="str">
        <f t="array" ref="U3415">IF($D3415="","",IFERROR(_xlfn.XLOOKUP($D3415,'TIR店舗一覧'!$D:$D,'TIR店舗一覧'!$E:$E,""),""))</f>
        <v/>
      </c>
      <c r="V3415" s="54" t="s">
        <v>2</v>
      </c>
      <c r="W3415" s="54" t="s">
        <v>2</v>
      </c>
      <c r="X3415" s="54" t="s">
        <v>2</v>
      </c>
      <c r="Y3415" s="54" t="s">
        <v>2</v>
      </c>
      <c r="Z3415" s="54" t="s">
        <v>2</v>
      </c>
      <c r="AA3415" s="54" t="s">
        <v>2</v>
      </c>
      <c r="AB3415" s="54" t="s">
        <v>2</v>
      </c>
      <c r="AC3415" s="54" t="s">
        <v>2</v>
      </c>
      <c r="AD3415" s="54" t="s">
        <v>2</v>
      </c>
      <c r="AE3415" s="54" t="s">
        <v>2</v>
      </c>
      <c r="AF3415" s="54" t="s">
        <v>2</v>
      </c>
      <c r="AG3415" s="54" t="s">
        <v>2</v>
      </c>
    </row>
    <row r="3416" ht="15.75" customHeight="1">
      <c r="B3416" s="56"/>
      <c r="U3416" s="46" t="str">
        <f t="array" ref="U3416">IF($D3416="","",IFERROR(_xlfn.XLOOKUP($D3416,'TIR店舗一覧'!$D:$D,'TIR店舗一覧'!$E:$E,""),""))</f>
        <v/>
      </c>
      <c r="V3416" s="54" t="s">
        <v>2</v>
      </c>
      <c r="W3416" s="54" t="s">
        <v>2</v>
      </c>
      <c r="X3416" s="54" t="s">
        <v>2</v>
      </c>
      <c r="Y3416" s="54" t="s">
        <v>2</v>
      </c>
      <c r="Z3416" s="54" t="s">
        <v>2</v>
      </c>
      <c r="AA3416" s="54" t="s">
        <v>2</v>
      </c>
      <c r="AB3416" s="54" t="s">
        <v>2</v>
      </c>
      <c r="AC3416" s="54" t="s">
        <v>2</v>
      </c>
      <c r="AD3416" s="54" t="s">
        <v>2</v>
      </c>
      <c r="AE3416" s="54" t="s">
        <v>2</v>
      </c>
      <c r="AF3416" s="54" t="s">
        <v>2</v>
      </c>
      <c r="AG3416" s="54" t="s">
        <v>2</v>
      </c>
    </row>
    <row r="3417" ht="15.75" customHeight="1">
      <c r="B3417" s="56"/>
      <c r="U3417" s="46" t="str">
        <f t="array" ref="U3417">IF($D3417="","",IFERROR(_xlfn.XLOOKUP($D3417,'TIR店舗一覧'!$D:$D,'TIR店舗一覧'!$E:$E,""),""))</f>
        <v/>
      </c>
      <c r="V3417" s="54" t="s">
        <v>2</v>
      </c>
      <c r="W3417" s="54" t="s">
        <v>2</v>
      </c>
      <c r="X3417" s="54" t="s">
        <v>2</v>
      </c>
      <c r="Y3417" s="54" t="s">
        <v>2</v>
      </c>
      <c r="Z3417" s="54" t="s">
        <v>2</v>
      </c>
      <c r="AA3417" s="54" t="s">
        <v>2</v>
      </c>
      <c r="AB3417" s="54" t="s">
        <v>2</v>
      </c>
      <c r="AC3417" s="54" t="s">
        <v>2</v>
      </c>
      <c r="AD3417" s="54" t="s">
        <v>2</v>
      </c>
      <c r="AE3417" s="54" t="s">
        <v>2</v>
      </c>
      <c r="AF3417" s="54" t="s">
        <v>2</v>
      </c>
      <c r="AG3417" s="54" t="s">
        <v>2</v>
      </c>
    </row>
    <row r="3418" ht="15.75" customHeight="1">
      <c r="B3418" s="56"/>
      <c r="U3418" s="46" t="str">
        <f t="array" ref="U3418">IF($D3418="","",IFERROR(_xlfn.XLOOKUP($D3418,'TIR店舗一覧'!$D:$D,'TIR店舗一覧'!$E:$E,""),""))</f>
        <v/>
      </c>
      <c r="V3418" s="54" t="s">
        <v>2</v>
      </c>
      <c r="W3418" s="54" t="s">
        <v>2</v>
      </c>
      <c r="X3418" s="54" t="s">
        <v>2</v>
      </c>
      <c r="Y3418" s="54" t="s">
        <v>2</v>
      </c>
      <c r="Z3418" s="54" t="s">
        <v>2</v>
      </c>
      <c r="AA3418" s="54" t="s">
        <v>2</v>
      </c>
      <c r="AB3418" s="54" t="s">
        <v>2</v>
      </c>
      <c r="AC3418" s="54" t="s">
        <v>2</v>
      </c>
      <c r="AD3418" s="54" t="s">
        <v>2</v>
      </c>
      <c r="AE3418" s="54" t="s">
        <v>2</v>
      </c>
      <c r="AF3418" s="54" t="s">
        <v>2</v>
      </c>
      <c r="AG3418" s="54" t="s">
        <v>2</v>
      </c>
    </row>
    <row r="3419" ht="15.75" customHeight="1">
      <c r="B3419" s="56"/>
      <c r="U3419" s="46" t="str">
        <f t="array" ref="U3419">IF($D3419="","",IFERROR(_xlfn.XLOOKUP($D3419,'TIR店舗一覧'!$D:$D,'TIR店舗一覧'!$E:$E,""),""))</f>
        <v/>
      </c>
      <c r="V3419" s="54" t="s">
        <v>2</v>
      </c>
      <c r="W3419" s="54" t="s">
        <v>2</v>
      </c>
      <c r="X3419" s="54" t="s">
        <v>2</v>
      </c>
      <c r="Y3419" s="54" t="s">
        <v>2</v>
      </c>
      <c r="Z3419" s="54" t="s">
        <v>2</v>
      </c>
      <c r="AA3419" s="54" t="s">
        <v>2</v>
      </c>
      <c r="AB3419" s="54" t="s">
        <v>2</v>
      </c>
      <c r="AC3419" s="54" t="s">
        <v>2</v>
      </c>
      <c r="AD3419" s="54" t="s">
        <v>2</v>
      </c>
      <c r="AE3419" s="54" t="s">
        <v>2</v>
      </c>
      <c r="AF3419" s="54" t="s">
        <v>2</v>
      </c>
      <c r="AG3419" s="54" t="s">
        <v>2</v>
      </c>
    </row>
    <row r="3420" ht="15.75" customHeight="1">
      <c r="B3420" s="56"/>
      <c r="U3420" s="46" t="str">
        <f t="array" ref="U3420">IF($D3420="","",IFERROR(_xlfn.XLOOKUP($D3420,'TIR店舗一覧'!$D:$D,'TIR店舗一覧'!$E:$E,""),""))</f>
        <v/>
      </c>
      <c r="V3420" s="54" t="s">
        <v>2</v>
      </c>
      <c r="W3420" s="54" t="s">
        <v>2</v>
      </c>
      <c r="X3420" s="54" t="s">
        <v>2</v>
      </c>
      <c r="Y3420" s="54" t="s">
        <v>2</v>
      </c>
      <c r="Z3420" s="54" t="s">
        <v>2</v>
      </c>
      <c r="AA3420" s="54" t="s">
        <v>2</v>
      </c>
      <c r="AB3420" s="54" t="s">
        <v>2</v>
      </c>
      <c r="AC3420" s="54" t="s">
        <v>2</v>
      </c>
      <c r="AD3420" s="54" t="s">
        <v>2</v>
      </c>
      <c r="AE3420" s="54" t="s">
        <v>2</v>
      </c>
      <c r="AF3420" s="54" t="s">
        <v>2</v>
      </c>
      <c r="AG3420" s="54" t="s">
        <v>2</v>
      </c>
    </row>
    <row r="3421" ht="15.75" customHeight="1">
      <c r="B3421" s="56"/>
      <c r="U3421" s="46" t="str">
        <f t="array" ref="U3421">IF($D3421="","",IFERROR(_xlfn.XLOOKUP($D3421,'TIR店舗一覧'!$D:$D,'TIR店舗一覧'!$E:$E,""),""))</f>
        <v/>
      </c>
      <c r="V3421" s="54" t="s">
        <v>2</v>
      </c>
      <c r="W3421" s="54" t="s">
        <v>2</v>
      </c>
      <c r="X3421" s="54" t="s">
        <v>2</v>
      </c>
      <c r="Y3421" s="54" t="s">
        <v>2</v>
      </c>
      <c r="Z3421" s="54" t="s">
        <v>2</v>
      </c>
      <c r="AA3421" s="54" t="s">
        <v>2</v>
      </c>
      <c r="AB3421" s="54" t="s">
        <v>2</v>
      </c>
      <c r="AC3421" s="54" t="s">
        <v>2</v>
      </c>
      <c r="AD3421" s="54" t="s">
        <v>2</v>
      </c>
      <c r="AE3421" s="54" t="s">
        <v>2</v>
      </c>
      <c r="AF3421" s="54" t="s">
        <v>2</v>
      </c>
      <c r="AG3421" s="54" t="s">
        <v>2</v>
      </c>
    </row>
    <row r="3422" ht="15.75" customHeight="1">
      <c r="B3422" s="56"/>
      <c r="U3422" s="46" t="str">
        <f t="array" ref="U3422">IF($D3422="","",IFERROR(_xlfn.XLOOKUP($D3422,'TIR店舗一覧'!$D:$D,'TIR店舗一覧'!$E:$E,""),""))</f>
        <v/>
      </c>
      <c r="V3422" s="54" t="s">
        <v>2</v>
      </c>
      <c r="W3422" s="54" t="s">
        <v>2</v>
      </c>
      <c r="X3422" s="54" t="s">
        <v>2</v>
      </c>
      <c r="Y3422" s="54" t="s">
        <v>2</v>
      </c>
      <c r="Z3422" s="54" t="s">
        <v>2</v>
      </c>
      <c r="AA3422" s="54" t="s">
        <v>2</v>
      </c>
      <c r="AB3422" s="54" t="s">
        <v>2</v>
      </c>
      <c r="AC3422" s="54" t="s">
        <v>2</v>
      </c>
      <c r="AD3422" s="54" t="s">
        <v>2</v>
      </c>
      <c r="AE3422" s="54" t="s">
        <v>2</v>
      </c>
      <c r="AF3422" s="54" t="s">
        <v>2</v>
      </c>
      <c r="AG3422" s="54" t="s">
        <v>2</v>
      </c>
    </row>
    <row r="3423" ht="15.75" customHeight="1">
      <c r="B3423" s="56"/>
      <c r="U3423" s="46" t="str">
        <f t="array" ref="U3423">IF($D3423="","",IFERROR(_xlfn.XLOOKUP($D3423,'TIR店舗一覧'!$D:$D,'TIR店舗一覧'!$E:$E,""),""))</f>
        <v/>
      </c>
      <c r="V3423" s="54" t="s">
        <v>2</v>
      </c>
      <c r="W3423" s="54" t="s">
        <v>2</v>
      </c>
      <c r="X3423" s="54" t="s">
        <v>2</v>
      </c>
      <c r="Y3423" s="54" t="s">
        <v>2</v>
      </c>
      <c r="Z3423" s="54" t="s">
        <v>2</v>
      </c>
      <c r="AA3423" s="54" t="s">
        <v>2</v>
      </c>
      <c r="AB3423" s="54" t="s">
        <v>2</v>
      </c>
      <c r="AC3423" s="54" t="s">
        <v>2</v>
      </c>
      <c r="AD3423" s="54" t="s">
        <v>2</v>
      </c>
      <c r="AE3423" s="54" t="s">
        <v>2</v>
      </c>
      <c r="AF3423" s="54" t="s">
        <v>2</v>
      </c>
      <c r="AG3423" s="54" t="s">
        <v>2</v>
      </c>
    </row>
    <row r="3424" ht="15.75" customHeight="1">
      <c r="B3424" s="56"/>
      <c r="U3424" s="46" t="str">
        <f t="array" ref="U3424">IF($D3424="","",IFERROR(_xlfn.XLOOKUP($D3424,'TIR店舗一覧'!$D:$D,'TIR店舗一覧'!$E:$E,""),""))</f>
        <v/>
      </c>
      <c r="V3424" s="54" t="s">
        <v>2</v>
      </c>
      <c r="W3424" s="54" t="s">
        <v>2</v>
      </c>
      <c r="X3424" s="54" t="s">
        <v>2</v>
      </c>
      <c r="Y3424" s="54" t="s">
        <v>2</v>
      </c>
      <c r="Z3424" s="54" t="s">
        <v>2</v>
      </c>
      <c r="AA3424" s="54" t="s">
        <v>2</v>
      </c>
      <c r="AB3424" s="54" t="s">
        <v>2</v>
      </c>
      <c r="AC3424" s="54" t="s">
        <v>2</v>
      </c>
      <c r="AD3424" s="54" t="s">
        <v>2</v>
      </c>
      <c r="AE3424" s="54" t="s">
        <v>2</v>
      </c>
      <c r="AF3424" s="54" t="s">
        <v>2</v>
      </c>
      <c r="AG3424" s="54" t="s">
        <v>2</v>
      </c>
    </row>
    <row r="3425" ht="15.75" customHeight="1">
      <c r="B3425" s="56"/>
      <c r="U3425" s="46" t="str">
        <f t="array" ref="U3425">IF($D3425="","",IFERROR(_xlfn.XLOOKUP($D3425,'TIR店舗一覧'!$D:$D,'TIR店舗一覧'!$E:$E,""),""))</f>
        <v/>
      </c>
      <c r="V3425" s="54" t="s">
        <v>2</v>
      </c>
      <c r="W3425" s="54" t="s">
        <v>2</v>
      </c>
      <c r="X3425" s="54" t="s">
        <v>2</v>
      </c>
      <c r="Y3425" s="54" t="s">
        <v>2</v>
      </c>
      <c r="Z3425" s="54" t="s">
        <v>2</v>
      </c>
      <c r="AA3425" s="54" t="s">
        <v>2</v>
      </c>
      <c r="AB3425" s="54" t="s">
        <v>2</v>
      </c>
      <c r="AC3425" s="54" t="s">
        <v>2</v>
      </c>
      <c r="AD3425" s="54" t="s">
        <v>2</v>
      </c>
      <c r="AE3425" s="54" t="s">
        <v>2</v>
      </c>
      <c r="AF3425" s="54" t="s">
        <v>2</v>
      </c>
      <c r="AG3425" s="54" t="s">
        <v>2</v>
      </c>
    </row>
    <row r="3426" ht="15.75" customHeight="1">
      <c r="B3426" s="56"/>
      <c r="U3426" s="46" t="str">
        <f t="array" ref="U3426">IF($D3426="","",IFERROR(_xlfn.XLOOKUP($D3426,'TIR店舗一覧'!$D:$D,'TIR店舗一覧'!$E:$E,""),""))</f>
        <v/>
      </c>
      <c r="V3426" s="54" t="s">
        <v>2</v>
      </c>
      <c r="W3426" s="54" t="s">
        <v>2</v>
      </c>
      <c r="X3426" s="54" t="s">
        <v>2</v>
      </c>
      <c r="Y3426" s="54" t="s">
        <v>2</v>
      </c>
      <c r="Z3426" s="54" t="s">
        <v>2</v>
      </c>
      <c r="AA3426" s="54" t="s">
        <v>2</v>
      </c>
      <c r="AB3426" s="54" t="s">
        <v>2</v>
      </c>
      <c r="AC3426" s="54" t="s">
        <v>2</v>
      </c>
      <c r="AD3426" s="54" t="s">
        <v>2</v>
      </c>
      <c r="AE3426" s="54" t="s">
        <v>2</v>
      </c>
      <c r="AF3426" s="54" t="s">
        <v>2</v>
      </c>
      <c r="AG3426" s="54" t="s">
        <v>2</v>
      </c>
    </row>
    <row r="3427" ht="15.75" customHeight="1">
      <c r="B3427" s="56"/>
      <c r="U3427" s="46" t="str">
        <f t="array" ref="U3427">IF($D3427="","",IFERROR(_xlfn.XLOOKUP($D3427,'TIR店舗一覧'!$D:$D,'TIR店舗一覧'!$E:$E,""),""))</f>
        <v/>
      </c>
      <c r="V3427" s="54" t="s">
        <v>2</v>
      </c>
      <c r="W3427" s="54" t="s">
        <v>2</v>
      </c>
      <c r="X3427" s="54" t="s">
        <v>2</v>
      </c>
      <c r="Y3427" s="54" t="s">
        <v>2</v>
      </c>
      <c r="Z3427" s="54" t="s">
        <v>2</v>
      </c>
      <c r="AA3427" s="54" t="s">
        <v>2</v>
      </c>
      <c r="AB3427" s="54" t="s">
        <v>2</v>
      </c>
      <c r="AC3427" s="54" t="s">
        <v>2</v>
      </c>
      <c r="AD3427" s="54" t="s">
        <v>2</v>
      </c>
      <c r="AE3427" s="54" t="s">
        <v>2</v>
      </c>
      <c r="AF3427" s="54" t="s">
        <v>2</v>
      </c>
      <c r="AG3427" s="54" t="s">
        <v>2</v>
      </c>
    </row>
    <row r="3428" ht="15.75" customHeight="1">
      <c r="B3428" s="56"/>
      <c r="U3428" s="46" t="str">
        <f t="array" ref="U3428">IF($D3428="","",IFERROR(_xlfn.XLOOKUP($D3428,'TIR店舗一覧'!$D:$D,'TIR店舗一覧'!$E:$E,""),""))</f>
        <v/>
      </c>
      <c r="V3428" s="54" t="s">
        <v>2</v>
      </c>
      <c r="W3428" s="54" t="s">
        <v>2</v>
      </c>
      <c r="X3428" s="54" t="s">
        <v>2</v>
      </c>
      <c r="Y3428" s="54" t="s">
        <v>2</v>
      </c>
      <c r="Z3428" s="54" t="s">
        <v>2</v>
      </c>
      <c r="AA3428" s="54" t="s">
        <v>2</v>
      </c>
      <c r="AB3428" s="54" t="s">
        <v>2</v>
      </c>
      <c r="AC3428" s="54" t="s">
        <v>2</v>
      </c>
      <c r="AD3428" s="54" t="s">
        <v>2</v>
      </c>
      <c r="AE3428" s="54" t="s">
        <v>2</v>
      </c>
      <c r="AF3428" s="54" t="s">
        <v>2</v>
      </c>
      <c r="AG3428" s="54" t="s">
        <v>2</v>
      </c>
    </row>
    <row r="3429" ht="15.75" customHeight="1">
      <c r="B3429" s="56"/>
      <c r="U3429" s="46" t="str">
        <f t="array" ref="U3429">IF($D3429="","",IFERROR(_xlfn.XLOOKUP($D3429,'TIR店舗一覧'!$D:$D,'TIR店舗一覧'!$E:$E,""),""))</f>
        <v/>
      </c>
      <c r="V3429" s="54" t="s">
        <v>2</v>
      </c>
      <c r="W3429" s="54" t="s">
        <v>2</v>
      </c>
      <c r="X3429" s="54" t="s">
        <v>2</v>
      </c>
      <c r="Y3429" s="54" t="s">
        <v>2</v>
      </c>
      <c r="Z3429" s="54" t="s">
        <v>2</v>
      </c>
      <c r="AA3429" s="54" t="s">
        <v>2</v>
      </c>
      <c r="AB3429" s="54" t="s">
        <v>2</v>
      </c>
      <c r="AC3429" s="54" t="s">
        <v>2</v>
      </c>
      <c r="AD3429" s="54" t="s">
        <v>2</v>
      </c>
      <c r="AE3429" s="54" t="s">
        <v>2</v>
      </c>
      <c r="AF3429" s="54" t="s">
        <v>2</v>
      </c>
      <c r="AG3429" s="54" t="s">
        <v>2</v>
      </c>
    </row>
    <row r="3430" ht="15.75" customHeight="1">
      <c r="B3430" s="56"/>
      <c r="U3430" s="46" t="str">
        <f t="array" ref="U3430">IF($D3430="","",IFERROR(_xlfn.XLOOKUP($D3430,'TIR店舗一覧'!$D:$D,'TIR店舗一覧'!$E:$E,""),""))</f>
        <v/>
      </c>
      <c r="V3430" s="54" t="s">
        <v>2</v>
      </c>
      <c r="W3430" s="54" t="s">
        <v>2</v>
      </c>
      <c r="X3430" s="54" t="s">
        <v>2</v>
      </c>
      <c r="Y3430" s="54" t="s">
        <v>2</v>
      </c>
      <c r="Z3430" s="54" t="s">
        <v>2</v>
      </c>
      <c r="AA3430" s="54" t="s">
        <v>2</v>
      </c>
      <c r="AB3430" s="54" t="s">
        <v>2</v>
      </c>
      <c r="AC3430" s="54" t="s">
        <v>2</v>
      </c>
      <c r="AD3430" s="54" t="s">
        <v>2</v>
      </c>
      <c r="AE3430" s="54" t="s">
        <v>2</v>
      </c>
      <c r="AF3430" s="54" t="s">
        <v>2</v>
      </c>
      <c r="AG3430" s="54" t="s">
        <v>2</v>
      </c>
    </row>
    <row r="3431" ht="15.75" customHeight="1">
      <c r="B3431" s="56"/>
      <c r="U3431" s="46" t="str">
        <f t="array" ref="U3431">IF($D3431="","",IFERROR(_xlfn.XLOOKUP($D3431,'TIR店舗一覧'!$D:$D,'TIR店舗一覧'!$E:$E,""),""))</f>
        <v/>
      </c>
      <c r="V3431" s="54" t="s">
        <v>2</v>
      </c>
      <c r="W3431" s="54" t="s">
        <v>2</v>
      </c>
      <c r="X3431" s="54" t="s">
        <v>2</v>
      </c>
      <c r="Y3431" s="54" t="s">
        <v>2</v>
      </c>
      <c r="Z3431" s="54" t="s">
        <v>2</v>
      </c>
      <c r="AA3431" s="54" t="s">
        <v>2</v>
      </c>
      <c r="AB3431" s="54" t="s">
        <v>2</v>
      </c>
      <c r="AC3431" s="54" t="s">
        <v>2</v>
      </c>
      <c r="AD3431" s="54" t="s">
        <v>2</v>
      </c>
      <c r="AE3431" s="54" t="s">
        <v>2</v>
      </c>
      <c r="AF3431" s="54" t="s">
        <v>2</v>
      </c>
      <c r="AG3431" s="54" t="s">
        <v>2</v>
      </c>
    </row>
    <row r="3432" ht="15.75" customHeight="1">
      <c r="B3432" s="56"/>
      <c r="U3432" s="46" t="str">
        <f t="array" ref="U3432">IF($D3432="","",IFERROR(_xlfn.XLOOKUP($D3432,'TIR店舗一覧'!$D:$D,'TIR店舗一覧'!$E:$E,""),""))</f>
        <v/>
      </c>
      <c r="V3432" s="54" t="s">
        <v>2</v>
      </c>
      <c r="W3432" s="54" t="s">
        <v>2</v>
      </c>
      <c r="X3432" s="54" t="s">
        <v>2</v>
      </c>
      <c r="Y3432" s="54" t="s">
        <v>2</v>
      </c>
      <c r="Z3432" s="54" t="s">
        <v>2</v>
      </c>
      <c r="AA3432" s="54" t="s">
        <v>2</v>
      </c>
      <c r="AB3432" s="54" t="s">
        <v>2</v>
      </c>
      <c r="AC3432" s="54" t="s">
        <v>2</v>
      </c>
      <c r="AD3432" s="54" t="s">
        <v>2</v>
      </c>
      <c r="AE3432" s="54" t="s">
        <v>2</v>
      </c>
      <c r="AF3432" s="54" t="s">
        <v>2</v>
      </c>
      <c r="AG3432" s="54" t="s">
        <v>2</v>
      </c>
    </row>
    <row r="3433" ht="15.75" customHeight="1">
      <c r="B3433" s="56"/>
      <c r="U3433" s="46" t="str">
        <f t="array" ref="U3433">IF($D3433="","",IFERROR(_xlfn.XLOOKUP($D3433,'TIR店舗一覧'!$D:$D,'TIR店舗一覧'!$E:$E,""),""))</f>
        <v/>
      </c>
      <c r="V3433" s="54" t="s">
        <v>2</v>
      </c>
      <c r="W3433" s="54" t="s">
        <v>2</v>
      </c>
      <c r="X3433" s="54" t="s">
        <v>2</v>
      </c>
      <c r="Y3433" s="54" t="s">
        <v>2</v>
      </c>
      <c r="Z3433" s="54" t="s">
        <v>2</v>
      </c>
      <c r="AA3433" s="54" t="s">
        <v>2</v>
      </c>
      <c r="AB3433" s="54" t="s">
        <v>2</v>
      </c>
      <c r="AC3433" s="54" t="s">
        <v>2</v>
      </c>
      <c r="AD3433" s="54" t="s">
        <v>2</v>
      </c>
      <c r="AE3433" s="54" t="s">
        <v>2</v>
      </c>
      <c r="AF3433" s="54" t="s">
        <v>2</v>
      </c>
      <c r="AG3433" s="54" t="s">
        <v>2</v>
      </c>
    </row>
    <row r="3434" ht="15.75" customHeight="1">
      <c r="B3434" s="56"/>
      <c r="U3434" s="46" t="str">
        <f t="array" ref="U3434">IF($D3434="","",IFERROR(_xlfn.XLOOKUP($D3434,'TIR店舗一覧'!$D:$D,'TIR店舗一覧'!$E:$E,""),""))</f>
        <v/>
      </c>
      <c r="V3434" s="54" t="s">
        <v>2</v>
      </c>
      <c r="W3434" s="54" t="s">
        <v>2</v>
      </c>
      <c r="X3434" s="54" t="s">
        <v>2</v>
      </c>
      <c r="Y3434" s="54" t="s">
        <v>2</v>
      </c>
      <c r="Z3434" s="54" t="s">
        <v>2</v>
      </c>
      <c r="AA3434" s="54" t="s">
        <v>2</v>
      </c>
      <c r="AB3434" s="54" t="s">
        <v>2</v>
      </c>
      <c r="AC3434" s="54" t="s">
        <v>2</v>
      </c>
      <c r="AD3434" s="54" t="s">
        <v>2</v>
      </c>
      <c r="AE3434" s="54" t="s">
        <v>2</v>
      </c>
      <c r="AF3434" s="54" t="s">
        <v>2</v>
      </c>
      <c r="AG3434" s="54" t="s">
        <v>2</v>
      </c>
    </row>
    <row r="3435" ht="15.75" customHeight="1">
      <c r="B3435" s="56"/>
      <c r="U3435" s="46" t="str">
        <f t="array" ref="U3435">IF($D3435="","",IFERROR(_xlfn.XLOOKUP($D3435,'TIR店舗一覧'!$D:$D,'TIR店舗一覧'!$E:$E,""),""))</f>
        <v/>
      </c>
      <c r="V3435" s="54" t="s">
        <v>2</v>
      </c>
      <c r="W3435" s="54" t="s">
        <v>2</v>
      </c>
      <c r="X3435" s="54" t="s">
        <v>2</v>
      </c>
      <c r="Y3435" s="54" t="s">
        <v>2</v>
      </c>
      <c r="Z3435" s="54" t="s">
        <v>2</v>
      </c>
      <c r="AA3435" s="54" t="s">
        <v>2</v>
      </c>
      <c r="AB3435" s="54" t="s">
        <v>2</v>
      </c>
      <c r="AC3435" s="54" t="s">
        <v>2</v>
      </c>
      <c r="AD3435" s="54" t="s">
        <v>2</v>
      </c>
      <c r="AE3435" s="54" t="s">
        <v>2</v>
      </c>
      <c r="AF3435" s="54" t="s">
        <v>2</v>
      </c>
      <c r="AG3435" s="54" t="s">
        <v>2</v>
      </c>
    </row>
    <row r="3436" ht="15.75" customHeight="1">
      <c r="B3436" s="56"/>
      <c r="U3436" s="46" t="str">
        <f t="array" ref="U3436">IF($D3436="","",IFERROR(_xlfn.XLOOKUP($D3436,'TIR店舗一覧'!$D:$D,'TIR店舗一覧'!$E:$E,""),""))</f>
        <v/>
      </c>
      <c r="V3436" s="54" t="s">
        <v>2</v>
      </c>
      <c r="W3436" s="54" t="s">
        <v>2</v>
      </c>
      <c r="X3436" s="54" t="s">
        <v>2</v>
      </c>
      <c r="Y3436" s="54" t="s">
        <v>2</v>
      </c>
      <c r="Z3436" s="54" t="s">
        <v>2</v>
      </c>
      <c r="AA3436" s="54" t="s">
        <v>2</v>
      </c>
      <c r="AB3436" s="54" t="s">
        <v>2</v>
      </c>
      <c r="AC3436" s="54" t="s">
        <v>2</v>
      </c>
      <c r="AD3436" s="54" t="s">
        <v>2</v>
      </c>
      <c r="AE3436" s="54" t="s">
        <v>2</v>
      </c>
      <c r="AF3436" s="54" t="s">
        <v>2</v>
      </c>
      <c r="AG3436" s="54" t="s">
        <v>2</v>
      </c>
    </row>
    <row r="3437" ht="15.75" customHeight="1">
      <c r="B3437" s="56"/>
      <c r="U3437" s="46" t="str">
        <f t="array" ref="U3437">IF($D3437="","",IFERROR(_xlfn.XLOOKUP($D3437,'TIR店舗一覧'!$D:$D,'TIR店舗一覧'!$E:$E,""),""))</f>
        <v/>
      </c>
      <c r="V3437" s="54" t="s">
        <v>2</v>
      </c>
      <c r="W3437" s="54" t="s">
        <v>2</v>
      </c>
      <c r="X3437" s="54" t="s">
        <v>2</v>
      </c>
      <c r="Y3437" s="54" t="s">
        <v>2</v>
      </c>
      <c r="Z3437" s="54" t="s">
        <v>2</v>
      </c>
      <c r="AA3437" s="54" t="s">
        <v>2</v>
      </c>
      <c r="AB3437" s="54" t="s">
        <v>2</v>
      </c>
      <c r="AC3437" s="54" t="s">
        <v>2</v>
      </c>
      <c r="AD3437" s="54" t="s">
        <v>2</v>
      </c>
      <c r="AE3437" s="54" t="s">
        <v>2</v>
      </c>
      <c r="AF3437" s="54" t="s">
        <v>2</v>
      </c>
      <c r="AG3437" s="54" t="s">
        <v>2</v>
      </c>
    </row>
    <row r="3438" ht="15.75" customHeight="1">
      <c r="B3438" s="56"/>
      <c r="U3438" s="46" t="str">
        <f t="array" ref="U3438">IF($D3438="","",IFERROR(_xlfn.XLOOKUP($D3438,'TIR店舗一覧'!$D:$D,'TIR店舗一覧'!$E:$E,""),""))</f>
        <v/>
      </c>
      <c r="V3438" s="54" t="s">
        <v>2</v>
      </c>
      <c r="W3438" s="54" t="s">
        <v>2</v>
      </c>
      <c r="X3438" s="54" t="s">
        <v>2</v>
      </c>
      <c r="Y3438" s="54" t="s">
        <v>2</v>
      </c>
      <c r="Z3438" s="54" t="s">
        <v>2</v>
      </c>
      <c r="AA3438" s="54" t="s">
        <v>2</v>
      </c>
      <c r="AB3438" s="54" t="s">
        <v>2</v>
      </c>
      <c r="AC3438" s="54" t="s">
        <v>2</v>
      </c>
      <c r="AD3438" s="54" t="s">
        <v>2</v>
      </c>
      <c r="AE3438" s="54" t="s">
        <v>2</v>
      </c>
      <c r="AF3438" s="54" t="s">
        <v>2</v>
      </c>
      <c r="AG3438" s="54" t="s">
        <v>2</v>
      </c>
    </row>
    <row r="3439" ht="15.75" customHeight="1">
      <c r="B3439" s="56"/>
      <c r="U3439" s="46" t="str">
        <f t="array" ref="U3439">IF($D3439="","",IFERROR(_xlfn.XLOOKUP($D3439,'TIR店舗一覧'!$D:$D,'TIR店舗一覧'!$E:$E,""),""))</f>
        <v/>
      </c>
      <c r="V3439" s="54" t="s">
        <v>2</v>
      </c>
      <c r="W3439" s="54" t="s">
        <v>2</v>
      </c>
      <c r="X3439" s="54" t="s">
        <v>2</v>
      </c>
      <c r="Y3439" s="54" t="s">
        <v>2</v>
      </c>
      <c r="Z3439" s="54" t="s">
        <v>2</v>
      </c>
      <c r="AA3439" s="54" t="s">
        <v>2</v>
      </c>
      <c r="AB3439" s="54" t="s">
        <v>2</v>
      </c>
      <c r="AC3439" s="54" t="s">
        <v>2</v>
      </c>
      <c r="AD3439" s="54" t="s">
        <v>2</v>
      </c>
      <c r="AE3439" s="54" t="s">
        <v>2</v>
      </c>
      <c r="AF3439" s="54" t="s">
        <v>2</v>
      </c>
      <c r="AG3439" s="54" t="s">
        <v>2</v>
      </c>
    </row>
    <row r="3440" ht="15.75" customHeight="1">
      <c r="B3440" s="56"/>
      <c r="U3440" s="46" t="str">
        <f t="array" ref="U3440">IF($D3440="","",IFERROR(_xlfn.XLOOKUP($D3440,'TIR店舗一覧'!$D:$D,'TIR店舗一覧'!$E:$E,""),""))</f>
        <v/>
      </c>
      <c r="V3440" s="54" t="s">
        <v>2</v>
      </c>
      <c r="W3440" s="54" t="s">
        <v>2</v>
      </c>
      <c r="X3440" s="54" t="s">
        <v>2</v>
      </c>
      <c r="Y3440" s="54" t="s">
        <v>2</v>
      </c>
      <c r="Z3440" s="54" t="s">
        <v>2</v>
      </c>
      <c r="AA3440" s="54" t="s">
        <v>2</v>
      </c>
      <c r="AB3440" s="54" t="s">
        <v>2</v>
      </c>
      <c r="AC3440" s="54" t="s">
        <v>2</v>
      </c>
      <c r="AD3440" s="54" t="s">
        <v>2</v>
      </c>
      <c r="AE3440" s="54" t="s">
        <v>2</v>
      </c>
      <c r="AF3440" s="54" t="s">
        <v>2</v>
      </c>
      <c r="AG3440" s="54" t="s">
        <v>2</v>
      </c>
    </row>
    <row r="3441" ht="15.75" customHeight="1">
      <c r="B3441" s="56"/>
      <c r="U3441" s="46" t="str">
        <f t="array" ref="U3441">IF($D3441="","",IFERROR(_xlfn.XLOOKUP($D3441,'TIR店舗一覧'!$D:$D,'TIR店舗一覧'!$E:$E,""),""))</f>
        <v/>
      </c>
      <c r="V3441" s="54" t="s">
        <v>2</v>
      </c>
      <c r="W3441" s="54" t="s">
        <v>2</v>
      </c>
      <c r="X3441" s="54" t="s">
        <v>2</v>
      </c>
      <c r="Y3441" s="54" t="s">
        <v>2</v>
      </c>
      <c r="Z3441" s="54" t="s">
        <v>2</v>
      </c>
      <c r="AA3441" s="54" t="s">
        <v>2</v>
      </c>
      <c r="AB3441" s="54" t="s">
        <v>2</v>
      </c>
      <c r="AC3441" s="54" t="s">
        <v>2</v>
      </c>
      <c r="AD3441" s="54" t="s">
        <v>2</v>
      </c>
      <c r="AE3441" s="54" t="s">
        <v>2</v>
      </c>
      <c r="AF3441" s="54" t="s">
        <v>2</v>
      </c>
      <c r="AG3441" s="54" t="s">
        <v>2</v>
      </c>
    </row>
    <row r="3442" ht="15.75" customHeight="1">
      <c r="B3442" s="56"/>
      <c r="U3442" s="46" t="str">
        <f t="array" ref="U3442">IF($D3442="","",IFERROR(_xlfn.XLOOKUP($D3442,'TIR店舗一覧'!$D:$D,'TIR店舗一覧'!$E:$E,""),""))</f>
        <v/>
      </c>
      <c r="V3442" s="54" t="s">
        <v>2</v>
      </c>
      <c r="W3442" s="54" t="s">
        <v>2</v>
      </c>
      <c r="X3442" s="54" t="s">
        <v>2</v>
      </c>
      <c r="Y3442" s="54" t="s">
        <v>2</v>
      </c>
      <c r="Z3442" s="54" t="s">
        <v>2</v>
      </c>
      <c r="AA3442" s="54" t="s">
        <v>2</v>
      </c>
      <c r="AB3442" s="54" t="s">
        <v>2</v>
      </c>
      <c r="AC3442" s="54" t="s">
        <v>2</v>
      </c>
      <c r="AD3442" s="54" t="s">
        <v>2</v>
      </c>
      <c r="AE3442" s="54" t="s">
        <v>2</v>
      </c>
      <c r="AF3442" s="54" t="s">
        <v>2</v>
      </c>
      <c r="AG3442" s="54" t="s">
        <v>2</v>
      </c>
    </row>
    <row r="3443" ht="15.75" customHeight="1">
      <c r="B3443" s="56"/>
      <c r="U3443" s="46" t="str">
        <f t="array" ref="U3443">IF($D3443="","",IFERROR(_xlfn.XLOOKUP($D3443,'TIR店舗一覧'!$D:$D,'TIR店舗一覧'!$E:$E,""),""))</f>
        <v/>
      </c>
      <c r="V3443" s="54" t="s">
        <v>2</v>
      </c>
      <c r="W3443" s="54" t="s">
        <v>2</v>
      </c>
      <c r="X3443" s="54" t="s">
        <v>2</v>
      </c>
      <c r="Y3443" s="54" t="s">
        <v>2</v>
      </c>
      <c r="Z3443" s="54" t="s">
        <v>2</v>
      </c>
      <c r="AA3443" s="54" t="s">
        <v>2</v>
      </c>
      <c r="AB3443" s="54" t="s">
        <v>2</v>
      </c>
      <c r="AC3443" s="54" t="s">
        <v>2</v>
      </c>
      <c r="AD3443" s="54" t="s">
        <v>2</v>
      </c>
      <c r="AE3443" s="54" t="s">
        <v>2</v>
      </c>
      <c r="AF3443" s="54" t="s">
        <v>2</v>
      </c>
      <c r="AG3443" s="54" t="s">
        <v>2</v>
      </c>
    </row>
    <row r="3444" ht="15.75" customHeight="1">
      <c r="B3444" s="56"/>
      <c r="U3444" s="46" t="str">
        <f t="array" ref="U3444">IF($D3444="","",IFERROR(_xlfn.XLOOKUP($D3444,'TIR店舗一覧'!$D:$D,'TIR店舗一覧'!$E:$E,""),""))</f>
        <v/>
      </c>
      <c r="V3444" s="54" t="s">
        <v>2</v>
      </c>
      <c r="W3444" s="54" t="s">
        <v>2</v>
      </c>
      <c r="X3444" s="54" t="s">
        <v>2</v>
      </c>
      <c r="Y3444" s="54" t="s">
        <v>2</v>
      </c>
      <c r="Z3444" s="54" t="s">
        <v>2</v>
      </c>
      <c r="AA3444" s="54" t="s">
        <v>2</v>
      </c>
      <c r="AB3444" s="54" t="s">
        <v>2</v>
      </c>
      <c r="AC3444" s="54" t="s">
        <v>2</v>
      </c>
      <c r="AD3444" s="54" t="s">
        <v>2</v>
      </c>
      <c r="AE3444" s="54" t="s">
        <v>2</v>
      </c>
      <c r="AF3444" s="54" t="s">
        <v>2</v>
      </c>
      <c r="AG3444" s="54" t="s">
        <v>2</v>
      </c>
    </row>
    <row r="3445" ht="15.75" customHeight="1">
      <c r="B3445" s="56"/>
      <c r="U3445" s="46" t="str">
        <f t="array" ref="U3445">IF($D3445="","",IFERROR(_xlfn.XLOOKUP($D3445,'TIR店舗一覧'!$D:$D,'TIR店舗一覧'!$E:$E,""),""))</f>
        <v/>
      </c>
      <c r="V3445" s="54" t="s">
        <v>2</v>
      </c>
      <c r="W3445" s="54" t="s">
        <v>2</v>
      </c>
      <c r="X3445" s="54" t="s">
        <v>2</v>
      </c>
      <c r="Y3445" s="54" t="s">
        <v>2</v>
      </c>
      <c r="Z3445" s="54" t="s">
        <v>2</v>
      </c>
      <c r="AA3445" s="54" t="s">
        <v>2</v>
      </c>
      <c r="AB3445" s="54" t="s">
        <v>2</v>
      </c>
      <c r="AC3445" s="54" t="s">
        <v>2</v>
      </c>
      <c r="AD3445" s="54" t="s">
        <v>2</v>
      </c>
      <c r="AE3445" s="54" t="s">
        <v>2</v>
      </c>
      <c r="AF3445" s="54" t="s">
        <v>2</v>
      </c>
      <c r="AG3445" s="54" t="s">
        <v>2</v>
      </c>
    </row>
    <row r="3446" ht="15.75" customHeight="1">
      <c r="B3446" s="56"/>
      <c r="U3446" s="46" t="str">
        <f t="array" ref="U3446">IF($D3446="","",IFERROR(_xlfn.XLOOKUP($D3446,'TIR店舗一覧'!$D:$D,'TIR店舗一覧'!$E:$E,""),""))</f>
        <v/>
      </c>
      <c r="V3446" s="54" t="s">
        <v>2</v>
      </c>
      <c r="W3446" s="54" t="s">
        <v>2</v>
      </c>
      <c r="X3446" s="54" t="s">
        <v>2</v>
      </c>
      <c r="Y3446" s="54" t="s">
        <v>2</v>
      </c>
      <c r="Z3446" s="54" t="s">
        <v>2</v>
      </c>
      <c r="AA3446" s="54" t="s">
        <v>2</v>
      </c>
      <c r="AB3446" s="54" t="s">
        <v>2</v>
      </c>
      <c r="AC3446" s="54" t="s">
        <v>2</v>
      </c>
      <c r="AD3446" s="54" t="s">
        <v>2</v>
      </c>
      <c r="AE3446" s="54" t="s">
        <v>2</v>
      </c>
      <c r="AF3446" s="54" t="s">
        <v>2</v>
      </c>
      <c r="AG3446" s="54" t="s">
        <v>2</v>
      </c>
    </row>
    <row r="3447" ht="15.75" customHeight="1">
      <c r="B3447" s="56"/>
      <c r="U3447" s="46" t="str">
        <f t="array" ref="U3447">IF($D3447="","",IFERROR(_xlfn.XLOOKUP($D3447,'TIR店舗一覧'!$D:$D,'TIR店舗一覧'!$E:$E,""),""))</f>
        <v/>
      </c>
      <c r="V3447" s="54" t="s">
        <v>2</v>
      </c>
      <c r="W3447" s="54" t="s">
        <v>2</v>
      </c>
      <c r="X3447" s="54" t="s">
        <v>2</v>
      </c>
      <c r="Y3447" s="54" t="s">
        <v>2</v>
      </c>
      <c r="Z3447" s="54" t="s">
        <v>2</v>
      </c>
      <c r="AA3447" s="54" t="s">
        <v>2</v>
      </c>
      <c r="AB3447" s="54" t="s">
        <v>2</v>
      </c>
      <c r="AC3447" s="54" t="s">
        <v>2</v>
      </c>
      <c r="AD3447" s="54" t="s">
        <v>2</v>
      </c>
      <c r="AE3447" s="54" t="s">
        <v>2</v>
      </c>
      <c r="AF3447" s="54" t="s">
        <v>2</v>
      </c>
      <c r="AG3447" s="54" t="s">
        <v>2</v>
      </c>
    </row>
    <row r="3448" ht="15.75" customHeight="1">
      <c r="B3448" s="56"/>
      <c r="U3448" s="46" t="str">
        <f t="array" ref="U3448">IF($D3448="","",IFERROR(_xlfn.XLOOKUP($D3448,'TIR店舗一覧'!$D:$D,'TIR店舗一覧'!$E:$E,""),""))</f>
        <v/>
      </c>
      <c r="V3448" s="54" t="s">
        <v>2</v>
      </c>
      <c r="W3448" s="54" t="s">
        <v>2</v>
      </c>
      <c r="X3448" s="54" t="s">
        <v>2</v>
      </c>
      <c r="Y3448" s="54" t="s">
        <v>2</v>
      </c>
      <c r="Z3448" s="54" t="s">
        <v>2</v>
      </c>
      <c r="AA3448" s="54" t="s">
        <v>2</v>
      </c>
      <c r="AB3448" s="54" t="s">
        <v>2</v>
      </c>
      <c r="AC3448" s="54" t="s">
        <v>2</v>
      </c>
      <c r="AD3448" s="54" t="s">
        <v>2</v>
      </c>
      <c r="AE3448" s="54" t="s">
        <v>2</v>
      </c>
      <c r="AF3448" s="54" t="s">
        <v>2</v>
      </c>
      <c r="AG3448" s="54" t="s">
        <v>2</v>
      </c>
    </row>
    <row r="3449" ht="15.75" customHeight="1">
      <c r="B3449" s="56"/>
      <c r="U3449" s="46" t="str">
        <f t="array" ref="U3449">IF($D3449="","",IFERROR(_xlfn.XLOOKUP($D3449,'TIR店舗一覧'!$D:$D,'TIR店舗一覧'!$E:$E,""),""))</f>
        <v/>
      </c>
      <c r="V3449" s="54" t="s">
        <v>2</v>
      </c>
      <c r="W3449" s="54" t="s">
        <v>2</v>
      </c>
      <c r="X3449" s="54" t="s">
        <v>2</v>
      </c>
      <c r="Y3449" s="54" t="s">
        <v>2</v>
      </c>
      <c r="Z3449" s="54" t="s">
        <v>2</v>
      </c>
      <c r="AA3449" s="54" t="s">
        <v>2</v>
      </c>
      <c r="AB3449" s="54" t="s">
        <v>2</v>
      </c>
      <c r="AC3449" s="54" t="s">
        <v>2</v>
      </c>
      <c r="AD3449" s="54" t="s">
        <v>2</v>
      </c>
      <c r="AE3449" s="54" t="s">
        <v>2</v>
      </c>
      <c r="AF3449" s="54" t="s">
        <v>2</v>
      </c>
      <c r="AG3449" s="54" t="s">
        <v>2</v>
      </c>
    </row>
    <row r="3450" ht="15.75" customHeight="1">
      <c r="B3450" s="56"/>
      <c r="U3450" s="46" t="str">
        <f t="array" ref="U3450">IF($D3450="","",IFERROR(_xlfn.XLOOKUP($D3450,'TIR店舗一覧'!$D:$D,'TIR店舗一覧'!$E:$E,""),""))</f>
        <v/>
      </c>
      <c r="V3450" s="54" t="s">
        <v>2</v>
      </c>
      <c r="W3450" s="54" t="s">
        <v>2</v>
      </c>
      <c r="X3450" s="54" t="s">
        <v>2</v>
      </c>
      <c r="Y3450" s="54" t="s">
        <v>2</v>
      </c>
      <c r="Z3450" s="54" t="s">
        <v>2</v>
      </c>
      <c r="AA3450" s="54" t="s">
        <v>2</v>
      </c>
      <c r="AB3450" s="54" t="s">
        <v>2</v>
      </c>
      <c r="AC3450" s="54" t="s">
        <v>2</v>
      </c>
      <c r="AD3450" s="54" t="s">
        <v>2</v>
      </c>
      <c r="AE3450" s="54" t="s">
        <v>2</v>
      </c>
      <c r="AF3450" s="54" t="s">
        <v>2</v>
      </c>
      <c r="AG3450" s="54" t="s">
        <v>2</v>
      </c>
    </row>
    <row r="3451" ht="15.75" customHeight="1">
      <c r="B3451" s="56"/>
      <c r="U3451" s="46" t="str">
        <f t="array" ref="U3451">IF($D3451="","",IFERROR(_xlfn.XLOOKUP($D3451,'TIR店舗一覧'!$D:$D,'TIR店舗一覧'!$E:$E,""),""))</f>
        <v/>
      </c>
      <c r="V3451" s="54" t="s">
        <v>2</v>
      </c>
      <c r="W3451" s="54" t="s">
        <v>2</v>
      </c>
      <c r="X3451" s="54" t="s">
        <v>2</v>
      </c>
      <c r="Y3451" s="54" t="s">
        <v>2</v>
      </c>
      <c r="Z3451" s="54" t="s">
        <v>2</v>
      </c>
      <c r="AA3451" s="54" t="s">
        <v>2</v>
      </c>
      <c r="AB3451" s="54" t="s">
        <v>2</v>
      </c>
      <c r="AC3451" s="54" t="s">
        <v>2</v>
      </c>
      <c r="AD3451" s="54" t="s">
        <v>2</v>
      </c>
      <c r="AE3451" s="54" t="s">
        <v>2</v>
      </c>
      <c r="AF3451" s="54" t="s">
        <v>2</v>
      </c>
      <c r="AG3451" s="54" t="s">
        <v>2</v>
      </c>
    </row>
    <row r="3452" ht="15.75" customHeight="1">
      <c r="B3452" s="56"/>
      <c r="U3452" s="46" t="str">
        <f t="array" ref="U3452">IF($D3452="","",IFERROR(_xlfn.XLOOKUP($D3452,'TIR店舗一覧'!$D:$D,'TIR店舗一覧'!$E:$E,""),""))</f>
        <v/>
      </c>
      <c r="V3452" s="54" t="s">
        <v>2</v>
      </c>
      <c r="W3452" s="54" t="s">
        <v>2</v>
      </c>
      <c r="X3452" s="54" t="s">
        <v>2</v>
      </c>
      <c r="Y3452" s="54" t="s">
        <v>2</v>
      </c>
      <c r="Z3452" s="54" t="s">
        <v>2</v>
      </c>
      <c r="AA3452" s="54" t="s">
        <v>2</v>
      </c>
      <c r="AB3452" s="54" t="s">
        <v>2</v>
      </c>
      <c r="AC3452" s="54" t="s">
        <v>2</v>
      </c>
      <c r="AD3452" s="54" t="s">
        <v>2</v>
      </c>
      <c r="AE3452" s="54" t="s">
        <v>2</v>
      </c>
      <c r="AF3452" s="54" t="s">
        <v>2</v>
      </c>
      <c r="AG3452" s="54" t="s">
        <v>2</v>
      </c>
    </row>
    <row r="3453" ht="15.75" customHeight="1">
      <c r="B3453" s="56"/>
      <c r="U3453" s="46" t="str">
        <f t="array" ref="U3453">IF($D3453="","",IFERROR(_xlfn.XLOOKUP($D3453,'TIR店舗一覧'!$D:$D,'TIR店舗一覧'!$E:$E,""),""))</f>
        <v/>
      </c>
      <c r="V3453" s="54" t="s">
        <v>2</v>
      </c>
      <c r="W3453" s="54" t="s">
        <v>2</v>
      </c>
      <c r="X3453" s="54" t="s">
        <v>2</v>
      </c>
      <c r="Y3453" s="54" t="s">
        <v>2</v>
      </c>
      <c r="Z3453" s="54" t="s">
        <v>2</v>
      </c>
      <c r="AA3453" s="54" t="s">
        <v>2</v>
      </c>
      <c r="AB3453" s="54" t="s">
        <v>2</v>
      </c>
      <c r="AC3453" s="54" t="s">
        <v>2</v>
      </c>
      <c r="AD3453" s="54" t="s">
        <v>2</v>
      </c>
      <c r="AE3453" s="54" t="s">
        <v>2</v>
      </c>
      <c r="AF3453" s="54" t="s">
        <v>2</v>
      </c>
      <c r="AG3453" s="54" t="s">
        <v>2</v>
      </c>
    </row>
    <row r="3454" ht="15.75" customHeight="1">
      <c r="B3454" s="56"/>
      <c r="U3454" s="46" t="str">
        <f t="array" ref="U3454">IF($D3454="","",IFERROR(_xlfn.XLOOKUP($D3454,'TIR店舗一覧'!$D:$D,'TIR店舗一覧'!$E:$E,""),""))</f>
        <v/>
      </c>
      <c r="V3454" s="54" t="s">
        <v>2</v>
      </c>
      <c r="W3454" s="54" t="s">
        <v>2</v>
      </c>
      <c r="X3454" s="54" t="s">
        <v>2</v>
      </c>
      <c r="Y3454" s="54" t="s">
        <v>2</v>
      </c>
      <c r="Z3454" s="54" t="s">
        <v>2</v>
      </c>
      <c r="AA3454" s="54" t="s">
        <v>2</v>
      </c>
      <c r="AB3454" s="54" t="s">
        <v>2</v>
      </c>
      <c r="AC3454" s="54" t="s">
        <v>2</v>
      </c>
      <c r="AD3454" s="54" t="s">
        <v>2</v>
      </c>
      <c r="AE3454" s="54" t="s">
        <v>2</v>
      </c>
      <c r="AF3454" s="54" t="s">
        <v>2</v>
      </c>
      <c r="AG3454" s="54" t="s">
        <v>2</v>
      </c>
    </row>
    <row r="3455" ht="15.75" customHeight="1">
      <c r="B3455" s="56"/>
      <c r="U3455" s="46" t="str">
        <f t="array" ref="U3455">IF($D3455="","",IFERROR(_xlfn.XLOOKUP($D3455,'TIR店舗一覧'!$D:$D,'TIR店舗一覧'!$E:$E,""),""))</f>
        <v/>
      </c>
      <c r="V3455" s="54" t="s">
        <v>2</v>
      </c>
      <c r="W3455" s="54" t="s">
        <v>2</v>
      </c>
      <c r="X3455" s="54" t="s">
        <v>2</v>
      </c>
      <c r="Y3455" s="54" t="s">
        <v>2</v>
      </c>
      <c r="Z3455" s="54" t="s">
        <v>2</v>
      </c>
      <c r="AA3455" s="54" t="s">
        <v>2</v>
      </c>
      <c r="AB3455" s="54" t="s">
        <v>2</v>
      </c>
      <c r="AC3455" s="54" t="s">
        <v>2</v>
      </c>
      <c r="AD3455" s="54" t="s">
        <v>2</v>
      </c>
      <c r="AE3455" s="54" t="s">
        <v>2</v>
      </c>
      <c r="AF3455" s="54" t="s">
        <v>2</v>
      </c>
      <c r="AG3455" s="54" t="s">
        <v>2</v>
      </c>
    </row>
    <row r="3456" ht="15.75" customHeight="1">
      <c r="B3456" s="56"/>
      <c r="U3456" s="46" t="str">
        <f t="array" ref="U3456">IF($D3456="","",IFERROR(_xlfn.XLOOKUP($D3456,'TIR店舗一覧'!$D:$D,'TIR店舗一覧'!$E:$E,""),""))</f>
        <v/>
      </c>
      <c r="V3456" s="54" t="s">
        <v>2</v>
      </c>
      <c r="W3456" s="54" t="s">
        <v>2</v>
      </c>
      <c r="X3456" s="54" t="s">
        <v>2</v>
      </c>
      <c r="Y3456" s="54" t="s">
        <v>2</v>
      </c>
      <c r="Z3456" s="54" t="s">
        <v>2</v>
      </c>
      <c r="AA3456" s="54" t="s">
        <v>2</v>
      </c>
      <c r="AB3456" s="54" t="s">
        <v>2</v>
      </c>
      <c r="AC3456" s="54" t="s">
        <v>2</v>
      </c>
      <c r="AD3456" s="54" t="s">
        <v>2</v>
      </c>
      <c r="AE3456" s="54" t="s">
        <v>2</v>
      </c>
      <c r="AF3456" s="54" t="s">
        <v>2</v>
      </c>
      <c r="AG3456" s="54" t="s">
        <v>2</v>
      </c>
    </row>
    <row r="3457" ht="15.75" customHeight="1">
      <c r="B3457" s="56"/>
      <c r="U3457" s="46" t="str">
        <f t="array" ref="U3457">IF($D3457="","",IFERROR(_xlfn.XLOOKUP($D3457,'TIR店舗一覧'!$D:$D,'TIR店舗一覧'!$E:$E,""),""))</f>
        <v/>
      </c>
      <c r="V3457" s="54" t="s">
        <v>2</v>
      </c>
      <c r="W3457" s="54" t="s">
        <v>2</v>
      </c>
      <c r="X3457" s="54" t="s">
        <v>2</v>
      </c>
      <c r="Y3457" s="54" t="s">
        <v>2</v>
      </c>
      <c r="Z3457" s="54" t="s">
        <v>2</v>
      </c>
      <c r="AA3457" s="54" t="s">
        <v>2</v>
      </c>
      <c r="AB3457" s="54" t="s">
        <v>2</v>
      </c>
      <c r="AC3457" s="54" t="s">
        <v>2</v>
      </c>
      <c r="AD3457" s="54" t="s">
        <v>2</v>
      </c>
      <c r="AE3457" s="54" t="s">
        <v>2</v>
      </c>
      <c r="AF3457" s="54" t="s">
        <v>2</v>
      </c>
      <c r="AG3457" s="54" t="s">
        <v>2</v>
      </c>
    </row>
    <row r="3458" ht="15.75" customHeight="1">
      <c r="B3458" s="56"/>
      <c r="U3458" s="46" t="str">
        <f t="array" ref="U3458">IF($D3458="","",IFERROR(_xlfn.XLOOKUP($D3458,'TIR店舗一覧'!$D:$D,'TIR店舗一覧'!$E:$E,""),""))</f>
        <v/>
      </c>
      <c r="V3458" s="54" t="s">
        <v>2</v>
      </c>
      <c r="W3458" s="54" t="s">
        <v>2</v>
      </c>
      <c r="X3458" s="54" t="s">
        <v>2</v>
      </c>
      <c r="Y3458" s="54" t="s">
        <v>2</v>
      </c>
      <c r="Z3458" s="54" t="s">
        <v>2</v>
      </c>
      <c r="AA3458" s="54" t="s">
        <v>2</v>
      </c>
      <c r="AB3458" s="54" t="s">
        <v>2</v>
      </c>
      <c r="AC3458" s="54" t="s">
        <v>2</v>
      </c>
      <c r="AD3458" s="54" t="s">
        <v>2</v>
      </c>
      <c r="AE3458" s="54" t="s">
        <v>2</v>
      </c>
      <c r="AF3458" s="54" t="s">
        <v>2</v>
      </c>
      <c r="AG3458" s="54" t="s">
        <v>2</v>
      </c>
    </row>
    <row r="3459" ht="15.75" customHeight="1">
      <c r="B3459" s="56"/>
      <c r="U3459" s="46" t="str">
        <f t="array" ref="U3459">IF($D3459="","",IFERROR(_xlfn.XLOOKUP($D3459,'TIR店舗一覧'!$D:$D,'TIR店舗一覧'!$E:$E,""),""))</f>
        <v/>
      </c>
      <c r="V3459" s="54" t="s">
        <v>2</v>
      </c>
      <c r="W3459" s="54" t="s">
        <v>2</v>
      </c>
      <c r="X3459" s="54" t="s">
        <v>2</v>
      </c>
      <c r="Y3459" s="54" t="s">
        <v>2</v>
      </c>
      <c r="Z3459" s="54" t="s">
        <v>2</v>
      </c>
      <c r="AA3459" s="54" t="s">
        <v>2</v>
      </c>
      <c r="AB3459" s="54" t="s">
        <v>2</v>
      </c>
      <c r="AC3459" s="54" t="s">
        <v>2</v>
      </c>
      <c r="AD3459" s="54" t="s">
        <v>2</v>
      </c>
      <c r="AE3459" s="54" t="s">
        <v>2</v>
      </c>
      <c r="AF3459" s="54" t="s">
        <v>2</v>
      </c>
      <c r="AG3459" s="54" t="s">
        <v>2</v>
      </c>
    </row>
    <row r="3460" ht="15.75" customHeight="1">
      <c r="B3460" s="56"/>
      <c r="U3460" s="46" t="str">
        <f t="array" ref="U3460">IF($D3460="","",IFERROR(_xlfn.XLOOKUP($D3460,'TIR店舗一覧'!$D:$D,'TIR店舗一覧'!$E:$E,""),""))</f>
        <v/>
      </c>
      <c r="V3460" s="54" t="s">
        <v>2</v>
      </c>
      <c r="W3460" s="54" t="s">
        <v>2</v>
      </c>
      <c r="X3460" s="54" t="s">
        <v>2</v>
      </c>
      <c r="Y3460" s="54" t="s">
        <v>2</v>
      </c>
      <c r="Z3460" s="54" t="s">
        <v>2</v>
      </c>
      <c r="AA3460" s="54" t="s">
        <v>2</v>
      </c>
      <c r="AB3460" s="54" t="s">
        <v>2</v>
      </c>
      <c r="AC3460" s="54" t="s">
        <v>2</v>
      </c>
      <c r="AD3460" s="54" t="s">
        <v>2</v>
      </c>
      <c r="AE3460" s="54" t="s">
        <v>2</v>
      </c>
      <c r="AF3460" s="54" t="s">
        <v>2</v>
      </c>
      <c r="AG3460" s="54" t="s">
        <v>2</v>
      </c>
    </row>
    <row r="3461" ht="15.75" customHeight="1">
      <c r="B3461" s="56"/>
      <c r="U3461" s="46" t="str">
        <f t="array" ref="U3461">IF($D3461="","",IFERROR(_xlfn.XLOOKUP($D3461,'TIR店舗一覧'!$D:$D,'TIR店舗一覧'!$E:$E,""),""))</f>
        <v/>
      </c>
      <c r="V3461" s="54" t="s">
        <v>2</v>
      </c>
      <c r="W3461" s="54" t="s">
        <v>2</v>
      </c>
      <c r="X3461" s="54" t="s">
        <v>2</v>
      </c>
      <c r="Y3461" s="54" t="s">
        <v>2</v>
      </c>
      <c r="Z3461" s="54" t="s">
        <v>2</v>
      </c>
      <c r="AA3461" s="54" t="s">
        <v>2</v>
      </c>
      <c r="AB3461" s="54" t="s">
        <v>2</v>
      </c>
      <c r="AC3461" s="54" t="s">
        <v>2</v>
      </c>
      <c r="AD3461" s="54" t="s">
        <v>2</v>
      </c>
      <c r="AE3461" s="54" t="s">
        <v>2</v>
      </c>
      <c r="AF3461" s="54" t="s">
        <v>2</v>
      </c>
      <c r="AG3461" s="54" t="s">
        <v>2</v>
      </c>
    </row>
    <row r="3462" ht="15.75" customHeight="1">
      <c r="B3462" s="56"/>
      <c r="U3462" s="46" t="str">
        <f t="array" ref="U3462">IF($D3462="","",IFERROR(_xlfn.XLOOKUP($D3462,'TIR店舗一覧'!$D:$D,'TIR店舗一覧'!$E:$E,""),""))</f>
        <v/>
      </c>
      <c r="V3462" s="54" t="s">
        <v>2</v>
      </c>
      <c r="W3462" s="54" t="s">
        <v>2</v>
      </c>
      <c r="X3462" s="54" t="s">
        <v>2</v>
      </c>
      <c r="Y3462" s="54" t="s">
        <v>2</v>
      </c>
      <c r="Z3462" s="54" t="s">
        <v>2</v>
      </c>
      <c r="AA3462" s="54" t="s">
        <v>2</v>
      </c>
      <c r="AB3462" s="54" t="s">
        <v>2</v>
      </c>
      <c r="AC3462" s="54" t="s">
        <v>2</v>
      </c>
      <c r="AD3462" s="54" t="s">
        <v>2</v>
      </c>
      <c r="AE3462" s="54" t="s">
        <v>2</v>
      </c>
      <c r="AF3462" s="54" t="s">
        <v>2</v>
      </c>
      <c r="AG3462" s="54" t="s">
        <v>2</v>
      </c>
    </row>
    <row r="3463" ht="15.75" customHeight="1">
      <c r="B3463" s="56"/>
      <c r="U3463" s="46" t="str">
        <f t="array" ref="U3463">IF($D3463="","",IFERROR(_xlfn.XLOOKUP($D3463,'TIR店舗一覧'!$D:$D,'TIR店舗一覧'!$E:$E,""),""))</f>
        <v/>
      </c>
      <c r="V3463" s="54" t="s">
        <v>2</v>
      </c>
      <c r="W3463" s="54" t="s">
        <v>2</v>
      </c>
      <c r="X3463" s="54" t="s">
        <v>2</v>
      </c>
      <c r="Y3463" s="54" t="s">
        <v>2</v>
      </c>
      <c r="Z3463" s="54" t="s">
        <v>2</v>
      </c>
      <c r="AA3463" s="54" t="s">
        <v>2</v>
      </c>
      <c r="AB3463" s="54" t="s">
        <v>2</v>
      </c>
      <c r="AC3463" s="54" t="s">
        <v>2</v>
      </c>
      <c r="AD3463" s="54" t="s">
        <v>2</v>
      </c>
      <c r="AE3463" s="54" t="s">
        <v>2</v>
      </c>
      <c r="AF3463" s="54" t="s">
        <v>2</v>
      </c>
      <c r="AG3463" s="54" t="s">
        <v>2</v>
      </c>
    </row>
    <row r="3464" ht="15.75" customHeight="1">
      <c r="B3464" s="56"/>
      <c r="U3464" s="46" t="str">
        <f t="array" ref="U3464">IF($D3464="","",IFERROR(_xlfn.XLOOKUP($D3464,'TIR店舗一覧'!$D:$D,'TIR店舗一覧'!$E:$E,""),""))</f>
        <v/>
      </c>
      <c r="V3464" s="54" t="s">
        <v>2</v>
      </c>
      <c r="W3464" s="54" t="s">
        <v>2</v>
      </c>
      <c r="X3464" s="54" t="s">
        <v>2</v>
      </c>
      <c r="Y3464" s="54" t="s">
        <v>2</v>
      </c>
      <c r="Z3464" s="54" t="s">
        <v>2</v>
      </c>
      <c r="AA3464" s="54" t="s">
        <v>2</v>
      </c>
      <c r="AB3464" s="54" t="s">
        <v>2</v>
      </c>
      <c r="AC3464" s="54" t="s">
        <v>2</v>
      </c>
      <c r="AD3464" s="54" t="s">
        <v>2</v>
      </c>
      <c r="AE3464" s="54" t="s">
        <v>2</v>
      </c>
      <c r="AF3464" s="54" t="s">
        <v>2</v>
      </c>
      <c r="AG3464" s="54" t="s">
        <v>2</v>
      </c>
    </row>
    <row r="3465" ht="15.75" customHeight="1">
      <c r="B3465" s="56"/>
      <c r="U3465" s="46" t="str">
        <f t="array" ref="U3465">IF($D3465="","",IFERROR(_xlfn.XLOOKUP($D3465,'TIR店舗一覧'!$D:$D,'TIR店舗一覧'!$E:$E,""),""))</f>
        <v/>
      </c>
      <c r="V3465" s="54" t="s">
        <v>2</v>
      </c>
      <c r="W3465" s="54" t="s">
        <v>2</v>
      </c>
      <c r="X3465" s="54" t="s">
        <v>2</v>
      </c>
      <c r="Y3465" s="54" t="s">
        <v>2</v>
      </c>
      <c r="Z3465" s="54" t="s">
        <v>2</v>
      </c>
      <c r="AA3465" s="54" t="s">
        <v>2</v>
      </c>
      <c r="AB3465" s="54" t="s">
        <v>2</v>
      </c>
      <c r="AC3465" s="54" t="s">
        <v>2</v>
      </c>
      <c r="AD3465" s="54" t="s">
        <v>2</v>
      </c>
      <c r="AE3465" s="54" t="s">
        <v>2</v>
      </c>
      <c r="AF3465" s="54" t="s">
        <v>2</v>
      </c>
      <c r="AG3465" s="54" t="s">
        <v>2</v>
      </c>
    </row>
    <row r="3466" ht="15.75" customHeight="1">
      <c r="B3466" s="56"/>
      <c r="U3466" s="46" t="str">
        <f t="array" ref="U3466">IF($D3466="","",IFERROR(_xlfn.XLOOKUP($D3466,'TIR店舗一覧'!$D:$D,'TIR店舗一覧'!$E:$E,""),""))</f>
        <v/>
      </c>
      <c r="V3466" s="54" t="s">
        <v>2</v>
      </c>
      <c r="W3466" s="54" t="s">
        <v>2</v>
      </c>
      <c r="X3466" s="54" t="s">
        <v>2</v>
      </c>
      <c r="Y3466" s="54" t="s">
        <v>2</v>
      </c>
      <c r="Z3466" s="54" t="s">
        <v>2</v>
      </c>
      <c r="AA3466" s="54" t="s">
        <v>2</v>
      </c>
      <c r="AB3466" s="54" t="s">
        <v>2</v>
      </c>
      <c r="AC3466" s="54" t="s">
        <v>2</v>
      </c>
      <c r="AD3466" s="54" t="s">
        <v>2</v>
      </c>
      <c r="AE3466" s="54" t="s">
        <v>2</v>
      </c>
      <c r="AF3466" s="54" t="s">
        <v>2</v>
      </c>
      <c r="AG3466" s="54" t="s">
        <v>2</v>
      </c>
    </row>
    <row r="3467" ht="15.75" customHeight="1">
      <c r="B3467" s="56"/>
      <c r="U3467" s="46" t="str">
        <f t="array" ref="U3467">IF($D3467="","",IFERROR(_xlfn.XLOOKUP($D3467,'TIR店舗一覧'!$D:$D,'TIR店舗一覧'!$E:$E,""),""))</f>
        <v/>
      </c>
      <c r="V3467" s="54" t="s">
        <v>2</v>
      </c>
      <c r="W3467" s="54" t="s">
        <v>2</v>
      </c>
      <c r="X3467" s="54" t="s">
        <v>2</v>
      </c>
      <c r="Y3467" s="54" t="s">
        <v>2</v>
      </c>
      <c r="Z3467" s="54" t="s">
        <v>2</v>
      </c>
      <c r="AA3467" s="54" t="s">
        <v>2</v>
      </c>
      <c r="AB3467" s="54" t="s">
        <v>2</v>
      </c>
      <c r="AC3467" s="54" t="s">
        <v>2</v>
      </c>
      <c r="AD3467" s="54" t="s">
        <v>2</v>
      </c>
      <c r="AE3467" s="54" t="s">
        <v>2</v>
      </c>
      <c r="AF3467" s="54" t="s">
        <v>2</v>
      </c>
      <c r="AG3467" s="54" t="s">
        <v>2</v>
      </c>
    </row>
    <row r="3468" ht="15.75" customHeight="1">
      <c r="B3468" s="56"/>
      <c r="U3468" s="46" t="str">
        <f t="array" ref="U3468">IF($D3468="","",IFERROR(_xlfn.XLOOKUP($D3468,'TIR店舗一覧'!$D:$D,'TIR店舗一覧'!$E:$E,""),""))</f>
        <v/>
      </c>
      <c r="V3468" s="54" t="s">
        <v>2</v>
      </c>
      <c r="W3468" s="54" t="s">
        <v>2</v>
      </c>
      <c r="X3468" s="54" t="s">
        <v>2</v>
      </c>
      <c r="Y3468" s="54" t="s">
        <v>2</v>
      </c>
      <c r="Z3468" s="54" t="s">
        <v>2</v>
      </c>
      <c r="AA3468" s="54" t="s">
        <v>2</v>
      </c>
      <c r="AB3468" s="54" t="s">
        <v>2</v>
      </c>
      <c r="AC3468" s="54" t="s">
        <v>2</v>
      </c>
      <c r="AD3468" s="54" t="s">
        <v>2</v>
      </c>
      <c r="AE3468" s="54" t="s">
        <v>2</v>
      </c>
      <c r="AF3468" s="54" t="s">
        <v>2</v>
      </c>
      <c r="AG3468" s="54" t="s">
        <v>2</v>
      </c>
    </row>
    <row r="3469" ht="15.75" customHeight="1">
      <c r="B3469" s="56"/>
      <c r="U3469" s="46" t="str">
        <f t="array" ref="U3469">IF($D3469="","",IFERROR(_xlfn.XLOOKUP($D3469,'TIR店舗一覧'!$D:$D,'TIR店舗一覧'!$E:$E,""),""))</f>
        <v/>
      </c>
      <c r="V3469" s="54" t="s">
        <v>2</v>
      </c>
      <c r="W3469" s="54" t="s">
        <v>2</v>
      </c>
      <c r="X3469" s="54" t="s">
        <v>2</v>
      </c>
      <c r="Y3469" s="54" t="s">
        <v>2</v>
      </c>
      <c r="Z3469" s="54" t="s">
        <v>2</v>
      </c>
      <c r="AA3469" s="54" t="s">
        <v>2</v>
      </c>
      <c r="AB3469" s="54" t="s">
        <v>2</v>
      </c>
      <c r="AC3469" s="54" t="s">
        <v>2</v>
      </c>
      <c r="AD3469" s="54" t="s">
        <v>2</v>
      </c>
      <c r="AE3469" s="54" t="s">
        <v>2</v>
      </c>
      <c r="AF3469" s="54" t="s">
        <v>2</v>
      </c>
      <c r="AG3469" s="54" t="s">
        <v>2</v>
      </c>
    </row>
    <row r="3470" ht="15.75" customHeight="1">
      <c r="B3470" s="56"/>
      <c r="U3470" s="46" t="str">
        <f t="array" ref="U3470">IF($D3470="","",IFERROR(_xlfn.XLOOKUP($D3470,'TIR店舗一覧'!$D:$D,'TIR店舗一覧'!$E:$E,""),""))</f>
        <v/>
      </c>
      <c r="V3470" s="54" t="s">
        <v>2</v>
      </c>
      <c r="W3470" s="54" t="s">
        <v>2</v>
      </c>
      <c r="X3470" s="54" t="s">
        <v>2</v>
      </c>
      <c r="Y3470" s="54" t="s">
        <v>2</v>
      </c>
      <c r="Z3470" s="54" t="s">
        <v>2</v>
      </c>
      <c r="AA3470" s="54" t="s">
        <v>2</v>
      </c>
      <c r="AB3470" s="54" t="s">
        <v>2</v>
      </c>
      <c r="AC3470" s="54" t="s">
        <v>2</v>
      </c>
      <c r="AD3470" s="54" t="s">
        <v>2</v>
      </c>
      <c r="AE3470" s="54" t="s">
        <v>2</v>
      </c>
      <c r="AF3470" s="54" t="s">
        <v>2</v>
      </c>
      <c r="AG3470" s="54" t="s">
        <v>2</v>
      </c>
    </row>
    <row r="3471" ht="15.75" customHeight="1">
      <c r="B3471" s="56"/>
      <c r="U3471" s="46" t="str">
        <f t="array" ref="U3471">IF($D3471="","",IFERROR(_xlfn.XLOOKUP($D3471,'TIR店舗一覧'!$D:$D,'TIR店舗一覧'!$E:$E,""),""))</f>
        <v/>
      </c>
      <c r="V3471" s="54" t="s">
        <v>2</v>
      </c>
      <c r="W3471" s="54" t="s">
        <v>2</v>
      </c>
      <c r="X3471" s="54" t="s">
        <v>2</v>
      </c>
      <c r="Y3471" s="54" t="s">
        <v>2</v>
      </c>
      <c r="Z3471" s="54" t="s">
        <v>2</v>
      </c>
      <c r="AA3471" s="54" t="s">
        <v>2</v>
      </c>
      <c r="AB3471" s="54" t="s">
        <v>2</v>
      </c>
      <c r="AC3471" s="54" t="s">
        <v>2</v>
      </c>
      <c r="AD3471" s="54" t="s">
        <v>2</v>
      </c>
      <c r="AE3471" s="54" t="s">
        <v>2</v>
      </c>
      <c r="AF3471" s="54" t="s">
        <v>2</v>
      </c>
      <c r="AG3471" s="54" t="s">
        <v>2</v>
      </c>
    </row>
    <row r="3472" ht="15.75" customHeight="1">
      <c r="B3472" s="56"/>
      <c r="U3472" s="46" t="str">
        <f t="array" ref="U3472">IF($D3472="","",IFERROR(_xlfn.XLOOKUP($D3472,'TIR店舗一覧'!$D:$D,'TIR店舗一覧'!$E:$E,""),""))</f>
        <v/>
      </c>
      <c r="V3472" s="54" t="s">
        <v>2</v>
      </c>
      <c r="W3472" s="54" t="s">
        <v>2</v>
      </c>
      <c r="X3472" s="54" t="s">
        <v>2</v>
      </c>
      <c r="Y3472" s="54" t="s">
        <v>2</v>
      </c>
      <c r="Z3472" s="54" t="s">
        <v>2</v>
      </c>
      <c r="AA3472" s="54" t="s">
        <v>2</v>
      </c>
      <c r="AB3472" s="54" t="s">
        <v>2</v>
      </c>
      <c r="AC3472" s="54" t="s">
        <v>2</v>
      </c>
      <c r="AD3472" s="54" t="s">
        <v>2</v>
      </c>
      <c r="AE3472" s="54" t="s">
        <v>2</v>
      </c>
      <c r="AF3472" s="54" t="s">
        <v>2</v>
      </c>
      <c r="AG3472" s="54" t="s">
        <v>2</v>
      </c>
    </row>
    <row r="3473" ht="15.75" customHeight="1">
      <c r="B3473" s="56"/>
      <c r="U3473" s="46" t="str">
        <f t="array" ref="U3473">IF($D3473="","",IFERROR(_xlfn.XLOOKUP($D3473,'TIR店舗一覧'!$D:$D,'TIR店舗一覧'!$E:$E,""),""))</f>
        <v/>
      </c>
      <c r="V3473" s="54" t="s">
        <v>2</v>
      </c>
      <c r="W3473" s="54" t="s">
        <v>2</v>
      </c>
      <c r="X3473" s="54" t="s">
        <v>2</v>
      </c>
      <c r="Y3473" s="54" t="s">
        <v>2</v>
      </c>
      <c r="Z3473" s="54" t="s">
        <v>2</v>
      </c>
      <c r="AA3473" s="54" t="s">
        <v>2</v>
      </c>
      <c r="AB3473" s="54" t="s">
        <v>2</v>
      </c>
      <c r="AC3473" s="54" t="s">
        <v>2</v>
      </c>
      <c r="AD3473" s="54" t="s">
        <v>2</v>
      </c>
      <c r="AE3473" s="54" t="s">
        <v>2</v>
      </c>
      <c r="AF3473" s="54" t="s">
        <v>2</v>
      </c>
      <c r="AG3473" s="54" t="s">
        <v>2</v>
      </c>
    </row>
    <row r="3474" ht="15.75" customHeight="1">
      <c r="B3474" s="56"/>
      <c r="U3474" s="46" t="str">
        <f t="array" ref="U3474">IF($D3474="","",IFERROR(_xlfn.XLOOKUP($D3474,'TIR店舗一覧'!$D:$D,'TIR店舗一覧'!$E:$E,""),""))</f>
        <v/>
      </c>
      <c r="V3474" s="54" t="s">
        <v>2</v>
      </c>
      <c r="W3474" s="54" t="s">
        <v>2</v>
      </c>
      <c r="X3474" s="54" t="s">
        <v>2</v>
      </c>
      <c r="Y3474" s="54" t="s">
        <v>2</v>
      </c>
      <c r="Z3474" s="54" t="s">
        <v>2</v>
      </c>
      <c r="AA3474" s="54" t="s">
        <v>2</v>
      </c>
      <c r="AB3474" s="54" t="s">
        <v>2</v>
      </c>
      <c r="AC3474" s="54" t="s">
        <v>2</v>
      </c>
      <c r="AD3474" s="54" t="s">
        <v>2</v>
      </c>
      <c r="AE3474" s="54" t="s">
        <v>2</v>
      </c>
      <c r="AF3474" s="54" t="s">
        <v>2</v>
      </c>
      <c r="AG3474" s="54" t="s">
        <v>2</v>
      </c>
    </row>
    <row r="3475" ht="15.75" customHeight="1">
      <c r="B3475" s="56"/>
      <c r="U3475" s="46" t="str">
        <f t="array" ref="U3475">IF($D3475="","",IFERROR(_xlfn.XLOOKUP($D3475,'TIR店舗一覧'!$D:$D,'TIR店舗一覧'!$E:$E,""),""))</f>
        <v/>
      </c>
      <c r="V3475" s="54" t="s">
        <v>2</v>
      </c>
      <c r="W3475" s="54" t="s">
        <v>2</v>
      </c>
      <c r="X3475" s="54" t="s">
        <v>2</v>
      </c>
      <c r="Y3475" s="54" t="s">
        <v>2</v>
      </c>
      <c r="Z3475" s="54" t="s">
        <v>2</v>
      </c>
      <c r="AA3475" s="54" t="s">
        <v>2</v>
      </c>
      <c r="AB3475" s="54" t="s">
        <v>2</v>
      </c>
      <c r="AC3475" s="54" t="s">
        <v>2</v>
      </c>
      <c r="AD3475" s="54" t="s">
        <v>2</v>
      </c>
      <c r="AE3475" s="54" t="s">
        <v>2</v>
      </c>
      <c r="AF3475" s="54" t="s">
        <v>2</v>
      </c>
      <c r="AG3475" s="54" t="s">
        <v>2</v>
      </c>
    </row>
    <row r="3476" ht="15.75" customHeight="1">
      <c r="B3476" s="56"/>
      <c r="U3476" s="46" t="str">
        <f t="array" ref="U3476">IF($D3476="","",IFERROR(_xlfn.XLOOKUP($D3476,'TIR店舗一覧'!$D:$D,'TIR店舗一覧'!$E:$E,""),""))</f>
        <v/>
      </c>
      <c r="V3476" s="54" t="s">
        <v>2</v>
      </c>
      <c r="W3476" s="54" t="s">
        <v>2</v>
      </c>
      <c r="X3476" s="54" t="s">
        <v>2</v>
      </c>
      <c r="Y3476" s="54" t="s">
        <v>2</v>
      </c>
      <c r="Z3476" s="54" t="s">
        <v>2</v>
      </c>
      <c r="AA3476" s="54" t="s">
        <v>2</v>
      </c>
      <c r="AB3476" s="54" t="s">
        <v>2</v>
      </c>
      <c r="AC3476" s="54" t="s">
        <v>2</v>
      </c>
      <c r="AD3476" s="54" t="s">
        <v>2</v>
      </c>
      <c r="AE3476" s="54" t="s">
        <v>2</v>
      </c>
      <c r="AF3476" s="54" t="s">
        <v>2</v>
      </c>
      <c r="AG3476" s="54" t="s">
        <v>2</v>
      </c>
    </row>
    <row r="3477" ht="15.75" customHeight="1">
      <c r="B3477" s="56"/>
      <c r="U3477" s="46" t="str">
        <f t="array" ref="U3477">IF($D3477="","",IFERROR(_xlfn.XLOOKUP($D3477,'TIR店舗一覧'!$D:$D,'TIR店舗一覧'!$E:$E,""),""))</f>
        <v/>
      </c>
      <c r="V3477" s="54" t="s">
        <v>2</v>
      </c>
      <c r="W3477" s="54" t="s">
        <v>2</v>
      </c>
      <c r="X3477" s="54" t="s">
        <v>2</v>
      </c>
      <c r="Y3477" s="54" t="s">
        <v>2</v>
      </c>
      <c r="Z3477" s="54" t="s">
        <v>2</v>
      </c>
      <c r="AA3477" s="54" t="s">
        <v>2</v>
      </c>
      <c r="AB3477" s="54" t="s">
        <v>2</v>
      </c>
      <c r="AC3477" s="54" t="s">
        <v>2</v>
      </c>
      <c r="AD3477" s="54" t="s">
        <v>2</v>
      </c>
      <c r="AE3477" s="54" t="s">
        <v>2</v>
      </c>
      <c r="AF3477" s="54" t="s">
        <v>2</v>
      </c>
      <c r="AG3477" s="54" t="s">
        <v>2</v>
      </c>
    </row>
    <row r="3478" ht="15.75" customHeight="1">
      <c r="B3478" s="56"/>
      <c r="U3478" s="46" t="str">
        <f t="array" ref="U3478">IF($D3478="","",IFERROR(_xlfn.XLOOKUP($D3478,'TIR店舗一覧'!$D:$D,'TIR店舗一覧'!$E:$E,""),""))</f>
        <v/>
      </c>
      <c r="V3478" s="54" t="s">
        <v>2</v>
      </c>
      <c r="W3478" s="54" t="s">
        <v>2</v>
      </c>
      <c r="X3478" s="54" t="s">
        <v>2</v>
      </c>
      <c r="Y3478" s="54" t="s">
        <v>2</v>
      </c>
      <c r="Z3478" s="54" t="s">
        <v>2</v>
      </c>
      <c r="AA3478" s="54" t="s">
        <v>2</v>
      </c>
      <c r="AB3478" s="54" t="s">
        <v>2</v>
      </c>
      <c r="AC3478" s="54" t="s">
        <v>2</v>
      </c>
      <c r="AD3478" s="54" t="s">
        <v>2</v>
      </c>
      <c r="AE3478" s="54" t="s">
        <v>2</v>
      </c>
      <c r="AF3478" s="54" t="s">
        <v>2</v>
      </c>
      <c r="AG3478" s="54" t="s">
        <v>2</v>
      </c>
    </row>
    <row r="3479" ht="15.75" customHeight="1">
      <c r="B3479" s="56"/>
      <c r="U3479" s="46" t="str">
        <f t="array" ref="U3479">IF($D3479="","",IFERROR(_xlfn.XLOOKUP($D3479,'TIR店舗一覧'!$D:$D,'TIR店舗一覧'!$E:$E,""),""))</f>
        <v/>
      </c>
      <c r="V3479" s="54" t="s">
        <v>2</v>
      </c>
      <c r="W3479" s="54" t="s">
        <v>2</v>
      </c>
      <c r="X3479" s="54" t="s">
        <v>2</v>
      </c>
      <c r="Y3479" s="54" t="s">
        <v>2</v>
      </c>
      <c r="Z3479" s="54" t="s">
        <v>2</v>
      </c>
      <c r="AA3479" s="54" t="s">
        <v>2</v>
      </c>
      <c r="AB3479" s="54" t="s">
        <v>2</v>
      </c>
      <c r="AC3479" s="54" t="s">
        <v>2</v>
      </c>
      <c r="AD3479" s="54" t="s">
        <v>2</v>
      </c>
      <c r="AE3479" s="54" t="s">
        <v>2</v>
      </c>
      <c r="AF3479" s="54" t="s">
        <v>2</v>
      </c>
      <c r="AG3479" s="54" t="s">
        <v>2</v>
      </c>
    </row>
    <row r="3480" ht="15.75" customHeight="1">
      <c r="B3480" s="56"/>
      <c r="U3480" s="46" t="str">
        <f t="array" ref="U3480">IF($D3480="","",IFERROR(_xlfn.XLOOKUP($D3480,'TIR店舗一覧'!$D:$D,'TIR店舗一覧'!$E:$E,""),""))</f>
        <v/>
      </c>
      <c r="V3480" s="54" t="s">
        <v>2</v>
      </c>
      <c r="W3480" s="54" t="s">
        <v>2</v>
      </c>
      <c r="X3480" s="54" t="s">
        <v>2</v>
      </c>
      <c r="Y3480" s="54" t="s">
        <v>2</v>
      </c>
      <c r="Z3480" s="54" t="s">
        <v>2</v>
      </c>
      <c r="AA3480" s="54" t="s">
        <v>2</v>
      </c>
      <c r="AB3480" s="54" t="s">
        <v>2</v>
      </c>
      <c r="AC3480" s="54" t="s">
        <v>2</v>
      </c>
      <c r="AD3480" s="54" t="s">
        <v>2</v>
      </c>
      <c r="AE3480" s="54" t="s">
        <v>2</v>
      </c>
      <c r="AF3480" s="54" t="s">
        <v>2</v>
      </c>
      <c r="AG3480" s="54" t="s">
        <v>2</v>
      </c>
    </row>
    <row r="3481" ht="15.75" customHeight="1">
      <c r="B3481" s="56"/>
      <c r="U3481" s="46" t="str">
        <f t="array" ref="U3481">IF($D3481="","",IFERROR(_xlfn.XLOOKUP($D3481,'TIR店舗一覧'!$D:$D,'TIR店舗一覧'!$E:$E,""),""))</f>
        <v/>
      </c>
      <c r="V3481" s="54" t="s">
        <v>2</v>
      </c>
      <c r="W3481" s="54" t="s">
        <v>2</v>
      </c>
      <c r="X3481" s="54" t="s">
        <v>2</v>
      </c>
      <c r="Y3481" s="54" t="s">
        <v>2</v>
      </c>
      <c r="Z3481" s="54" t="s">
        <v>2</v>
      </c>
      <c r="AA3481" s="54" t="s">
        <v>2</v>
      </c>
      <c r="AB3481" s="54" t="s">
        <v>2</v>
      </c>
      <c r="AC3481" s="54" t="s">
        <v>2</v>
      </c>
      <c r="AD3481" s="54" t="s">
        <v>2</v>
      </c>
      <c r="AE3481" s="54" t="s">
        <v>2</v>
      </c>
      <c r="AF3481" s="54" t="s">
        <v>2</v>
      </c>
      <c r="AG3481" s="54" t="s">
        <v>2</v>
      </c>
    </row>
    <row r="3482" ht="15.75" customHeight="1">
      <c r="B3482" s="56"/>
      <c r="U3482" s="46" t="str">
        <f t="array" ref="U3482">IF($D3482="","",IFERROR(_xlfn.XLOOKUP($D3482,'TIR店舗一覧'!$D:$D,'TIR店舗一覧'!$E:$E,""),""))</f>
        <v/>
      </c>
      <c r="V3482" s="54" t="s">
        <v>2</v>
      </c>
      <c r="W3482" s="54" t="s">
        <v>2</v>
      </c>
      <c r="X3482" s="54" t="s">
        <v>2</v>
      </c>
      <c r="Y3482" s="54" t="s">
        <v>2</v>
      </c>
      <c r="Z3482" s="54" t="s">
        <v>2</v>
      </c>
      <c r="AA3482" s="54" t="s">
        <v>2</v>
      </c>
      <c r="AB3482" s="54" t="s">
        <v>2</v>
      </c>
      <c r="AC3482" s="54" t="s">
        <v>2</v>
      </c>
      <c r="AD3482" s="54" t="s">
        <v>2</v>
      </c>
      <c r="AE3482" s="54" t="s">
        <v>2</v>
      </c>
      <c r="AF3482" s="54" t="s">
        <v>2</v>
      </c>
      <c r="AG3482" s="54" t="s">
        <v>2</v>
      </c>
    </row>
    <row r="3483" ht="15.75" customHeight="1">
      <c r="B3483" s="56"/>
      <c r="U3483" s="46" t="str">
        <f t="array" ref="U3483">IF($D3483="","",IFERROR(_xlfn.XLOOKUP($D3483,'TIR店舗一覧'!$D:$D,'TIR店舗一覧'!$E:$E,""),""))</f>
        <v/>
      </c>
      <c r="V3483" s="54" t="s">
        <v>2</v>
      </c>
      <c r="W3483" s="54" t="s">
        <v>2</v>
      </c>
      <c r="X3483" s="54" t="s">
        <v>2</v>
      </c>
      <c r="Y3483" s="54" t="s">
        <v>2</v>
      </c>
      <c r="Z3483" s="54" t="s">
        <v>2</v>
      </c>
      <c r="AA3483" s="54" t="s">
        <v>2</v>
      </c>
      <c r="AB3483" s="54" t="s">
        <v>2</v>
      </c>
      <c r="AC3483" s="54" t="s">
        <v>2</v>
      </c>
      <c r="AD3483" s="54" t="s">
        <v>2</v>
      </c>
      <c r="AE3483" s="54" t="s">
        <v>2</v>
      </c>
      <c r="AF3483" s="54" t="s">
        <v>2</v>
      </c>
      <c r="AG3483" s="54" t="s">
        <v>2</v>
      </c>
    </row>
    <row r="3484" ht="15.75" customHeight="1">
      <c r="B3484" s="56"/>
      <c r="U3484" s="46" t="str">
        <f t="array" ref="U3484">IF($D3484="","",IFERROR(_xlfn.XLOOKUP($D3484,'TIR店舗一覧'!$D:$D,'TIR店舗一覧'!$E:$E,""),""))</f>
        <v/>
      </c>
      <c r="V3484" s="54" t="s">
        <v>2</v>
      </c>
      <c r="W3484" s="54" t="s">
        <v>2</v>
      </c>
      <c r="X3484" s="54" t="s">
        <v>2</v>
      </c>
      <c r="Y3484" s="54" t="s">
        <v>2</v>
      </c>
      <c r="Z3484" s="54" t="s">
        <v>2</v>
      </c>
      <c r="AA3484" s="54" t="s">
        <v>2</v>
      </c>
      <c r="AB3484" s="54" t="s">
        <v>2</v>
      </c>
      <c r="AC3484" s="54" t="s">
        <v>2</v>
      </c>
      <c r="AD3484" s="54" t="s">
        <v>2</v>
      </c>
      <c r="AE3484" s="54" t="s">
        <v>2</v>
      </c>
      <c r="AF3484" s="54" t="s">
        <v>2</v>
      </c>
      <c r="AG3484" s="54" t="s">
        <v>2</v>
      </c>
    </row>
    <row r="3485" ht="15.75" customHeight="1">
      <c r="B3485" s="56"/>
      <c r="U3485" s="46" t="str">
        <f t="array" ref="U3485">IF($D3485="","",IFERROR(_xlfn.XLOOKUP($D3485,'TIR店舗一覧'!$D:$D,'TIR店舗一覧'!$E:$E,""),""))</f>
        <v/>
      </c>
      <c r="V3485" s="54" t="s">
        <v>2</v>
      </c>
      <c r="W3485" s="54" t="s">
        <v>2</v>
      </c>
      <c r="X3485" s="54" t="s">
        <v>2</v>
      </c>
      <c r="Y3485" s="54" t="s">
        <v>2</v>
      </c>
      <c r="Z3485" s="54" t="s">
        <v>2</v>
      </c>
      <c r="AA3485" s="54" t="s">
        <v>2</v>
      </c>
      <c r="AB3485" s="54" t="s">
        <v>2</v>
      </c>
      <c r="AC3485" s="54" t="s">
        <v>2</v>
      </c>
      <c r="AD3485" s="54" t="s">
        <v>2</v>
      </c>
      <c r="AE3485" s="54" t="s">
        <v>2</v>
      </c>
      <c r="AF3485" s="54" t="s">
        <v>2</v>
      </c>
      <c r="AG3485" s="54" t="s">
        <v>2</v>
      </c>
    </row>
    <row r="3486" ht="15.75" customHeight="1">
      <c r="B3486" s="56"/>
      <c r="U3486" s="46" t="str">
        <f t="array" ref="U3486">IF($D3486="","",IFERROR(_xlfn.XLOOKUP($D3486,'TIR店舗一覧'!$D:$D,'TIR店舗一覧'!$E:$E,""),""))</f>
        <v/>
      </c>
      <c r="V3486" s="54" t="s">
        <v>2</v>
      </c>
      <c r="W3486" s="54" t="s">
        <v>2</v>
      </c>
      <c r="X3486" s="54" t="s">
        <v>2</v>
      </c>
      <c r="Y3486" s="54" t="s">
        <v>2</v>
      </c>
      <c r="Z3486" s="54" t="s">
        <v>2</v>
      </c>
      <c r="AA3486" s="54" t="s">
        <v>2</v>
      </c>
      <c r="AB3486" s="54" t="s">
        <v>2</v>
      </c>
      <c r="AC3486" s="54" t="s">
        <v>2</v>
      </c>
      <c r="AD3486" s="54" t="s">
        <v>2</v>
      </c>
      <c r="AE3486" s="54" t="s">
        <v>2</v>
      </c>
      <c r="AF3486" s="54" t="s">
        <v>2</v>
      </c>
      <c r="AG3486" s="54" t="s">
        <v>2</v>
      </c>
    </row>
    <row r="3487" ht="15.75" customHeight="1">
      <c r="B3487" s="56"/>
      <c r="U3487" s="46" t="str">
        <f t="array" ref="U3487">IF($D3487="","",IFERROR(_xlfn.XLOOKUP($D3487,'TIR店舗一覧'!$D:$D,'TIR店舗一覧'!$E:$E,""),""))</f>
        <v/>
      </c>
      <c r="V3487" s="54" t="s">
        <v>2</v>
      </c>
      <c r="W3487" s="54" t="s">
        <v>2</v>
      </c>
      <c r="X3487" s="54" t="s">
        <v>2</v>
      </c>
      <c r="Y3487" s="54" t="s">
        <v>2</v>
      </c>
      <c r="Z3487" s="54" t="s">
        <v>2</v>
      </c>
      <c r="AA3487" s="54" t="s">
        <v>2</v>
      </c>
      <c r="AB3487" s="54" t="s">
        <v>2</v>
      </c>
      <c r="AC3487" s="54" t="s">
        <v>2</v>
      </c>
      <c r="AD3487" s="54" t="s">
        <v>2</v>
      </c>
      <c r="AE3487" s="54" t="s">
        <v>2</v>
      </c>
      <c r="AF3487" s="54" t="s">
        <v>2</v>
      </c>
      <c r="AG3487" s="54" t="s">
        <v>2</v>
      </c>
    </row>
    <row r="3488" ht="15.75" customHeight="1">
      <c r="B3488" s="56"/>
      <c r="U3488" s="46" t="str">
        <f t="array" ref="U3488">IF($D3488="","",IFERROR(_xlfn.XLOOKUP($D3488,'TIR店舗一覧'!$D:$D,'TIR店舗一覧'!$E:$E,""),""))</f>
        <v/>
      </c>
      <c r="V3488" s="54" t="s">
        <v>2</v>
      </c>
      <c r="W3488" s="54" t="s">
        <v>2</v>
      </c>
      <c r="X3488" s="54" t="s">
        <v>2</v>
      </c>
      <c r="Y3488" s="54" t="s">
        <v>2</v>
      </c>
      <c r="Z3488" s="54" t="s">
        <v>2</v>
      </c>
      <c r="AA3488" s="54" t="s">
        <v>2</v>
      </c>
      <c r="AB3488" s="54" t="s">
        <v>2</v>
      </c>
      <c r="AC3488" s="54" t="s">
        <v>2</v>
      </c>
      <c r="AD3488" s="54" t="s">
        <v>2</v>
      </c>
      <c r="AE3488" s="54" t="s">
        <v>2</v>
      </c>
      <c r="AF3488" s="54" t="s">
        <v>2</v>
      </c>
      <c r="AG3488" s="54" t="s">
        <v>2</v>
      </c>
    </row>
    <row r="3489" ht="15.75" customHeight="1">
      <c r="B3489" s="56"/>
      <c r="U3489" s="46" t="str">
        <f t="array" ref="U3489">IF($D3489="","",IFERROR(_xlfn.XLOOKUP($D3489,'TIR店舗一覧'!$D:$D,'TIR店舗一覧'!$E:$E,""),""))</f>
        <v/>
      </c>
      <c r="V3489" s="54" t="s">
        <v>2</v>
      </c>
      <c r="W3489" s="54" t="s">
        <v>2</v>
      </c>
      <c r="X3489" s="54" t="s">
        <v>2</v>
      </c>
      <c r="Y3489" s="54" t="s">
        <v>2</v>
      </c>
      <c r="Z3489" s="54" t="s">
        <v>2</v>
      </c>
      <c r="AA3489" s="54" t="s">
        <v>2</v>
      </c>
      <c r="AB3489" s="54" t="s">
        <v>2</v>
      </c>
      <c r="AC3489" s="54" t="s">
        <v>2</v>
      </c>
      <c r="AD3489" s="54" t="s">
        <v>2</v>
      </c>
      <c r="AE3489" s="54" t="s">
        <v>2</v>
      </c>
      <c r="AF3489" s="54" t="s">
        <v>2</v>
      </c>
      <c r="AG3489" s="54" t="s">
        <v>2</v>
      </c>
    </row>
    <row r="3490" ht="15.75" customHeight="1">
      <c r="B3490" s="56"/>
      <c r="U3490" s="46" t="str">
        <f t="array" ref="U3490">IF($D3490="","",IFERROR(_xlfn.XLOOKUP($D3490,'TIR店舗一覧'!$D:$D,'TIR店舗一覧'!$E:$E,""),""))</f>
        <v/>
      </c>
      <c r="V3490" s="54" t="s">
        <v>2</v>
      </c>
      <c r="W3490" s="54" t="s">
        <v>2</v>
      </c>
      <c r="X3490" s="54" t="s">
        <v>2</v>
      </c>
      <c r="Y3490" s="54" t="s">
        <v>2</v>
      </c>
      <c r="Z3490" s="54" t="s">
        <v>2</v>
      </c>
      <c r="AA3490" s="54" t="s">
        <v>2</v>
      </c>
      <c r="AB3490" s="54" t="s">
        <v>2</v>
      </c>
      <c r="AC3490" s="54" t="s">
        <v>2</v>
      </c>
      <c r="AD3490" s="54" t="s">
        <v>2</v>
      </c>
      <c r="AE3490" s="54" t="s">
        <v>2</v>
      </c>
      <c r="AF3490" s="54" t="s">
        <v>2</v>
      </c>
      <c r="AG3490" s="54" t="s">
        <v>2</v>
      </c>
    </row>
    <row r="3491" ht="15.75" customHeight="1">
      <c r="B3491" s="56"/>
      <c r="U3491" s="46" t="str">
        <f t="array" ref="U3491">IF($D3491="","",IFERROR(_xlfn.XLOOKUP($D3491,'TIR店舗一覧'!$D:$D,'TIR店舗一覧'!$E:$E,""),""))</f>
        <v/>
      </c>
      <c r="V3491" s="54" t="s">
        <v>2</v>
      </c>
      <c r="W3491" s="54" t="s">
        <v>2</v>
      </c>
      <c r="X3491" s="54" t="s">
        <v>2</v>
      </c>
      <c r="Y3491" s="54" t="s">
        <v>2</v>
      </c>
      <c r="Z3491" s="54" t="s">
        <v>2</v>
      </c>
      <c r="AA3491" s="54" t="s">
        <v>2</v>
      </c>
      <c r="AB3491" s="54" t="s">
        <v>2</v>
      </c>
      <c r="AC3491" s="54" t="s">
        <v>2</v>
      </c>
      <c r="AD3491" s="54" t="s">
        <v>2</v>
      </c>
      <c r="AE3491" s="54" t="s">
        <v>2</v>
      </c>
      <c r="AF3491" s="54" t="s">
        <v>2</v>
      </c>
      <c r="AG3491" s="54" t="s">
        <v>2</v>
      </c>
    </row>
    <row r="3492" ht="15.75" customHeight="1">
      <c r="B3492" s="56"/>
      <c r="U3492" s="46" t="str">
        <f t="array" ref="U3492">IF($D3492="","",IFERROR(_xlfn.XLOOKUP($D3492,'TIR店舗一覧'!$D:$D,'TIR店舗一覧'!$E:$E,""),""))</f>
        <v/>
      </c>
      <c r="V3492" s="54" t="s">
        <v>2</v>
      </c>
      <c r="W3492" s="54" t="s">
        <v>2</v>
      </c>
      <c r="X3492" s="54" t="s">
        <v>2</v>
      </c>
      <c r="Y3492" s="54" t="s">
        <v>2</v>
      </c>
      <c r="Z3492" s="54" t="s">
        <v>2</v>
      </c>
      <c r="AA3492" s="54" t="s">
        <v>2</v>
      </c>
      <c r="AB3492" s="54" t="s">
        <v>2</v>
      </c>
      <c r="AC3492" s="54" t="s">
        <v>2</v>
      </c>
      <c r="AD3492" s="54" t="s">
        <v>2</v>
      </c>
      <c r="AE3492" s="54" t="s">
        <v>2</v>
      </c>
      <c r="AF3492" s="54" t="s">
        <v>2</v>
      </c>
      <c r="AG3492" s="54" t="s">
        <v>2</v>
      </c>
    </row>
    <row r="3493" ht="15.75" customHeight="1">
      <c r="B3493" s="56"/>
      <c r="U3493" s="46" t="str">
        <f t="array" ref="U3493">IF($D3493="","",IFERROR(_xlfn.XLOOKUP($D3493,'TIR店舗一覧'!$D:$D,'TIR店舗一覧'!$E:$E,""),""))</f>
        <v/>
      </c>
      <c r="V3493" s="54" t="s">
        <v>2</v>
      </c>
      <c r="W3493" s="54" t="s">
        <v>2</v>
      </c>
      <c r="X3493" s="54" t="s">
        <v>2</v>
      </c>
      <c r="Y3493" s="54" t="s">
        <v>2</v>
      </c>
      <c r="Z3493" s="54" t="s">
        <v>2</v>
      </c>
      <c r="AA3493" s="54" t="s">
        <v>2</v>
      </c>
      <c r="AB3493" s="54" t="s">
        <v>2</v>
      </c>
      <c r="AC3493" s="54" t="s">
        <v>2</v>
      </c>
      <c r="AD3493" s="54" t="s">
        <v>2</v>
      </c>
      <c r="AE3493" s="54" t="s">
        <v>2</v>
      </c>
      <c r="AF3493" s="54" t="s">
        <v>2</v>
      </c>
      <c r="AG3493" s="54" t="s">
        <v>2</v>
      </c>
    </row>
    <row r="3494" ht="15.75" customHeight="1">
      <c r="B3494" s="56"/>
      <c r="U3494" s="46" t="str">
        <f t="array" ref="U3494">IF($D3494="","",IFERROR(_xlfn.XLOOKUP($D3494,'TIR店舗一覧'!$D:$D,'TIR店舗一覧'!$E:$E,""),""))</f>
        <v/>
      </c>
      <c r="V3494" s="54" t="s">
        <v>2</v>
      </c>
      <c r="W3494" s="54" t="s">
        <v>2</v>
      </c>
      <c r="X3494" s="54" t="s">
        <v>2</v>
      </c>
      <c r="Y3494" s="54" t="s">
        <v>2</v>
      </c>
      <c r="Z3494" s="54" t="s">
        <v>2</v>
      </c>
      <c r="AA3494" s="54" t="s">
        <v>2</v>
      </c>
      <c r="AB3494" s="54" t="s">
        <v>2</v>
      </c>
      <c r="AC3494" s="54" t="s">
        <v>2</v>
      </c>
      <c r="AD3494" s="54" t="s">
        <v>2</v>
      </c>
      <c r="AE3494" s="54" t="s">
        <v>2</v>
      </c>
      <c r="AF3494" s="54" t="s">
        <v>2</v>
      </c>
      <c r="AG3494" s="54" t="s">
        <v>2</v>
      </c>
    </row>
    <row r="3495" ht="15.75" customHeight="1">
      <c r="B3495" s="56"/>
      <c r="U3495" s="46" t="str">
        <f t="array" ref="U3495">IF($D3495="","",IFERROR(_xlfn.XLOOKUP($D3495,'TIR店舗一覧'!$D:$D,'TIR店舗一覧'!$E:$E,""),""))</f>
        <v/>
      </c>
      <c r="V3495" s="54" t="s">
        <v>2</v>
      </c>
      <c r="W3495" s="54" t="s">
        <v>2</v>
      </c>
      <c r="X3495" s="54" t="s">
        <v>2</v>
      </c>
      <c r="Y3495" s="54" t="s">
        <v>2</v>
      </c>
      <c r="Z3495" s="54" t="s">
        <v>2</v>
      </c>
      <c r="AA3495" s="54" t="s">
        <v>2</v>
      </c>
      <c r="AB3495" s="54" t="s">
        <v>2</v>
      </c>
      <c r="AC3495" s="54" t="s">
        <v>2</v>
      </c>
      <c r="AD3495" s="54" t="s">
        <v>2</v>
      </c>
      <c r="AE3495" s="54" t="s">
        <v>2</v>
      </c>
      <c r="AF3495" s="54" t="s">
        <v>2</v>
      </c>
      <c r="AG3495" s="54" t="s">
        <v>2</v>
      </c>
    </row>
    <row r="3496" ht="15.75" customHeight="1">
      <c r="B3496" s="56"/>
      <c r="U3496" s="46" t="str">
        <f t="array" ref="U3496">IF($D3496="","",IFERROR(_xlfn.XLOOKUP($D3496,'TIR店舗一覧'!$D:$D,'TIR店舗一覧'!$E:$E,""),""))</f>
        <v/>
      </c>
      <c r="V3496" s="54" t="s">
        <v>2</v>
      </c>
      <c r="W3496" s="54" t="s">
        <v>2</v>
      </c>
      <c r="X3496" s="54" t="s">
        <v>2</v>
      </c>
      <c r="Y3496" s="54" t="s">
        <v>2</v>
      </c>
      <c r="Z3496" s="54" t="s">
        <v>2</v>
      </c>
      <c r="AA3496" s="54" t="s">
        <v>2</v>
      </c>
      <c r="AB3496" s="54" t="s">
        <v>2</v>
      </c>
      <c r="AC3496" s="54" t="s">
        <v>2</v>
      </c>
      <c r="AD3496" s="54" t="s">
        <v>2</v>
      </c>
      <c r="AE3496" s="54" t="s">
        <v>2</v>
      </c>
      <c r="AF3496" s="54" t="s">
        <v>2</v>
      </c>
      <c r="AG3496" s="54" t="s">
        <v>2</v>
      </c>
    </row>
    <row r="3497" ht="15.75" customHeight="1">
      <c r="B3497" s="56"/>
      <c r="U3497" s="46" t="str">
        <f t="array" ref="U3497">IF($D3497="","",IFERROR(_xlfn.XLOOKUP($D3497,'TIR店舗一覧'!$D:$D,'TIR店舗一覧'!$E:$E,""),""))</f>
        <v/>
      </c>
      <c r="V3497" s="54" t="s">
        <v>2</v>
      </c>
      <c r="W3497" s="54" t="s">
        <v>2</v>
      </c>
      <c r="X3497" s="54" t="s">
        <v>2</v>
      </c>
      <c r="Y3497" s="54" t="s">
        <v>2</v>
      </c>
      <c r="Z3497" s="54" t="s">
        <v>2</v>
      </c>
      <c r="AA3497" s="54" t="s">
        <v>2</v>
      </c>
      <c r="AB3497" s="54" t="s">
        <v>2</v>
      </c>
      <c r="AC3497" s="54" t="s">
        <v>2</v>
      </c>
      <c r="AD3497" s="54" t="s">
        <v>2</v>
      </c>
      <c r="AE3497" s="54" t="s">
        <v>2</v>
      </c>
      <c r="AF3497" s="54" t="s">
        <v>2</v>
      </c>
      <c r="AG3497" s="54" t="s">
        <v>2</v>
      </c>
    </row>
    <row r="3498" ht="15.75" customHeight="1">
      <c r="B3498" s="56"/>
      <c r="U3498" s="46" t="str">
        <f t="array" ref="U3498">IF($D3498="","",IFERROR(_xlfn.XLOOKUP($D3498,'TIR店舗一覧'!$D:$D,'TIR店舗一覧'!$E:$E,""),""))</f>
        <v/>
      </c>
      <c r="V3498" s="54" t="s">
        <v>2</v>
      </c>
      <c r="W3498" s="54" t="s">
        <v>2</v>
      </c>
      <c r="X3498" s="54" t="s">
        <v>2</v>
      </c>
      <c r="Y3498" s="54" t="s">
        <v>2</v>
      </c>
      <c r="Z3498" s="54" t="s">
        <v>2</v>
      </c>
      <c r="AA3498" s="54" t="s">
        <v>2</v>
      </c>
      <c r="AB3498" s="54" t="s">
        <v>2</v>
      </c>
      <c r="AC3498" s="54" t="s">
        <v>2</v>
      </c>
      <c r="AD3498" s="54" t="s">
        <v>2</v>
      </c>
      <c r="AE3498" s="54" t="s">
        <v>2</v>
      </c>
      <c r="AF3498" s="54" t="s">
        <v>2</v>
      </c>
      <c r="AG3498" s="54" t="s">
        <v>2</v>
      </c>
    </row>
    <row r="3499" ht="15.75" customHeight="1">
      <c r="B3499" s="56"/>
      <c r="U3499" s="46" t="str">
        <f t="array" ref="U3499">IF($D3499="","",IFERROR(_xlfn.XLOOKUP($D3499,'TIR店舗一覧'!$D:$D,'TIR店舗一覧'!$E:$E,""),""))</f>
        <v/>
      </c>
      <c r="V3499" s="54" t="s">
        <v>2</v>
      </c>
      <c r="W3499" s="54" t="s">
        <v>2</v>
      </c>
      <c r="X3499" s="54" t="s">
        <v>2</v>
      </c>
      <c r="Y3499" s="54" t="s">
        <v>2</v>
      </c>
      <c r="Z3499" s="54" t="s">
        <v>2</v>
      </c>
      <c r="AA3499" s="54" t="s">
        <v>2</v>
      </c>
      <c r="AB3499" s="54" t="s">
        <v>2</v>
      </c>
      <c r="AC3499" s="54" t="s">
        <v>2</v>
      </c>
      <c r="AD3499" s="54" t="s">
        <v>2</v>
      </c>
      <c r="AE3499" s="54" t="s">
        <v>2</v>
      </c>
      <c r="AF3499" s="54" t="s">
        <v>2</v>
      </c>
      <c r="AG3499" s="54" t="s">
        <v>2</v>
      </c>
    </row>
    <row r="3500" ht="15.75" customHeight="1">
      <c r="B3500" s="56"/>
      <c r="U3500" s="46" t="str">
        <f t="array" ref="U3500">IF($D3500="","",IFERROR(_xlfn.XLOOKUP($D3500,'TIR店舗一覧'!$D:$D,'TIR店舗一覧'!$E:$E,""),""))</f>
        <v/>
      </c>
      <c r="V3500" s="54" t="s">
        <v>2</v>
      </c>
      <c r="W3500" s="54" t="s">
        <v>2</v>
      </c>
      <c r="X3500" s="54" t="s">
        <v>2</v>
      </c>
      <c r="Y3500" s="54" t="s">
        <v>2</v>
      </c>
      <c r="Z3500" s="54" t="s">
        <v>2</v>
      </c>
      <c r="AA3500" s="54" t="s">
        <v>2</v>
      </c>
      <c r="AB3500" s="54" t="s">
        <v>2</v>
      </c>
      <c r="AC3500" s="54" t="s">
        <v>2</v>
      </c>
      <c r="AD3500" s="54" t="s">
        <v>2</v>
      </c>
      <c r="AE3500" s="54" t="s">
        <v>2</v>
      </c>
      <c r="AF3500" s="54" t="s">
        <v>2</v>
      </c>
      <c r="AG3500" s="54" t="s">
        <v>2</v>
      </c>
    </row>
    <row r="3501" ht="15.75" customHeight="1">
      <c r="B3501" s="56"/>
      <c r="U3501" s="46" t="str">
        <f t="array" ref="U3501">IF($D3501="","",IFERROR(_xlfn.XLOOKUP($D3501,'TIR店舗一覧'!$D:$D,'TIR店舗一覧'!$E:$E,""),""))</f>
        <v/>
      </c>
      <c r="V3501" s="54" t="s">
        <v>2</v>
      </c>
      <c r="W3501" s="54" t="s">
        <v>2</v>
      </c>
      <c r="X3501" s="54" t="s">
        <v>2</v>
      </c>
      <c r="Y3501" s="54" t="s">
        <v>2</v>
      </c>
      <c r="Z3501" s="54" t="s">
        <v>2</v>
      </c>
      <c r="AA3501" s="54" t="s">
        <v>2</v>
      </c>
      <c r="AB3501" s="54" t="s">
        <v>2</v>
      </c>
      <c r="AC3501" s="54" t="s">
        <v>2</v>
      </c>
      <c r="AD3501" s="54" t="s">
        <v>2</v>
      </c>
      <c r="AE3501" s="54" t="s">
        <v>2</v>
      </c>
      <c r="AF3501" s="54" t="s">
        <v>2</v>
      </c>
      <c r="AG3501" s="54" t="s">
        <v>2</v>
      </c>
    </row>
    <row r="3502" ht="15.75" customHeight="1">
      <c r="B3502" s="56"/>
      <c r="U3502" s="46" t="str">
        <f t="array" ref="U3502">IF($D3502="","",IFERROR(_xlfn.XLOOKUP($D3502,'TIR店舗一覧'!$D:$D,'TIR店舗一覧'!$E:$E,""),""))</f>
        <v/>
      </c>
      <c r="V3502" s="54" t="s">
        <v>2</v>
      </c>
      <c r="W3502" s="54" t="s">
        <v>2</v>
      </c>
      <c r="X3502" s="54" t="s">
        <v>2</v>
      </c>
      <c r="Y3502" s="54" t="s">
        <v>2</v>
      </c>
      <c r="Z3502" s="54" t="s">
        <v>2</v>
      </c>
      <c r="AA3502" s="54" t="s">
        <v>2</v>
      </c>
      <c r="AB3502" s="54" t="s">
        <v>2</v>
      </c>
      <c r="AC3502" s="54" t="s">
        <v>2</v>
      </c>
      <c r="AD3502" s="54" t="s">
        <v>2</v>
      </c>
      <c r="AE3502" s="54" t="s">
        <v>2</v>
      </c>
      <c r="AF3502" s="54" t="s">
        <v>2</v>
      </c>
      <c r="AG3502" s="54" t="s">
        <v>2</v>
      </c>
    </row>
    <row r="3503" ht="15.75" customHeight="1">
      <c r="B3503" s="56"/>
      <c r="U3503" s="46" t="str">
        <f t="array" ref="U3503">IF($D3503="","",IFERROR(_xlfn.XLOOKUP($D3503,'TIR店舗一覧'!$D:$D,'TIR店舗一覧'!$E:$E,""),""))</f>
        <v/>
      </c>
      <c r="V3503" s="54" t="s">
        <v>2</v>
      </c>
      <c r="W3503" s="54" t="s">
        <v>2</v>
      </c>
      <c r="X3503" s="54" t="s">
        <v>2</v>
      </c>
      <c r="Y3503" s="54" t="s">
        <v>2</v>
      </c>
      <c r="Z3503" s="54" t="s">
        <v>2</v>
      </c>
      <c r="AA3503" s="54" t="s">
        <v>2</v>
      </c>
      <c r="AB3503" s="54" t="s">
        <v>2</v>
      </c>
      <c r="AC3503" s="54" t="s">
        <v>2</v>
      </c>
      <c r="AD3503" s="54" t="s">
        <v>2</v>
      </c>
      <c r="AE3503" s="54" t="s">
        <v>2</v>
      </c>
      <c r="AF3503" s="54" t="s">
        <v>2</v>
      </c>
      <c r="AG3503" s="54" t="s">
        <v>2</v>
      </c>
    </row>
    <row r="3504" ht="15.75" customHeight="1">
      <c r="B3504" s="56"/>
      <c r="U3504" s="46" t="str">
        <f t="array" ref="U3504">IF($D3504="","",IFERROR(_xlfn.XLOOKUP($D3504,'TIR店舗一覧'!$D:$D,'TIR店舗一覧'!$E:$E,""),""))</f>
        <v/>
      </c>
      <c r="V3504" s="54" t="s">
        <v>2</v>
      </c>
      <c r="W3504" s="54" t="s">
        <v>2</v>
      </c>
      <c r="X3504" s="54" t="s">
        <v>2</v>
      </c>
      <c r="Y3504" s="54" t="s">
        <v>2</v>
      </c>
      <c r="Z3504" s="54" t="s">
        <v>2</v>
      </c>
      <c r="AA3504" s="54" t="s">
        <v>2</v>
      </c>
      <c r="AB3504" s="54" t="s">
        <v>2</v>
      </c>
      <c r="AC3504" s="54" t="s">
        <v>2</v>
      </c>
      <c r="AD3504" s="54" t="s">
        <v>2</v>
      </c>
      <c r="AE3504" s="54" t="s">
        <v>2</v>
      </c>
      <c r="AF3504" s="54" t="s">
        <v>2</v>
      </c>
      <c r="AG3504" s="54" t="s">
        <v>2</v>
      </c>
    </row>
    <row r="3505" ht="15.75" customHeight="1">
      <c r="B3505" s="56"/>
      <c r="U3505" s="46" t="str">
        <f t="array" ref="U3505">IF($D3505="","",IFERROR(_xlfn.XLOOKUP($D3505,'TIR店舗一覧'!$D:$D,'TIR店舗一覧'!$E:$E,""),""))</f>
        <v/>
      </c>
      <c r="V3505" s="54" t="s">
        <v>2</v>
      </c>
      <c r="W3505" s="54" t="s">
        <v>2</v>
      </c>
      <c r="X3505" s="54" t="s">
        <v>2</v>
      </c>
      <c r="Y3505" s="54" t="s">
        <v>2</v>
      </c>
      <c r="Z3505" s="54" t="s">
        <v>2</v>
      </c>
      <c r="AA3505" s="54" t="s">
        <v>2</v>
      </c>
      <c r="AB3505" s="54" t="s">
        <v>2</v>
      </c>
      <c r="AC3505" s="54" t="s">
        <v>2</v>
      </c>
      <c r="AD3505" s="54" t="s">
        <v>2</v>
      </c>
      <c r="AE3505" s="54" t="s">
        <v>2</v>
      </c>
      <c r="AF3505" s="54" t="s">
        <v>2</v>
      </c>
      <c r="AG3505" s="54" t="s">
        <v>2</v>
      </c>
    </row>
    <row r="3506" ht="15.75" customHeight="1">
      <c r="B3506" s="56"/>
      <c r="U3506" s="46" t="str">
        <f t="array" ref="U3506">IF($D3506="","",IFERROR(_xlfn.XLOOKUP($D3506,'TIR店舗一覧'!$D:$D,'TIR店舗一覧'!$E:$E,""),""))</f>
        <v/>
      </c>
      <c r="V3506" s="54" t="s">
        <v>2</v>
      </c>
      <c r="W3506" s="54" t="s">
        <v>2</v>
      </c>
      <c r="X3506" s="54" t="s">
        <v>2</v>
      </c>
      <c r="Y3506" s="54" t="s">
        <v>2</v>
      </c>
      <c r="Z3506" s="54" t="s">
        <v>2</v>
      </c>
      <c r="AA3506" s="54" t="s">
        <v>2</v>
      </c>
      <c r="AB3506" s="54" t="s">
        <v>2</v>
      </c>
      <c r="AC3506" s="54" t="s">
        <v>2</v>
      </c>
      <c r="AD3506" s="54" t="s">
        <v>2</v>
      </c>
      <c r="AE3506" s="54" t="s">
        <v>2</v>
      </c>
      <c r="AF3506" s="54" t="s">
        <v>2</v>
      </c>
      <c r="AG3506" s="54" t="s">
        <v>2</v>
      </c>
    </row>
    <row r="3507" ht="15.75" customHeight="1">
      <c r="B3507" s="56"/>
      <c r="U3507" s="46" t="str">
        <f t="array" ref="U3507">IF($D3507="","",IFERROR(_xlfn.XLOOKUP($D3507,'TIR店舗一覧'!$D:$D,'TIR店舗一覧'!$E:$E,""),""))</f>
        <v/>
      </c>
      <c r="V3507" s="54" t="s">
        <v>2</v>
      </c>
      <c r="W3507" s="54" t="s">
        <v>2</v>
      </c>
      <c r="X3507" s="54" t="s">
        <v>2</v>
      </c>
      <c r="Y3507" s="54" t="s">
        <v>2</v>
      </c>
      <c r="Z3507" s="54" t="s">
        <v>2</v>
      </c>
      <c r="AA3507" s="54" t="s">
        <v>2</v>
      </c>
      <c r="AB3507" s="54" t="s">
        <v>2</v>
      </c>
      <c r="AC3507" s="54" t="s">
        <v>2</v>
      </c>
      <c r="AD3507" s="54" t="s">
        <v>2</v>
      </c>
      <c r="AE3507" s="54" t="s">
        <v>2</v>
      </c>
      <c r="AF3507" s="54" t="s">
        <v>2</v>
      </c>
      <c r="AG3507" s="54" t="s">
        <v>2</v>
      </c>
    </row>
    <row r="3508" ht="15.75" customHeight="1">
      <c r="B3508" s="56"/>
      <c r="U3508" s="46" t="str">
        <f t="array" ref="U3508">IF($D3508="","",IFERROR(_xlfn.XLOOKUP($D3508,'TIR店舗一覧'!$D:$D,'TIR店舗一覧'!$E:$E,""),""))</f>
        <v/>
      </c>
      <c r="V3508" s="54" t="s">
        <v>2</v>
      </c>
      <c r="W3508" s="54" t="s">
        <v>2</v>
      </c>
      <c r="X3508" s="54" t="s">
        <v>2</v>
      </c>
      <c r="Y3508" s="54" t="s">
        <v>2</v>
      </c>
      <c r="Z3508" s="54" t="s">
        <v>2</v>
      </c>
      <c r="AA3508" s="54" t="s">
        <v>2</v>
      </c>
      <c r="AB3508" s="54" t="s">
        <v>2</v>
      </c>
      <c r="AC3508" s="54" t="s">
        <v>2</v>
      </c>
      <c r="AD3508" s="54" t="s">
        <v>2</v>
      </c>
      <c r="AE3508" s="54" t="s">
        <v>2</v>
      </c>
      <c r="AF3508" s="54" t="s">
        <v>2</v>
      </c>
      <c r="AG3508" s="54" t="s">
        <v>2</v>
      </c>
    </row>
    <row r="3509" ht="15.75" customHeight="1">
      <c r="B3509" s="56"/>
      <c r="U3509" s="46" t="str">
        <f t="array" ref="U3509">IF($D3509="","",IFERROR(_xlfn.XLOOKUP($D3509,'TIR店舗一覧'!$D:$D,'TIR店舗一覧'!$E:$E,""),""))</f>
        <v/>
      </c>
      <c r="V3509" s="54" t="s">
        <v>2</v>
      </c>
      <c r="W3509" s="54" t="s">
        <v>2</v>
      </c>
      <c r="X3509" s="54" t="s">
        <v>2</v>
      </c>
      <c r="Y3509" s="54" t="s">
        <v>2</v>
      </c>
      <c r="Z3509" s="54" t="s">
        <v>2</v>
      </c>
      <c r="AA3509" s="54" t="s">
        <v>2</v>
      </c>
      <c r="AB3509" s="54" t="s">
        <v>2</v>
      </c>
      <c r="AC3509" s="54" t="s">
        <v>2</v>
      </c>
      <c r="AD3509" s="54" t="s">
        <v>2</v>
      </c>
      <c r="AE3509" s="54" t="s">
        <v>2</v>
      </c>
      <c r="AF3509" s="54" t="s">
        <v>2</v>
      </c>
      <c r="AG3509" s="54" t="s">
        <v>2</v>
      </c>
    </row>
    <row r="3510" ht="15.75" customHeight="1">
      <c r="B3510" s="56"/>
      <c r="U3510" s="46" t="str">
        <f t="array" ref="U3510">IF($D3510="","",IFERROR(_xlfn.XLOOKUP($D3510,'TIR店舗一覧'!$D:$D,'TIR店舗一覧'!$E:$E,""),""))</f>
        <v/>
      </c>
      <c r="V3510" s="54" t="s">
        <v>2</v>
      </c>
      <c r="W3510" s="54" t="s">
        <v>2</v>
      </c>
      <c r="X3510" s="54" t="s">
        <v>2</v>
      </c>
      <c r="Y3510" s="54" t="s">
        <v>2</v>
      </c>
      <c r="Z3510" s="54" t="s">
        <v>2</v>
      </c>
      <c r="AA3510" s="54" t="s">
        <v>2</v>
      </c>
      <c r="AB3510" s="54" t="s">
        <v>2</v>
      </c>
      <c r="AC3510" s="54" t="s">
        <v>2</v>
      </c>
      <c r="AD3510" s="54" t="s">
        <v>2</v>
      </c>
      <c r="AE3510" s="54" t="s">
        <v>2</v>
      </c>
      <c r="AF3510" s="54" t="s">
        <v>2</v>
      </c>
      <c r="AG3510" s="54" t="s">
        <v>2</v>
      </c>
    </row>
    <row r="3511" ht="15.75" customHeight="1">
      <c r="B3511" s="56"/>
      <c r="U3511" s="46" t="str">
        <f t="array" ref="U3511">IF($D3511="","",IFERROR(_xlfn.XLOOKUP($D3511,'TIR店舗一覧'!$D:$D,'TIR店舗一覧'!$E:$E,""),""))</f>
        <v/>
      </c>
      <c r="V3511" s="54" t="s">
        <v>2</v>
      </c>
      <c r="W3511" s="54" t="s">
        <v>2</v>
      </c>
      <c r="X3511" s="54" t="s">
        <v>2</v>
      </c>
      <c r="Y3511" s="54" t="s">
        <v>2</v>
      </c>
      <c r="Z3511" s="54" t="s">
        <v>2</v>
      </c>
      <c r="AA3511" s="54" t="s">
        <v>2</v>
      </c>
      <c r="AB3511" s="54" t="s">
        <v>2</v>
      </c>
      <c r="AC3511" s="54" t="s">
        <v>2</v>
      </c>
      <c r="AD3511" s="54" t="s">
        <v>2</v>
      </c>
      <c r="AE3511" s="54" t="s">
        <v>2</v>
      </c>
      <c r="AF3511" s="54" t="s">
        <v>2</v>
      </c>
      <c r="AG3511" s="54" t="s">
        <v>2</v>
      </c>
    </row>
    <row r="3512" ht="15.75" customHeight="1">
      <c r="B3512" s="56"/>
      <c r="U3512" s="46" t="str">
        <f t="array" ref="U3512">IF($D3512="","",IFERROR(_xlfn.XLOOKUP($D3512,'TIR店舗一覧'!$D:$D,'TIR店舗一覧'!$E:$E,""),""))</f>
        <v/>
      </c>
      <c r="V3512" s="54" t="s">
        <v>2</v>
      </c>
      <c r="W3512" s="54" t="s">
        <v>2</v>
      </c>
      <c r="X3512" s="54" t="s">
        <v>2</v>
      </c>
      <c r="Y3512" s="54" t="s">
        <v>2</v>
      </c>
      <c r="Z3512" s="54" t="s">
        <v>2</v>
      </c>
      <c r="AA3512" s="54" t="s">
        <v>2</v>
      </c>
      <c r="AB3512" s="54" t="s">
        <v>2</v>
      </c>
      <c r="AC3512" s="54" t="s">
        <v>2</v>
      </c>
      <c r="AD3512" s="54" t="s">
        <v>2</v>
      </c>
      <c r="AE3512" s="54" t="s">
        <v>2</v>
      </c>
      <c r="AF3512" s="54" t="s">
        <v>2</v>
      </c>
      <c r="AG3512" s="54" t="s">
        <v>2</v>
      </c>
    </row>
    <row r="3513" ht="15.75" customHeight="1">
      <c r="B3513" s="56"/>
      <c r="U3513" s="46" t="str">
        <f t="array" ref="U3513">IF($D3513="","",IFERROR(_xlfn.XLOOKUP($D3513,'TIR店舗一覧'!$D:$D,'TIR店舗一覧'!$E:$E,""),""))</f>
        <v/>
      </c>
      <c r="V3513" s="54" t="s">
        <v>2</v>
      </c>
      <c r="W3513" s="54" t="s">
        <v>2</v>
      </c>
      <c r="X3513" s="54" t="s">
        <v>2</v>
      </c>
      <c r="Y3513" s="54" t="s">
        <v>2</v>
      </c>
      <c r="Z3513" s="54" t="s">
        <v>2</v>
      </c>
      <c r="AA3513" s="54" t="s">
        <v>2</v>
      </c>
      <c r="AB3513" s="54" t="s">
        <v>2</v>
      </c>
      <c r="AC3513" s="54" t="s">
        <v>2</v>
      </c>
      <c r="AD3513" s="54" t="s">
        <v>2</v>
      </c>
      <c r="AE3513" s="54" t="s">
        <v>2</v>
      </c>
      <c r="AF3513" s="54" t="s">
        <v>2</v>
      </c>
      <c r="AG3513" s="54" t="s">
        <v>2</v>
      </c>
    </row>
    <row r="3514" ht="15.75" customHeight="1">
      <c r="B3514" s="56"/>
      <c r="U3514" s="46" t="str">
        <f t="array" ref="U3514">IF($D3514="","",IFERROR(_xlfn.XLOOKUP($D3514,'TIR店舗一覧'!$D:$D,'TIR店舗一覧'!$E:$E,""),""))</f>
        <v/>
      </c>
      <c r="V3514" s="54" t="s">
        <v>2</v>
      </c>
      <c r="W3514" s="54" t="s">
        <v>2</v>
      </c>
      <c r="X3514" s="54" t="s">
        <v>2</v>
      </c>
      <c r="Y3514" s="54" t="s">
        <v>2</v>
      </c>
      <c r="Z3514" s="54" t="s">
        <v>2</v>
      </c>
      <c r="AA3514" s="54" t="s">
        <v>2</v>
      </c>
      <c r="AB3514" s="54" t="s">
        <v>2</v>
      </c>
      <c r="AC3514" s="54" t="s">
        <v>2</v>
      </c>
      <c r="AD3514" s="54" t="s">
        <v>2</v>
      </c>
      <c r="AE3514" s="54" t="s">
        <v>2</v>
      </c>
      <c r="AF3514" s="54" t="s">
        <v>2</v>
      </c>
      <c r="AG3514" s="54" t="s">
        <v>2</v>
      </c>
    </row>
    <row r="3515" ht="15.75" customHeight="1">
      <c r="B3515" s="56"/>
      <c r="U3515" s="46" t="str">
        <f t="array" ref="U3515">IF($D3515="","",IFERROR(_xlfn.XLOOKUP($D3515,'TIR店舗一覧'!$D:$D,'TIR店舗一覧'!$E:$E,""),""))</f>
        <v/>
      </c>
      <c r="V3515" s="54" t="s">
        <v>2</v>
      </c>
      <c r="W3515" s="54" t="s">
        <v>2</v>
      </c>
      <c r="X3515" s="54" t="s">
        <v>2</v>
      </c>
      <c r="Y3515" s="54" t="s">
        <v>2</v>
      </c>
      <c r="Z3515" s="54" t="s">
        <v>2</v>
      </c>
      <c r="AA3515" s="54" t="s">
        <v>2</v>
      </c>
      <c r="AB3515" s="54" t="s">
        <v>2</v>
      </c>
      <c r="AC3515" s="54" t="s">
        <v>2</v>
      </c>
      <c r="AD3515" s="54" t="s">
        <v>2</v>
      </c>
      <c r="AE3515" s="54" t="s">
        <v>2</v>
      </c>
      <c r="AF3515" s="54" t="s">
        <v>2</v>
      </c>
      <c r="AG3515" s="54" t="s">
        <v>2</v>
      </c>
    </row>
    <row r="3516" ht="15.75" customHeight="1">
      <c r="B3516" s="56"/>
      <c r="U3516" s="46" t="str">
        <f t="array" ref="U3516">IF($D3516="","",IFERROR(_xlfn.XLOOKUP($D3516,'TIR店舗一覧'!$D:$D,'TIR店舗一覧'!$E:$E,""),""))</f>
        <v/>
      </c>
      <c r="V3516" s="54" t="s">
        <v>2</v>
      </c>
      <c r="W3516" s="54" t="s">
        <v>2</v>
      </c>
      <c r="X3516" s="54" t="s">
        <v>2</v>
      </c>
      <c r="Y3516" s="54" t="s">
        <v>2</v>
      </c>
      <c r="Z3516" s="54" t="s">
        <v>2</v>
      </c>
      <c r="AA3516" s="54" t="s">
        <v>2</v>
      </c>
      <c r="AB3516" s="54" t="s">
        <v>2</v>
      </c>
      <c r="AC3516" s="54" t="s">
        <v>2</v>
      </c>
      <c r="AD3516" s="54" t="s">
        <v>2</v>
      </c>
      <c r="AE3516" s="54" t="s">
        <v>2</v>
      </c>
      <c r="AF3516" s="54" t="s">
        <v>2</v>
      </c>
      <c r="AG3516" s="54" t="s">
        <v>2</v>
      </c>
    </row>
    <row r="3517" ht="15.75" customHeight="1">
      <c r="B3517" s="56"/>
      <c r="U3517" s="46" t="str">
        <f t="array" ref="U3517">IF($D3517="","",IFERROR(_xlfn.XLOOKUP($D3517,'TIR店舗一覧'!$D:$D,'TIR店舗一覧'!$E:$E,""),""))</f>
        <v/>
      </c>
      <c r="V3517" s="54" t="s">
        <v>2</v>
      </c>
      <c r="W3517" s="54" t="s">
        <v>2</v>
      </c>
      <c r="X3517" s="54" t="s">
        <v>2</v>
      </c>
      <c r="Y3517" s="54" t="s">
        <v>2</v>
      </c>
      <c r="Z3517" s="54" t="s">
        <v>2</v>
      </c>
      <c r="AA3517" s="54" t="s">
        <v>2</v>
      </c>
      <c r="AB3517" s="54" t="s">
        <v>2</v>
      </c>
      <c r="AC3517" s="54" t="s">
        <v>2</v>
      </c>
      <c r="AD3517" s="54" t="s">
        <v>2</v>
      </c>
      <c r="AE3517" s="54" t="s">
        <v>2</v>
      </c>
      <c r="AF3517" s="54" t="s">
        <v>2</v>
      </c>
      <c r="AG3517" s="54" t="s">
        <v>2</v>
      </c>
    </row>
    <row r="3518" ht="15.75" customHeight="1">
      <c r="B3518" s="56"/>
      <c r="U3518" s="46" t="str">
        <f t="array" ref="U3518">IF($D3518="","",IFERROR(_xlfn.XLOOKUP($D3518,'TIR店舗一覧'!$D:$D,'TIR店舗一覧'!$E:$E,""),""))</f>
        <v/>
      </c>
      <c r="V3518" s="54" t="s">
        <v>2</v>
      </c>
      <c r="W3518" s="54" t="s">
        <v>2</v>
      </c>
      <c r="X3518" s="54" t="s">
        <v>2</v>
      </c>
      <c r="Y3518" s="54" t="s">
        <v>2</v>
      </c>
      <c r="Z3518" s="54" t="s">
        <v>2</v>
      </c>
      <c r="AA3518" s="54" t="s">
        <v>2</v>
      </c>
      <c r="AB3518" s="54" t="s">
        <v>2</v>
      </c>
      <c r="AC3518" s="54" t="s">
        <v>2</v>
      </c>
      <c r="AD3518" s="54" t="s">
        <v>2</v>
      </c>
      <c r="AE3518" s="54" t="s">
        <v>2</v>
      </c>
      <c r="AF3518" s="54" t="s">
        <v>2</v>
      </c>
      <c r="AG3518" s="54" t="s">
        <v>2</v>
      </c>
    </row>
    <row r="3519" ht="15.75" customHeight="1">
      <c r="B3519" s="56"/>
      <c r="U3519" s="46" t="str">
        <f t="array" ref="U3519">IF($D3519="","",IFERROR(_xlfn.XLOOKUP($D3519,'TIR店舗一覧'!$D:$D,'TIR店舗一覧'!$E:$E,""),""))</f>
        <v/>
      </c>
      <c r="V3519" s="54" t="s">
        <v>2</v>
      </c>
      <c r="W3519" s="54" t="s">
        <v>2</v>
      </c>
      <c r="X3519" s="54" t="s">
        <v>2</v>
      </c>
      <c r="Y3519" s="54" t="s">
        <v>2</v>
      </c>
      <c r="Z3519" s="54" t="s">
        <v>2</v>
      </c>
      <c r="AA3519" s="54" t="s">
        <v>2</v>
      </c>
      <c r="AB3519" s="54" t="s">
        <v>2</v>
      </c>
      <c r="AC3519" s="54" t="s">
        <v>2</v>
      </c>
      <c r="AD3519" s="54" t="s">
        <v>2</v>
      </c>
      <c r="AE3519" s="54" t="s">
        <v>2</v>
      </c>
      <c r="AF3519" s="54" t="s">
        <v>2</v>
      </c>
      <c r="AG3519" s="54" t="s">
        <v>2</v>
      </c>
    </row>
    <row r="3520" ht="15.75" customHeight="1">
      <c r="B3520" s="56"/>
      <c r="U3520" s="46" t="str">
        <f t="array" ref="U3520">IF($D3520="","",IFERROR(_xlfn.XLOOKUP($D3520,'TIR店舗一覧'!$D:$D,'TIR店舗一覧'!$E:$E,""),""))</f>
        <v/>
      </c>
      <c r="V3520" s="54" t="s">
        <v>2</v>
      </c>
      <c r="W3520" s="54" t="s">
        <v>2</v>
      </c>
      <c r="X3520" s="54" t="s">
        <v>2</v>
      </c>
      <c r="Y3520" s="54" t="s">
        <v>2</v>
      </c>
      <c r="Z3520" s="54" t="s">
        <v>2</v>
      </c>
      <c r="AA3520" s="54" t="s">
        <v>2</v>
      </c>
      <c r="AB3520" s="54" t="s">
        <v>2</v>
      </c>
      <c r="AC3520" s="54" t="s">
        <v>2</v>
      </c>
      <c r="AD3520" s="54" t="s">
        <v>2</v>
      </c>
      <c r="AE3520" s="54" t="s">
        <v>2</v>
      </c>
      <c r="AF3520" s="54" t="s">
        <v>2</v>
      </c>
      <c r="AG3520" s="54" t="s">
        <v>2</v>
      </c>
    </row>
    <row r="3521" ht="15.75" customHeight="1">
      <c r="B3521" s="56"/>
      <c r="U3521" s="46" t="str">
        <f t="array" ref="U3521">IF($D3521="","",IFERROR(_xlfn.XLOOKUP($D3521,'TIR店舗一覧'!$D:$D,'TIR店舗一覧'!$E:$E,""),""))</f>
        <v/>
      </c>
      <c r="V3521" s="54" t="s">
        <v>2</v>
      </c>
      <c r="W3521" s="54" t="s">
        <v>2</v>
      </c>
      <c r="X3521" s="54" t="s">
        <v>2</v>
      </c>
      <c r="Y3521" s="54" t="s">
        <v>2</v>
      </c>
      <c r="Z3521" s="54" t="s">
        <v>2</v>
      </c>
      <c r="AA3521" s="54" t="s">
        <v>2</v>
      </c>
      <c r="AB3521" s="54" t="s">
        <v>2</v>
      </c>
      <c r="AC3521" s="54" t="s">
        <v>2</v>
      </c>
      <c r="AD3521" s="54" t="s">
        <v>2</v>
      </c>
      <c r="AE3521" s="54" t="s">
        <v>2</v>
      </c>
      <c r="AF3521" s="54" t="s">
        <v>2</v>
      </c>
      <c r="AG3521" s="54" t="s">
        <v>2</v>
      </c>
    </row>
    <row r="3522" ht="15.75" customHeight="1">
      <c r="B3522" s="56"/>
      <c r="U3522" s="46" t="str">
        <f t="array" ref="U3522">IF($D3522="","",IFERROR(_xlfn.XLOOKUP($D3522,'TIR店舗一覧'!$D:$D,'TIR店舗一覧'!$E:$E,""),""))</f>
        <v/>
      </c>
      <c r="V3522" s="54" t="s">
        <v>2</v>
      </c>
      <c r="W3522" s="54" t="s">
        <v>2</v>
      </c>
      <c r="X3522" s="54" t="s">
        <v>2</v>
      </c>
      <c r="Y3522" s="54" t="s">
        <v>2</v>
      </c>
      <c r="Z3522" s="54" t="s">
        <v>2</v>
      </c>
      <c r="AA3522" s="54" t="s">
        <v>2</v>
      </c>
      <c r="AB3522" s="54" t="s">
        <v>2</v>
      </c>
      <c r="AC3522" s="54" t="s">
        <v>2</v>
      </c>
      <c r="AD3522" s="54" t="s">
        <v>2</v>
      </c>
      <c r="AE3522" s="54" t="s">
        <v>2</v>
      </c>
      <c r="AF3522" s="54" t="s">
        <v>2</v>
      </c>
      <c r="AG3522" s="54" t="s">
        <v>2</v>
      </c>
    </row>
    <row r="3523" ht="15.75" customHeight="1">
      <c r="B3523" s="56"/>
      <c r="U3523" s="46" t="str">
        <f t="array" ref="U3523">IF($D3523="","",IFERROR(_xlfn.XLOOKUP($D3523,'TIR店舗一覧'!$D:$D,'TIR店舗一覧'!$E:$E,""),""))</f>
        <v/>
      </c>
      <c r="V3523" s="54" t="s">
        <v>2</v>
      </c>
      <c r="W3523" s="54" t="s">
        <v>2</v>
      </c>
      <c r="X3523" s="54" t="s">
        <v>2</v>
      </c>
      <c r="Y3523" s="54" t="s">
        <v>2</v>
      </c>
      <c r="Z3523" s="54" t="s">
        <v>2</v>
      </c>
      <c r="AA3523" s="54" t="s">
        <v>2</v>
      </c>
      <c r="AB3523" s="54" t="s">
        <v>2</v>
      </c>
      <c r="AC3523" s="54" t="s">
        <v>2</v>
      </c>
      <c r="AD3523" s="54" t="s">
        <v>2</v>
      </c>
      <c r="AE3523" s="54" t="s">
        <v>2</v>
      </c>
      <c r="AF3523" s="54" t="s">
        <v>2</v>
      </c>
      <c r="AG3523" s="54" t="s">
        <v>2</v>
      </c>
    </row>
    <row r="3524" ht="15.75" customHeight="1">
      <c r="B3524" s="56"/>
      <c r="U3524" s="46" t="str">
        <f t="array" ref="U3524">IF($D3524="","",IFERROR(_xlfn.XLOOKUP($D3524,'TIR店舗一覧'!$D:$D,'TIR店舗一覧'!$E:$E,""),""))</f>
        <v/>
      </c>
      <c r="V3524" s="54" t="s">
        <v>2</v>
      </c>
      <c r="W3524" s="54" t="s">
        <v>2</v>
      </c>
      <c r="X3524" s="54" t="s">
        <v>2</v>
      </c>
      <c r="Y3524" s="54" t="s">
        <v>2</v>
      </c>
      <c r="Z3524" s="54" t="s">
        <v>2</v>
      </c>
      <c r="AA3524" s="54" t="s">
        <v>2</v>
      </c>
      <c r="AB3524" s="54" t="s">
        <v>2</v>
      </c>
      <c r="AC3524" s="54" t="s">
        <v>2</v>
      </c>
      <c r="AD3524" s="54" t="s">
        <v>2</v>
      </c>
      <c r="AE3524" s="54" t="s">
        <v>2</v>
      </c>
      <c r="AF3524" s="54" t="s">
        <v>2</v>
      </c>
      <c r="AG3524" s="54" t="s">
        <v>2</v>
      </c>
    </row>
    <row r="3525" ht="15.75" customHeight="1">
      <c r="B3525" s="56"/>
      <c r="U3525" s="46" t="str">
        <f t="array" ref="U3525">IF($D3525="","",IFERROR(_xlfn.XLOOKUP($D3525,'TIR店舗一覧'!$D:$D,'TIR店舗一覧'!$E:$E,""),""))</f>
        <v/>
      </c>
      <c r="V3525" s="54" t="s">
        <v>2</v>
      </c>
      <c r="W3525" s="54" t="s">
        <v>2</v>
      </c>
      <c r="X3525" s="54" t="s">
        <v>2</v>
      </c>
      <c r="Y3525" s="54" t="s">
        <v>2</v>
      </c>
      <c r="Z3525" s="54" t="s">
        <v>2</v>
      </c>
      <c r="AA3525" s="54" t="s">
        <v>2</v>
      </c>
      <c r="AB3525" s="54" t="s">
        <v>2</v>
      </c>
      <c r="AC3525" s="54" t="s">
        <v>2</v>
      </c>
      <c r="AD3525" s="54" t="s">
        <v>2</v>
      </c>
      <c r="AE3525" s="54" t="s">
        <v>2</v>
      </c>
      <c r="AF3525" s="54" t="s">
        <v>2</v>
      </c>
      <c r="AG3525" s="54" t="s">
        <v>2</v>
      </c>
    </row>
    <row r="3526" ht="15.75" customHeight="1">
      <c r="B3526" s="56"/>
      <c r="U3526" s="46" t="str">
        <f t="array" ref="U3526">IF($D3526="","",IFERROR(_xlfn.XLOOKUP($D3526,'TIR店舗一覧'!$D:$D,'TIR店舗一覧'!$E:$E,""),""))</f>
        <v/>
      </c>
      <c r="V3526" s="54" t="s">
        <v>2</v>
      </c>
      <c r="W3526" s="54" t="s">
        <v>2</v>
      </c>
      <c r="X3526" s="54" t="s">
        <v>2</v>
      </c>
      <c r="Y3526" s="54" t="s">
        <v>2</v>
      </c>
      <c r="Z3526" s="54" t="s">
        <v>2</v>
      </c>
      <c r="AA3526" s="54" t="s">
        <v>2</v>
      </c>
      <c r="AB3526" s="54" t="s">
        <v>2</v>
      </c>
      <c r="AC3526" s="54" t="s">
        <v>2</v>
      </c>
      <c r="AD3526" s="54" t="s">
        <v>2</v>
      </c>
      <c r="AE3526" s="54" t="s">
        <v>2</v>
      </c>
      <c r="AF3526" s="54" t="s">
        <v>2</v>
      </c>
      <c r="AG3526" s="54" t="s">
        <v>2</v>
      </c>
    </row>
    <row r="3527" ht="15.75" customHeight="1">
      <c r="B3527" s="56"/>
      <c r="U3527" s="46" t="str">
        <f t="array" ref="U3527">IF($D3527="","",IFERROR(_xlfn.XLOOKUP($D3527,'TIR店舗一覧'!$D:$D,'TIR店舗一覧'!$E:$E,""),""))</f>
        <v/>
      </c>
      <c r="V3527" s="54" t="s">
        <v>2</v>
      </c>
      <c r="W3527" s="54" t="s">
        <v>2</v>
      </c>
      <c r="X3527" s="54" t="s">
        <v>2</v>
      </c>
      <c r="Y3527" s="54" t="s">
        <v>2</v>
      </c>
      <c r="Z3527" s="54" t="s">
        <v>2</v>
      </c>
      <c r="AA3527" s="54" t="s">
        <v>2</v>
      </c>
      <c r="AB3527" s="54" t="s">
        <v>2</v>
      </c>
      <c r="AC3527" s="54" t="s">
        <v>2</v>
      </c>
      <c r="AD3527" s="54" t="s">
        <v>2</v>
      </c>
      <c r="AE3527" s="54" t="s">
        <v>2</v>
      </c>
      <c r="AF3527" s="54" t="s">
        <v>2</v>
      </c>
      <c r="AG3527" s="54" t="s">
        <v>2</v>
      </c>
    </row>
    <row r="3528" ht="15.75" customHeight="1">
      <c r="B3528" s="56"/>
      <c r="U3528" s="46" t="str">
        <f t="array" ref="U3528">IF($D3528="","",IFERROR(_xlfn.XLOOKUP($D3528,'TIR店舗一覧'!$D:$D,'TIR店舗一覧'!$E:$E,""),""))</f>
        <v/>
      </c>
      <c r="V3528" s="54" t="s">
        <v>2</v>
      </c>
      <c r="W3528" s="54" t="s">
        <v>2</v>
      </c>
      <c r="X3528" s="54" t="s">
        <v>2</v>
      </c>
      <c r="Y3528" s="54" t="s">
        <v>2</v>
      </c>
      <c r="Z3528" s="54" t="s">
        <v>2</v>
      </c>
      <c r="AA3528" s="54" t="s">
        <v>2</v>
      </c>
      <c r="AB3528" s="54" t="s">
        <v>2</v>
      </c>
      <c r="AC3528" s="54" t="s">
        <v>2</v>
      </c>
      <c r="AD3528" s="54" t="s">
        <v>2</v>
      </c>
      <c r="AE3528" s="54" t="s">
        <v>2</v>
      </c>
      <c r="AF3528" s="54" t="s">
        <v>2</v>
      </c>
      <c r="AG3528" s="54" t="s">
        <v>2</v>
      </c>
    </row>
    <row r="3529" ht="15.75" customHeight="1">
      <c r="B3529" s="56"/>
      <c r="U3529" s="46" t="str">
        <f t="array" ref="U3529">IF($D3529="","",IFERROR(_xlfn.XLOOKUP($D3529,'TIR店舗一覧'!$D:$D,'TIR店舗一覧'!$E:$E,""),""))</f>
        <v/>
      </c>
      <c r="V3529" s="54" t="s">
        <v>2</v>
      </c>
      <c r="W3529" s="54" t="s">
        <v>2</v>
      </c>
      <c r="X3529" s="54" t="s">
        <v>2</v>
      </c>
      <c r="Y3529" s="54" t="s">
        <v>2</v>
      </c>
      <c r="Z3529" s="54" t="s">
        <v>2</v>
      </c>
      <c r="AA3529" s="54" t="s">
        <v>2</v>
      </c>
      <c r="AB3529" s="54" t="s">
        <v>2</v>
      </c>
      <c r="AC3529" s="54" t="s">
        <v>2</v>
      </c>
      <c r="AD3529" s="54" t="s">
        <v>2</v>
      </c>
      <c r="AE3529" s="54" t="s">
        <v>2</v>
      </c>
      <c r="AF3529" s="54" t="s">
        <v>2</v>
      </c>
      <c r="AG3529" s="54" t="s">
        <v>2</v>
      </c>
    </row>
    <row r="3530" ht="15.75" customHeight="1">
      <c r="B3530" s="56"/>
      <c r="U3530" s="46" t="str">
        <f t="array" ref="U3530">IF($D3530="","",IFERROR(_xlfn.XLOOKUP($D3530,'TIR店舗一覧'!$D:$D,'TIR店舗一覧'!$E:$E,""),""))</f>
        <v/>
      </c>
      <c r="V3530" s="54" t="s">
        <v>2</v>
      </c>
      <c r="W3530" s="54" t="s">
        <v>2</v>
      </c>
      <c r="X3530" s="54" t="s">
        <v>2</v>
      </c>
      <c r="Y3530" s="54" t="s">
        <v>2</v>
      </c>
      <c r="Z3530" s="54" t="s">
        <v>2</v>
      </c>
      <c r="AA3530" s="54" t="s">
        <v>2</v>
      </c>
      <c r="AB3530" s="54" t="s">
        <v>2</v>
      </c>
      <c r="AC3530" s="54" t="s">
        <v>2</v>
      </c>
      <c r="AD3530" s="54" t="s">
        <v>2</v>
      </c>
      <c r="AE3530" s="54" t="s">
        <v>2</v>
      </c>
      <c r="AF3530" s="54" t="s">
        <v>2</v>
      </c>
      <c r="AG3530" s="54" t="s">
        <v>2</v>
      </c>
    </row>
    <row r="3531" ht="15.75" customHeight="1">
      <c r="B3531" s="56"/>
      <c r="U3531" s="46" t="str">
        <f t="array" ref="U3531">IF($D3531="","",IFERROR(_xlfn.XLOOKUP($D3531,'TIR店舗一覧'!$D:$D,'TIR店舗一覧'!$E:$E,""),""))</f>
        <v/>
      </c>
      <c r="V3531" s="54" t="s">
        <v>2</v>
      </c>
      <c r="W3531" s="54" t="s">
        <v>2</v>
      </c>
      <c r="X3531" s="54" t="s">
        <v>2</v>
      </c>
      <c r="Y3531" s="54" t="s">
        <v>2</v>
      </c>
      <c r="Z3531" s="54" t="s">
        <v>2</v>
      </c>
      <c r="AA3531" s="54" t="s">
        <v>2</v>
      </c>
      <c r="AB3531" s="54" t="s">
        <v>2</v>
      </c>
      <c r="AC3531" s="54" t="s">
        <v>2</v>
      </c>
      <c r="AD3531" s="54" t="s">
        <v>2</v>
      </c>
      <c r="AE3531" s="54" t="s">
        <v>2</v>
      </c>
      <c r="AF3531" s="54" t="s">
        <v>2</v>
      </c>
      <c r="AG3531" s="54" t="s">
        <v>2</v>
      </c>
    </row>
    <row r="3532" ht="15.75" customHeight="1">
      <c r="B3532" s="56"/>
      <c r="U3532" s="46" t="str">
        <f t="array" ref="U3532">IF($D3532="","",IFERROR(_xlfn.XLOOKUP($D3532,'TIR店舗一覧'!$D:$D,'TIR店舗一覧'!$E:$E,""),""))</f>
        <v/>
      </c>
      <c r="V3532" s="54" t="s">
        <v>2</v>
      </c>
      <c r="W3532" s="54" t="s">
        <v>2</v>
      </c>
      <c r="X3532" s="54" t="s">
        <v>2</v>
      </c>
      <c r="Y3532" s="54" t="s">
        <v>2</v>
      </c>
      <c r="Z3532" s="54" t="s">
        <v>2</v>
      </c>
      <c r="AA3532" s="54" t="s">
        <v>2</v>
      </c>
      <c r="AB3532" s="54" t="s">
        <v>2</v>
      </c>
      <c r="AC3532" s="54" t="s">
        <v>2</v>
      </c>
      <c r="AD3532" s="54" t="s">
        <v>2</v>
      </c>
      <c r="AE3532" s="54" t="s">
        <v>2</v>
      </c>
      <c r="AF3532" s="54" t="s">
        <v>2</v>
      </c>
      <c r="AG3532" s="54" t="s">
        <v>2</v>
      </c>
    </row>
    <row r="3533" ht="15.75" customHeight="1">
      <c r="B3533" s="56"/>
      <c r="U3533" s="46" t="str">
        <f t="array" ref="U3533">IF($D3533="","",IFERROR(_xlfn.XLOOKUP($D3533,'TIR店舗一覧'!$D:$D,'TIR店舗一覧'!$E:$E,""),""))</f>
        <v/>
      </c>
      <c r="V3533" s="54" t="s">
        <v>2</v>
      </c>
      <c r="W3533" s="54" t="s">
        <v>2</v>
      </c>
      <c r="X3533" s="54" t="s">
        <v>2</v>
      </c>
      <c r="Y3533" s="54" t="s">
        <v>2</v>
      </c>
      <c r="Z3533" s="54" t="s">
        <v>2</v>
      </c>
      <c r="AA3533" s="54" t="s">
        <v>2</v>
      </c>
      <c r="AB3533" s="54" t="s">
        <v>2</v>
      </c>
      <c r="AC3533" s="54" t="s">
        <v>2</v>
      </c>
      <c r="AD3533" s="54" t="s">
        <v>2</v>
      </c>
      <c r="AE3533" s="54" t="s">
        <v>2</v>
      </c>
      <c r="AF3533" s="54" t="s">
        <v>2</v>
      </c>
      <c r="AG3533" s="54" t="s">
        <v>2</v>
      </c>
    </row>
    <row r="3534" ht="15.75" customHeight="1">
      <c r="B3534" s="56"/>
      <c r="U3534" s="46" t="str">
        <f t="array" ref="U3534">IF($D3534="","",IFERROR(_xlfn.XLOOKUP($D3534,'TIR店舗一覧'!$D:$D,'TIR店舗一覧'!$E:$E,""),""))</f>
        <v/>
      </c>
      <c r="V3534" s="54" t="s">
        <v>2</v>
      </c>
      <c r="W3534" s="54" t="s">
        <v>2</v>
      </c>
      <c r="X3534" s="54" t="s">
        <v>2</v>
      </c>
      <c r="Y3534" s="54" t="s">
        <v>2</v>
      </c>
      <c r="Z3534" s="54" t="s">
        <v>2</v>
      </c>
      <c r="AA3534" s="54" t="s">
        <v>2</v>
      </c>
      <c r="AB3534" s="54" t="s">
        <v>2</v>
      </c>
      <c r="AC3534" s="54" t="s">
        <v>2</v>
      </c>
      <c r="AD3534" s="54" t="s">
        <v>2</v>
      </c>
      <c r="AE3534" s="54" t="s">
        <v>2</v>
      </c>
      <c r="AF3534" s="54" t="s">
        <v>2</v>
      </c>
      <c r="AG3534" s="54" t="s">
        <v>2</v>
      </c>
    </row>
    <row r="3535" ht="15.75" customHeight="1">
      <c r="B3535" s="56"/>
      <c r="U3535" s="46" t="str">
        <f t="array" ref="U3535">IF($D3535="","",IFERROR(_xlfn.XLOOKUP($D3535,'TIR店舗一覧'!$D:$D,'TIR店舗一覧'!$E:$E,""),""))</f>
        <v/>
      </c>
      <c r="V3535" s="54" t="s">
        <v>2</v>
      </c>
      <c r="W3535" s="54" t="s">
        <v>2</v>
      </c>
      <c r="X3535" s="54" t="s">
        <v>2</v>
      </c>
      <c r="Y3535" s="54" t="s">
        <v>2</v>
      </c>
      <c r="Z3535" s="54" t="s">
        <v>2</v>
      </c>
      <c r="AA3535" s="54" t="s">
        <v>2</v>
      </c>
      <c r="AB3535" s="54" t="s">
        <v>2</v>
      </c>
      <c r="AC3535" s="54" t="s">
        <v>2</v>
      </c>
      <c r="AD3535" s="54" t="s">
        <v>2</v>
      </c>
      <c r="AE3535" s="54" t="s">
        <v>2</v>
      </c>
      <c r="AF3535" s="54" t="s">
        <v>2</v>
      </c>
      <c r="AG3535" s="54" t="s">
        <v>2</v>
      </c>
    </row>
    <row r="3536" ht="15.75" customHeight="1">
      <c r="B3536" s="56"/>
      <c r="U3536" s="46" t="str">
        <f t="array" ref="U3536">IF($D3536="","",IFERROR(_xlfn.XLOOKUP($D3536,'TIR店舗一覧'!$D:$D,'TIR店舗一覧'!$E:$E,""),""))</f>
        <v/>
      </c>
      <c r="V3536" s="54" t="s">
        <v>2</v>
      </c>
      <c r="W3536" s="54" t="s">
        <v>2</v>
      </c>
      <c r="X3536" s="54" t="s">
        <v>2</v>
      </c>
      <c r="Y3536" s="54" t="s">
        <v>2</v>
      </c>
      <c r="Z3536" s="54" t="s">
        <v>2</v>
      </c>
      <c r="AA3536" s="54" t="s">
        <v>2</v>
      </c>
      <c r="AB3536" s="54" t="s">
        <v>2</v>
      </c>
      <c r="AC3536" s="54" t="s">
        <v>2</v>
      </c>
      <c r="AD3536" s="54" t="s">
        <v>2</v>
      </c>
      <c r="AE3536" s="54" t="s">
        <v>2</v>
      </c>
      <c r="AF3536" s="54" t="s">
        <v>2</v>
      </c>
      <c r="AG3536" s="54" t="s">
        <v>2</v>
      </c>
    </row>
    <row r="3537" ht="15.75" customHeight="1">
      <c r="B3537" s="56"/>
      <c r="U3537" s="46" t="str">
        <f t="array" ref="U3537">IF($D3537="","",IFERROR(_xlfn.XLOOKUP($D3537,'TIR店舗一覧'!$D:$D,'TIR店舗一覧'!$E:$E,""),""))</f>
        <v/>
      </c>
      <c r="V3537" s="54" t="s">
        <v>2</v>
      </c>
      <c r="W3537" s="54" t="s">
        <v>2</v>
      </c>
      <c r="X3537" s="54" t="s">
        <v>2</v>
      </c>
      <c r="Y3537" s="54" t="s">
        <v>2</v>
      </c>
      <c r="Z3537" s="54" t="s">
        <v>2</v>
      </c>
      <c r="AA3537" s="54" t="s">
        <v>2</v>
      </c>
      <c r="AB3537" s="54" t="s">
        <v>2</v>
      </c>
      <c r="AC3537" s="54" t="s">
        <v>2</v>
      </c>
      <c r="AD3537" s="54" t="s">
        <v>2</v>
      </c>
      <c r="AE3537" s="54" t="s">
        <v>2</v>
      </c>
      <c r="AF3537" s="54" t="s">
        <v>2</v>
      </c>
      <c r="AG3537" s="54" t="s">
        <v>2</v>
      </c>
    </row>
    <row r="3538" ht="15.75" customHeight="1">
      <c r="B3538" s="56"/>
      <c r="U3538" s="46" t="str">
        <f t="array" ref="U3538">IF($D3538="","",IFERROR(_xlfn.XLOOKUP($D3538,'TIR店舗一覧'!$D:$D,'TIR店舗一覧'!$E:$E,""),""))</f>
        <v/>
      </c>
      <c r="V3538" s="54" t="s">
        <v>2</v>
      </c>
      <c r="W3538" s="54" t="s">
        <v>2</v>
      </c>
      <c r="X3538" s="54" t="s">
        <v>2</v>
      </c>
      <c r="Y3538" s="54" t="s">
        <v>2</v>
      </c>
      <c r="Z3538" s="54" t="s">
        <v>2</v>
      </c>
      <c r="AA3538" s="54" t="s">
        <v>2</v>
      </c>
      <c r="AB3538" s="54" t="s">
        <v>2</v>
      </c>
      <c r="AC3538" s="54" t="s">
        <v>2</v>
      </c>
      <c r="AD3538" s="54" t="s">
        <v>2</v>
      </c>
      <c r="AE3538" s="54" t="s">
        <v>2</v>
      </c>
      <c r="AF3538" s="54" t="s">
        <v>2</v>
      </c>
      <c r="AG3538" s="54" t="s">
        <v>2</v>
      </c>
    </row>
    <row r="3539" ht="15.75" customHeight="1">
      <c r="B3539" s="56"/>
      <c r="U3539" s="46" t="str">
        <f t="array" ref="U3539">IF($D3539="","",IFERROR(_xlfn.XLOOKUP($D3539,'TIR店舗一覧'!$D:$D,'TIR店舗一覧'!$E:$E,""),""))</f>
        <v/>
      </c>
      <c r="V3539" s="54" t="s">
        <v>2</v>
      </c>
      <c r="W3539" s="54" t="s">
        <v>2</v>
      </c>
      <c r="X3539" s="54" t="s">
        <v>2</v>
      </c>
      <c r="Y3539" s="54" t="s">
        <v>2</v>
      </c>
      <c r="Z3539" s="54" t="s">
        <v>2</v>
      </c>
      <c r="AA3539" s="54" t="s">
        <v>2</v>
      </c>
      <c r="AB3539" s="54" t="s">
        <v>2</v>
      </c>
      <c r="AC3539" s="54" t="s">
        <v>2</v>
      </c>
      <c r="AD3539" s="54" t="s">
        <v>2</v>
      </c>
      <c r="AE3539" s="54" t="s">
        <v>2</v>
      </c>
      <c r="AF3539" s="54" t="s">
        <v>2</v>
      </c>
      <c r="AG3539" s="54" t="s">
        <v>2</v>
      </c>
    </row>
    <row r="3540" ht="15.75" customHeight="1">
      <c r="B3540" s="56"/>
      <c r="U3540" s="46" t="str">
        <f t="array" ref="U3540">IF($D3540="","",IFERROR(_xlfn.XLOOKUP($D3540,'TIR店舗一覧'!$D:$D,'TIR店舗一覧'!$E:$E,""),""))</f>
        <v/>
      </c>
      <c r="V3540" s="54" t="s">
        <v>2</v>
      </c>
      <c r="W3540" s="54" t="s">
        <v>2</v>
      </c>
      <c r="X3540" s="54" t="s">
        <v>2</v>
      </c>
      <c r="Y3540" s="54" t="s">
        <v>2</v>
      </c>
      <c r="Z3540" s="54" t="s">
        <v>2</v>
      </c>
      <c r="AA3540" s="54" t="s">
        <v>2</v>
      </c>
      <c r="AB3540" s="54" t="s">
        <v>2</v>
      </c>
      <c r="AC3540" s="54" t="s">
        <v>2</v>
      </c>
      <c r="AD3540" s="54" t="s">
        <v>2</v>
      </c>
      <c r="AE3540" s="54" t="s">
        <v>2</v>
      </c>
      <c r="AF3540" s="54" t="s">
        <v>2</v>
      </c>
      <c r="AG3540" s="54" t="s">
        <v>2</v>
      </c>
    </row>
    <row r="3541" ht="15.75" customHeight="1">
      <c r="B3541" s="56"/>
      <c r="U3541" s="46" t="str">
        <f t="array" ref="U3541">IF($D3541="","",IFERROR(_xlfn.XLOOKUP($D3541,'TIR店舗一覧'!$D:$D,'TIR店舗一覧'!$E:$E,""),""))</f>
        <v/>
      </c>
      <c r="V3541" s="54" t="s">
        <v>2</v>
      </c>
      <c r="W3541" s="54" t="s">
        <v>2</v>
      </c>
      <c r="X3541" s="54" t="s">
        <v>2</v>
      </c>
      <c r="Y3541" s="54" t="s">
        <v>2</v>
      </c>
      <c r="Z3541" s="54" t="s">
        <v>2</v>
      </c>
      <c r="AA3541" s="54" t="s">
        <v>2</v>
      </c>
      <c r="AB3541" s="54" t="s">
        <v>2</v>
      </c>
      <c r="AC3541" s="54" t="s">
        <v>2</v>
      </c>
      <c r="AD3541" s="54" t="s">
        <v>2</v>
      </c>
      <c r="AE3541" s="54" t="s">
        <v>2</v>
      </c>
      <c r="AF3541" s="54" t="s">
        <v>2</v>
      </c>
      <c r="AG3541" s="54" t="s">
        <v>2</v>
      </c>
    </row>
    <row r="3542" ht="15.75" customHeight="1">
      <c r="B3542" s="56"/>
      <c r="U3542" s="46" t="str">
        <f t="array" ref="U3542">IF($D3542="","",IFERROR(_xlfn.XLOOKUP($D3542,'TIR店舗一覧'!$D:$D,'TIR店舗一覧'!$E:$E,""),""))</f>
        <v/>
      </c>
      <c r="V3542" s="54" t="s">
        <v>2</v>
      </c>
      <c r="W3542" s="54" t="s">
        <v>2</v>
      </c>
      <c r="X3542" s="54" t="s">
        <v>2</v>
      </c>
      <c r="Y3542" s="54" t="s">
        <v>2</v>
      </c>
      <c r="Z3542" s="54" t="s">
        <v>2</v>
      </c>
      <c r="AA3542" s="54" t="s">
        <v>2</v>
      </c>
      <c r="AB3542" s="54" t="s">
        <v>2</v>
      </c>
      <c r="AC3542" s="54" t="s">
        <v>2</v>
      </c>
      <c r="AD3542" s="54" t="s">
        <v>2</v>
      </c>
      <c r="AE3542" s="54" t="s">
        <v>2</v>
      </c>
      <c r="AF3542" s="54" t="s">
        <v>2</v>
      </c>
      <c r="AG3542" s="54" t="s">
        <v>2</v>
      </c>
    </row>
    <row r="3543" ht="15.75" customHeight="1">
      <c r="B3543" s="56"/>
      <c r="U3543" s="46" t="str">
        <f t="array" ref="U3543">IF($D3543="","",IFERROR(_xlfn.XLOOKUP($D3543,'TIR店舗一覧'!$D:$D,'TIR店舗一覧'!$E:$E,""),""))</f>
        <v/>
      </c>
      <c r="V3543" s="54" t="s">
        <v>2</v>
      </c>
      <c r="W3543" s="54" t="s">
        <v>2</v>
      </c>
      <c r="X3543" s="54" t="s">
        <v>2</v>
      </c>
      <c r="Y3543" s="54" t="s">
        <v>2</v>
      </c>
      <c r="Z3543" s="54" t="s">
        <v>2</v>
      </c>
      <c r="AA3543" s="54" t="s">
        <v>2</v>
      </c>
      <c r="AB3543" s="54" t="s">
        <v>2</v>
      </c>
      <c r="AC3543" s="54" t="s">
        <v>2</v>
      </c>
      <c r="AD3543" s="54" t="s">
        <v>2</v>
      </c>
      <c r="AE3543" s="54" t="s">
        <v>2</v>
      </c>
      <c r="AF3543" s="54" t="s">
        <v>2</v>
      </c>
      <c r="AG3543" s="54" t="s">
        <v>2</v>
      </c>
    </row>
    <row r="3544" ht="15.75" customHeight="1">
      <c r="B3544" s="56"/>
      <c r="U3544" s="46" t="str">
        <f t="array" ref="U3544">IF($D3544="","",IFERROR(_xlfn.XLOOKUP($D3544,'TIR店舗一覧'!$D:$D,'TIR店舗一覧'!$E:$E,""),""))</f>
        <v/>
      </c>
      <c r="V3544" s="54" t="s">
        <v>2</v>
      </c>
      <c r="W3544" s="54" t="s">
        <v>2</v>
      </c>
      <c r="X3544" s="54" t="s">
        <v>2</v>
      </c>
      <c r="Y3544" s="54" t="s">
        <v>2</v>
      </c>
      <c r="Z3544" s="54" t="s">
        <v>2</v>
      </c>
      <c r="AA3544" s="54" t="s">
        <v>2</v>
      </c>
      <c r="AB3544" s="54" t="s">
        <v>2</v>
      </c>
      <c r="AC3544" s="54" t="s">
        <v>2</v>
      </c>
      <c r="AD3544" s="54" t="s">
        <v>2</v>
      </c>
      <c r="AE3544" s="54" t="s">
        <v>2</v>
      </c>
      <c r="AF3544" s="54" t="s">
        <v>2</v>
      </c>
      <c r="AG3544" s="54" t="s">
        <v>2</v>
      </c>
    </row>
    <row r="3545" ht="15.75" customHeight="1">
      <c r="B3545" s="56"/>
      <c r="U3545" s="46" t="str">
        <f t="array" ref="U3545">IF($D3545="","",IFERROR(_xlfn.XLOOKUP($D3545,'TIR店舗一覧'!$D:$D,'TIR店舗一覧'!$E:$E,""),""))</f>
        <v/>
      </c>
      <c r="V3545" s="54" t="s">
        <v>2</v>
      </c>
      <c r="W3545" s="54" t="s">
        <v>2</v>
      </c>
      <c r="X3545" s="54" t="s">
        <v>2</v>
      </c>
      <c r="Y3545" s="54" t="s">
        <v>2</v>
      </c>
      <c r="Z3545" s="54" t="s">
        <v>2</v>
      </c>
      <c r="AA3545" s="54" t="s">
        <v>2</v>
      </c>
      <c r="AB3545" s="54" t="s">
        <v>2</v>
      </c>
      <c r="AC3545" s="54" t="s">
        <v>2</v>
      </c>
      <c r="AD3545" s="54" t="s">
        <v>2</v>
      </c>
      <c r="AE3545" s="54" t="s">
        <v>2</v>
      </c>
      <c r="AF3545" s="54" t="s">
        <v>2</v>
      </c>
      <c r="AG3545" s="54" t="s">
        <v>2</v>
      </c>
    </row>
    <row r="3546" ht="15.75" customHeight="1">
      <c r="B3546" s="56"/>
      <c r="U3546" s="46" t="str">
        <f t="array" ref="U3546">IF($D3546="","",IFERROR(_xlfn.XLOOKUP($D3546,'TIR店舗一覧'!$D:$D,'TIR店舗一覧'!$E:$E,""),""))</f>
        <v/>
      </c>
      <c r="V3546" s="54" t="s">
        <v>2</v>
      </c>
      <c r="W3546" s="54" t="s">
        <v>2</v>
      </c>
      <c r="X3546" s="54" t="s">
        <v>2</v>
      </c>
      <c r="Y3546" s="54" t="s">
        <v>2</v>
      </c>
      <c r="Z3546" s="54" t="s">
        <v>2</v>
      </c>
      <c r="AA3546" s="54" t="s">
        <v>2</v>
      </c>
      <c r="AB3546" s="54" t="s">
        <v>2</v>
      </c>
      <c r="AC3546" s="54" t="s">
        <v>2</v>
      </c>
      <c r="AD3546" s="54" t="s">
        <v>2</v>
      </c>
      <c r="AE3546" s="54" t="s">
        <v>2</v>
      </c>
      <c r="AF3546" s="54" t="s">
        <v>2</v>
      </c>
      <c r="AG3546" s="54" t="s">
        <v>2</v>
      </c>
    </row>
    <row r="3547" ht="15.75" customHeight="1">
      <c r="B3547" s="56"/>
      <c r="U3547" s="46" t="str">
        <f t="array" ref="U3547">IF($D3547="","",IFERROR(_xlfn.XLOOKUP($D3547,'TIR店舗一覧'!$D:$D,'TIR店舗一覧'!$E:$E,""),""))</f>
        <v/>
      </c>
      <c r="V3547" s="54" t="s">
        <v>2</v>
      </c>
      <c r="W3547" s="54" t="s">
        <v>2</v>
      </c>
      <c r="X3547" s="54" t="s">
        <v>2</v>
      </c>
      <c r="Y3547" s="54" t="s">
        <v>2</v>
      </c>
      <c r="Z3547" s="54" t="s">
        <v>2</v>
      </c>
      <c r="AA3547" s="54" t="s">
        <v>2</v>
      </c>
      <c r="AB3547" s="54" t="s">
        <v>2</v>
      </c>
      <c r="AC3547" s="54" t="s">
        <v>2</v>
      </c>
      <c r="AD3547" s="54" t="s">
        <v>2</v>
      </c>
      <c r="AE3547" s="54" t="s">
        <v>2</v>
      </c>
      <c r="AF3547" s="54" t="s">
        <v>2</v>
      </c>
      <c r="AG3547" s="54" t="s">
        <v>2</v>
      </c>
    </row>
    <row r="3548" ht="15.75" customHeight="1">
      <c r="B3548" s="56"/>
      <c r="U3548" s="46" t="str">
        <f t="array" ref="U3548">IF($D3548="","",IFERROR(_xlfn.XLOOKUP($D3548,'TIR店舗一覧'!$D:$D,'TIR店舗一覧'!$E:$E,""),""))</f>
        <v/>
      </c>
      <c r="V3548" s="54" t="s">
        <v>2</v>
      </c>
      <c r="W3548" s="54" t="s">
        <v>2</v>
      </c>
      <c r="X3548" s="54" t="s">
        <v>2</v>
      </c>
      <c r="Y3548" s="54" t="s">
        <v>2</v>
      </c>
      <c r="Z3548" s="54" t="s">
        <v>2</v>
      </c>
      <c r="AA3548" s="54" t="s">
        <v>2</v>
      </c>
      <c r="AB3548" s="54" t="s">
        <v>2</v>
      </c>
      <c r="AC3548" s="54" t="s">
        <v>2</v>
      </c>
      <c r="AD3548" s="54" t="s">
        <v>2</v>
      </c>
      <c r="AE3548" s="54" t="s">
        <v>2</v>
      </c>
      <c r="AF3548" s="54" t="s">
        <v>2</v>
      </c>
      <c r="AG3548" s="54" t="s">
        <v>2</v>
      </c>
    </row>
    <row r="3549" ht="15.75" customHeight="1">
      <c r="B3549" s="56"/>
      <c r="U3549" s="46" t="str">
        <f t="array" ref="U3549">IF($D3549="","",IFERROR(_xlfn.XLOOKUP($D3549,'TIR店舗一覧'!$D:$D,'TIR店舗一覧'!$E:$E,""),""))</f>
        <v/>
      </c>
      <c r="V3549" s="54" t="s">
        <v>2</v>
      </c>
      <c r="W3549" s="54" t="s">
        <v>2</v>
      </c>
      <c r="X3549" s="54" t="s">
        <v>2</v>
      </c>
      <c r="Y3549" s="54" t="s">
        <v>2</v>
      </c>
      <c r="Z3549" s="54" t="s">
        <v>2</v>
      </c>
      <c r="AA3549" s="54" t="s">
        <v>2</v>
      </c>
      <c r="AB3549" s="54" t="s">
        <v>2</v>
      </c>
      <c r="AC3549" s="54" t="s">
        <v>2</v>
      </c>
      <c r="AD3549" s="54" t="s">
        <v>2</v>
      </c>
      <c r="AE3549" s="54" t="s">
        <v>2</v>
      </c>
      <c r="AF3549" s="54" t="s">
        <v>2</v>
      </c>
      <c r="AG3549" s="54" t="s">
        <v>2</v>
      </c>
    </row>
    <row r="3550" ht="15.75" customHeight="1">
      <c r="B3550" s="56"/>
      <c r="U3550" s="46" t="str">
        <f t="array" ref="U3550">IF($D3550="","",IFERROR(_xlfn.XLOOKUP($D3550,'TIR店舗一覧'!$D:$D,'TIR店舗一覧'!$E:$E,""),""))</f>
        <v/>
      </c>
      <c r="V3550" s="54" t="s">
        <v>2</v>
      </c>
      <c r="W3550" s="54" t="s">
        <v>2</v>
      </c>
      <c r="X3550" s="54" t="s">
        <v>2</v>
      </c>
      <c r="Y3550" s="54" t="s">
        <v>2</v>
      </c>
      <c r="Z3550" s="54" t="s">
        <v>2</v>
      </c>
      <c r="AA3550" s="54" t="s">
        <v>2</v>
      </c>
      <c r="AB3550" s="54" t="s">
        <v>2</v>
      </c>
      <c r="AC3550" s="54" t="s">
        <v>2</v>
      </c>
      <c r="AD3550" s="54" t="s">
        <v>2</v>
      </c>
      <c r="AE3550" s="54" t="s">
        <v>2</v>
      </c>
      <c r="AF3550" s="54" t="s">
        <v>2</v>
      </c>
      <c r="AG3550" s="54" t="s">
        <v>2</v>
      </c>
    </row>
    <row r="3551" ht="15.75" customHeight="1">
      <c r="B3551" s="56"/>
      <c r="U3551" s="46" t="str">
        <f t="array" ref="U3551">IF($D3551="","",IFERROR(_xlfn.XLOOKUP($D3551,'TIR店舗一覧'!$D:$D,'TIR店舗一覧'!$E:$E,""),""))</f>
        <v/>
      </c>
      <c r="V3551" s="54" t="s">
        <v>2</v>
      </c>
      <c r="W3551" s="54" t="s">
        <v>2</v>
      </c>
      <c r="X3551" s="54" t="s">
        <v>2</v>
      </c>
      <c r="Y3551" s="54" t="s">
        <v>2</v>
      </c>
      <c r="Z3551" s="54" t="s">
        <v>2</v>
      </c>
      <c r="AA3551" s="54" t="s">
        <v>2</v>
      </c>
      <c r="AB3551" s="54" t="s">
        <v>2</v>
      </c>
      <c r="AC3551" s="54" t="s">
        <v>2</v>
      </c>
      <c r="AD3551" s="54" t="s">
        <v>2</v>
      </c>
      <c r="AE3551" s="54" t="s">
        <v>2</v>
      </c>
      <c r="AF3551" s="54" t="s">
        <v>2</v>
      </c>
      <c r="AG3551" s="54" t="s">
        <v>2</v>
      </c>
    </row>
    <row r="3552" ht="15.75" customHeight="1">
      <c r="B3552" s="56"/>
      <c r="U3552" s="46" t="str">
        <f t="array" ref="U3552">IF($D3552="","",IFERROR(_xlfn.XLOOKUP($D3552,'TIR店舗一覧'!$D:$D,'TIR店舗一覧'!$E:$E,""),""))</f>
        <v/>
      </c>
      <c r="V3552" s="54" t="s">
        <v>2</v>
      </c>
      <c r="W3552" s="54" t="s">
        <v>2</v>
      </c>
      <c r="X3552" s="54" t="s">
        <v>2</v>
      </c>
      <c r="Y3552" s="54" t="s">
        <v>2</v>
      </c>
      <c r="Z3552" s="54" t="s">
        <v>2</v>
      </c>
      <c r="AA3552" s="54" t="s">
        <v>2</v>
      </c>
      <c r="AB3552" s="54" t="s">
        <v>2</v>
      </c>
      <c r="AC3552" s="54" t="s">
        <v>2</v>
      </c>
      <c r="AD3552" s="54" t="s">
        <v>2</v>
      </c>
      <c r="AE3552" s="54" t="s">
        <v>2</v>
      </c>
      <c r="AF3552" s="54" t="s">
        <v>2</v>
      </c>
      <c r="AG3552" s="54" t="s">
        <v>2</v>
      </c>
    </row>
    <row r="3553" ht="15.75" customHeight="1">
      <c r="B3553" s="56"/>
      <c r="U3553" s="46" t="str">
        <f t="array" ref="U3553">IF($D3553="","",IFERROR(_xlfn.XLOOKUP($D3553,'TIR店舗一覧'!$D:$D,'TIR店舗一覧'!$E:$E,""),""))</f>
        <v/>
      </c>
      <c r="V3553" s="54" t="s">
        <v>2</v>
      </c>
      <c r="W3553" s="54" t="s">
        <v>2</v>
      </c>
      <c r="X3553" s="54" t="s">
        <v>2</v>
      </c>
      <c r="Y3553" s="54" t="s">
        <v>2</v>
      </c>
      <c r="Z3553" s="54" t="s">
        <v>2</v>
      </c>
      <c r="AA3553" s="54" t="s">
        <v>2</v>
      </c>
      <c r="AB3553" s="54" t="s">
        <v>2</v>
      </c>
      <c r="AC3553" s="54" t="s">
        <v>2</v>
      </c>
      <c r="AD3553" s="54" t="s">
        <v>2</v>
      </c>
      <c r="AE3553" s="54" t="s">
        <v>2</v>
      </c>
      <c r="AF3553" s="54" t="s">
        <v>2</v>
      </c>
      <c r="AG3553" s="54" t="s">
        <v>2</v>
      </c>
    </row>
    <row r="3554" ht="15.75" customHeight="1">
      <c r="B3554" s="56"/>
      <c r="U3554" s="46" t="str">
        <f t="array" ref="U3554">IF($D3554="","",IFERROR(_xlfn.XLOOKUP($D3554,'TIR店舗一覧'!$D:$D,'TIR店舗一覧'!$E:$E,""),""))</f>
        <v/>
      </c>
      <c r="V3554" s="54" t="s">
        <v>2</v>
      </c>
      <c r="W3554" s="54" t="s">
        <v>2</v>
      </c>
      <c r="X3554" s="54" t="s">
        <v>2</v>
      </c>
      <c r="Y3554" s="54" t="s">
        <v>2</v>
      </c>
      <c r="Z3554" s="54" t="s">
        <v>2</v>
      </c>
      <c r="AA3554" s="54" t="s">
        <v>2</v>
      </c>
      <c r="AB3554" s="54" t="s">
        <v>2</v>
      </c>
      <c r="AC3554" s="54" t="s">
        <v>2</v>
      </c>
      <c r="AD3554" s="54" t="s">
        <v>2</v>
      </c>
      <c r="AE3554" s="54" t="s">
        <v>2</v>
      </c>
      <c r="AF3554" s="54" t="s">
        <v>2</v>
      </c>
      <c r="AG3554" s="54" t="s">
        <v>2</v>
      </c>
    </row>
    <row r="3555" ht="15.75" customHeight="1">
      <c r="B3555" s="56"/>
      <c r="U3555" s="46" t="str">
        <f t="array" ref="U3555">IF($D3555="","",IFERROR(_xlfn.XLOOKUP($D3555,'TIR店舗一覧'!$D:$D,'TIR店舗一覧'!$E:$E,""),""))</f>
        <v/>
      </c>
      <c r="V3555" s="54" t="s">
        <v>2</v>
      </c>
      <c r="W3555" s="54" t="s">
        <v>2</v>
      </c>
      <c r="X3555" s="54" t="s">
        <v>2</v>
      </c>
      <c r="Y3555" s="54" t="s">
        <v>2</v>
      </c>
      <c r="Z3555" s="54" t="s">
        <v>2</v>
      </c>
      <c r="AA3555" s="54" t="s">
        <v>2</v>
      </c>
      <c r="AB3555" s="54" t="s">
        <v>2</v>
      </c>
      <c r="AC3555" s="54" t="s">
        <v>2</v>
      </c>
      <c r="AD3555" s="54" t="s">
        <v>2</v>
      </c>
      <c r="AE3555" s="54" t="s">
        <v>2</v>
      </c>
      <c r="AF3555" s="54" t="s">
        <v>2</v>
      </c>
      <c r="AG3555" s="54" t="s">
        <v>2</v>
      </c>
    </row>
    <row r="3556" ht="15.75" customHeight="1">
      <c r="B3556" s="56"/>
      <c r="U3556" s="46" t="str">
        <f t="array" ref="U3556">IF($D3556="","",IFERROR(_xlfn.XLOOKUP($D3556,'TIR店舗一覧'!$D:$D,'TIR店舗一覧'!$E:$E,""),""))</f>
        <v/>
      </c>
      <c r="V3556" s="54" t="s">
        <v>2</v>
      </c>
      <c r="W3556" s="54" t="s">
        <v>2</v>
      </c>
      <c r="X3556" s="54" t="s">
        <v>2</v>
      </c>
      <c r="Y3556" s="54" t="s">
        <v>2</v>
      </c>
      <c r="Z3556" s="54" t="s">
        <v>2</v>
      </c>
      <c r="AA3556" s="54" t="s">
        <v>2</v>
      </c>
      <c r="AB3556" s="54" t="s">
        <v>2</v>
      </c>
      <c r="AC3556" s="54" t="s">
        <v>2</v>
      </c>
      <c r="AD3556" s="54" t="s">
        <v>2</v>
      </c>
      <c r="AE3556" s="54" t="s">
        <v>2</v>
      </c>
      <c r="AF3556" s="54" t="s">
        <v>2</v>
      </c>
      <c r="AG3556" s="54" t="s">
        <v>2</v>
      </c>
    </row>
    <row r="3557" ht="15.75" customHeight="1">
      <c r="B3557" s="56"/>
      <c r="U3557" s="46" t="str">
        <f t="array" ref="U3557">IF($D3557="","",IFERROR(_xlfn.XLOOKUP($D3557,'TIR店舗一覧'!$D:$D,'TIR店舗一覧'!$E:$E,""),""))</f>
        <v/>
      </c>
      <c r="V3557" s="54" t="s">
        <v>2</v>
      </c>
      <c r="W3557" s="54" t="s">
        <v>2</v>
      </c>
      <c r="X3557" s="54" t="s">
        <v>2</v>
      </c>
      <c r="Y3557" s="54" t="s">
        <v>2</v>
      </c>
      <c r="Z3557" s="54" t="s">
        <v>2</v>
      </c>
      <c r="AA3557" s="54" t="s">
        <v>2</v>
      </c>
      <c r="AB3557" s="54" t="s">
        <v>2</v>
      </c>
      <c r="AC3557" s="54" t="s">
        <v>2</v>
      </c>
      <c r="AD3557" s="54" t="s">
        <v>2</v>
      </c>
      <c r="AE3557" s="54" t="s">
        <v>2</v>
      </c>
      <c r="AF3557" s="54" t="s">
        <v>2</v>
      </c>
      <c r="AG3557" s="54" t="s">
        <v>2</v>
      </c>
    </row>
    <row r="3558" ht="15.75" customHeight="1">
      <c r="B3558" s="56"/>
      <c r="U3558" s="46" t="str">
        <f t="array" ref="U3558">IF($D3558="","",IFERROR(_xlfn.XLOOKUP($D3558,'TIR店舗一覧'!$D:$D,'TIR店舗一覧'!$E:$E,""),""))</f>
        <v/>
      </c>
      <c r="V3558" s="54" t="s">
        <v>2</v>
      </c>
      <c r="W3558" s="54" t="s">
        <v>2</v>
      </c>
      <c r="X3558" s="54" t="s">
        <v>2</v>
      </c>
      <c r="Y3558" s="54" t="s">
        <v>2</v>
      </c>
      <c r="Z3558" s="54" t="s">
        <v>2</v>
      </c>
      <c r="AA3558" s="54" t="s">
        <v>2</v>
      </c>
      <c r="AB3558" s="54" t="s">
        <v>2</v>
      </c>
      <c r="AC3558" s="54" t="s">
        <v>2</v>
      </c>
      <c r="AD3558" s="54" t="s">
        <v>2</v>
      </c>
      <c r="AE3558" s="54" t="s">
        <v>2</v>
      </c>
      <c r="AF3558" s="54" t="s">
        <v>2</v>
      </c>
      <c r="AG3558" s="54" t="s">
        <v>2</v>
      </c>
    </row>
    <row r="3559" ht="15.75" customHeight="1">
      <c r="B3559" s="56"/>
      <c r="U3559" s="46" t="str">
        <f t="array" ref="U3559">IF($D3559="","",IFERROR(_xlfn.XLOOKUP($D3559,'TIR店舗一覧'!$D:$D,'TIR店舗一覧'!$E:$E,""),""))</f>
        <v/>
      </c>
      <c r="V3559" s="54" t="s">
        <v>2</v>
      </c>
      <c r="W3559" s="54" t="s">
        <v>2</v>
      </c>
      <c r="X3559" s="54" t="s">
        <v>2</v>
      </c>
      <c r="Y3559" s="54" t="s">
        <v>2</v>
      </c>
      <c r="Z3559" s="54" t="s">
        <v>2</v>
      </c>
      <c r="AA3559" s="54" t="s">
        <v>2</v>
      </c>
      <c r="AB3559" s="54" t="s">
        <v>2</v>
      </c>
      <c r="AC3559" s="54" t="s">
        <v>2</v>
      </c>
      <c r="AD3559" s="54" t="s">
        <v>2</v>
      </c>
      <c r="AE3559" s="54" t="s">
        <v>2</v>
      </c>
      <c r="AF3559" s="54" t="s">
        <v>2</v>
      </c>
      <c r="AG3559" s="54" t="s">
        <v>2</v>
      </c>
    </row>
    <row r="3560" ht="15.75" customHeight="1">
      <c r="B3560" s="56"/>
      <c r="U3560" s="46" t="str">
        <f t="array" ref="U3560">IF($D3560="","",IFERROR(_xlfn.XLOOKUP($D3560,'TIR店舗一覧'!$D:$D,'TIR店舗一覧'!$E:$E,""),""))</f>
        <v/>
      </c>
      <c r="V3560" s="54" t="s">
        <v>2</v>
      </c>
      <c r="W3560" s="54" t="s">
        <v>2</v>
      </c>
      <c r="X3560" s="54" t="s">
        <v>2</v>
      </c>
      <c r="Y3560" s="54" t="s">
        <v>2</v>
      </c>
      <c r="Z3560" s="54" t="s">
        <v>2</v>
      </c>
      <c r="AA3560" s="54" t="s">
        <v>2</v>
      </c>
      <c r="AB3560" s="54" t="s">
        <v>2</v>
      </c>
      <c r="AC3560" s="54" t="s">
        <v>2</v>
      </c>
      <c r="AD3560" s="54" t="s">
        <v>2</v>
      </c>
      <c r="AE3560" s="54" t="s">
        <v>2</v>
      </c>
      <c r="AF3560" s="54" t="s">
        <v>2</v>
      </c>
      <c r="AG3560" s="54" t="s">
        <v>2</v>
      </c>
    </row>
    <row r="3561" ht="15.75" customHeight="1">
      <c r="B3561" s="56"/>
      <c r="U3561" s="46" t="str">
        <f t="array" ref="U3561">IF($D3561="","",IFERROR(_xlfn.XLOOKUP($D3561,'TIR店舗一覧'!$D:$D,'TIR店舗一覧'!$E:$E,""),""))</f>
        <v/>
      </c>
      <c r="V3561" s="54" t="s">
        <v>2</v>
      </c>
      <c r="W3561" s="54" t="s">
        <v>2</v>
      </c>
      <c r="X3561" s="54" t="s">
        <v>2</v>
      </c>
      <c r="Y3561" s="54" t="s">
        <v>2</v>
      </c>
      <c r="Z3561" s="54" t="s">
        <v>2</v>
      </c>
      <c r="AA3561" s="54" t="s">
        <v>2</v>
      </c>
      <c r="AB3561" s="54" t="s">
        <v>2</v>
      </c>
      <c r="AC3561" s="54" t="s">
        <v>2</v>
      </c>
      <c r="AD3561" s="54" t="s">
        <v>2</v>
      </c>
      <c r="AE3561" s="54" t="s">
        <v>2</v>
      </c>
      <c r="AF3561" s="54" t="s">
        <v>2</v>
      </c>
      <c r="AG3561" s="54" t="s">
        <v>2</v>
      </c>
    </row>
    <row r="3562" ht="15.75" customHeight="1">
      <c r="B3562" s="56"/>
      <c r="U3562" s="46" t="str">
        <f t="array" ref="U3562">IF($D3562="","",IFERROR(_xlfn.XLOOKUP($D3562,'TIR店舗一覧'!$D:$D,'TIR店舗一覧'!$E:$E,""),""))</f>
        <v/>
      </c>
      <c r="V3562" s="54" t="s">
        <v>2</v>
      </c>
      <c r="W3562" s="54" t="s">
        <v>2</v>
      </c>
      <c r="X3562" s="54" t="s">
        <v>2</v>
      </c>
      <c r="Y3562" s="54" t="s">
        <v>2</v>
      </c>
      <c r="Z3562" s="54" t="s">
        <v>2</v>
      </c>
      <c r="AA3562" s="54" t="s">
        <v>2</v>
      </c>
      <c r="AB3562" s="54" t="s">
        <v>2</v>
      </c>
      <c r="AC3562" s="54" t="s">
        <v>2</v>
      </c>
      <c r="AD3562" s="54" t="s">
        <v>2</v>
      </c>
      <c r="AE3562" s="54" t="s">
        <v>2</v>
      </c>
      <c r="AF3562" s="54" t="s">
        <v>2</v>
      </c>
      <c r="AG3562" s="54" t="s">
        <v>2</v>
      </c>
    </row>
    <row r="3563" ht="15.75" customHeight="1">
      <c r="B3563" s="56"/>
      <c r="U3563" s="46" t="str">
        <f t="array" ref="U3563">IF($D3563="","",IFERROR(_xlfn.XLOOKUP($D3563,'TIR店舗一覧'!$D:$D,'TIR店舗一覧'!$E:$E,""),""))</f>
        <v/>
      </c>
      <c r="V3563" s="54" t="s">
        <v>2</v>
      </c>
      <c r="W3563" s="54" t="s">
        <v>2</v>
      </c>
      <c r="X3563" s="54" t="s">
        <v>2</v>
      </c>
      <c r="Y3563" s="54" t="s">
        <v>2</v>
      </c>
      <c r="Z3563" s="54" t="s">
        <v>2</v>
      </c>
      <c r="AA3563" s="54" t="s">
        <v>2</v>
      </c>
      <c r="AB3563" s="54" t="s">
        <v>2</v>
      </c>
      <c r="AC3563" s="54" t="s">
        <v>2</v>
      </c>
      <c r="AD3563" s="54" t="s">
        <v>2</v>
      </c>
      <c r="AE3563" s="54" t="s">
        <v>2</v>
      </c>
      <c r="AF3563" s="54" t="s">
        <v>2</v>
      </c>
      <c r="AG3563" s="54" t="s">
        <v>2</v>
      </c>
    </row>
    <row r="3564" ht="15.75" customHeight="1">
      <c r="B3564" s="56"/>
      <c r="U3564" s="46" t="str">
        <f t="array" ref="U3564">IF($D3564="","",IFERROR(_xlfn.XLOOKUP($D3564,'TIR店舗一覧'!$D:$D,'TIR店舗一覧'!$E:$E,""),""))</f>
        <v/>
      </c>
      <c r="V3564" s="54" t="s">
        <v>2</v>
      </c>
      <c r="W3564" s="54" t="s">
        <v>2</v>
      </c>
      <c r="X3564" s="54" t="s">
        <v>2</v>
      </c>
      <c r="Y3564" s="54" t="s">
        <v>2</v>
      </c>
      <c r="Z3564" s="54" t="s">
        <v>2</v>
      </c>
      <c r="AA3564" s="54" t="s">
        <v>2</v>
      </c>
      <c r="AB3564" s="54" t="s">
        <v>2</v>
      </c>
      <c r="AC3564" s="54" t="s">
        <v>2</v>
      </c>
      <c r="AD3564" s="54" t="s">
        <v>2</v>
      </c>
      <c r="AE3564" s="54" t="s">
        <v>2</v>
      </c>
      <c r="AF3564" s="54" t="s">
        <v>2</v>
      </c>
      <c r="AG3564" s="54" t="s">
        <v>2</v>
      </c>
    </row>
    <row r="3565" ht="15.75" customHeight="1">
      <c r="B3565" s="56"/>
      <c r="U3565" s="46" t="str">
        <f t="array" ref="U3565">IF($D3565="","",IFERROR(_xlfn.XLOOKUP($D3565,'TIR店舗一覧'!$D:$D,'TIR店舗一覧'!$E:$E,""),""))</f>
        <v/>
      </c>
      <c r="V3565" s="54" t="s">
        <v>2</v>
      </c>
      <c r="W3565" s="54" t="s">
        <v>2</v>
      </c>
      <c r="X3565" s="54" t="s">
        <v>2</v>
      </c>
      <c r="Y3565" s="54" t="s">
        <v>2</v>
      </c>
      <c r="Z3565" s="54" t="s">
        <v>2</v>
      </c>
      <c r="AA3565" s="54" t="s">
        <v>2</v>
      </c>
      <c r="AB3565" s="54" t="s">
        <v>2</v>
      </c>
      <c r="AC3565" s="54" t="s">
        <v>2</v>
      </c>
      <c r="AD3565" s="54" t="s">
        <v>2</v>
      </c>
      <c r="AE3565" s="54" t="s">
        <v>2</v>
      </c>
      <c r="AF3565" s="54" t="s">
        <v>2</v>
      </c>
      <c r="AG3565" s="54" t="s">
        <v>2</v>
      </c>
    </row>
    <row r="3566" ht="15.75" customHeight="1">
      <c r="B3566" s="56"/>
      <c r="U3566" s="46" t="str">
        <f t="array" ref="U3566">IF($D3566="","",IFERROR(_xlfn.XLOOKUP($D3566,'TIR店舗一覧'!$D:$D,'TIR店舗一覧'!$E:$E,""),""))</f>
        <v/>
      </c>
      <c r="V3566" s="54" t="s">
        <v>2</v>
      </c>
      <c r="W3566" s="54" t="s">
        <v>2</v>
      </c>
      <c r="X3566" s="54" t="s">
        <v>2</v>
      </c>
      <c r="Y3566" s="54" t="s">
        <v>2</v>
      </c>
      <c r="Z3566" s="54" t="s">
        <v>2</v>
      </c>
      <c r="AA3566" s="54" t="s">
        <v>2</v>
      </c>
      <c r="AB3566" s="54" t="s">
        <v>2</v>
      </c>
      <c r="AC3566" s="54" t="s">
        <v>2</v>
      </c>
      <c r="AD3566" s="54" t="s">
        <v>2</v>
      </c>
      <c r="AE3566" s="54" t="s">
        <v>2</v>
      </c>
      <c r="AF3566" s="54" t="s">
        <v>2</v>
      </c>
      <c r="AG3566" s="54" t="s">
        <v>2</v>
      </c>
    </row>
    <row r="3567" ht="15.75" customHeight="1">
      <c r="B3567" s="56"/>
      <c r="U3567" s="46" t="str">
        <f t="array" ref="U3567">IF($D3567="","",IFERROR(_xlfn.XLOOKUP($D3567,'TIR店舗一覧'!$D:$D,'TIR店舗一覧'!$E:$E,""),""))</f>
        <v/>
      </c>
      <c r="V3567" s="54" t="s">
        <v>2</v>
      </c>
      <c r="W3567" s="54" t="s">
        <v>2</v>
      </c>
      <c r="X3567" s="54" t="s">
        <v>2</v>
      </c>
      <c r="Y3567" s="54" t="s">
        <v>2</v>
      </c>
      <c r="Z3567" s="54" t="s">
        <v>2</v>
      </c>
      <c r="AA3567" s="54" t="s">
        <v>2</v>
      </c>
      <c r="AB3567" s="54" t="s">
        <v>2</v>
      </c>
      <c r="AC3567" s="54" t="s">
        <v>2</v>
      </c>
      <c r="AD3567" s="54" t="s">
        <v>2</v>
      </c>
      <c r="AE3567" s="54" t="s">
        <v>2</v>
      </c>
      <c r="AF3567" s="54" t="s">
        <v>2</v>
      </c>
      <c r="AG3567" s="54" t="s">
        <v>2</v>
      </c>
    </row>
    <row r="3568" ht="15.75" customHeight="1">
      <c r="B3568" s="56"/>
      <c r="U3568" s="46" t="str">
        <f t="array" ref="U3568">IF($D3568="","",IFERROR(_xlfn.XLOOKUP($D3568,'TIR店舗一覧'!$D:$D,'TIR店舗一覧'!$E:$E,""),""))</f>
        <v/>
      </c>
      <c r="V3568" s="54" t="s">
        <v>2</v>
      </c>
      <c r="W3568" s="54" t="s">
        <v>2</v>
      </c>
      <c r="X3568" s="54" t="s">
        <v>2</v>
      </c>
      <c r="Y3568" s="54" t="s">
        <v>2</v>
      </c>
      <c r="Z3568" s="54" t="s">
        <v>2</v>
      </c>
      <c r="AA3568" s="54" t="s">
        <v>2</v>
      </c>
      <c r="AB3568" s="54" t="s">
        <v>2</v>
      </c>
      <c r="AC3568" s="54" t="s">
        <v>2</v>
      </c>
      <c r="AD3568" s="54" t="s">
        <v>2</v>
      </c>
      <c r="AE3568" s="54" t="s">
        <v>2</v>
      </c>
      <c r="AF3568" s="54" t="s">
        <v>2</v>
      </c>
      <c r="AG3568" s="54" t="s">
        <v>2</v>
      </c>
    </row>
    <row r="3569" ht="15.75" customHeight="1">
      <c r="B3569" s="56"/>
      <c r="U3569" s="46" t="str">
        <f t="array" ref="U3569">IF($D3569="","",IFERROR(_xlfn.XLOOKUP($D3569,'TIR店舗一覧'!$D:$D,'TIR店舗一覧'!$E:$E,""),""))</f>
        <v/>
      </c>
      <c r="V3569" s="54" t="s">
        <v>2</v>
      </c>
      <c r="W3569" s="54" t="s">
        <v>2</v>
      </c>
      <c r="X3569" s="54" t="s">
        <v>2</v>
      </c>
      <c r="Y3569" s="54" t="s">
        <v>2</v>
      </c>
      <c r="Z3569" s="54" t="s">
        <v>2</v>
      </c>
      <c r="AA3569" s="54" t="s">
        <v>2</v>
      </c>
      <c r="AB3569" s="54" t="s">
        <v>2</v>
      </c>
      <c r="AC3569" s="54" t="s">
        <v>2</v>
      </c>
      <c r="AD3569" s="54" t="s">
        <v>2</v>
      </c>
      <c r="AE3569" s="54" t="s">
        <v>2</v>
      </c>
      <c r="AF3569" s="54" t="s">
        <v>2</v>
      </c>
      <c r="AG3569" s="54" t="s">
        <v>2</v>
      </c>
    </row>
    <row r="3570" ht="15.75" customHeight="1">
      <c r="B3570" s="56"/>
      <c r="U3570" s="46" t="str">
        <f t="array" ref="U3570">IF($D3570="","",IFERROR(_xlfn.XLOOKUP($D3570,'TIR店舗一覧'!$D:$D,'TIR店舗一覧'!$E:$E,""),""))</f>
        <v/>
      </c>
      <c r="V3570" s="54" t="s">
        <v>2</v>
      </c>
      <c r="W3570" s="54" t="s">
        <v>2</v>
      </c>
      <c r="X3570" s="54" t="s">
        <v>2</v>
      </c>
      <c r="Y3570" s="54" t="s">
        <v>2</v>
      </c>
      <c r="Z3570" s="54" t="s">
        <v>2</v>
      </c>
      <c r="AA3570" s="54" t="s">
        <v>2</v>
      </c>
      <c r="AB3570" s="54" t="s">
        <v>2</v>
      </c>
      <c r="AC3570" s="54" t="s">
        <v>2</v>
      </c>
      <c r="AD3570" s="54" t="s">
        <v>2</v>
      </c>
      <c r="AE3570" s="54" t="s">
        <v>2</v>
      </c>
      <c r="AF3570" s="54" t="s">
        <v>2</v>
      </c>
      <c r="AG3570" s="54" t="s">
        <v>2</v>
      </c>
    </row>
    <row r="3571" ht="15.75" customHeight="1">
      <c r="B3571" s="56"/>
      <c r="U3571" s="46" t="str">
        <f t="array" ref="U3571">IF($D3571="","",IFERROR(_xlfn.XLOOKUP($D3571,'TIR店舗一覧'!$D:$D,'TIR店舗一覧'!$E:$E,""),""))</f>
        <v/>
      </c>
      <c r="V3571" s="54" t="s">
        <v>2</v>
      </c>
      <c r="W3571" s="54" t="s">
        <v>2</v>
      </c>
      <c r="X3571" s="54" t="s">
        <v>2</v>
      </c>
      <c r="Y3571" s="54" t="s">
        <v>2</v>
      </c>
      <c r="Z3571" s="54" t="s">
        <v>2</v>
      </c>
      <c r="AA3571" s="54" t="s">
        <v>2</v>
      </c>
      <c r="AB3571" s="54" t="s">
        <v>2</v>
      </c>
      <c r="AC3571" s="54" t="s">
        <v>2</v>
      </c>
      <c r="AD3571" s="54" t="s">
        <v>2</v>
      </c>
      <c r="AE3571" s="54" t="s">
        <v>2</v>
      </c>
      <c r="AF3571" s="54" t="s">
        <v>2</v>
      </c>
      <c r="AG3571" s="54" t="s">
        <v>2</v>
      </c>
    </row>
    <row r="3572" ht="15.75" customHeight="1">
      <c r="B3572" s="56"/>
      <c r="U3572" s="46" t="str">
        <f t="array" ref="U3572">IF($D3572="","",IFERROR(_xlfn.XLOOKUP($D3572,'TIR店舗一覧'!$D:$D,'TIR店舗一覧'!$E:$E,""),""))</f>
        <v/>
      </c>
      <c r="V3572" s="54" t="s">
        <v>2</v>
      </c>
      <c r="W3572" s="54" t="s">
        <v>2</v>
      </c>
      <c r="X3572" s="54" t="s">
        <v>2</v>
      </c>
      <c r="Y3572" s="54" t="s">
        <v>2</v>
      </c>
      <c r="Z3572" s="54" t="s">
        <v>2</v>
      </c>
      <c r="AA3572" s="54" t="s">
        <v>2</v>
      </c>
      <c r="AB3572" s="54" t="s">
        <v>2</v>
      </c>
      <c r="AC3572" s="54" t="s">
        <v>2</v>
      </c>
      <c r="AD3572" s="54" t="s">
        <v>2</v>
      </c>
      <c r="AE3572" s="54" t="s">
        <v>2</v>
      </c>
      <c r="AF3572" s="54" t="s">
        <v>2</v>
      </c>
      <c r="AG3572" s="54" t="s">
        <v>2</v>
      </c>
    </row>
    <row r="3573" ht="15.75" customHeight="1">
      <c r="B3573" s="56"/>
      <c r="U3573" s="46" t="str">
        <f t="array" ref="U3573">IF($D3573="","",IFERROR(_xlfn.XLOOKUP($D3573,'TIR店舗一覧'!$D:$D,'TIR店舗一覧'!$E:$E,""),""))</f>
        <v/>
      </c>
      <c r="V3573" s="54" t="s">
        <v>2</v>
      </c>
      <c r="W3573" s="54" t="s">
        <v>2</v>
      </c>
      <c r="X3573" s="54" t="s">
        <v>2</v>
      </c>
      <c r="Y3573" s="54" t="s">
        <v>2</v>
      </c>
      <c r="Z3573" s="54" t="s">
        <v>2</v>
      </c>
      <c r="AA3573" s="54" t="s">
        <v>2</v>
      </c>
      <c r="AB3573" s="54" t="s">
        <v>2</v>
      </c>
      <c r="AC3573" s="54" t="s">
        <v>2</v>
      </c>
      <c r="AD3573" s="54" t="s">
        <v>2</v>
      </c>
      <c r="AE3573" s="54" t="s">
        <v>2</v>
      </c>
      <c r="AF3573" s="54" t="s">
        <v>2</v>
      </c>
      <c r="AG3573" s="54" t="s">
        <v>2</v>
      </c>
    </row>
    <row r="3574" ht="15.75" customHeight="1">
      <c r="B3574" s="56"/>
      <c r="U3574" s="46" t="str">
        <f t="array" ref="U3574">IF($D3574="","",IFERROR(_xlfn.XLOOKUP($D3574,'TIR店舗一覧'!$D:$D,'TIR店舗一覧'!$E:$E,""),""))</f>
        <v/>
      </c>
      <c r="V3574" s="54" t="s">
        <v>2</v>
      </c>
      <c r="W3574" s="54" t="s">
        <v>2</v>
      </c>
      <c r="X3574" s="54" t="s">
        <v>2</v>
      </c>
      <c r="Y3574" s="54" t="s">
        <v>2</v>
      </c>
      <c r="Z3574" s="54" t="s">
        <v>2</v>
      </c>
      <c r="AA3574" s="54" t="s">
        <v>2</v>
      </c>
      <c r="AB3574" s="54" t="s">
        <v>2</v>
      </c>
      <c r="AC3574" s="54" t="s">
        <v>2</v>
      </c>
      <c r="AD3574" s="54" t="s">
        <v>2</v>
      </c>
      <c r="AE3574" s="54" t="s">
        <v>2</v>
      </c>
      <c r="AF3574" s="54" t="s">
        <v>2</v>
      </c>
      <c r="AG3574" s="54" t="s">
        <v>2</v>
      </c>
    </row>
    <row r="3575" ht="15.75" customHeight="1">
      <c r="B3575" s="56"/>
      <c r="U3575" s="46" t="str">
        <f t="array" ref="U3575">IF($D3575="","",IFERROR(_xlfn.XLOOKUP($D3575,'TIR店舗一覧'!$D:$D,'TIR店舗一覧'!$E:$E,""),""))</f>
        <v/>
      </c>
      <c r="V3575" s="54" t="s">
        <v>2</v>
      </c>
      <c r="W3575" s="54" t="s">
        <v>2</v>
      </c>
      <c r="X3575" s="54" t="s">
        <v>2</v>
      </c>
      <c r="Y3575" s="54" t="s">
        <v>2</v>
      </c>
      <c r="Z3575" s="54" t="s">
        <v>2</v>
      </c>
      <c r="AA3575" s="54" t="s">
        <v>2</v>
      </c>
      <c r="AB3575" s="54" t="s">
        <v>2</v>
      </c>
      <c r="AC3575" s="54" t="s">
        <v>2</v>
      </c>
      <c r="AD3575" s="54" t="s">
        <v>2</v>
      </c>
      <c r="AE3575" s="54" t="s">
        <v>2</v>
      </c>
      <c r="AF3575" s="54" t="s">
        <v>2</v>
      </c>
      <c r="AG3575" s="54" t="s">
        <v>2</v>
      </c>
    </row>
    <row r="3576" ht="15.75" customHeight="1">
      <c r="B3576" s="56"/>
      <c r="U3576" s="46" t="str">
        <f t="array" ref="U3576">IF($D3576="","",IFERROR(_xlfn.XLOOKUP($D3576,'TIR店舗一覧'!$D:$D,'TIR店舗一覧'!$E:$E,""),""))</f>
        <v/>
      </c>
      <c r="V3576" s="54" t="s">
        <v>2</v>
      </c>
      <c r="W3576" s="54" t="s">
        <v>2</v>
      </c>
      <c r="X3576" s="54" t="s">
        <v>2</v>
      </c>
      <c r="Y3576" s="54" t="s">
        <v>2</v>
      </c>
      <c r="Z3576" s="54" t="s">
        <v>2</v>
      </c>
      <c r="AA3576" s="54" t="s">
        <v>2</v>
      </c>
      <c r="AB3576" s="54" t="s">
        <v>2</v>
      </c>
      <c r="AC3576" s="54" t="s">
        <v>2</v>
      </c>
      <c r="AD3576" s="54" t="s">
        <v>2</v>
      </c>
      <c r="AE3576" s="54" t="s">
        <v>2</v>
      </c>
      <c r="AF3576" s="54" t="s">
        <v>2</v>
      </c>
      <c r="AG3576" s="54" t="s">
        <v>2</v>
      </c>
    </row>
    <row r="3577" ht="15.75" customHeight="1">
      <c r="B3577" s="56"/>
      <c r="U3577" s="46" t="str">
        <f t="array" ref="U3577">IF($D3577="","",IFERROR(_xlfn.XLOOKUP($D3577,'TIR店舗一覧'!$D:$D,'TIR店舗一覧'!$E:$E,""),""))</f>
        <v/>
      </c>
      <c r="V3577" s="54" t="s">
        <v>2</v>
      </c>
      <c r="W3577" s="54" t="s">
        <v>2</v>
      </c>
      <c r="X3577" s="54" t="s">
        <v>2</v>
      </c>
      <c r="Y3577" s="54" t="s">
        <v>2</v>
      </c>
      <c r="Z3577" s="54" t="s">
        <v>2</v>
      </c>
      <c r="AA3577" s="54" t="s">
        <v>2</v>
      </c>
      <c r="AB3577" s="54" t="s">
        <v>2</v>
      </c>
      <c r="AC3577" s="54" t="s">
        <v>2</v>
      </c>
      <c r="AD3577" s="54" t="s">
        <v>2</v>
      </c>
      <c r="AE3577" s="54" t="s">
        <v>2</v>
      </c>
      <c r="AF3577" s="54" t="s">
        <v>2</v>
      </c>
      <c r="AG3577" s="54" t="s">
        <v>2</v>
      </c>
    </row>
    <row r="3578" ht="15.75" customHeight="1">
      <c r="B3578" s="56"/>
      <c r="U3578" s="46" t="str">
        <f t="array" ref="U3578">IF($D3578="","",IFERROR(_xlfn.XLOOKUP($D3578,'TIR店舗一覧'!$D:$D,'TIR店舗一覧'!$E:$E,""),""))</f>
        <v/>
      </c>
      <c r="V3578" s="54" t="s">
        <v>2</v>
      </c>
      <c r="W3578" s="54" t="s">
        <v>2</v>
      </c>
      <c r="X3578" s="54" t="s">
        <v>2</v>
      </c>
      <c r="Y3578" s="54" t="s">
        <v>2</v>
      </c>
      <c r="Z3578" s="54" t="s">
        <v>2</v>
      </c>
      <c r="AA3578" s="54" t="s">
        <v>2</v>
      </c>
      <c r="AB3578" s="54" t="s">
        <v>2</v>
      </c>
      <c r="AC3578" s="54" t="s">
        <v>2</v>
      </c>
      <c r="AD3578" s="54" t="s">
        <v>2</v>
      </c>
      <c r="AE3578" s="54" t="s">
        <v>2</v>
      </c>
      <c r="AF3578" s="54" t="s">
        <v>2</v>
      </c>
      <c r="AG3578" s="54" t="s">
        <v>2</v>
      </c>
    </row>
    <row r="3579" ht="15.75" customHeight="1">
      <c r="B3579" s="56"/>
      <c r="U3579" s="46" t="str">
        <f t="array" ref="U3579">IF($D3579="","",IFERROR(_xlfn.XLOOKUP($D3579,'TIR店舗一覧'!$D:$D,'TIR店舗一覧'!$E:$E,""),""))</f>
        <v/>
      </c>
      <c r="V3579" s="54" t="s">
        <v>2</v>
      </c>
      <c r="W3579" s="54" t="s">
        <v>2</v>
      </c>
      <c r="X3579" s="54" t="s">
        <v>2</v>
      </c>
      <c r="Y3579" s="54" t="s">
        <v>2</v>
      </c>
      <c r="Z3579" s="54" t="s">
        <v>2</v>
      </c>
      <c r="AA3579" s="54" t="s">
        <v>2</v>
      </c>
      <c r="AB3579" s="54" t="s">
        <v>2</v>
      </c>
      <c r="AC3579" s="54" t="s">
        <v>2</v>
      </c>
      <c r="AD3579" s="54" t="s">
        <v>2</v>
      </c>
      <c r="AE3579" s="54" t="s">
        <v>2</v>
      </c>
      <c r="AF3579" s="54" t="s">
        <v>2</v>
      </c>
      <c r="AG3579" s="54" t="s">
        <v>2</v>
      </c>
    </row>
    <row r="3580" ht="15.75" customHeight="1">
      <c r="B3580" s="56"/>
      <c r="U3580" s="46" t="str">
        <f t="array" ref="U3580">IF($D3580="","",IFERROR(_xlfn.XLOOKUP($D3580,'TIR店舗一覧'!$D:$D,'TIR店舗一覧'!$E:$E,""),""))</f>
        <v/>
      </c>
      <c r="V3580" s="54" t="s">
        <v>2</v>
      </c>
      <c r="W3580" s="54" t="s">
        <v>2</v>
      </c>
      <c r="X3580" s="54" t="s">
        <v>2</v>
      </c>
      <c r="Y3580" s="54" t="s">
        <v>2</v>
      </c>
      <c r="Z3580" s="54" t="s">
        <v>2</v>
      </c>
      <c r="AA3580" s="54" t="s">
        <v>2</v>
      </c>
      <c r="AB3580" s="54" t="s">
        <v>2</v>
      </c>
      <c r="AC3580" s="54" t="s">
        <v>2</v>
      </c>
      <c r="AD3580" s="54" t="s">
        <v>2</v>
      </c>
      <c r="AE3580" s="54" t="s">
        <v>2</v>
      </c>
      <c r="AF3580" s="54" t="s">
        <v>2</v>
      </c>
      <c r="AG3580" s="54" t="s">
        <v>2</v>
      </c>
    </row>
    <row r="3581" ht="15.75" customHeight="1">
      <c r="B3581" s="56"/>
      <c r="U3581" s="46" t="str">
        <f t="array" ref="U3581">IF($D3581="","",IFERROR(_xlfn.XLOOKUP($D3581,'TIR店舗一覧'!$D:$D,'TIR店舗一覧'!$E:$E,""),""))</f>
        <v/>
      </c>
      <c r="V3581" s="54" t="s">
        <v>2</v>
      </c>
      <c r="W3581" s="54" t="s">
        <v>2</v>
      </c>
      <c r="X3581" s="54" t="s">
        <v>2</v>
      </c>
      <c r="Y3581" s="54" t="s">
        <v>2</v>
      </c>
      <c r="Z3581" s="54" t="s">
        <v>2</v>
      </c>
      <c r="AA3581" s="54" t="s">
        <v>2</v>
      </c>
      <c r="AB3581" s="54" t="s">
        <v>2</v>
      </c>
      <c r="AC3581" s="54" t="s">
        <v>2</v>
      </c>
      <c r="AD3581" s="54" t="s">
        <v>2</v>
      </c>
      <c r="AE3581" s="54" t="s">
        <v>2</v>
      </c>
      <c r="AF3581" s="54" t="s">
        <v>2</v>
      </c>
      <c r="AG3581" s="54" t="s">
        <v>2</v>
      </c>
    </row>
    <row r="3582" ht="15.75" customHeight="1">
      <c r="B3582" s="56"/>
      <c r="U3582" s="46" t="str">
        <f t="array" ref="U3582">IF($D3582="","",IFERROR(_xlfn.XLOOKUP($D3582,'TIR店舗一覧'!$D:$D,'TIR店舗一覧'!$E:$E,""),""))</f>
        <v/>
      </c>
      <c r="V3582" s="54" t="s">
        <v>2</v>
      </c>
      <c r="W3582" s="54" t="s">
        <v>2</v>
      </c>
      <c r="X3582" s="54" t="s">
        <v>2</v>
      </c>
      <c r="Y3582" s="54" t="s">
        <v>2</v>
      </c>
      <c r="Z3582" s="54" t="s">
        <v>2</v>
      </c>
      <c r="AA3582" s="54" t="s">
        <v>2</v>
      </c>
      <c r="AB3582" s="54" t="s">
        <v>2</v>
      </c>
      <c r="AC3582" s="54" t="s">
        <v>2</v>
      </c>
      <c r="AD3582" s="54" t="s">
        <v>2</v>
      </c>
      <c r="AE3582" s="54" t="s">
        <v>2</v>
      </c>
      <c r="AF3582" s="54" t="s">
        <v>2</v>
      </c>
      <c r="AG3582" s="54" t="s">
        <v>2</v>
      </c>
    </row>
    <row r="3583" ht="15.75" customHeight="1">
      <c r="B3583" s="56"/>
      <c r="U3583" s="46" t="str">
        <f t="array" ref="U3583">IF($D3583="","",IFERROR(_xlfn.XLOOKUP($D3583,'TIR店舗一覧'!$D:$D,'TIR店舗一覧'!$E:$E,""),""))</f>
        <v/>
      </c>
      <c r="V3583" s="54" t="s">
        <v>2</v>
      </c>
      <c r="W3583" s="54" t="s">
        <v>2</v>
      </c>
      <c r="X3583" s="54" t="s">
        <v>2</v>
      </c>
      <c r="Y3583" s="54" t="s">
        <v>2</v>
      </c>
      <c r="Z3583" s="54" t="s">
        <v>2</v>
      </c>
      <c r="AA3583" s="54" t="s">
        <v>2</v>
      </c>
      <c r="AB3583" s="54" t="s">
        <v>2</v>
      </c>
      <c r="AC3583" s="54" t="s">
        <v>2</v>
      </c>
      <c r="AD3583" s="54" t="s">
        <v>2</v>
      </c>
      <c r="AE3583" s="54" t="s">
        <v>2</v>
      </c>
      <c r="AF3583" s="54" t="s">
        <v>2</v>
      </c>
      <c r="AG3583" s="54" t="s">
        <v>2</v>
      </c>
    </row>
    <row r="3584" ht="15.75" customHeight="1">
      <c r="B3584" s="56"/>
      <c r="U3584" s="46" t="str">
        <f t="array" ref="U3584">IF($D3584="","",IFERROR(_xlfn.XLOOKUP($D3584,'TIR店舗一覧'!$D:$D,'TIR店舗一覧'!$E:$E,""),""))</f>
        <v/>
      </c>
      <c r="V3584" s="54" t="s">
        <v>2</v>
      </c>
      <c r="W3584" s="54" t="s">
        <v>2</v>
      </c>
      <c r="X3584" s="54" t="s">
        <v>2</v>
      </c>
      <c r="Y3584" s="54" t="s">
        <v>2</v>
      </c>
      <c r="Z3584" s="54" t="s">
        <v>2</v>
      </c>
      <c r="AA3584" s="54" t="s">
        <v>2</v>
      </c>
      <c r="AB3584" s="54" t="s">
        <v>2</v>
      </c>
      <c r="AC3584" s="54" t="s">
        <v>2</v>
      </c>
      <c r="AD3584" s="54" t="s">
        <v>2</v>
      </c>
      <c r="AE3584" s="54" t="s">
        <v>2</v>
      </c>
      <c r="AF3584" s="54" t="s">
        <v>2</v>
      </c>
      <c r="AG3584" s="54" t="s">
        <v>2</v>
      </c>
    </row>
    <row r="3585" ht="15.75" customHeight="1">
      <c r="B3585" s="56"/>
      <c r="U3585" s="46" t="str">
        <f t="array" ref="U3585">IF($D3585="","",IFERROR(_xlfn.XLOOKUP($D3585,'TIR店舗一覧'!$D:$D,'TIR店舗一覧'!$E:$E,""),""))</f>
        <v/>
      </c>
      <c r="V3585" s="54" t="s">
        <v>2</v>
      </c>
      <c r="W3585" s="54" t="s">
        <v>2</v>
      </c>
      <c r="X3585" s="54" t="s">
        <v>2</v>
      </c>
      <c r="Y3585" s="54" t="s">
        <v>2</v>
      </c>
      <c r="Z3585" s="54" t="s">
        <v>2</v>
      </c>
      <c r="AA3585" s="54" t="s">
        <v>2</v>
      </c>
      <c r="AB3585" s="54" t="s">
        <v>2</v>
      </c>
      <c r="AC3585" s="54" t="s">
        <v>2</v>
      </c>
      <c r="AD3585" s="54" t="s">
        <v>2</v>
      </c>
      <c r="AE3585" s="54" t="s">
        <v>2</v>
      </c>
      <c r="AF3585" s="54" t="s">
        <v>2</v>
      </c>
      <c r="AG3585" s="54" t="s">
        <v>2</v>
      </c>
    </row>
    <row r="3586" ht="15.75" customHeight="1">
      <c r="B3586" s="56"/>
      <c r="U3586" s="46" t="str">
        <f t="array" ref="U3586">IF($D3586="","",IFERROR(_xlfn.XLOOKUP($D3586,'TIR店舗一覧'!$D:$D,'TIR店舗一覧'!$E:$E,""),""))</f>
        <v/>
      </c>
      <c r="V3586" s="54" t="s">
        <v>2</v>
      </c>
      <c r="W3586" s="54" t="s">
        <v>2</v>
      </c>
      <c r="X3586" s="54" t="s">
        <v>2</v>
      </c>
      <c r="Y3586" s="54" t="s">
        <v>2</v>
      </c>
      <c r="Z3586" s="54" t="s">
        <v>2</v>
      </c>
      <c r="AA3586" s="54" t="s">
        <v>2</v>
      </c>
      <c r="AB3586" s="54" t="s">
        <v>2</v>
      </c>
      <c r="AC3586" s="54" t="s">
        <v>2</v>
      </c>
      <c r="AD3586" s="54" t="s">
        <v>2</v>
      </c>
      <c r="AE3586" s="54" t="s">
        <v>2</v>
      </c>
      <c r="AF3586" s="54" t="s">
        <v>2</v>
      </c>
      <c r="AG3586" s="54" t="s">
        <v>2</v>
      </c>
    </row>
    <row r="3587" ht="15.75" customHeight="1">
      <c r="B3587" s="56"/>
      <c r="U3587" s="46" t="str">
        <f t="array" ref="U3587">IF($D3587="","",IFERROR(_xlfn.XLOOKUP($D3587,'TIR店舗一覧'!$D:$D,'TIR店舗一覧'!$E:$E,""),""))</f>
        <v/>
      </c>
      <c r="V3587" s="54" t="s">
        <v>2</v>
      </c>
      <c r="W3587" s="54" t="s">
        <v>2</v>
      </c>
      <c r="X3587" s="54" t="s">
        <v>2</v>
      </c>
      <c r="Y3587" s="54" t="s">
        <v>2</v>
      </c>
      <c r="Z3587" s="54" t="s">
        <v>2</v>
      </c>
      <c r="AA3587" s="54" t="s">
        <v>2</v>
      </c>
      <c r="AB3587" s="54" t="s">
        <v>2</v>
      </c>
      <c r="AC3587" s="54" t="s">
        <v>2</v>
      </c>
      <c r="AD3587" s="54" t="s">
        <v>2</v>
      </c>
      <c r="AE3587" s="54" t="s">
        <v>2</v>
      </c>
      <c r="AF3587" s="54" t="s">
        <v>2</v>
      </c>
      <c r="AG3587" s="54" t="s">
        <v>2</v>
      </c>
    </row>
    <row r="3588" ht="15.75" customHeight="1">
      <c r="B3588" s="56"/>
      <c r="U3588" s="46" t="str">
        <f t="array" ref="U3588">IF($D3588="","",IFERROR(_xlfn.XLOOKUP($D3588,'TIR店舗一覧'!$D:$D,'TIR店舗一覧'!$E:$E,""),""))</f>
        <v/>
      </c>
      <c r="V3588" s="54" t="s">
        <v>2</v>
      </c>
      <c r="W3588" s="54" t="s">
        <v>2</v>
      </c>
      <c r="X3588" s="54" t="s">
        <v>2</v>
      </c>
      <c r="Y3588" s="54" t="s">
        <v>2</v>
      </c>
      <c r="Z3588" s="54" t="s">
        <v>2</v>
      </c>
      <c r="AA3588" s="54" t="s">
        <v>2</v>
      </c>
      <c r="AB3588" s="54" t="s">
        <v>2</v>
      </c>
      <c r="AC3588" s="54" t="s">
        <v>2</v>
      </c>
      <c r="AD3588" s="54" t="s">
        <v>2</v>
      </c>
      <c r="AE3588" s="54" t="s">
        <v>2</v>
      </c>
      <c r="AF3588" s="54" t="s">
        <v>2</v>
      </c>
      <c r="AG3588" s="54" t="s">
        <v>2</v>
      </c>
    </row>
    <row r="3589" ht="15.75" customHeight="1">
      <c r="B3589" s="56"/>
      <c r="U3589" s="46" t="str">
        <f t="array" ref="U3589">IF($D3589="","",IFERROR(_xlfn.XLOOKUP($D3589,'TIR店舗一覧'!$D:$D,'TIR店舗一覧'!$E:$E,""),""))</f>
        <v/>
      </c>
      <c r="V3589" s="54" t="s">
        <v>2</v>
      </c>
      <c r="W3589" s="54" t="s">
        <v>2</v>
      </c>
      <c r="X3589" s="54" t="s">
        <v>2</v>
      </c>
      <c r="Y3589" s="54" t="s">
        <v>2</v>
      </c>
      <c r="Z3589" s="54" t="s">
        <v>2</v>
      </c>
      <c r="AA3589" s="54" t="s">
        <v>2</v>
      </c>
      <c r="AB3589" s="54" t="s">
        <v>2</v>
      </c>
      <c r="AC3589" s="54" t="s">
        <v>2</v>
      </c>
      <c r="AD3589" s="54" t="s">
        <v>2</v>
      </c>
      <c r="AE3589" s="54" t="s">
        <v>2</v>
      </c>
      <c r="AF3589" s="54" t="s">
        <v>2</v>
      </c>
      <c r="AG3589" s="54" t="s">
        <v>2</v>
      </c>
    </row>
    <row r="3590" ht="15.75" customHeight="1">
      <c r="B3590" s="56"/>
      <c r="U3590" s="46" t="str">
        <f t="array" ref="U3590">IF($D3590="","",IFERROR(_xlfn.XLOOKUP($D3590,'TIR店舗一覧'!$D:$D,'TIR店舗一覧'!$E:$E,""),""))</f>
        <v/>
      </c>
      <c r="V3590" s="54" t="s">
        <v>2</v>
      </c>
      <c r="W3590" s="54" t="s">
        <v>2</v>
      </c>
      <c r="X3590" s="54" t="s">
        <v>2</v>
      </c>
      <c r="Y3590" s="54" t="s">
        <v>2</v>
      </c>
      <c r="Z3590" s="54" t="s">
        <v>2</v>
      </c>
      <c r="AA3590" s="54" t="s">
        <v>2</v>
      </c>
      <c r="AB3590" s="54" t="s">
        <v>2</v>
      </c>
      <c r="AC3590" s="54" t="s">
        <v>2</v>
      </c>
      <c r="AD3590" s="54" t="s">
        <v>2</v>
      </c>
      <c r="AE3590" s="54" t="s">
        <v>2</v>
      </c>
      <c r="AF3590" s="54" t="s">
        <v>2</v>
      </c>
      <c r="AG3590" s="54" t="s">
        <v>2</v>
      </c>
    </row>
    <row r="3591" ht="15.75" customHeight="1">
      <c r="B3591" s="56"/>
      <c r="U3591" s="46" t="str">
        <f t="array" ref="U3591">IF($D3591="","",IFERROR(_xlfn.XLOOKUP($D3591,'TIR店舗一覧'!$D:$D,'TIR店舗一覧'!$E:$E,""),""))</f>
        <v/>
      </c>
      <c r="V3591" s="54" t="s">
        <v>2</v>
      </c>
      <c r="W3591" s="54" t="s">
        <v>2</v>
      </c>
      <c r="X3591" s="54" t="s">
        <v>2</v>
      </c>
      <c r="Y3591" s="54" t="s">
        <v>2</v>
      </c>
      <c r="Z3591" s="54" t="s">
        <v>2</v>
      </c>
      <c r="AA3591" s="54" t="s">
        <v>2</v>
      </c>
      <c r="AB3591" s="54" t="s">
        <v>2</v>
      </c>
      <c r="AC3591" s="54" t="s">
        <v>2</v>
      </c>
      <c r="AD3591" s="54" t="s">
        <v>2</v>
      </c>
      <c r="AE3591" s="54" t="s">
        <v>2</v>
      </c>
      <c r="AF3591" s="54" t="s">
        <v>2</v>
      </c>
      <c r="AG3591" s="54" t="s">
        <v>2</v>
      </c>
    </row>
    <row r="3592" ht="15.75" customHeight="1">
      <c r="B3592" s="56"/>
      <c r="U3592" s="46" t="str">
        <f t="array" ref="U3592">IF($D3592="","",IFERROR(_xlfn.XLOOKUP($D3592,'TIR店舗一覧'!$D:$D,'TIR店舗一覧'!$E:$E,""),""))</f>
        <v/>
      </c>
      <c r="V3592" s="54" t="s">
        <v>2</v>
      </c>
      <c r="W3592" s="54" t="s">
        <v>2</v>
      </c>
      <c r="X3592" s="54" t="s">
        <v>2</v>
      </c>
      <c r="Y3592" s="54" t="s">
        <v>2</v>
      </c>
      <c r="Z3592" s="54" t="s">
        <v>2</v>
      </c>
      <c r="AA3592" s="54" t="s">
        <v>2</v>
      </c>
      <c r="AB3592" s="54" t="s">
        <v>2</v>
      </c>
      <c r="AC3592" s="54" t="s">
        <v>2</v>
      </c>
      <c r="AD3592" s="54" t="s">
        <v>2</v>
      </c>
      <c r="AE3592" s="54" t="s">
        <v>2</v>
      </c>
      <c r="AF3592" s="54" t="s">
        <v>2</v>
      </c>
      <c r="AG3592" s="54" t="s">
        <v>2</v>
      </c>
    </row>
    <row r="3593" ht="15.75" customHeight="1">
      <c r="B3593" s="56"/>
      <c r="U3593" s="46" t="str">
        <f t="array" ref="U3593">IF($D3593="","",IFERROR(_xlfn.XLOOKUP($D3593,'TIR店舗一覧'!$D:$D,'TIR店舗一覧'!$E:$E,""),""))</f>
        <v/>
      </c>
      <c r="V3593" s="54" t="s">
        <v>2</v>
      </c>
      <c r="W3593" s="54" t="s">
        <v>2</v>
      </c>
      <c r="X3593" s="54" t="s">
        <v>2</v>
      </c>
      <c r="Y3593" s="54" t="s">
        <v>2</v>
      </c>
      <c r="Z3593" s="54" t="s">
        <v>2</v>
      </c>
      <c r="AA3593" s="54" t="s">
        <v>2</v>
      </c>
      <c r="AB3593" s="54" t="s">
        <v>2</v>
      </c>
      <c r="AC3593" s="54" t="s">
        <v>2</v>
      </c>
      <c r="AD3593" s="54" t="s">
        <v>2</v>
      </c>
      <c r="AE3593" s="54" t="s">
        <v>2</v>
      </c>
      <c r="AF3593" s="54" t="s">
        <v>2</v>
      </c>
      <c r="AG3593" s="54" t="s">
        <v>2</v>
      </c>
    </row>
    <row r="3594" ht="15.75" customHeight="1">
      <c r="B3594" s="56"/>
      <c r="U3594" s="46" t="str">
        <f t="array" ref="U3594">IF($D3594="","",IFERROR(_xlfn.XLOOKUP($D3594,'TIR店舗一覧'!$D:$D,'TIR店舗一覧'!$E:$E,""),""))</f>
        <v/>
      </c>
      <c r="V3594" s="54" t="s">
        <v>2</v>
      </c>
      <c r="W3594" s="54" t="s">
        <v>2</v>
      </c>
      <c r="X3594" s="54" t="s">
        <v>2</v>
      </c>
      <c r="Y3594" s="54" t="s">
        <v>2</v>
      </c>
      <c r="Z3594" s="54" t="s">
        <v>2</v>
      </c>
      <c r="AA3594" s="54" t="s">
        <v>2</v>
      </c>
      <c r="AB3594" s="54" t="s">
        <v>2</v>
      </c>
      <c r="AC3594" s="54" t="s">
        <v>2</v>
      </c>
      <c r="AD3594" s="54" t="s">
        <v>2</v>
      </c>
      <c r="AE3594" s="54" t="s">
        <v>2</v>
      </c>
      <c r="AF3594" s="54" t="s">
        <v>2</v>
      </c>
      <c r="AG3594" s="54" t="s">
        <v>2</v>
      </c>
    </row>
    <row r="3595" ht="15.75" customHeight="1">
      <c r="B3595" s="56"/>
      <c r="U3595" s="46" t="str">
        <f t="array" ref="U3595">IF($D3595="","",IFERROR(_xlfn.XLOOKUP($D3595,'TIR店舗一覧'!$D:$D,'TIR店舗一覧'!$E:$E,""),""))</f>
        <v/>
      </c>
      <c r="V3595" s="54" t="s">
        <v>2</v>
      </c>
      <c r="W3595" s="54" t="s">
        <v>2</v>
      </c>
      <c r="X3595" s="54" t="s">
        <v>2</v>
      </c>
      <c r="Y3595" s="54" t="s">
        <v>2</v>
      </c>
      <c r="Z3595" s="54" t="s">
        <v>2</v>
      </c>
      <c r="AA3595" s="54" t="s">
        <v>2</v>
      </c>
      <c r="AB3595" s="54" t="s">
        <v>2</v>
      </c>
      <c r="AC3595" s="54" t="s">
        <v>2</v>
      </c>
      <c r="AD3595" s="54" t="s">
        <v>2</v>
      </c>
      <c r="AE3595" s="54" t="s">
        <v>2</v>
      </c>
      <c r="AF3595" s="54" t="s">
        <v>2</v>
      </c>
      <c r="AG3595" s="54" t="s">
        <v>2</v>
      </c>
    </row>
    <row r="3596" ht="15.75" customHeight="1">
      <c r="B3596" s="56"/>
      <c r="U3596" s="46" t="str">
        <f t="array" ref="U3596">IF($D3596="","",IFERROR(_xlfn.XLOOKUP($D3596,'TIR店舗一覧'!$D:$D,'TIR店舗一覧'!$E:$E,""),""))</f>
        <v/>
      </c>
      <c r="V3596" s="54" t="s">
        <v>2</v>
      </c>
      <c r="W3596" s="54" t="s">
        <v>2</v>
      </c>
      <c r="X3596" s="54" t="s">
        <v>2</v>
      </c>
      <c r="Y3596" s="54" t="s">
        <v>2</v>
      </c>
      <c r="Z3596" s="54" t="s">
        <v>2</v>
      </c>
      <c r="AA3596" s="54" t="s">
        <v>2</v>
      </c>
      <c r="AB3596" s="54" t="s">
        <v>2</v>
      </c>
      <c r="AC3596" s="54" t="s">
        <v>2</v>
      </c>
      <c r="AD3596" s="54" t="s">
        <v>2</v>
      </c>
      <c r="AE3596" s="54" t="s">
        <v>2</v>
      </c>
      <c r="AF3596" s="54" t="s">
        <v>2</v>
      </c>
      <c r="AG3596" s="54" t="s">
        <v>2</v>
      </c>
    </row>
    <row r="3597" ht="15.75" customHeight="1">
      <c r="B3597" s="56"/>
      <c r="U3597" s="46" t="str">
        <f t="array" ref="U3597">IF($D3597="","",IFERROR(_xlfn.XLOOKUP($D3597,'TIR店舗一覧'!$D:$D,'TIR店舗一覧'!$E:$E,""),""))</f>
        <v/>
      </c>
      <c r="V3597" s="54" t="s">
        <v>2</v>
      </c>
      <c r="W3597" s="54" t="s">
        <v>2</v>
      </c>
      <c r="X3597" s="54" t="s">
        <v>2</v>
      </c>
      <c r="Y3597" s="54" t="s">
        <v>2</v>
      </c>
      <c r="Z3597" s="54" t="s">
        <v>2</v>
      </c>
      <c r="AA3597" s="54" t="s">
        <v>2</v>
      </c>
      <c r="AB3597" s="54" t="s">
        <v>2</v>
      </c>
      <c r="AC3597" s="54" t="s">
        <v>2</v>
      </c>
      <c r="AD3597" s="54" t="s">
        <v>2</v>
      </c>
      <c r="AE3597" s="54" t="s">
        <v>2</v>
      </c>
      <c r="AF3597" s="54" t="s">
        <v>2</v>
      </c>
      <c r="AG3597" s="54" t="s">
        <v>2</v>
      </c>
    </row>
    <row r="3598" ht="15.75" customHeight="1">
      <c r="B3598" s="56"/>
      <c r="U3598" s="46" t="str">
        <f t="array" ref="U3598">IF($D3598="","",IFERROR(_xlfn.XLOOKUP($D3598,'TIR店舗一覧'!$D:$D,'TIR店舗一覧'!$E:$E,""),""))</f>
        <v/>
      </c>
      <c r="V3598" s="54" t="s">
        <v>2</v>
      </c>
      <c r="W3598" s="54" t="s">
        <v>2</v>
      </c>
      <c r="X3598" s="54" t="s">
        <v>2</v>
      </c>
      <c r="Y3598" s="54" t="s">
        <v>2</v>
      </c>
      <c r="Z3598" s="54" t="s">
        <v>2</v>
      </c>
      <c r="AA3598" s="54" t="s">
        <v>2</v>
      </c>
      <c r="AB3598" s="54" t="s">
        <v>2</v>
      </c>
      <c r="AC3598" s="54" t="s">
        <v>2</v>
      </c>
      <c r="AD3598" s="54" t="s">
        <v>2</v>
      </c>
      <c r="AE3598" s="54" t="s">
        <v>2</v>
      </c>
      <c r="AF3598" s="54" t="s">
        <v>2</v>
      </c>
      <c r="AG3598" s="54" t="s">
        <v>2</v>
      </c>
    </row>
    <row r="3599" ht="15.75" customHeight="1">
      <c r="B3599" s="56"/>
      <c r="U3599" s="46" t="str">
        <f t="array" ref="U3599">IF($D3599="","",IFERROR(_xlfn.XLOOKUP($D3599,'TIR店舗一覧'!$D:$D,'TIR店舗一覧'!$E:$E,""),""))</f>
        <v/>
      </c>
      <c r="V3599" s="54" t="s">
        <v>2</v>
      </c>
      <c r="W3599" s="54" t="s">
        <v>2</v>
      </c>
      <c r="X3599" s="54" t="s">
        <v>2</v>
      </c>
      <c r="Y3599" s="54" t="s">
        <v>2</v>
      </c>
      <c r="Z3599" s="54" t="s">
        <v>2</v>
      </c>
      <c r="AA3599" s="54" t="s">
        <v>2</v>
      </c>
      <c r="AB3599" s="54" t="s">
        <v>2</v>
      </c>
      <c r="AC3599" s="54" t="s">
        <v>2</v>
      </c>
      <c r="AD3599" s="54" t="s">
        <v>2</v>
      </c>
      <c r="AE3599" s="54" t="s">
        <v>2</v>
      </c>
      <c r="AF3599" s="54" t="s">
        <v>2</v>
      </c>
      <c r="AG3599" s="54" t="s">
        <v>2</v>
      </c>
    </row>
    <row r="3600" ht="15.75" customHeight="1">
      <c r="B3600" s="56"/>
      <c r="U3600" s="46" t="str">
        <f t="array" ref="U3600">IF($D3600="","",IFERROR(_xlfn.XLOOKUP($D3600,'TIR店舗一覧'!$D:$D,'TIR店舗一覧'!$E:$E,""),""))</f>
        <v/>
      </c>
      <c r="V3600" s="54" t="s">
        <v>2</v>
      </c>
      <c r="W3600" s="54" t="s">
        <v>2</v>
      </c>
      <c r="X3600" s="54" t="s">
        <v>2</v>
      </c>
      <c r="Y3600" s="54" t="s">
        <v>2</v>
      </c>
      <c r="Z3600" s="54" t="s">
        <v>2</v>
      </c>
      <c r="AA3600" s="54" t="s">
        <v>2</v>
      </c>
      <c r="AB3600" s="54" t="s">
        <v>2</v>
      </c>
      <c r="AC3600" s="54" t="s">
        <v>2</v>
      </c>
      <c r="AD3600" s="54" t="s">
        <v>2</v>
      </c>
      <c r="AE3600" s="54" t="s">
        <v>2</v>
      </c>
      <c r="AF3600" s="54" t="s">
        <v>2</v>
      </c>
      <c r="AG3600" s="54" t="s">
        <v>2</v>
      </c>
    </row>
    <row r="3601" ht="15.75" customHeight="1">
      <c r="B3601" s="56"/>
      <c r="U3601" s="46" t="str">
        <f t="array" ref="U3601">IF($D3601="","",IFERROR(_xlfn.XLOOKUP($D3601,'TIR店舗一覧'!$D:$D,'TIR店舗一覧'!$E:$E,""),""))</f>
        <v/>
      </c>
      <c r="V3601" s="54" t="s">
        <v>2</v>
      </c>
      <c r="W3601" s="54" t="s">
        <v>2</v>
      </c>
      <c r="X3601" s="54" t="s">
        <v>2</v>
      </c>
      <c r="Y3601" s="54" t="s">
        <v>2</v>
      </c>
      <c r="Z3601" s="54" t="s">
        <v>2</v>
      </c>
      <c r="AA3601" s="54" t="s">
        <v>2</v>
      </c>
      <c r="AB3601" s="54" t="s">
        <v>2</v>
      </c>
      <c r="AC3601" s="54" t="s">
        <v>2</v>
      </c>
      <c r="AD3601" s="54" t="s">
        <v>2</v>
      </c>
      <c r="AE3601" s="54" t="s">
        <v>2</v>
      </c>
      <c r="AF3601" s="54" t="s">
        <v>2</v>
      </c>
      <c r="AG3601" s="54" t="s">
        <v>2</v>
      </c>
    </row>
    <row r="3602" ht="15.75" customHeight="1">
      <c r="B3602" s="56"/>
      <c r="U3602" s="46" t="str">
        <f t="array" ref="U3602">IF($D3602="","",IFERROR(_xlfn.XLOOKUP($D3602,'TIR店舗一覧'!$D:$D,'TIR店舗一覧'!$E:$E,""),""))</f>
        <v/>
      </c>
      <c r="V3602" s="54" t="s">
        <v>2</v>
      </c>
      <c r="W3602" s="54" t="s">
        <v>2</v>
      </c>
      <c r="X3602" s="54" t="s">
        <v>2</v>
      </c>
      <c r="Y3602" s="54" t="s">
        <v>2</v>
      </c>
      <c r="Z3602" s="54" t="s">
        <v>2</v>
      </c>
      <c r="AA3602" s="54" t="s">
        <v>2</v>
      </c>
      <c r="AB3602" s="54" t="s">
        <v>2</v>
      </c>
      <c r="AC3602" s="54" t="s">
        <v>2</v>
      </c>
      <c r="AD3602" s="54" t="s">
        <v>2</v>
      </c>
      <c r="AE3602" s="54" t="s">
        <v>2</v>
      </c>
      <c r="AF3602" s="54" t="s">
        <v>2</v>
      </c>
      <c r="AG3602" s="54" t="s">
        <v>2</v>
      </c>
    </row>
    <row r="3603" ht="15.75" customHeight="1">
      <c r="B3603" s="56"/>
      <c r="U3603" s="46" t="str">
        <f t="array" ref="U3603">IF($D3603="","",IFERROR(_xlfn.XLOOKUP($D3603,'TIR店舗一覧'!$D:$D,'TIR店舗一覧'!$E:$E,""),""))</f>
        <v/>
      </c>
      <c r="V3603" s="54" t="s">
        <v>2</v>
      </c>
      <c r="W3603" s="54" t="s">
        <v>2</v>
      </c>
      <c r="X3603" s="54" t="s">
        <v>2</v>
      </c>
      <c r="Y3603" s="54" t="s">
        <v>2</v>
      </c>
      <c r="Z3603" s="54" t="s">
        <v>2</v>
      </c>
      <c r="AA3603" s="54" t="s">
        <v>2</v>
      </c>
      <c r="AB3603" s="54" t="s">
        <v>2</v>
      </c>
      <c r="AC3603" s="54" t="s">
        <v>2</v>
      </c>
      <c r="AD3603" s="54" t="s">
        <v>2</v>
      </c>
      <c r="AE3603" s="54" t="s">
        <v>2</v>
      </c>
      <c r="AF3603" s="54" t="s">
        <v>2</v>
      </c>
      <c r="AG3603" s="54" t="s">
        <v>2</v>
      </c>
    </row>
    <row r="3604" ht="15.75" customHeight="1">
      <c r="B3604" s="56"/>
      <c r="U3604" s="46" t="str">
        <f t="array" ref="U3604">IF($D3604="","",IFERROR(_xlfn.XLOOKUP($D3604,'TIR店舗一覧'!$D:$D,'TIR店舗一覧'!$E:$E,""),""))</f>
        <v/>
      </c>
      <c r="V3604" s="54" t="s">
        <v>2</v>
      </c>
      <c r="W3604" s="54" t="s">
        <v>2</v>
      </c>
      <c r="X3604" s="54" t="s">
        <v>2</v>
      </c>
      <c r="Y3604" s="54" t="s">
        <v>2</v>
      </c>
      <c r="Z3604" s="54" t="s">
        <v>2</v>
      </c>
      <c r="AA3604" s="54" t="s">
        <v>2</v>
      </c>
      <c r="AB3604" s="54" t="s">
        <v>2</v>
      </c>
      <c r="AC3604" s="54" t="s">
        <v>2</v>
      </c>
      <c r="AD3604" s="54" t="s">
        <v>2</v>
      </c>
      <c r="AE3604" s="54" t="s">
        <v>2</v>
      </c>
      <c r="AF3604" s="54" t="s">
        <v>2</v>
      </c>
      <c r="AG3604" s="54" t="s">
        <v>2</v>
      </c>
    </row>
    <row r="3605" ht="15.75" customHeight="1">
      <c r="B3605" s="56"/>
      <c r="U3605" s="46" t="str">
        <f t="array" ref="U3605">IF($D3605="","",IFERROR(_xlfn.XLOOKUP($D3605,'TIR店舗一覧'!$D:$D,'TIR店舗一覧'!$E:$E,""),""))</f>
        <v/>
      </c>
      <c r="V3605" s="54" t="s">
        <v>2</v>
      </c>
      <c r="W3605" s="54" t="s">
        <v>2</v>
      </c>
      <c r="X3605" s="54" t="s">
        <v>2</v>
      </c>
      <c r="Y3605" s="54" t="s">
        <v>2</v>
      </c>
      <c r="Z3605" s="54" t="s">
        <v>2</v>
      </c>
      <c r="AA3605" s="54" t="s">
        <v>2</v>
      </c>
      <c r="AB3605" s="54" t="s">
        <v>2</v>
      </c>
      <c r="AC3605" s="54" t="s">
        <v>2</v>
      </c>
      <c r="AD3605" s="54" t="s">
        <v>2</v>
      </c>
      <c r="AE3605" s="54" t="s">
        <v>2</v>
      </c>
      <c r="AF3605" s="54" t="s">
        <v>2</v>
      </c>
      <c r="AG3605" s="54" t="s">
        <v>2</v>
      </c>
    </row>
    <row r="3606" ht="15.75" customHeight="1">
      <c r="B3606" s="56"/>
      <c r="U3606" s="46" t="str">
        <f t="array" ref="U3606">IF($D3606="","",IFERROR(_xlfn.XLOOKUP($D3606,'TIR店舗一覧'!$D:$D,'TIR店舗一覧'!$E:$E,""),""))</f>
        <v/>
      </c>
      <c r="V3606" s="54" t="s">
        <v>2</v>
      </c>
      <c r="W3606" s="54" t="s">
        <v>2</v>
      </c>
      <c r="X3606" s="54" t="s">
        <v>2</v>
      </c>
      <c r="Y3606" s="54" t="s">
        <v>2</v>
      </c>
      <c r="Z3606" s="54" t="s">
        <v>2</v>
      </c>
      <c r="AA3606" s="54" t="s">
        <v>2</v>
      </c>
      <c r="AB3606" s="54" t="s">
        <v>2</v>
      </c>
      <c r="AC3606" s="54" t="s">
        <v>2</v>
      </c>
      <c r="AD3606" s="54" t="s">
        <v>2</v>
      </c>
      <c r="AE3606" s="54" t="s">
        <v>2</v>
      </c>
      <c r="AF3606" s="54" t="s">
        <v>2</v>
      </c>
      <c r="AG3606" s="54" t="s">
        <v>2</v>
      </c>
    </row>
    <row r="3607" ht="15.75" customHeight="1">
      <c r="B3607" s="56"/>
      <c r="U3607" s="46" t="str">
        <f t="array" ref="U3607">IF($D3607="","",IFERROR(_xlfn.XLOOKUP($D3607,'TIR店舗一覧'!$D:$D,'TIR店舗一覧'!$E:$E,""),""))</f>
        <v/>
      </c>
      <c r="V3607" s="54" t="s">
        <v>2</v>
      </c>
      <c r="W3607" s="54" t="s">
        <v>2</v>
      </c>
      <c r="X3607" s="54" t="s">
        <v>2</v>
      </c>
      <c r="Y3607" s="54" t="s">
        <v>2</v>
      </c>
      <c r="Z3607" s="54" t="s">
        <v>2</v>
      </c>
      <c r="AA3607" s="54" t="s">
        <v>2</v>
      </c>
      <c r="AB3607" s="54" t="s">
        <v>2</v>
      </c>
      <c r="AC3607" s="54" t="s">
        <v>2</v>
      </c>
      <c r="AD3607" s="54" t="s">
        <v>2</v>
      </c>
      <c r="AE3607" s="54" t="s">
        <v>2</v>
      </c>
      <c r="AF3607" s="54" t="s">
        <v>2</v>
      </c>
      <c r="AG3607" s="54" t="s">
        <v>2</v>
      </c>
    </row>
    <row r="3608" ht="15.75" customHeight="1">
      <c r="B3608" s="56"/>
      <c r="U3608" s="46" t="str">
        <f t="array" ref="U3608">IF($D3608="","",IFERROR(_xlfn.XLOOKUP($D3608,'TIR店舗一覧'!$D:$D,'TIR店舗一覧'!$E:$E,""),""))</f>
        <v/>
      </c>
      <c r="V3608" s="54" t="s">
        <v>2</v>
      </c>
      <c r="W3608" s="54" t="s">
        <v>2</v>
      </c>
      <c r="X3608" s="54" t="s">
        <v>2</v>
      </c>
      <c r="Y3608" s="54" t="s">
        <v>2</v>
      </c>
      <c r="Z3608" s="54" t="s">
        <v>2</v>
      </c>
      <c r="AA3608" s="54" t="s">
        <v>2</v>
      </c>
      <c r="AB3608" s="54" t="s">
        <v>2</v>
      </c>
      <c r="AC3608" s="54" t="s">
        <v>2</v>
      </c>
      <c r="AD3608" s="54" t="s">
        <v>2</v>
      </c>
      <c r="AE3608" s="54" t="s">
        <v>2</v>
      </c>
      <c r="AF3608" s="54" t="s">
        <v>2</v>
      </c>
      <c r="AG3608" s="54" t="s">
        <v>2</v>
      </c>
    </row>
    <row r="3609" ht="15.75" customHeight="1">
      <c r="B3609" s="56"/>
      <c r="U3609" s="46" t="str">
        <f t="array" ref="U3609">IF($D3609="","",IFERROR(_xlfn.XLOOKUP($D3609,'TIR店舗一覧'!$D:$D,'TIR店舗一覧'!$E:$E,""),""))</f>
        <v/>
      </c>
      <c r="V3609" s="54" t="s">
        <v>2</v>
      </c>
      <c r="W3609" s="54" t="s">
        <v>2</v>
      </c>
      <c r="X3609" s="54" t="s">
        <v>2</v>
      </c>
      <c r="Y3609" s="54" t="s">
        <v>2</v>
      </c>
      <c r="Z3609" s="54" t="s">
        <v>2</v>
      </c>
      <c r="AA3609" s="54" t="s">
        <v>2</v>
      </c>
      <c r="AB3609" s="54" t="s">
        <v>2</v>
      </c>
      <c r="AC3609" s="54" t="s">
        <v>2</v>
      </c>
      <c r="AD3609" s="54" t="s">
        <v>2</v>
      </c>
      <c r="AE3609" s="54" t="s">
        <v>2</v>
      </c>
      <c r="AF3609" s="54" t="s">
        <v>2</v>
      </c>
      <c r="AG3609" s="54" t="s">
        <v>2</v>
      </c>
    </row>
    <row r="3610" ht="15.75" customHeight="1">
      <c r="B3610" s="56"/>
      <c r="U3610" s="46" t="str">
        <f t="array" ref="U3610">IF($D3610="","",IFERROR(_xlfn.XLOOKUP($D3610,'TIR店舗一覧'!$D:$D,'TIR店舗一覧'!$E:$E,""),""))</f>
        <v/>
      </c>
      <c r="V3610" s="54" t="s">
        <v>2</v>
      </c>
      <c r="W3610" s="54" t="s">
        <v>2</v>
      </c>
      <c r="X3610" s="54" t="s">
        <v>2</v>
      </c>
      <c r="Y3610" s="54" t="s">
        <v>2</v>
      </c>
      <c r="Z3610" s="54" t="s">
        <v>2</v>
      </c>
      <c r="AA3610" s="54" t="s">
        <v>2</v>
      </c>
      <c r="AB3610" s="54" t="s">
        <v>2</v>
      </c>
      <c r="AC3610" s="54" t="s">
        <v>2</v>
      </c>
      <c r="AD3610" s="54" t="s">
        <v>2</v>
      </c>
      <c r="AE3610" s="54" t="s">
        <v>2</v>
      </c>
      <c r="AF3610" s="54" t="s">
        <v>2</v>
      </c>
      <c r="AG3610" s="54" t="s">
        <v>2</v>
      </c>
    </row>
    <row r="3611" ht="15.75" customHeight="1">
      <c r="B3611" s="56"/>
      <c r="U3611" s="46" t="str">
        <f t="array" ref="U3611">IF($D3611="","",IFERROR(_xlfn.XLOOKUP($D3611,'TIR店舗一覧'!$D:$D,'TIR店舗一覧'!$E:$E,""),""))</f>
        <v/>
      </c>
      <c r="V3611" s="54" t="s">
        <v>2</v>
      </c>
      <c r="W3611" s="54" t="s">
        <v>2</v>
      </c>
      <c r="X3611" s="54" t="s">
        <v>2</v>
      </c>
      <c r="Y3611" s="54" t="s">
        <v>2</v>
      </c>
      <c r="Z3611" s="54" t="s">
        <v>2</v>
      </c>
      <c r="AA3611" s="54" t="s">
        <v>2</v>
      </c>
      <c r="AB3611" s="54" t="s">
        <v>2</v>
      </c>
      <c r="AC3611" s="54" t="s">
        <v>2</v>
      </c>
      <c r="AD3611" s="54" t="s">
        <v>2</v>
      </c>
      <c r="AE3611" s="54" t="s">
        <v>2</v>
      </c>
      <c r="AF3611" s="54" t="s">
        <v>2</v>
      </c>
      <c r="AG3611" s="54" t="s">
        <v>2</v>
      </c>
    </row>
    <row r="3612" ht="15.75" customHeight="1">
      <c r="B3612" s="56"/>
      <c r="U3612" s="46" t="str">
        <f t="array" ref="U3612">IF($D3612="","",IFERROR(_xlfn.XLOOKUP($D3612,'TIR店舗一覧'!$D:$D,'TIR店舗一覧'!$E:$E,""),""))</f>
        <v/>
      </c>
      <c r="V3612" s="54" t="s">
        <v>2</v>
      </c>
      <c r="W3612" s="54" t="s">
        <v>2</v>
      </c>
      <c r="X3612" s="54" t="s">
        <v>2</v>
      </c>
      <c r="Y3612" s="54" t="s">
        <v>2</v>
      </c>
      <c r="Z3612" s="54" t="s">
        <v>2</v>
      </c>
      <c r="AA3612" s="54" t="s">
        <v>2</v>
      </c>
      <c r="AB3612" s="54" t="s">
        <v>2</v>
      </c>
      <c r="AC3612" s="54" t="s">
        <v>2</v>
      </c>
      <c r="AD3612" s="54" t="s">
        <v>2</v>
      </c>
      <c r="AE3612" s="54" t="s">
        <v>2</v>
      </c>
      <c r="AF3612" s="54" t="s">
        <v>2</v>
      </c>
      <c r="AG3612" s="54" t="s">
        <v>2</v>
      </c>
    </row>
    <row r="3613" ht="15.75" customHeight="1">
      <c r="B3613" s="56"/>
      <c r="U3613" s="46" t="str">
        <f t="array" ref="U3613">IF($D3613="","",IFERROR(_xlfn.XLOOKUP($D3613,'TIR店舗一覧'!$D:$D,'TIR店舗一覧'!$E:$E,""),""))</f>
        <v/>
      </c>
      <c r="V3613" s="54" t="s">
        <v>2</v>
      </c>
      <c r="W3613" s="54" t="s">
        <v>2</v>
      </c>
      <c r="X3613" s="54" t="s">
        <v>2</v>
      </c>
      <c r="Y3613" s="54" t="s">
        <v>2</v>
      </c>
      <c r="Z3613" s="54" t="s">
        <v>2</v>
      </c>
      <c r="AA3613" s="54" t="s">
        <v>2</v>
      </c>
      <c r="AB3613" s="54" t="s">
        <v>2</v>
      </c>
      <c r="AC3613" s="54" t="s">
        <v>2</v>
      </c>
      <c r="AD3613" s="54" t="s">
        <v>2</v>
      </c>
      <c r="AE3613" s="54" t="s">
        <v>2</v>
      </c>
      <c r="AF3613" s="54" t="s">
        <v>2</v>
      </c>
      <c r="AG3613" s="54" t="s">
        <v>2</v>
      </c>
    </row>
    <row r="3614" ht="15.75" customHeight="1">
      <c r="B3614" s="56"/>
      <c r="U3614" s="46" t="str">
        <f t="array" ref="U3614">IF($D3614="","",IFERROR(_xlfn.XLOOKUP($D3614,'TIR店舗一覧'!$D:$D,'TIR店舗一覧'!$E:$E,""),""))</f>
        <v/>
      </c>
      <c r="V3614" s="54" t="s">
        <v>2</v>
      </c>
      <c r="W3614" s="54" t="s">
        <v>2</v>
      </c>
      <c r="X3614" s="54" t="s">
        <v>2</v>
      </c>
      <c r="Y3614" s="54" t="s">
        <v>2</v>
      </c>
      <c r="Z3614" s="54" t="s">
        <v>2</v>
      </c>
      <c r="AA3614" s="54" t="s">
        <v>2</v>
      </c>
      <c r="AB3614" s="54" t="s">
        <v>2</v>
      </c>
      <c r="AC3614" s="54" t="s">
        <v>2</v>
      </c>
      <c r="AD3614" s="54" t="s">
        <v>2</v>
      </c>
      <c r="AE3614" s="54" t="s">
        <v>2</v>
      </c>
      <c r="AF3614" s="54" t="s">
        <v>2</v>
      </c>
      <c r="AG3614" s="54" t="s">
        <v>2</v>
      </c>
    </row>
    <row r="3615" ht="15.75" customHeight="1">
      <c r="B3615" s="56"/>
      <c r="U3615" s="46" t="str">
        <f t="array" ref="U3615">IF($D3615="","",IFERROR(_xlfn.XLOOKUP($D3615,'TIR店舗一覧'!$D:$D,'TIR店舗一覧'!$E:$E,""),""))</f>
        <v/>
      </c>
      <c r="V3615" s="54" t="s">
        <v>2</v>
      </c>
      <c r="W3615" s="54" t="s">
        <v>2</v>
      </c>
      <c r="X3615" s="54" t="s">
        <v>2</v>
      </c>
      <c r="Y3615" s="54" t="s">
        <v>2</v>
      </c>
      <c r="Z3615" s="54" t="s">
        <v>2</v>
      </c>
      <c r="AA3615" s="54" t="s">
        <v>2</v>
      </c>
      <c r="AB3615" s="54" t="s">
        <v>2</v>
      </c>
      <c r="AC3615" s="54" t="s">
        <v>2</v>
      </c>
      <c r="AD3615" s="54" t="s">
        <v>2</v>
      </c>
      <c r="AE3615" s="54" t="s">
        <v>2</v>
      </c>
      <c r="AF3615" s="54" t="s">
        <v>2</v>
      </c>
      <c r="AG3615" s="54" t="s">
        <v>2</v>
      </c>
    </row>
    <row r="3616" ht="15.75" customHeight="1">
      <c r="B3616" s="56"/>
      <c r="U3616" s="46" t="str">
        <f t="array" ref="U3616">IF($D3616="","",IFERROR(_xlfn.XLOOKUP($D3616,'TIR店舗一覧'!$D:$D,'TIR店舗一覧'!$E:$E,""),""))</f>
        <v/>
      </c>
      <c r="V3616" s="54" t="s">
        <v>2</v>
      </c>
      <c r="W3616" s="54" t="s">
        <v>2</v>
      </c>
      <c r="X3616" s="54" t="s">
        <v>2</v>
      </c>
      <c r="Y3616" s="54" t="s">
        <v>2</v>
      </c>
      <c r="Z3616" s="54" t="s">
        <v>2</v>
      </c>
      <c r="AA3616" s="54" t="s">
        <v>2</v>
      </c>
      <c r="AB3616" s="54" t="s">
        <v>2</v>
      </c>
      <c r="AC3616" s="54" t="s">
        <v>2</v>
      </c>
      <c r="AD3616" s="54" t="s">
        <v>2</v>
      </c>
      <c r="AE3616" s="54" t="s">
        <v>2</v>
      </c>
      <c r="AF3616" s="54" t="s">
        <v>2</v>
      </c>
      <c r="AG3616" s="54" t="s">
        <v>2</v>
      </c>
    </row>
    <row r="3617" ht="15.75" customHeight="1">
      <c r="B3617" s="56"/>
      <c r="U3617" s="46" t="str">
        <f t="array" ref="U3617">IF($D3617="","",IFERROR(_xlfn.XLOOKUP($D3617,'TIR店舗一覧'!$D:$D,'TIR店舗一覧'!$E:$E,""),""))</f>
        <v/>
      </c>
      <c r="V3617" s="54" t="s">
        <v>2</v>
      </c>
      <c r="W3617" s="54" t="s">
        <v>2</v>
      </c>
      <c r="X3617" s="54" t="s">
        <v>2</v>
      </c>
      <c r="Y3617" s="54" t="s">
        <v>2</v>
      </c>
      <c r="Z3617" s="54" t="s">
        <v>2</v>
      </c>
      <c r="AA3617" s="54" t="s">
        <v>2</v>
      </c>
      <c r="AB3617" s="54" t="s">
        <v>2</v>
      </c>
      <c r="AC3617" s="54" t="s">
        <v>2</v>
      </c>
      <c r="AD3617" s="54" t="s">
        <v>2</v>
      </c>
      <c r="AE3617" s="54" t="s">
        <v>2</v>
      </c>
      <c r="AF3617" s="54" t="s">
        <v>2</v>
      </c>
      <c r="AG3617" s="54" t="s">
        <v>2</v>
      </c>
    </row>
    <row r="3618" ht="15.75" customHeight="1">
      <c r="B3618" s="56"/>
      <c r="U3618" s="46" t="str">
        <f t="array" ref="U3618">IF($D3618="","",IFERROR(_xlfn.XLOOKUP($D3618,'TIR店舗一覧'!$D:$D,'TIR店舗一覧'!$E:$E,""),""))</f>
        <v/>
      </c>
      <c r="V3618" s="54" t="s">
        <v>2</v>
      </c>
      <c r="W3618" s="54" t="s">
        <v>2</v>
      </c>
      <c r="X3618" s="54" t="s">
        <v>2</v>
      </c>
      <c r="Y3618" s="54" t="s">
        <v>2</v>
      </c>
      <c r="Z3618" s="54" t="s">
        <v>2</v>
      </c>
      <c r="AA3618" s="54" t="s">
        <v>2</v>
      </c>
      <c r="AB3618" s="54" t="s">
        <v>2</v>
      </c>
      <c r="AC3618" s="54" t="s">
        <v>2</v>
      </c>
      <c r="AD3618" s="54" t="s">
        <v>2</v>
      </c>
      <c r="AE3618" s="54" t="s">
        <v>2</v>
      </c>
      <c r="AF3618" s="54" t="s">
        <v>2</v>
      </c>
      <c r="AG3618" s="54" t="s">
        <v>2</v>
      </c>
    </row>
    <row r="3619" ht="15.75" customHeight="1">
      <c r="B3619" s="56"/>
      <c r="U3619" s="46" t="str">
        <f t="array" ref="U3619">IF($D3619="","",IFERROR(_xlfn.XLOOKUP($D3619,'TIR店舗一覧'!$D:$D,'TIR店舗一覧'!$E:$E,""),""))</f>
        <v/>
      </c>
      <c r="V3619" s="54" t="s">
        <v>2</v>
      </c>
      <c r="W3619" s="54" t="s">
        <v>2</v>
      </c>
      <c r="X3619" s="54" t="s">
        <v>2</v>
      </c>
      <c r="Y3619" s="54" t="s">
        <v>2</v>
      </c>
      <c r="Z3619" s="54" t="s">
        <v>2</v>
      </c>
      <c r="AA3619" s="54" t="s">
        <v>2</v>
      </c>
      <c r="AB3619" s="54" t="s">
        <v>2</v>
      </c>
      <c r="AC3619" s="54" t="s">
        <v>2</v>
      </c>
      <c r="AD3619" s="54" t="s">
        <v>2</v>
      </c>
      <c r="AE3619" s="54" t="s">
        <v>2</v>
      </c>
      <c r="AF3619" s="54" t="s">
        <v>2</v>
      </c>
      <c r="AG3619" s="54" t="s">
        <v>2</v>
      </c>
    </row>
    <row r="3620" ht="15.75" customHeight="1">
      <c r="B3620" s="56"/>
      <c r="U3620" s="46" t="str">
        <f t="array" ref="U3620">IF($D3620="","",IFERROR(_xlfn.XLOOKUP($D3620,'TIR店舗一覧'!$D:$D,'TIR店舗一覧'!$E:$E,""),""))</f>
        <v/>
      </c>
      <c r="V3620" s="54" t="s">
        <v>2</v>
      </c>
      <c r="W3620" s="54" t="s">
        <v>2</v>
      </c>
      <c r="X3620" s="54" t="s">
        <v>2</v>
      </c>
      <c r="Y3620" s="54" t="s">
        <v>2</v>
      </c>
      <c r="Z3620" s="54" t="s">
        <v>2</v>
      </c>
      <c r="AA3620" s="54" t="s">
        <v>2</v>
      </c>
      <c r="AB3620" s="54" t="s">
        <v>2</v>
      </c>
      <c r="AC3620" s="54" t="s">
        <v>2</v>
      </c>
      <c r="AD3620" s="54" t="s">
        <v>2</v>
      </c>
      <c r="AE3620" s="54" t="s">
        <v>2</v>
      </c>
      <c r="AF3620" s="54" t="s">
        <v>2</v>
      </c>
      <c r="AG3620" s="54" t="s">
        <v>2</v>
      </c>
    </row>
    <row r="3621" ht="15.75" customHeight="1">
      <c r="B3621" s="56"/>
      <c r="U3621" s="46" t="str">
        <f t="array" ref="U3621">IF($D3621="","",IFERROR(_xlfn.XLOOKUP($D3621,'TIR店舗一覧'!$D:$D,'TIR店舗一覧'!$E:$E,""),""))</f>
        <v/>
      </c>
      <c r="V3621" s="54" t="s">
        <v>2</v>
      </c>
      <c r="W3621" s="54" t="s">
        <v>2</v>
      </c>
      <c r="X3621" s="54" t="s">
        <v>2</v>
      </c>
      <c r="Y3621" s="54" t="s">
        <v>2</v>
      </c>
      <c r="Z3621" s="54" t="s">
        <v>2</v>
      </c>
      <c r="AA3621" s="54" t="s">
        <v>2</v>
      </c>
      <c r="AB3621" s="54" t="s">
        <v>2</v>
      </c>
      <c r="AC3621" s="54" t="s">
        <v>2</v>
      </c>
      <c r="AD3621" s="54" t="s">
        <v>2</v>
      </c>
      <c r="AE3621" s="54" t="s">
        <v>2</v>
      </c>
      <c r="AF3621" s="54" t="s">
        <v>2</v>
      </c>
      <c r="AG3621" s="54" t="s">
        <v>2</v>
      </c>
    </row>
    <row r="3622" ht="15.75" customHeight="1">
      <c r="B3622" s="56"/>
      <c r="U3622" s="46" t="str">
        <f t="array" ref="U3622">IF($D3622="","",IFERROR(_xlfn.XLOOKUP($D3622,'TIR店舗一覧'!$D:$D,'TIR店舗一覧'!$E:$E,""),""))</f>
        <v/>
      </c>
      <c r="V3622" s="54" t="s">
        <v>2</v>
      </c>
      <c r="W3622" s="54" t="s">
        <v>2</v>
      </c>
      <c r="X3622" s="54" t="s">
        <v>2</v>
      </c>
      <c r="Y3622" s="54" t="s">
        <v>2</v>
      </c>
      <c r="Z3622" s="54" t="s">
        <v>2</v>
      </c>
      <c r="AA3622" s="54" t="s">
        <v>2</v>
      </c>
      <c r="AB3622" s="54" t="s">
        <v>2</v>
      </c>
      <c r="AC3622" s="54" t="s">
        <v>2</v>
      </c>
      <c r="AD3622" s="54" t="s">
        <v>2</v>
      </c>
      <c r="AE3622" s="54" t="s">
        <v>2</v>
      </c>
      <c r="AF3622" s="54" t="s">
        <v>2</v>
      </c>
      <c r="AG3622" s="54" t="s">
        <v>2</v>
      </c>
    </row>
    <row r="3623" ht="15.75" customHeight="1">
      <c r="B3623" s="56"/>
      <c r="U3623" s="46" t="str">
        <f t="array" ref="U3623">IF($D3623="","",IFERROR(_xlfn.XLOOKUP($D3623,'TIR店舗一覧'!$D:$D,'TIR店舗一覧'!$E:$E,""),""))</f>
        <v/>
      </c>
      <c r="V3623" s="54" t="s">
        <v>2</v>
      </c>
      <c r="W3623" s="54" t="s">
        <v>2</v>
      </c>
      <c r="X3623" s="54" t="s">
        <v>2</v>
      </c>
      <c r="Y3623" s="54" t="s">
        <v>2</v>
      </c>
      <c r="Z3623" s="54" t="s">
        <v>2</v>
      </c>
      <c r="AA3623" s="54" t="s">
        <v>2</v>
      </c>
      <c r="AB3623" s="54" t="s">
        <v>2</v>
      </c>
      <c r="AC3623" s="54" t="s">
        <v>2</v>
      </c>
      <c r="AD3623" s="54" t="s">
        <v>2</v>
      </c>
      <c r="AE3623" s="54" t="s">
        <v>2</v>
      </c>
      <c r="AF3623" s="54" t="s">
        <v>2</v>
      </c>
      <c r="AG3623" s="54" t="s">
        <v>2</v>
      </c>
    </row>
    <row r="3624" ht="15.75" customHeight="1">
      <c r="B3624" s="56"/>
      <c r="U3624" s="46" t="str">
        <f t="array" ref="U3624">IF($D3624="","",IFERROR(_xlfn.XLOOKUP($D3624,'TIR店舗一覧'!$D:$D,'TIR店舗一覧'!$E:$E,""),""))</f>
        <v/>
      </c>
      <c r="V3624" s="54" t="s">
        <v>2</v>
      </c>
      <c r="W3624" s="54" t="s">
        <v>2</v>
      </c>
      <c r="X3624" s="54" t="s">
        <v>2</v>
      </c>
      <c r="Y3624" s="54" t="s">
        <v>2</v>
      </c>
      <c r="Z3624" s="54" t="s">
        <v>2</v>
      </c>
      <c r="AA3624" s="54" t="s">
        <v>2</v>
      </c>
      <c r="AB3624" s="54" t="s">
        <v>2</v>
      </c>
      <c r="AC3624" s="54" t="s">
        <v>2</v>
      </c>
      <c r="AD3624" s="54" t="s">
        <v>2</v>
      </c>
      <c r="AE3624" s="54" t="s">
        <v>2</v>
      </c>
      <c r="AF3624" s="54" t="s">
        <v>2</v>
      </c>
      <c r="AG3624" s="54" t="s">
        <v>2</v>
      </c>
    </row>
    <row r="3625" ht="15.75" customHeight="1">
      <c r="B3625" s="56"/>
      <c r="U3625" s="46" t="str">
        <f t="array" ref="U3625">IF($D3625="","",IFERROR(_xlfn.XLOOKUP($D3625,'TIR店舗一覧'!$D:$D,'TIR店舗一覧'!$E:$E,""),""))</f>
        <v/>
      </c>
      <c r="V3625" s="54" t="s">
        <v>2</v>
      </c>
      <c r="W3625" s="54" t="s">
        <v>2</v>
      </c>
      <c r="X3625" s="54" t="s">
        <v>2</v>
      </c>
      <c r="Y3625" s="54" t="s">
        <v>2</v>
      </c>
      <c r="Z3625" s="54" t="s">
        <v>2</v>
      </c>
      <c r="AA3625" s="54" t="s">
        <v>2</v>
      </c>
      <c r="AB3625" s="54" t="s">
        <v>2</v>
      </c>
      <c r="AC3625" s="54" t="s">
        <v>2</v>
      </c>
      <c r="AD3625" s="54" t="s">
        <v>2</v>
      </c>
      <c r="AE3625" s="54" t="s">
        <v>2</v>
      </c>
      <c r="AF3625" s="54" t="s">
        <v>2</v>
      </c>
      <c r="AG3625" s="54" t="s">
        <v>2</v>
      </c>
    </row>
    <row r="3626" ht="15.75" customHeight="1">
      <c r="B3626" s="56"/>
      <c r="U3626" s="46" t="str">
        <f t="array" ref="U3626">IF($D3626="","",IFERROR(_xlfn.XLOOKUP($D3626,'TIR店舗一覧'!$D:$D,'TIR店舗一覧'!$E:$E,""),""))</f>
        <v/>
      </c>
      <c r="V3626" s="54" t="s">
        <v>2</v>
      </c>
      <c r="W3626" s="54" t="s">
        <v>2</v>
      </c>
      <c r="X3626" s="54" t="s">
        <v>2</v>
      </c>
      <c r="Y3626" s="54" t="s">
        <v>2</v>
      </c>
      <c r="Z3626" s="54" t="s">
        <v>2</v>
      </c>
      <c r="AA3626" s="54" t="s">
        <v>2</v>
      </c>
      <c r="AB3626" s="54" t="s">
        <v>2</v>
      </c>
      <c r="AC3626" s="54" t="s">
        <v>2</v>
      </c>
      <c r="AD3626" s="54" t="s">
        <v>2</v>
      </c>
      <c r="AE3626" s="54" t="s">
        <v>2</v>
      </c>
      <c r="AF3626" s="54" t="s">
        <v>2</v>
      </c>
      <c r="AG3626" s="54" t="s">
        <v>2</v>
      </c>
    </row>
    <row r="3627" ht="15.75" customHeight="1">
      <c r="B3627" s="56"/>
      <c r="U3627" s="46" t="str">
        <f t="array" ref="U3627">IF($D3627="","",IFERROR(_xlfn.XLOOKUP($D3627,'TIR店舗一覧'!$D:$D,'TIR店舗一覧'!$E:$E,""),""))</f>
        <v/>
      </c>
      <c r="V3627" s="54" t="s">
        <v>2</v>
      </c>
      <c r="W3627" s="54" t="s">
        <v>2</v>
      </c>
      <c r="X3627" s="54" t="s">
        <v>2</v>
      </c>
      <c r="Y3627" s="54" t="s">
        <v>2</v>
      </c>
      <c r="Z3627" s="54" t="s">
        <v>2</v>
      </c>
      <c r="AA3627" s="54" t="s">
        <v>2</v>
      </c>
      <c r="AB3627" s="54" t="s">
        <v>2</v>
      </c>
      <c r="AC3627" s="54" t="s">
        <v>2</v>
      </c>
      <c r="AD3627" s="54" t="s">
        <v>2</v>
      </c>
      <c r="AE3627" s="54" t="s">
        <v>2</v>
      </c>
      <c r="AF3627" s="54" t="s">
        <v>2</v>
      </c>
      <c r="AG3627" s="54" t="s">
        <v>2</v>
      </c>
    </row>
    <row r="3628" ht="15.75" customHeight="1">
      <c r="B3628" s="56"/>
      <c r="U3628" s="46" t="str">
        <f t="array" ref="U3628">IF($D3628="","",IFERROR(_xlfn.XLOOKUP($D3628,'TIR店舗一覧'!$D:$D,'TIR店舗一覧'!$E:$E,""),""))</f>
        <v/>
      </c>
      <c r="V3628" s="54" t="s">
        <v>2</v>
      </c>
      <c r="W3628" s="54" t="s">
        <v>2</v>
      </c>
      <c r="X3628" s="54" t="s">
        <v>2</v>
      </c>
      <c r="Y3628" s="54" t="s">
        <v>2</v>
      </c>
      <c r="Z3628" s="54" t="s">
        <v>2</v>
      </c>
      <c r="AA3628" s="54" t="s">
        <v>2</v>
      </c>
      <c r="AB3628" s="54" t="s">
        <v>2</v>
      </c>
      <c r="AC3628" s="54" t="s">
        <v>2</v>
      </c>
      <c r="AD3628" s="54" t="s">
        <v>2</v>
      </c>
      <c r="AE3628" s="54" t="s">
        <v>2</v>
      </c>
      <c r="AF3628" s="54" t="s">
        <v>2</v>
      </c>
      <c r="AG3628" s="54" t="s">
        <v>2</v>
      </c>
    </row>
    <row r="3629" ht="15.75" customHeight="1">
      <c r="B3629" s="56"/>
      <c r="U3629" s="46" t="str">
        <f t="array" ref="U3629">IF($D3629="","",IFERROR(_xlfn.XLOOKUP($D3629,'TIR店舗一覧'!$D:$D,'TIR店舗一覧'!$E:$E,""),""))</f>
        <v/>
      </c>
      <c r="V3629" s="54" t="s">
        <v>2</v>
      </c>
      <c r="W3629" s="54" t="s">
        <v>2</v>
      </c>
      <c r="X3629" s="54" t="s">
        <v>2</v>
      </c>
      <c r="Y3629" s="54" t="s">
        <v>2</v>
      </c>
      <c r="Z3629" s="54" t="s">
        <v>2</v>
      </c>
      <c r="AA3629" s="54" t="s">
        <v>2</v>
      </c>
      <c r="AB3629" s="54" t="s">
        <v>2</v>
      </c>
      <c r="AC3629" s="54" t="s">
        <v>2</v>
      </c>
      <c r="AD3629" s="54" t="s">
        <v>2</v>
      </c>
      <c r="AE3629" s="54" t="s">
        <v>2</v>
      </c>
      <c r="AF3629" s="54" t="s">
        <v>2</v>
      </c>
      <c r="AG3629" s="54" t="s">
        <v>2</v>
      </c>
    </row>
    <row r="3630" ht="15.75" customHeight="1">
      <c r="B3630" s="56"/>
      <c r="U3630" s="46" t="str">
        <f t="array" ref="U3630">IF($D3630="","",IFERROR(_xlfn.XLOOKUP($D3630,'TIR店舗一覧'!$D:$D,'TIR店舗一覧'!$E:$E,""),""))</f>
        <v/>
      </c>
      <c r="V3630" s="54" t="s">
        <v>2</v>
      </c>
      <c r="W3630" s="54" t="s">
        <v>2</v>
      </c>
      <c r="X3630" s="54" t="s">
        <v>2</v>
      </c>
      <c r="Y3630" s="54" t="s">
        <v>2</v>
      </c>
      <c r="Z3630" s="54" t="s">
        <v>2</v>
      </c>
      <c r="AA3630" s="54" t="s">
        <v>2</v>
      </c>
      <c r="AB3630" s="54" t="s">
        <v>2</v>
      </c>
      <c r="AC3630" s="54" t="s">
        <v>2</v>
      </c>
      <c r="AD3630" s="54" t="s">
        <v>2</v>
      </c>
      <c r="AE3630" s="54" t="s">
        <v>2</v>
      </c>
      <c r="AF3630" s="54" t="s">
        <v>2</v>
      </c>
      <c r="AG3630" s="54" t="s">
        <v>2</v>
      </c>
    </row>
    <row r="3631" ht="15.75" customHeight="1">
      <c r="B3631" s="56"/>
      <c r="U3631" s="46" t="str">
        <f t="array" ref="U3631">IF($D3631="","",IFERROR(_xlfn.XLOOKUP($D3631,'TIR店舗一覧'!$D:$D,'TIR店舗一覧'!$E:$E,""),""))</f>
        <v/>
      </c>
      <c r="V3631" s="54" t="s">
        <v>2</v>
      </c>
      <c r="W3631" s="54" t="s">
        <v>2</v>
      </c>
      <c r="X3631" s="54" t="s">
        <v>2</v>
      </c>
      <c r="Y3631" s="54" t="s">
        <v>2</v>
      </c>
      <c r="Z3631" s="54" t="s">
        <v>2</v>
      </c>
      <c r="AA3631" s="54" t="s">
        <v>2</v>
      </c>
      <c r="AB3631" s="54" t="s">
        <v>2</v>
      </c>
      <c r="AC3631" s="54" t="s">
        <v>2</v>
      </c>
      <c r="AD3631" s="54" t="s">
        <v>2</v>
      </c>
      <c r="AE3631" s="54" t="s">
        <v>2</v>
      </c>
      <c r="AF3631" s="54" t="s">
        <v>2</v>
      </c>
      <c r="AG3631" s="54" t="s">
        <v>2</v>
      </c>
    </row>
    <row r="3632" ht="15.75" customHeight="1">
      <c r="B3632" s="56"/>
      <c r="U3632" s="46" t="str">
        <f t="array" ref="U3632">IF($D3632="","",IFERROR(_xlfn.XLOOKUP($D3632,'TIR店舗一覧'!$D:$D,'TIR店舗一覧'!$E:$E,""),""))</f>
        <v/>
      </c>
      <c r="V3632" s="54" t="s">
        <v>2</v>
      </c>
      <c r="W3632" s="54" t="s">
        <v>2</v>
      </c>
      <c r="X3632" s="54" t="s">
        <v>2</v>
      </c>
      <c r="Y3632" s="54" t="s">
        <v>2</v>
      </c>
      <c r="Z3632" s="54" t="s">
        <v>2</v>
      </c>
      <c r="AA3632" s="54" t="s">
        <v>2</v>
      </c>
      <c r="AB3632" s="54" t="s">
        <v>2</v>
      </c>
      <c r="AC3632" s="54" t="s">
        <v>2</v>
      </c>
      <c r="AD3632" s="54" t="s">
        <v>2</v>
      </c>
      <c r="AE3632" s="54" t="s">
        <v>2</v>
      </c>
      <c r="AF3632" s="54" t="s">
        <v>2</v>
      </c>
      <c r="AG3632" s="54" t="s">
        <v>2</v>
      </c>
    </row>
    <row r="3633" ht="15.75" customHeight="1">
      <c r="B3633" s="56"/>
      <c r="U3633" s="46" t="str">
        <f t="array" ref="U3633">IF($D3633="","",IFERROR(_xlfn.XLOOKUP($D3633,'TIR店舗一覧'!$D:$D,'TIR店舗一覧'!$E:$E,""),""))</f>
        <v/>
      </c>
      <c r="V3633" s="54" t="s">
        <v>2</v>
      </c>
      <c r="W3633" s="54" t="s">
        <v>2</v>
      </c>
      <c r="X3633" s="54" t="s">
        <v>2</v>
      </c>
      <c r="Y3633" s="54" t="s">
        <v>2</v>
      </c>
      <c r="Z3633" s="54" t="s">
        <v>2</v>
      </c>
      <c r="AA3633" s="54" t="s">
        <v>2</v>
      </c>
      <c r="AB3633" s="54" t="s">
        <v>2</v>
      </c>
      <c r="AC3633" s="54" t="s">
        <v>2</v>
      </c>
      <c r="AD3633" s="54" t="s">
        <v>2</v>
      </c>
      <c r="AE3633" s="54" t="s">
        <v>2</v>
      </c>
      <c r="AF3633" s="54" t="s">
        <v>2</v>
      </c>
      <c r="AG3633" s="54" t="s">
        <v>2</v>
      </c>
    </row>
    <row r="3634" ht="15.75" customHeight="1">
      <c r="B3634" s="56"/>
      <c r="U3634" s="46" t="str">
        <f t="array" ref="U3634">IF($D3634="","",IFERROR(_xlfn.XLOOKUP($D3634,'TIR店舗一覧'!$D:$D,'TIR店舗一覧'!$E:$E,""),""))</f>
        <v/>
      </c>
      <c r="V3634" s="54" t="s">
        <v>2</v>
      </c>
      <c r="W3634" s="54" t="s">
        <v>2</v>
      </c>
      <c r="X3634" s="54" t="s">
        <v>2</v>
      </c>
      <c r="Y3634" s="54" t="s">
        <v>2</v>
      </c>
      <c r="Z3634" s="54" t="s">
        <v>2</v>
      </c>
      <c r="AA3634" s="54" t="s">
        <v>2</v>
      </c>
      <c r="AB3634" s="54" t="s">
        <v>2</v>
      </c>
      <c r="AC3634" s="54" t="s">
        <v>2</v>
      </c>
      <c r="AD3634" s="54" t="s">
        <v>2</v>
      </c>
      <c r="AE3634" s="54" t="s">
        <v>2</v>
      </c>
      <c r="AF3634" s="54" t="s">
        <v>2</v>
      </c>
      <c r="AG3634" s="54" t="s">
        <v>2</v>
      </c>
    </row>
    <row r="3635" ht="15.75" customHeight="1">
      <c r="B3635" s="56"/>
      <c r="U3635" s="46" t="str">
        <f t="array" ref="U3635">IF($D3635="","",IFERROR(_xlfn.XLOOKUP($D3635,'TIR店舗一覧'!$D:$D,'TIR店舗一覧'!$E:$E,""),""))</f>
        <v/>
      </c>
      <c r="V3635" s="54" t="s">
        <v>2</v>
      </c>
      <c r="W3635" s="54" t="s">
        <v>2</v>
      </c>
      <c r="X3635" s="54" t="s">
        <v>2</v>
      </c>
      <c r="Y3635" s="54" t="s">
        <v>2</v>
      </c>
      <c r="Z3635" s="54" t="s">
        <v>2</v>
      </c>
      <c r="AA3635" s="54" t="s">
        <v>2</v>
      </c>
      <c r="AB3635" s="54" t="s">
        <v>2</v>
      </c>
      <c r="AC3635" s="54" t="s">
        <v>2</v>
      </c>
      <c r="AD3635" s="54" t="s">
        <v>2</v>
      </c>
      <c r="AE3635" s="54" t="s">
        <v>2</v>
      </c>
      <c r="AF3635" s="54" t="s">
        <v>2</v>
      </c>
      <c r="AG3635" s="54" t="s">
        <v>2</v>
      </c>
    </row>
    <row r="3636" ht="15.75" customHeight="1">
      <c r="B3636" s="56"/>
      <c r="U3636" s="46" t="str">
        <f t="array" ref="U3636">IF($D3636="","",IFERROR(_xlfn.XLOOKUP($D3636,'TIR店舗一覧'!$D:$D,'TIR店舗一覧'!$E:$E,""),""))</f>
        <v/>
      </c>
      <c r="V3636" s="54" t="s">
        <v>2</v>
      </c>
      <c r="W3636" s="54" t="s">
        <v>2</v>
      </c>
      <c r="X3636" s="54" t="s">
        <v>2</v>
      </c>
      <c r="Y3636" s="54" t="s">
        <v>2</v>
      </c>
      <c r="Z3636" s="54" t="s">
        <v>2</v>
      </c>
      <c r="AA3636" s="54" t="s">
        <v>2</v>
      </c>
      <c r="AB3636" s="54" t="s">
        <v>2</v>
      </c>
      <c r="AC3636" s="54" t="s">
        <v>2</v>
      </c>
      <c r="AD3636" s="54" t="s">
        <v>2</v>
      </c>
      <c r="AE3636" s="54" t="s">
        <v>2</v>
      </c>
      <c r="AF3636" s="54" t="s">
        <v>2</v>
      </c>
      <c r="AG3636" s="54" t="s">
        <v>2</v>
      </c>
    </row>
    <row r="3637" ht="15.75" customHeight="1">
      <c r="B3637" s="56"/>
      <c r="U3637" s="46" t="str">
        <f t="array" ref="U3637">IF($D3637="","",IFERROR(_xlfn.XLOOKUP($D3637,'TIR店舗一覧'!$D:$D,'TIR店舗一覧'!$E:$E,""),""))</f>
        <v/>
      </c>
      <c r="V3637" s="54" t="s">
        <v>2</v>
      </c>
      <c r="W3637" s="54" t="s">
        <v>2</v>
      </c>
      <c r="X3637" s="54" t="s">
        <v>2</v>
      </c>
      <c r="Y3637" s="54" t="s">
        <v>2</v>
      </c>
      <c r="Z3637" s="54" t="s">
        <v>2</v>
      </c>
      <c r="AA3637" s="54" t="s">
        <v>2</v>
      </c>
      <c r="AB3637" s="54" t="s">
        <v>2</v>
      </c>
      <c r="AC3637" s="54" t="s">
        <v>2</v>
      </c>
      <c r="AD3637" s="54" t="s">
        <v>2</v>
      </c>
      <c r="AE3637" s="54" t="s">
        <v>2</v>
      </c>
      <c r="AF3637" s="54" t="s">
        <v>2</v>
      </c>
      <c r="AG3637" s="54" t="s">
        <v>2</v>
      </c>
    </row>
    <row r="3638" ht="15.75" customHeight="1">
      <c r="B3638" s="56"/>
      <c r="U3638" s="46" t="str">
        <f t="array" ref="U3638">IF($D3638="","",IFERROR(_xlfn.XLOOKUP($D3638,'TIR店舗一覧'!$D:$D,'TIR店舗一覧'!$E:$E,""),""))</f>
        <v/>
      </c>
      <c r="V3638" s="54" t="s">
        <v>2</v>
      </c>
      <c r="W3638" s="54" t="s">
        <v>2</v>
      </c>
      <c r="X3638" s="54" t="s">
        <v>2</v>
      </c>
      <c r="Y3638" s="54" t="s">
        <v>2</v>
      </c>
      <c r="Z3638" s="54" t="s">
        <v>2</v>
      </c>
      <c r="AA3638" s="54" t="s">
        <v>2</v>
      </c>
      <c r="AB3638" s="54" t="s">
        <v>2</v>
      </c>
      <c r="AC3638" s="54" t="s">
        <v>2</v>
      </c>
      <c r="AD3638" s="54" t="s">
        <v>2</v>
      </c>
      <c r="AE3638" s="54" t="s">
        <v>2</v>
      </c>
      <c r="AF3638" s="54" t="s">
        <v>2</v>
      </c>
      <c r="AG3638" s="54" t="s">
        <v>2</v>
      </c>
    </row>
    <row r="3639" ht="15.75" customHeight="1">
      <c r="B3639" s="56"/>
      <c r="U3639" s="46" t="str">
        <f t="array" ref="U3639">IF($D3639="","",IFERROR(_xlfn.XLOOKUP($D3639,'TIR店舗一覧'!$D:$D,'TIR店舗一覧'!$E:$E,""),""))</f>
        <v/>
      </c>
      <c r="V3639" s="54" t="s">
        <v>2</v>
      </c>
      <c r="W3639" s="54" t="s">
        <v>2</v>
      </c>
      <c r="X3639" s="54" t="s">
        <v>2</v>
      </c>
      <c r="Y3639" s="54" t="s">
        <v>2</v>
      </c>
      <c r="Z3639" s="54" t="s">
        <v>2</v>
      </c>
      <c r="AA3639" s="54" t="s">
        <v>2</v>
      </c>
      <c r="AB3639" s="54" t="s">
        <v>2</v>
      </c>
      <c r="AC3639" s="54" t="s">
        <v>2</v>
      </c>
      <c r="AD3639" s="54" t="s">
        <v>2</v>
      </c>
      <c r="AE3639" s="54" t="s">
        <v>2</v>
      </c>
      <c r="AF3639" s="54" t="s">
        <v>2</v>
      </c>
      <c r="AG3639" s="54" t="s">
        <v>2</v>
      </c>
    </row>
    <row r="3640" ht="15.75" customHeight="1">
      <c r="B3640" s="56"/>
      <c r="U3640" s="46" t="str">
        <f t="array" ref="U3640">IF($D3640="","",IFERROR(_xlfn.XLOOKUP($D3640,'TIR店舗一覧'!$D:$D,'TIR店舗一覧'!$E:$E,""),""))</f>
        <v/>
      </c>
      <c r="V3640" s="54" t="s">
        <v>2</v>
      </c>
      <c r="W3640" s="54" t="s">
        <v>2</v>
      </c>
      <c r="X3640" s="54" t="s">
        <v>2</v>
      </c>
      <c r="Y3640" s="54" t="s">
        <v>2</v>
      </c>
      <c r="Z3640" s="54" t="s">
        <v>2</v>
      </c>
      <c r="AA3640" s="54" t="s">
        <v>2</v>
      </c>
      <c r="AB3640" s="54" t="s">
        <v>2</v>
      </c>
      <c r="AC3640" s="54" t="s">
        <v>2</v>
      </c>
      <c r="AD3640" s="54" t="s">
        <v>2</v>
      </c>
      <c r="AE3640" s="54" t="s">
        <v>2</v>
      </c>
      <c r="AF3640" s="54" t="s">
        <v>2</v>
      </c>
      <c r="AG3640" s="54" t="s">
        <v>2</v>
      </c>
    </row>
    <row r="3641" ht="15.75" customHeight="1">
      <c r="B3641" s="56"/>
      <c r="U3641" s="46" t="str">
        <f t="array" ref="U3641">IF($D3641="","",IFERROR(_xlfn.XLOOKUP($D3641,'TIR店舗一覧'!$D:$D,'TIR店舗一覧'!$E:$E,""),""))</f>
        <v/>
      </c>
      <c r="V3641" s="54" t="s">
        <v>2</v>
      </c>
      <c r="W3641" s="54" t="s">
        <v>2</v>
      </c>
      <c r="X3641" s="54" t="s">
        <v>2</v>
      </c>
      <c r="Y3641" s="54" t="s">
        <v>2</v>
      </c>
      <c r="Z3641" s="54" t="s">
        <v>2</v>
      </c>
      <c r="AA3641" s="54" t="s">
        <v>2</v>
      </c>
      <c r="AB3641" s="54" t="s">
        <v>2</v>
      </c>
      <c r="AC3641" s="54" t="s">
        <v>2</v>
      </c>
      <c r="AD3641" s="54" t="s">
        <v>2</v>
      </c>
      <c r="AE3641" s="54" t="s">
        <v>2</v>
      </c>
      <c r="AF3641" s="54" t="s">
        <v>2</v>
      </c>
      <c r="AG3641" s="54" t="s">
        <v>2</v>
      </c>
    </row>
    <row r="3642" ht="15.75" customHeight="1">
      <c r="B3642" s="56"/>
      <c r="U3642" s="46" t="str">
        <f t="array" ref="U3642">IF($D3642="","",IFERROR(_xlfn.XLOOKUP($D3642,'TIR店舗一覧'!$D:$D,'TIR店舗一覧'!$E:$E,""),""))</f>
        <v/>
      </c>
      <c r="V3642" s="54" t="s">
        <v>2</v>
      </c>
      <c r="W3642" s="54" t="s">
        <v>2</v>
      </c>
      <c r="X3642" s="54" t="s">
        <v>2</v>
      </c>
      <c r="Y3642" s="54" t="s">
        <v>2</v>
      </c>
      <c r="Z3642" s="54" t="s">
        <v>2</v>
      </c>
      <c r="AA3642" s="54" t="s">
        <v>2</v>
      </c>
      <c r="AB3642" s="54" t="s">
        <v>2</v>
      </c>
      <c r="AC3642" s="54" t="s">
        <v>2</v>
      </c>
      <c r="AD3642" s="54" t="s">
        <v>2</v>
      </c>
      <c r="AE3642" s="54" t="s">
        <v>2</v>
      </c>
      <c r="AF3642" s="54" t="s">
        <v>2</v>
      </c>
      <c r="AG3642" s="54" t="s">
        <v>2</v>
      </c>
    </row>
    <row r="3643" ht="15.75" customHeight="1">
      <c r="B3643" s="56"/>
      <c r="U3643" s="46" t="str">
        <f t="array" ref="U3643">IF($D3643="","",IFERROR(_xlfn.XLOOKUP($D3643,'TIR店舗一覧'!$D:$D,'TIR店舗一覧'!$E:$E,""),""))</f>
        <v/>
      </c>
      <c r="V3643" s="54" t="s">
        <v>2</v>
      </c>
      <c r="W3643" s="54" t="s">
        <v>2</v>
      </c>
      <c r="X3643" s="54" t="s">
        <v>2</v>
      </c>
      <c r="Y3643" s="54" t="s">
        <v>2</v>
      </c>
      <c r="Z3643" s="54" t="s">
        <v>2</v>
      </c>
      <c r="AA3643" s="54" t="s">
        <v>2</v>
      </c>
      <c r="AB3643" s="54" t="s">
        <v>2</v>
      </c>
      <c r="AC3643" s="54" t="s">
        <v>2</v>
      </c>
      <c r="AD3643" s="54" t="s">
        <v>2</v>
      </c>
      <c r="AE3643" s="54" t="s">
        <v>2</v>
      </c>
      <c r="AF3643" s="54" t="s">
        <v>2</v>
      </c>
      <c r="AG3643" s="54" t="s">
        <v>2</v>
      </c>
    </row>
    <row r="3644" ht="15.75" customHeight="1">
      <c r="B3644" s="56"/>
      <c r="U3644" s="46" t="str">
        <f t="array" ref="U3644">IF($D3644="","",IFERROR(_xlfn.XLOOKUP($D3644,'TIR店舗一覧'!$D:$D,'TIR店舗一覧'!$E:$E,""),""))</f>
        <v/>
      </c>
      <c r="V3644" s="54" t="s">
        <v>2</v>
      </c>
      <c r="W3644" s="54" t="s">
        <v>2</v>
      </c>
      <c r="X3644" s="54" t="s">
        <v>2</v>
      </c>
      <c r="Y3644" s="54" t="s">
        <v>2</v>
      </c>
      <c r="Z3644" s="54" t="s">
        <v>2</v>
      </c>
      <c r="AA3644" s="54" t="s">
        <v>2</v>
      </c>
      <c r="AB3644" s="54" t="s">
        <v>2</v>
      </c>
      <c r="AC3644" s="54" t="s">
        <v>2</v>
      </c>
      <c r="AD3644" s="54" t="s">
        <v>2</v>
      </c>
      <c r="AE3644" s="54" t="s">
        <v>2</v>
      </c>
      <c r="AF3644" s="54" t="s">
        <v>2</v>
      </c>
      <c r="AG3644" s="54" t="s">
        <v>2</v>
      </c>
    </row>
    <row r="3645" ht="15.75" customHeight="1">
      <c r="B3645" s="56"/>
      <c r="U3645" s="46" t="str">
        <f t="array" ref="U3645">IF($D3645="","",IFERROR(_xlfn.XLOOKUP($D3645,'TIR店舗一覧'!$D:$D,'TIR店舗一覧'!$E:$E,""),""))</f>
        <v/>
      </c>
      <c r="V3645" s="54" t="s">
        <v>2</v>
      </c>
      <c r="W3645" s="54" t="s">
        <v>2</v>
      </c>
      <c r="X3645" s="54" t="s">
        <v>2</v>
      </c>
      <c r="Y3645" s="54" t="s">
        <v>2</v>
      </c>
      <c r="Z3645" s="54" t="s">
        <v>2</v>
      </c>
      <c r="AA3645" s="54" t="s">
        <v>2</v>
      </c>
      <c r="AB3645" s="54" t="s">
        <v>2</v>
      </c>
      <c r="AC3645" s="54" t="s">
        <v>2</v>
      </c>
      <c r="AD3645" s="54" t="s">
        <v>2</v>
      </c>
      <c r="AE3645" s="54" t="s">
        <v>2</v>
      </c>
      <c r="AF3645" s="54" t="s">
        <v>2</v>
      </c>
      <c r="AG3645" s="54" t="s">
        <v>2</v>
      </c>
    </row>
    <row r="3646" ht="15.75" customHeight="1">
      <c r="B3646" s="56"/>
      <c r="U3646" s="46" t="str">
        <f t="array" ref="U3646">IF($D3646="","",IFERROR(_xlfn.XLOOKUP($D3646,'TIR店舗一覧'!$D:$D,'TIR店舗一覧'!$E:$E,""),""))</f>
        <v/>
      </c>
      <c r="V3646" s="54" t="s">
        <v>2</v>
      </c>
      <c r="W3646" s="54" t="s">
        <v>2</v>
      </c>
      <c r="X3646" s="54" t="s">
        <v>2</v>
      </c>
      <c r="Y3646" s="54" t="s">
        <v>2</v>
      </c>
      <c r="Z3646" s="54" t="s">
        <v>2</v>
      </c>
      <c r="AA3646" s="54" t="s">
        <v>2</v>
      </c>
      <c r="AB3646" s="54" t="s">
        <v>2</v>
      </c>
      <c r="AC3646" s="54" t="s">
        <v>2</v>
      </c>
      <c r="AD3646" s="54" t="s">
        <v>2</v>
      </c>
      <c r="AE3646" s="54" t="s">
        <v>2</v>
      </c>
      <c r="AF3646" s="54" t="s">
        <v>2</v>
      </c>
      <c r="AG3646" s="54" t="s">
        <v>2</v>
      </c>
    </row>
    <row r="3647" ht="15.75" customHeight="1">
      <c r="B3647" s="56"/>
      <c r="U3647" s="46" t="str">
        <f t="array" ref="U3647">IF($D3647="","",IFERROR(_xlfn.XLOOKUP($D3647,'TIR店舗一覧'!$D:$D,'TIR店舗一覧'!$E:$E,""),""))</f>
        <v/>
      </c>
      <c r="V3647" s="54" t="s">
        <v>2</v>
      </c>
      <c r="W3647" s="54" t="s">
        <v>2</v>
      </c>
      <c r="X3647" s="54" t="s">
        <v>2</v>
      </c>
      <c r="Y3647" s="54" t="s">
        <v>2</v>
      </c>
      <c r="Z3647" s="54" t="s">
        <v>2</v>
      </c>
      <c r="AA3647" s="54" t="s">
        <v>2</v>
      </c>
      <c r="AB3647" s="54" t="s">
        <v>2</v>
      </c>
      <c r="AC3647" s="54" t="s">
        <v>2</v>
      </c>
      <c r="AD3647" s="54" t="s">
        <v>2</v>
      </c>
      <c r="AE3647" s="54" t="s">
        <v>2</v>
      </c>
      <c r="AF3647" s="54" t="s">
        <v>2</v>
      </c>
      <c r="AG3647" s="54" t="s">
        <v>2</v>
      </c>
    </row>
    <row r="3648" ht="15.75" customHeight="1">
      <c r="B3648" s="56"/>
      <c r="U3648" s="46" t="str">
        <f t="array" ref="U3648">IF($D3648="","",IFERROR(_xlfn.XLOOKUP($D3648,'TIR店舗一覧'!$D:$D,'TIR店舗一覧'!$E:$E,""),""))</f>
        <v/>
      </c>
      <c r="V3648" s="54" t="s">
        <v>2</v>
      </c>
      <c r="W3648" s="54" t="s">
        <v>2</v>
      </c>
      <c r="X3648" s="54" t="s">
        <v>2</v>
      </c>
      <c r="Y3648" s="54" t="s">
        <v>2</v>
      </c>
      <c r="Z3648" s="54" t="s">
        <v>2</v>
      </c>
      <c r="AA3648" s="54" t="s">
        <v>2</v>
      </c>
      <c r="AB3648" s="54" t="s">
        <v>2</v>
      </c>
      <c r="AC3648" s="54" t="s">
        <v>2</v>
      </c>
      <c r="AD3648" s="54" t="s">
        <v>2</v>
      </c>
      <c r="AE3648" s="54" t="s">
        <v>2</v>
      </c>
      <c r="AF3648" s="54" t="s">
        <v>2</v>
      </c>
      <c r="AG3648" s="54" t="s">
        <v>2</v>
      </c>
    </row>
    <row r="3649" ht="15.75" customHeight="1">
      <c r="B3649" s="56"/>
      <c r="U3649" s="46" t="str">
        <f t="array" ref="U3649">IF($D3649="","",IFERROR(_xlfn.XLOOKUP($D3649,'TIR店舗一覧'!$D:$D,'TIR店舗一覧'!$E:$E,""),""))</f>
        <v/>
      </c>
      <c r="V3649" s="54" t="s">
        <v>2</v>
      </c>
      <c r="W3649" s="54" t="s">
        <v>2</v>
      </c>
      <c r="X3649" s="54" t="s">
        <v>2</v>
      </c>
      <c r="Y3649" s="54" t="s">
        <v>2</v>
      </c>
      <c r="Z3649" s="54" t="s">
        <v>2</v>
      </c>
      <c r="AA3649" s="54" t="s">
        <v>2</v>
      </c>
      <c r="AB3649" s="54" t="s">
        <v>2</v>
      </c>
      <c r="AC3649" s="54" t="s">
        <v>2</v>
      </c>
      <c r="AD3649" s="54" t="s">
        <v>2</v>
      </c>
      <c r="AE3649" s="54" t="s">
        <v>2</v>
      </c>
      <c r="AF3649" s="54" t="s">
        <v>2</v>
      </c>
      <c r="AG3649" s="54" t="s">
        <v>2</v>
      </c>
    </row>
    <row r="3650" ht="15.75" customHeight="1">
      <c r="B3650" s="56"/>
      <c r="U3650" s="46" t="str">
        <f t="array" ref="U3650">IF($D3650="","",IFERROR(_xlfn.XLOOKUP($D3650,'TIR店舗一覧'!$D:$D,'TIR店舗一覧'!$E:$E,""),""))</f>
        <v/>
      </c>
      <c r="V3650" s="54" t="s">
        <v>2</v>
      </c>
      <c r="W3650" s="54" t="s">
        <v>2</v>
      </c>
      <c r="X3650" s="54" t="s">
        <v>2</v>
      </c>
      <c r="Y3650" s="54" t="s">
        <v>2</v>
      </c>
      <c r="Z3650" s="54" t="s">
        <v>2</v>
      </c>
      <c r="AA3650" s="54" t="s">
        <v>2</v>
      </c>
      <c r="AB3650" s="54" t="s">
        <v>2</v>
      </c>
      <c r="AC3650" s="54" t="s">
        <v>2</v>
      </c>
      <c r="AD3650" s="54" t="s">
        <v>2</v>
      </c>
      <c r="AE3650" s="54" t="s">
        <v>2</v>
      </c>
      <c r="AF3650" s="54" t="s">
        <v>2</v>
      </c>
      <c r="AG3650" s="54" t="s">
        <v>2</v>
      </c>
    </row>
    <row r="3651" ht="15.75" customHeight="1">
      <c r="B3651" s="56"/>
      <c r="U3651" s="46" t="str">
        <f t="array" ref="U3651">IF($D3651="","",IFERROR(_xlfn.XLOOKUP($D3651,'TIR店舗一覧'!$D:$D,'TIR店舗一覧'!$E:$E,""),""))</f>
        <v/>
      </c>
      <c r="V3651" s="54" t="s">
        <v>2</v>
      </c>
      <c r="W3651" s="54" t="s">
        <v>2</v>
      </c>
      <c r="X3651" s="54" t="s">
        <v>2</v>
      </c>
      <c r="Y3651" s="54" t="s">
        <v>2</v>
      </c>
      <c r="Z3651" s="54" t="s">
        <v>2</v>
      </c>
      <c r="AA3651" s="54" t="s">
        <v>2</v>
      </c>
      <c r="AB3651" s="54" t="s">
        <v>2</v>
      </c>
      <c r="AC3651" s="54" t="s">
        <v>2</v>
      </c>
      <c r="AD3651" s="54" t="s">
        <v>2</v>
      </c>
      <c r="AE3651" s="54" t="s">
        <v>2</v>
      </c>
      <c r="AF3651" s="54" t="s">
        <v>2</v>
      </c>
      <c r="AG3651" s="54" t="s">
        <v>2</v>
      </c>
    </row>
    <row r="3652" ht="15.75" customHeight="1">
      <c r="B3652" s="56"/>
      <c r="U3652" s="46" t="str">
        <f t="array" ref="U3652">IF($D3652="","",IFERROR(_xlfn.XLOOKUP($D3652,'TIR店舗一覧'!$D:$D,'TIR店舗一覧'!$E:$E,""),""))</f>
        <v/>
      </c>
      <c r="V3652" s="54" t="s">
        <v>2</v>
      </c>
      <c r="W3652" s="54" t="s">
        <v>2</v>
      </c>
      <c r="X3652" s="54" t="s">
        <v>2</v>
      </c>
      <c r="Y3652" s="54" t="s">
        <v>2</v>
      </c>
      <c r="Z3652" s="54" t="s">
        <v>2</v>
      </c>
      <c r="AA3652" s="54" t="s">
        <v>2</v>
      </c>
      <c r="AB3652" s="54" t="s">
        <v>2</v>
      </c>
      <c r="AC3652" s="54" t="s">
        <v>2</v>
      </c>
      <c r="AD3652" s="54" t="s">
        <v>2</v>
      </c>
      <c r="AE3652" s="54" t="s">
        <v>2</v>
      </c>
      <c r="AF3652" s="54" t="s">
        <v>2</v>
      </c>
      <c r="AG3652" s="54" t="s">
        <v>2</v>
      </c>
    </row>
    <row r="3653" ht="15.75" customHeight="1">
      <c r="B3653" s="56"/>
      <c r="U3653" s="46" t="str">
        <f t="array" ref="U3653">IF($D3653="","",IFERROR(_xlfn.XLOOKUP($D3653,'TIR店舗一覧'!$D:$D,'TIR店舗一覧'!$E:$E,""),""))</f>
        <v/>
      </c>
      <c r="V3653" s="54" t="s">
        <v>2</v>
      </c>
      <c r="W3653" s="54" t="s">
        <v>2</v>
      </c>
      <c r="X3653" s="54" t="s">
        <v>2</v>
      </c>
      <c r="Y3653" s="54" t="s">
        <v>2</v>
      </c>
      <c r="Z3653" s="54" t="s">
        <v>2</v>
      </c>
      <c r="AA3653" s="54" t="s">
        <v>2</v>
      </c>
      <c r="AB3653" s="54" t="s">
        <v>2</v>
      </c>
      <c r="AC3653" s="54" t="s">
        <v>2</v>
      </c>
      <c r="AD3653" s="54" t="s">
        <v>2</v>
      </c>
      <c r="AE3653" s="54" t="s">
        <v>2</v>
      </c>
      <c r="AF3653" s="54" t="s">
        <v>2</v>
      </c>
      <c r="AG3653" s="54" t="s">
        <v>2</v>
      </c>
    </row>
    <row r="3654" ht="15.75" customHeight="1">
      <c r="B3654" s="56"/>
      <c r="U3654" s="46" t="str">
        <f t="array" ref="U3654">IF($D3654="","",IFERROR(_xlfn.XLOOKUP($D3654,'TIR店舗一覧'!$D:$D,'TIR店舗一覧'!$E:$E,""),""))</f>
        <v/>
      </c>
      <c r="V3654" s="54" t="s">
        <v>2</v>
      </c>
      <c r="W3654" s="54" t="s">
        <v>2</v>
      </c>
      <c r="X3654" s="54" t="s">
        <v>2</v>
      </c>
      <c r="Y3654" s="54" t="s">
        <v>2</v>
      </c>
      <c r="Z3654" s="54" t="s">
        <v>2</v>
      </c>
      <c r="AA3654" s="54" t="s">
        <v>2</v>
      </c>
      <c r="AB3654" s="54" t="s">
        <v>2</v>
      </c>
      <c r="AC3654" s="54" t="s">
        <v>2</v>
      </c>
      <c r="AD3654" s="54" t="s">
        <v>2</v>
      </c>
      <c r="AE3654" s="54" t="s">
        <v>2</v>
      </c>
      <c r="AF3654" s="54" t="s">
        <v>2</v>
      </c>
      <c r="AG3654" s="54" t="s">
        <v>2</v>
      </c>
    </row>
    <row r="3655" ht="15.75" customHeight="1">
      <c r="B3655" s="56"/>
      <c r="U3655" s="46" t="str">
        <f t="array" ref="U3655">IF($D3655="","",IFERROR(_xlfn.XLOOKUP($D3655,'TIR店舗一覧'!$D:$D,'TIR店舗一覧'!$E:$E,""),""))</f>
        <v/>
      </c>
      <c r="V3655" s="54" t="s">
        <v>2</v>
      </c>
      <c r="W3655" s="54" t="s">
        <v>2</v>
      </c>
      <c r="X3655" s="54" t="s">
        <v>2</v>
      </c>
      <c r="Y3655" s="54" t="s">
        <v>2</v>
      </c>
      <c r="Z3655" s="54" t="s">
        <v>2</v>
      </c>
      <c r="AA3655" s="54" t="s">
        <v>2</v>
      </c>
      <c r="AB3655" s="54" t="s">
        <v>2</v>
      </c>
      <c r="AC3655" s="54" t="s">
        <v>2</v>
      </c>
      <c r="AD3655" s="54" t="s">
        <v>2</v>
      </c>
      <c r="AE3655" s="54" t="s">
        <v>2</v>
      </c>
      <c r="AF3655" s="54" t="s">
        <v>2</v>
      </c>
      <c r="AG3655" s="54" t="s">
        <v>2</v>
      </c>
    </row>
    <row r="3656" ht="15.75" customHeight="1">
      <c r="B3656" s="56"/>
      <c r="U3656" s="46" t="str">
        <f t="array" ref="U3656">IF($D3656="","",IFERROR(_xlfn.XLOOKUP($D3656,'TIR店舗一覧'!$D:$D,'TIR店舗一覧'!$E:$E,""),""))</f>
        <v/>
      </c>
      <c r="V3656" s="54" t="s">
        <v>2</v>
      </c>
      <c r="W3656" s="54" t="s">
        <v>2</v>
      </c>
      <c r="X3656" s="54" t="s">
        <v>2</v>
      </c>
      <c r="Y3656" s="54" t="s">
        <v>2</v>
      </c>
      <c r="Z3656" s="54" t="s">
        <v>2</v>
      </c>
      <c r="AA3656" s="54" t="s">
        <v>2</v>
      </c>
      <c r="AB3656" s="54" t="s">
        <v>2</v>
      </c>
      <c r="AC3656" s="54" t="s">
        <v>2</v>
      </c>
      <c r="AD3656" s="54" t="s">
        <v>2</v>
      </c>
      <c r="AE3656" s="54" t="s">
        <v>2</v>
      </c>
      <c r="AF3656" s="54" t="s">
        <v>2</v>
      </c>
      <c r="AG3656" s="54" t="s">
        <v>2</v>
      </c>
    </row>
    <row r="3657" ht="15.75" customHeight="1">
      <c r="B3657" s="56"/>
      <c r="U3657" s="46" t="str">
        <f t="array" ref="U3657">IF($D3657="","",IFERROR(_xlfn.XLOOKUP($D3657,'TIR店舗一覧'!$D:$D,'TIR店舗一覧'!$E:$E,""),""))</f>
        <v/>
      </c>
      <c r="V3657" s="54" t="s">
        <v>2</v>
      </c>
      <c r="W3657" s="54" t="s">
        <v>2</v>
      </c>
      <c r="X3657" s="54" t="s">
        <v>2</v>
      </c>
      <c r="Y3657" s="54" t="s">
        <v>2</v>
      </c>
      <c r="Z3657" s="54" t="s">
        <v>2</v>
      </c>
      <c r="AA3657" s="54" t="s">
        <v>2</v>
      </c>
      <c r="AB3657" s="54" t="s">
        <v>2</v>
      </c>
      <c r="AC3657" s="54" t="s">
        <v>2</v>
      </c>
      <c r="AD3657" s="54" t="s">
        <v>2</v>
      </c>
      <c r="AE3657" s="54" t="s">
        <v>2</v>
      </c>
      <c r="AF3657" s="54" t="s">
        <v>2</v>
      </c>
      <c r="AG3657" s="54" t="s">
        <v>2</v>
      </c>
    </row>
    <row r="3658" ht="15.75" customHeight="1">
      <c r="B3658" s="56"/>
      <c r="U3658" s="46" t="str">
        <f t="array" ref="U3658">IF($D3658="","",IFERROR(_xlfn.XLOOKUP($D3658,'TIR店舗一覧'!$D:$D,'TIR店舗一覧'!$E:$E,""),""))</f>
        <v/>
      </c>
      <c r="V3658" s="54" t="s">
        <v>2</v>
      </c>
      <c r="W3658" s="54" t="s">
        <v>2</v>
      </c>
      <c r="X3658" s="54" t="s">
        <v>2</v>
      </c>
      <c r="Y3658" s="54" t="s">
        <v>2</v>
      </c>
      <c r="Z3658" s="54" t="s">
        <v>2</v>
      </c>
      <c r="AA3658" s="54" t="s">
        <v>2</v>
      </c>
      <c r="AB3658" s="54" t="s">
        <v>2</v>
      </c>
      <c r="AC3658" s="54" t="s">
        <v>2</v>
      </c>
      <c r="AD3658" s="54" t="s">
        <v>2</v>
      </c>
      <c r="AE3658" s="54" t="s">
        <v>2</v>
      </c>
      <c r="AF3658" s="54" t="s">
        <v>2</v>
      </c>
      <c r="AG3658" s="54" t="s">
        <v>2</v>
      </c>
    </row>
    <row r="3659" ht="15.75" customHeight="1">
      <c r="B3659" s="56"/>
      <c r="U3659" s="46" t="str">
        <f t="array" ref="U3659">IF($D3659="","",IFERROR(_xlfn.XLOOKUP($D3659,'TIR店舗一覧'!$D:$D,'TIR店舗一覧'!$E:$E,""),""))</f>
        <v/>
      </c>
      <c r="V3659" s="54" t="s">
        <v>2</v>
      </c>
      <c r="W3659" s="54" t="s">
        <v>2</v>
      </c>
      <c r="X3659" s="54" t="s">
        <v>2</v>
      </c>
      <c r="Y3659" s="54" t="s">
        <v>2</v>
      </c>
      <c r="Z3659" s="54" t="s">
        <v>2</v>
      </c>
      <c r="AA3659" s="54" t="s">
        <v>2</v>
      </c>
      <c r="AB3659" s="54" t="s">
        <v>2</v>
      </c>
      <c r="AC3659" s="54" t="s">
        <v>2</v>
      </c>
      <c r="AD3659" s="54" t="s">
        <v>2</v>
      </c>
      <c r="AE3659" s="54" t="s">
        <v>2</v>
      </c>
      <c r="AF3659" s="54" t="s">
        <v>2</v>
      </c>
      <c r="AG3659" s="54" t="s">
        <v>2</v>
      </c>
    </row>
    <row r="3660" ht="15.75" customHeight="1">
      <c r="B3660" s="56"/>
      <c r="U3660" s="46" t="str">
        <f t="array" ref="U3660">IF($D3660="","",IFERROR(_xlfn.XLOOKUP($D3660,'TIR店舗一覧'!$D:$D,'TIR店舗一覧'!$E:$E,""),""))</f>
        <v/>
      </c>
      <c r="V3660" s="54" t="s">
        <v>2</v>
      </c>
      <c r="W3660" s="54" t="s">
        <v>2</v>
      </c>
      <c r="X3660" s="54" t="s">
        <v>2</v>
      </c>
      <c r="Y3660" s="54" t="s">
        <v>2</v>
      </c>
      <c r="Z3660" s="54" t="s">
        <v>2</v>
      </c>
      <c r="AA3660" s="54" t="s">
        <v>2</v>
      </c>
      <c r="AB3660" s="54" t="s">
        <v>2</v>
      </c>
      <c r="AC3660" s="54" t="s">
        <v>2</v>
      </c>
      <c r="AD3660" s="54" t="s">
        <v>2</v>
      </c>
      <c r="AE3660" s="54" t="s">
        <v>2</v>
      </c>
      <c r="AF3660" s="54" t="s">
        <v>2</v>
      </c>
      <c r="AG3660" s="54" t="s">
        <v>2</v>
      </c>
    </row>
    <row r="3661" ht="15.75" customHeight="1">
      <c r="B3661" s="56"/>
      <c r="U3661" s="46" t="str">
        <f t="array" ref="U3661">IF($D3661="","",IFERROR(_xlfn.XLOOKUP($D3661,'TIR店舗一覧'!$D:$D,'TIR店舗一覧'!$E:$E,""),""))</f>
        <v/>
      </c>
      <c r="V3661" s="54" t="s">
        <v>2</v>
      </c>
      <c r="W3661" s="54" t="s">
        <v>2</v>
      </c>
      <c r="X3661" s="54" t="s">
        <v>2</v>
      </c>
      <c r="Y3661" s="54" t="s">
        <v>2</v>
      </c>
      <c r="Z3661" s="54" t="s">
        <v>2</v>
      </c>
      <c r="AA3661" s="54" t="s">
        <v>2</v>
      </c>
      <c r="AB3661" s="54" t="s">
        <v>2</v>
      </c>
      <c r="AC3661" s="54" t="s">
        <v>2</v>
      </c>
      <c r="AD3661" s="54" t="s">
        <v>2</v>
      </c>
      <c r="AE3661" s="54" t="s">
        <v>2</v>
      </c>
      <c r="AF3661" s="54" t="s">
        <v>2</v>
      </c>
      <c r="AG3661" s="54" t="s">
        <v>2</v>
      </c>
    </row>
    <row r="3662" ht="15.75" customHeight="1">
      <c r="B3662" s="56"/>
      <c r="U3662" s="46" t="str">
        <f t="array" ref="U3662">IF($D3662="","",IFERROR(_xlfn.XLOOKUP($D3662,'TIR店舗一覧'!$D:$D,'TIR店舗一覧'!$E:$E,""),""))</f>
        <v/>
      </c>
      <c r="V3662" s="54" t="s">
        <v>2</v>
      </c>
      <c r="W3662" s="54" t="s">
        <v>2</v>
      </c>
      <c r="X3662" s="54" t="s">
        <v>2</v>
      </c>
      <c r="Y3662" s="54" t="s">
        <v>2</v>
      </c>
      <c r="Z3662" s="54" t="s">
        <v>2</v>
      </c>
      <c r="AA3662" s="54" t="s">
        <v>2</v>
      </c>
      <c r="AB3662" s="54" t="s">
        <v>2</v>
      </c>
      <c r="AC3662" s="54" t="s">
        <v>2</v>
      </c>
      <c r="AD3662" s="54" t="s">
        <v>2</v>
      </c>
      <c r="AE3662" s="54" t="s">
        <v>2</v>
      </c>
      <c r="AF3662" s="54" t="s">
        <v>2</v>
      </c>
      <c r="AG3662" s="54" t="s">
        <v>2</v>
      </c>
    </row>
    <row r="3663" ht="15.75" customHeight="1">
      <c r="B3663" s="56"/>
      <c r="U3663" s="46" t="str">
        <f t="array" ref="U3663">IF($D3663="","",IFERROR(_xlfn.XLOOKUP($D3663,'TIR店舗一覧'!$D:$D,'TIR店舗一覧'!$E:$E,""),""))</f>
        <v/>
      </c>
      <c r="V3663" s="54" t="s">
        <v>2</v>
      </c>
      <c r="W3663" s="54" t="s">
        <v>2</v>
      </c>
      <c r="X3663" s="54" t="s">
        <v>2</v>
      </c>
      <c r="Y3663" s="54" t="s">
        <v>2</v>
      </c>
      <c r="Z3663" s="54" t="s">
        <v>2</v>
      </c>
      <c r="AA3663" s="54" t="s">
        <v>2</v>
      </c>
      <c r="AB3663" s="54" t="s">
        <v>2</v>
      </c>
      <c r="AC3663" s="54" t="s">
        <v>2</v>
      </c>
      <c r="AD3663" s="54" t="s">
        <v>2</v>
      </c>
      <c r="AE3663" s="54" t="s">
        <v>2</v>
      </c>
      <c r="AF3663" s="54" t="s">
        <v>2</v>
      </c>
      <c r="AG3663" s="54" t="s">
        <v>2</v>
      </c>
    </row>
    <row r="3664" ht="15.75" customHeight="1">
      <c r="B3664" s="56"/>
      <c r="U3664" s="46" t="str">
        <f t="array" ref="U3664">IF($D3664="","",IFERROR(_xlfn.XLOOKUP($D3664,'TIR店舗一覧'!$D:$D,'TIR店舗一覧'!$E:$E,""),""))</f>
        <v/>
      </c>
      <c r="V3664" s="54" t="s">
        <v>2</v>
      </c>
      <c r="W3664" s="54" t="s">
        <v>2</v>
      </c>
      <c r="X3664" s="54" t="s">
        <v>2</v>
      </c>
      <c r="Y3664" s="54" t="s">
        <v>2</v>
      </c>
      <c r="Z3664" s="54" t="s">
        <v>2</v>
      </c>
      <c r="AA3664" s="54" t="s">
        <v>2</v>
      </c>
      <c r="AB3664" s="54" t="s">
        <v>2</v>
      </c>
      <c r="AC3664" s="54" t="s">
        <v>2</v>
      </c>
      <c r="AD3664" s="54" t="s">
        <v>2</v>
      </c>
      <c r="AE3664" s="54" t="s">
        <v>2</v>
      </c>
      <c r="AF3664" s="54" t="s">
        <v>2</v>
      </c>
      <c r="AG3664" s="54" t="s">
        <v>2</v>
      </c>
    </row>
    <row r="3665" ht="15.75" customHeight="1">
      <c r="B3665" s="56"/>
      <c r="U3665" s="46" t="str">
        <f t="array" ref="U3665">IF($D3665="","",IFERROR(_xlfn.XLOOKUP($D3665,'TIR店舗一覧'!$D:$D,'TIR店舗一覧'!$E:$E,""),""))</f>
        <v/>
      </c>
      <c r="V3665" s="54" t="s">
        <v>2</v>
      </c>
      <c r="W3665" s="54" t="s">
        <v>2</v>
      </c>
      <c r="X3665" s="54" t="s">
        <v>2</v>
      </c>
      <c r="Y3665" s="54" t="s">
        <v>2</v>
      </c>
      <c r="Z3665" s="54" t="s">
        <v>2</v>
      </c>
      <c r="AA3665" s="54" t="s">
        <v>2</v>
      </c>
      <c r="AB3665" s="54" t="s">
        <v>2</v>
      </c>
      <c r="AC3665" s="54" t="s">
        <v>2</v>
      </c>
      <c r="AD3665" s="54" t="s">
        <v>2</v>
      </c>
      <c r="AE3665" s="54" t="s">
        <v>2</v>
      </c>
      <c r="AF3665" s="54" t="s">
        <v>2</v>
      </c>
      <c r="AG3665" s="54" t="s">
        <v>2</v>
      </c>
    </row>
    <row r="3666" ht="15.75" customHeight="1">
      <c r="B3666" s="56"/>
      <c r="U3666" s="46" t="str">
        <f t="array" ref="U3666">IF($D3666="","",IFERROR(_xlfn.XLOOKUP($D3666,'TIR店舗一覧'!$D:$D,'TIR店舗一覧'!$E:$E,""),""))</f>
        <v/>
      </c>
      <c r="V3666" s="54" t="s">
        <v>2</v>
      </c>
      <c r="W3666" s="54" t="s">
        <v>2</v>
      </c>
      <c r="X3666" s="54" t="s">
        <v>2</v>
      </c>
      <c r="Y3666" s="54" t="s">
        <v>2</v>
      </c>
      <c r="Z3666" s="54" t="s">
        <v>2</v>
      </c>
      <c r="AA3666" s="54" t="s">
        <v>2</v>
      </c>
      <c r="AB3666" s="54" t="s">
        <v>2</v>
      </c>
      <c r="AC3666" s="54" t="s">
        <v>2</v>
      </c>
      <c r="AD3666" s="54" t="s">
        <v>2</v>
      </c>
      <c r="AE3666" s="54" t="s">
        <v>2</v>
      </c>
      <c r="AF3666" s="54" t="s">
        <v>2</v>
      </c>
      <c r="AG3666" s="54" t="s">
        <v>2</v>
      </c>
    </row>
    <row r="3667" ht="15.75" customHeight="1">
      <c r="B3667" s="56"/>
      <c r="U3667" s="46" t="str">
        <f t="array" ref="U3667">IF($D3667="","",IFERROR(_xlfn.XLOOKUP($D3667,'TIR店舗一覧'!$D:$D,'TIR店舗一覧'!$E:$E,""),""))</f>
        <v/>
      </c>
      <c r="V3667" s="54" t="s">
        <v>2</v>
      </c>
      <c r="W3667" s="54" t="s">
        <v>2</v>
      </c>
      <c r="X3667" s="54" t="s">
        <v>2</v>
      </c>
      <c r="Y3667" s="54" t="s">
        <v>2</v>
      </c>
      <c r="Z3667" s="54" t="s">
        <v>2</v>
      </c>
      <c r="AA3667" s="54" t="s">
        <v>2</v>
      </c>
      <c r="AB3667" s="54" t="s">
        <v>2</v>
      </c>
      <c r="AC3667" s="54" t="s">
        <v>2</v>
      </c>
      <c r="AD3667" s="54" t="s">
        <v>2</v>
      </c>
      <c r="AE3667" s="54" t="s">
        <v>2</v>
      </c>
      <c r="AF3667" s="54" t="s">
        <v>2</v>
      </c>
      <c r="AG3667" s="54" t="s">
        <v>2</v>
      </c>
    </row>
    <row r="3668" ht="15.75" customHeight="1">
      <c r="B3668" s="56"/>
      <c r="U3668" s="46" t="str">
        <f t="array" ref="U3668">IF($D3668="","",IFERROR(_xlfn.XLOOKUP($D3668,'TIR店舗一覧'!$D:$D,'TIR店舗一覧'!$E:$E,""),""))</f>
        <v/>
      </c>
      <c r="V3668" s="54" t="s">
        <v>2</v>
      </c>
      <c r="W3668" s="54" t="s">
        <v>2</v>
      </c>
      <c r="X3668" s="54" t="s">
        <v>2</v>
      </c>
      <c r="Y3668" s="54" t="s">
        <v>2</v>
      </c>
      <c r="Z3668" s="54" t="s">
        <v>2</v>
      </c>
      <c r="AA3668" s="54" t="s">
        <v>2</v>
      </c>
      <c r="AB3668" s="54" t="s">
        <v>2</v>
      </c>
      <c r="AC3668" s="54" t="s">
        <v>2</v>
      </c>
      <c r="AD3668" s="54" t="s">
        <v>2</v>
      </c>
      <c r="AE3668" s="54" t="s">
        <v>2</v>
      </c>
      <c r="AF3668" s="54" t="s">
        <v>2</v>
      </c>
      <c r="AG3668" s="54" t="s">
        <v>2</v>
      </c>
    </row>
    <row r="3669" ht="15.75" customHeight="1">
      <c r="B3669" s="56"/>
      <c r="U3669" s="46" t="str">
        <f t="array" ref="U3669">IF($D3669="","",IFERROR(_xlfn.XLOOKUP($D3669,'TIR店舗一覧'!$D:$D,'TIR店舗一覧'!$E:$E,""),""))</f>
        <v/>
      </c>
      <c r="V3669" s="54" t="s">
        <v>2</v>
      </c>
      <c r="W3669" s="54" t="s">
        <v>2</v>
      </c>
      <c r="X3669" s="54" t="s">
        <v>2</v>
      </c>
      <c r="Y3669" s="54" t="s">
        <v>2</v>
      </c>
      <c r="Z3669" s="54" t="s">
        <v>2</v>
      </c>
      <c r="AA3669" s="54" t="s">
        <v>2</v>
      </c>
      <c r="AB3669" s="54" t="s">
        <v>2</v>
      </c>
      <c r="AC3669" s="54" t="s">
        <v>2</v>
      </c>
      <c r="AD3669" s="54" t="s">
        <v>2</v>
      </c>
      <c r="AE3669" s="54" t="s">
        <v>2</v>
      </c>
      <c r="AF3669" s="54" t="s">
        <v>2</v>
      </c>
      <c r="AG3669" s="54" t="s">
        <v>2</v>
      </c>
    </row>
    <row r="3670" ht="15.75" customHeight="1">
      <c r="B3670" s="56"/>
      <c r="U3670" s="46" t="str">
        <f t="array" ref="U3670">IF($D3670="","",IFERROR(_xlfn.XLOOKUP($D3670,'TIR店舗一覧'!$D:$D,'TIR店舗一覧'!$E:$E,""),""))</f>
        <v/>
      </c>
      <c r="V3670" s="54" t="s">
        <v>2</v>
      </c>
      <c r="W3670" s="54" t="s">
        <v>2</v>
      </c>
      <c r="X3670" s="54" t="s">
        <v>2</v>
      </c>
      <c r="Y3670" s="54" t="s">
        <v>2</v>
      </c>
      <c r="Z3670" s="54" t="s">
        <v>2</v>
      </c>
      <c r="AA3670" s="54" t="s">
        <v>2</v>
      </c>
      <c r="AB3670" s="54" t="s">
        <v>2</v>
      </c>
      <c r="AC3670" s="54" t="s">
        <v>2</v>
      </c>
      <c r="AD3670" s="54" t="s">
        <v>2</v>
      </c>
      <c r="AE3670" s="54" t="s">
        <v>2</v>
      </c>
      <c r="AF3670" s="54" t="s">
        <v>2</v>
      </c>
      <c r="AG3670" s="54" t="s">
        <v>2</v>
      </c>
    </row>
    <row r="3671" ht="15.75" customHeight="1">
      <c r="B3671" s="56"/>
      <c r="U3671" s="46" t="str">
        <f t="array" ref="U3671">IF($D3671="","",IFERROR(_xlfn.XLOOKUP($D3671,'TIR店舗一覧'!$D:$D,'TIR店舗一覧'!$E:$E,""),""))</f>
        <v/>
      </c>
      <c r="V3671" s="54" t="s">
        <v>2</v>
      </c>
      <c r="W3671" s="54" t="s">
        <v>2</v>
      </c>
      <c r="X3671" s="54" t="s">
        <v>2</v>
      </c>
      <c r="Y3671" s="54" t="s">
        <v>2</v>
      </c>
      <c r="Z3671" s="54" t="s">
        <v>2</v>
      </c>
      <c r="AA3671" s="54" t="s">
        <v>2</v>
      </c>
      <c r="AB3671" s="54" t="s">
        <v>2</v>
      </c>
      <c r="AC3671" s="54" t="s">
        <v>2</v>
      </c>
      <c r="AD3671" s="54" t="s">
        <v>2</v>
      </c>
      <c r="AE3671" s="54" t="s">
        <v>2</v>
      </c>
      <c r="AF3671" s="54" t="s">
        <v>2</v>
      </c>
      <c r="AG3671" s="54" t="s">
        <v>2</v>
      </c>
    </row>
    <row r="3672" ht="15.75" customHeight="1">
      <c r="B3672" s="56"/>
      <c r="U3672" s="46" t="str">
        <f t="array" ref="U3672">IF($D3672="","",IFERROR(_xlfn.XLOOKUP($D3672,'TIR店舗一覧'!$D:$D,'TIR店舗一覧'!$E:$E,""),""))</f>
        <v/>
      </c>
      <c r="V3672" s="54" t="s">
        <v>2</v>
      </c>
      <c r="W3672" s="54" t="s">
        <v>2</v>
      </c>
      <c r="X3672" s="54" t="s">
        <v>2</v>
      </c>
      <c r="Y3672" s="54" t="s">
        <v>2</v>
      </c>
      <c r="Z3672" s="54" t="s">
        <v>2</v>
      </c>
      <c r="AA3672" s="54" t="s">
        <v>2</v>
      </c>
      <c r="AB3672" s="54" t="s">
        <v>2</v>
      </c>
      <c r="AC3672" s="54" t="s">
        <v>2</v>
      </c>
      <c r="AD3672" s="54" t="s">
        <v>2</v>
      </c>
      <c r="AE3672" s="54" t="s">
        <v>2</v>
      </c>
      <c r="AF3672" s="54" t="s">
        <v>2</v>
      </c>
      <c r="AG3672" s="54" t="s">
        <v>2</v>
      </c>
    </row>
    <row r="3673" ht="15.75" customHeight="1">
      <c r="B3673" s="56"/>
      <c r="U3673" s="46" t="str">
        <f t="array" ref="U3673">IF($D3673="","",IFERROR(_xlfn.XLOOKUP($D3673,'TIR店舗一覧'!$D:$D,'TIR店舗一覧'!$E:$E,""),""))</f>
        <v/>
      </c>
      <c r="V3673" s="54" t="s">
        <v>2</v>
      </c>
      <c r="W3673" s="54" t="s">
        <v>2</v>
      </c>
      <c r="X3673" s="54" t="s">
        <v>2</v>
      </c>
      <c r="Y3673" s="54" t="s">
        <v>2</v>
      </c>
      <c r="Z3673" s="54" t="s">
        <v>2</v>
      </c>
      <c r="AA3673" s="54" t="s">
        <v>2</v>
      </c>
      <c r="AB3673" s="54" t="s">
        <v>2</v>
      </c>
      <c r="AC3673" s="54" t="s">
        <v>2</v>
      </c>
      <c r="AD3673" s="54" t="s">
        <v>2</v>
      </c>
      <c r="AE3673" s="54" t="s">
        <v>2</v>
      </c>
      <c r="AF3673" s="54" t="s">
        <v>2</v>
      </c>
      <c r="AG3673" s="54" t="s">
        <v>2</v>
      </c>
    </row>
    <row r="3674" ht="15.75" customHeight="1">
      <c r="B3674" s="56"/>
      <c r="U3674" s="46" t="str">
        <f t="array" ref="U3674">IF($D3674="","",IFERROR(_xlfn.XLOOKUP($D3674,'TIR店舗一覧'!$D:$D,'TIR店舗一覧'!$E:$E,""),""))</f>
        <v/>
      </c>
      <c r="V3674" s="54" t="s">
        <v>2</v>
      </c>
      <c r="W3674" s="54" t="s">
        <v>2</v>
      </c>
      <c r="X3674" s="54" t="s">
        <v>2</v>
      </c>
      <c r="Y3674" s="54" t="s">
        <v>2</v>
      </c>
      <c r="Z3674" s="54" t="s">
        <v>2</v>
      </c>
      <c r="AA3674" s="54" t="s">
        <v>2</v>
      </c>
      <c r="AB3674" s="54" t="s">
        <v>2</v>
      </c>
      <c r="AC3674" s="54" t="s">
        <v>2</v>
      </c>
      <c r="AD3674" s="54" t="s">
        <v>2</v>
      </c>
      <c r="AE3674" s="54" t="s">
        <v>2</v>
      </c>
      <c r="AF3674" s="54" t="s">
        <v>2</v>
      </c>
      <c r="AG3674" s="54" t="s">
        <v>2</v>
      </c>
    </row>
    <row r="3675" ht="15.75" customHeight="1">
      <c r="B3675" s="56"/>
      <c r="U3675" s="46" t="str">
        <f t="array" ref="U3675">IF($D3675="","",IFERROR(_xlfn.XLOOKUP($D3675,'TIR店舗一覧'!$D:$D,'TIR店舗一覧'!$E:$E,""),""))</f>
        <v/>
      </c>
      <c r="V3675" s="54" t="s">
        <v>2</v>
      </c>
      <c r="W3675" s="54" t="s">
        <v>2</v>
      </c>
      <c r="X3675" s="54" t="s">
        <v>2</v>
      </c>
      <c r="Y3675" s="54" t="s">
        <v>2</v>
      </c>
      <c r="Z3675" s="54" t="s">
        <v>2</v>
      </c>
      <c r="AA3675" s="54" t="s">
        <v>2</v>
      </c>
      <c r="AB3675" s="54" t="s">
        <v>2</v>
      </c>
      <c r="AC3675" s="54" t="s">
        <v>2</v>
      </c>
      <c r="AD3675" s="54" t="s">
        <v>2</v>
      </c>
      <c r="AE3675" s="54" t="s">
        <v>2</v>
      </c>
      <c r="AF3675" s="54" t="s">
        <v>2</v>
      </c>
      <c r="AG3675" s="54" t="s">
        <v>2</v>
      </c>
    </row>
    <row r="3676" ht="15.75" customHeight="1">
      <c r="B3676" s="56"/>
      <c r="U3676" s="46" t="str">
        <f t="array" ref="U3676">IF($D3676="","",IFERROR(_xlfn.XLOOKUP($D3676,'TIR店舗一覧'!$D:$D,'TIR店舗一覧'!$E:$E,""),""))</f>
        <v/>
      </c>
      <c r="V3676" s="54" t="s">
        <v>2</v>
      </c>
      <c r="W3676" s="54" t="s">
        <v>2</v>
      </c>
      <c r="X3676" s="54" t="s">
        <v>2</v>
      </c>
      <c r="Y3676" s="54" t="s">
        <v>2</v>
      </c>
      <c r="Z3676" s="54" t="s">
        <v>2</v>
      </c>
      <c r="AA3676" s="54" t="s">
        <v>2</v>
      </c>
      <c r="AB3676" s="54" t="s">
        <v>2</v>
      </c>
      <c r="AC3676" s="54" t="s">
        <v>2</v>
      </c>
      <c r="AD3676" s="54" t="s">
        <v>2</v>
      </c>
      <c r="AE3676" s="54" t="s">
        <v>2</v>
      </c>
      <c r="AF3676" s="54" t="s">
        <v>2</v>
      </c>
      <c r="AG3676" s="54" t="s">
        <v>2</v>
      </c>
    </row>
    <row r="3677" ht="15.75" customHeight="1">
      <c r="B3677" s="56"/>
      <c r="U3677" s="46" t="str">
        <f t="array" ref="U3677">IF($D3677="","",IFERROR(_xlfn.XLOOKUP($D3677,'TIR店舗一覧'!$D:$D,'TIR店舗一覧'!$E:$E,""),""))</f>
        <v/>
      </c>
      <c r="V3677" s="54" t="s">
        <v>2</v>
      </c>
      <c r="W3677" s="54" t="s">
        <v>2</v>
      </c>
      <c r="X3677" s="54" t="s">
        <v>2</v>
      </c>
      <c r="Y3677" s="54" t="s">
        <v>2</v>
      </c>
      <c r="Z3677" s="54" t="s">
        <v>2</v>
      </c>
      <c r="AA3677" s="54" t="s">
        <v>2</v>
      </c>
      <c r="AB3677" s="54" t="s">
        <v>2</v>
      </c>
      <c r="AC3677" s="54" t="s">
        <v>2</v>
      </c>
      <c r="AD3677" s="54" t="s">
        <v>2</v>
      </c>
      <c r="AE3677" s="54" t="s">
        <v>2</v>
      </c>
      <c r="AF3677" s="54" t="s">
        <v>2</v>
      </c>
      <c r="AG3677" s="54" t="s">
        <v>2</v>
      </c>
    </row>
    <row r="3678" ht="15.75" customHeight="1">
      <c r="B3678" s="56"/>
      <c r="U3678" s="46" t="str">
        <f t="array" ref="U3678">IF($D3678="","",IFERROR(_xlfn.XLOOKUP($D3678,'TIR店舗一覧'!$D:$D,'TIR店舗一覧'!$E:$E,""),""))</f>
        <v/>
      </c>
      <c r="V3678" s="54" t="s">
        <v>2</v>
      </c>
      <c r="W3678" s="54" t="s">
        <v>2</v>
      </c>
      <c r="X3678" s="54" t="s">
        <v>2</v>
      </c>
      <c r="Y3678" s="54" t="s">
        <v>2</v>
      </c>
      <c r="Z3678" s="54" t="s">
        <v>2</v>
      </c>
      <c r="AA3678" s="54" t="s">
        <v>2</v>
      </c>
      <c r="AB3678" s="54" t="s">
        <v>2</v>
      </c>
      <c r="AC3678" s="54" t="s">
        <v>2</v>
      </c>
      <c r="AD3678" s="54" t="s">
        <v>2</v>
      </c>
      <c r="AE3678" s="54" t="s">
        <v>2</v>
      </c>
      <c r="AF3678" s="54" t="s">
        <v>2</v>
      </c>
      <c r="AG3678" s="54" t="s">
        <v>2</v>
      </c>
    </row>
    <row r="3679" ht="15.75" customHeight="1">
      <c r="B3679" s="56"/>
      <c r="U3679" s="46" t="str">
        <f t="array" ref="U3679">IF($D3679="","",IFERROR(_xlfn.XLOOKUP($D3679,'TIR店舗一覧'!$D:$D,'TIR店舗一覧'!$E:$E,""),""))</f>
        <v/>
      </c>
      <c r="V3679" s="54" t="s">
        <v>2</v>
      </c>
      <c r="W3679" s="54" t="s">
        <v>2</v>
      </c>
      <c r="X3679" s="54" t="s">
        <v>2</v>
      </c>
      <c r="Y3679" s="54" t="s">
        <v>2</v>
      </c>
      <c r="Z3679" s="54" t="s">
        <v>2</v>
      </c>
      <c r="AA3679" s="54" t="s">
        <v>2</v>
      </c>
      <c r="AB3679" s="54" t="s">
        <v>2</v>
      </c>
      <c r="AC3679" s="54" t="s">
        <v>2</v>
      </c>
      <c r="AD3679" s="54" t="s">
        <v>2</v>
      </c>
      <c r="AE3679" s="54" t="s">
        <v>2</v>
      </c>
      <c r="AF3679" s="54" t="s">
        <v>2</v>
      </c>
      <c r="AG3679" s="54" t="s">
        <v>2</v>
      </c>
    </row>
    <row r="3680" ht="15.75" customHeight="1">
      <c r="B3680" s="56"/>
      <c r="U3680" s="46" t="str">
        <f t="array" ref="U3680">IF($D3680="","",IFERROR(_xlfn.XLOOKUP($D3680,'TIR店舗一覧'!$D:$D,'TIR店舗一覧'!$E:$E,""),""))</f>
        <v/>
      </c>
      <c r="V3680" s="54" t="s">
        <v>2</v>
      </c>
      <c r="W3680" s="54" t="s">
        <v>2</v>
      </c>
      <c r="X3680" s="54" t="s">
        <v>2</v>
      </c>
      <c r="Y3680" s="54" t="s">
        <v>2</v>
      </c>
      <c r="Z3680" s="54" t="s">
        <v>2</v>
      </c>
      <c r="AA3680" s="54" t="s">
        <v>2</v>
      </c>
      <c r="AB3680" s="54" t="s">
        <v>2</v>
      </c>
      <c r="AC3680" s="54" t="s">
        <v>2</v>
      </c>
      <c r="AD3680" s="54" t="s">
        <v>2</v>
      </c>
      <c r="AE3680" s="54" t="s">
        <v>2</v>
      </c>
      <c r="AF3680" s="54" t="s">
        <v>2</v>
      </c>
      <c r="AG3680" s="54" t="s">
        <v>2</v>
      </c>
    </row>
    <row r="3681" ht="15.75" customHeight="1">
      <c r="B3681" s="56"/>
      <c r="U3681" s="46" t="str">
        <f t="array" ref="U3681">IF($D3681="","",IFERROR(_xlfn.XLOOKUP($D3681,'TIR店舗一覧'!$D:$D,'TIR店舗一覧'!$E:$E,""),""))</f>
        <v/>
      </c>
      <c r="V3681" s="54" t="s">
        <v>2</v>
      </c>
      <c r="W3681" s="54" t="s">
        <v>2</v>
      </c>
      <c r="X3681" s="54" t="s">
        <v>2</v>
      </c>
      <c r="Y3681" s="54" t="s">
        <v>2</v>
      </c>
      <c r="Z3681" s="54" t="s">
        <v>2</v>
      </c>
      <c r="AA3681" s="54" t="s">
        <v>2</v>
      </c>
      <c r="AB3681" s="54" t="s">
        <v>2</v>
      </c>
      <c r="AC3681" s="54" t="s">
        <v>2</v>
      </c>
      <c r="AD3681" s="54" t="s">
        <v>2</v>
      </c>
      <c r="AE3681" s="54" t="s">
        <v>2</v>
      </c>
      <c r="AF3681" s="54" t="s">
        <v>2</v>
      </c>
      <c r="AG3681" s="54" t="s">
        <v>2</v>
      </c>
    </row>
    <row r="3682" ht="15.75" customHeight="1">
      <c r="B3682" s="56"/>
      <c r="U3682" s="46" t="str">
        <f t="array" ref="U3682">IF($D3682="","",IFERROR(_xlfn.XLOOKUP($D3682,'TIR店舗一覧'!$D:$D,'TIR店舗一覧'!$E:$E,""),""))</f>
        <v/>
      </c>
      <c r="V3682" s="54" t="s">
        <v>2</v>
      </c>
      <c r="W3682" s="54" t="s">
        <v>2</v>
      </c>
      <c r="X3682" s="54" t="s">
        <v>2</v>
      </c>
      <c r="Y3682" s="54" t="s">
        <v>2</v>
      </c>
      <c r="Z3682" s="54" t="s">
        <v>2</v>
      </c>
      <c r="AA3682" s="54" t="s">
        <v>2</v>
      </c>
      <c r="AB3682" s="54" t="s">
        <v>2</v>
      </c>
      <c r="AC3682" s="54" t="s">
        <v>2</v>
      </c>
      <c r="AD3682" s="54" t="s">
        <v>2</v>
      </c>
      <c r="AE3682" s="54" t="s">
        <v>2</v>
      </c>
      <c r="AF3682" s="54" t="s">
        <v>2</v>
      </c>
      <c r="AG3682" s="54" t="s">
        <v>2</v>
      </c>
    </row>
    <row r="3683" ht="15.75" customHeight="1">
      <c r="B3683" s="56"/>
      <c r="U3683" s="46" t="str">
        <f t="array" ref="U3683">IF($D3683="","",IFERROR(_xlfn.XLOOKUP($D3683,'TIR店舗一覧'!$D:$D,'TIR店舗一覧'!$E:$E,""),""))</f>
        <v/>
      </c>
      <c r="V3683" s="54" t="s">
        <v>2</v>
      </c>
      <c r="W3683" s="54" t="s">
        <v>2</v>
      </c>
      <c r="X3683" s="54" t="s">
        <v>2</v>
      </c>
      <c r="Y3683" s="54" t="s">
        <v>2</v>
      </c>
      <c r="Z3683" s="54" t="s">
        <v>2</v>
      </c>
      <c r="AA3683" s="54" t="s">
        <v>2</v>
      </c>
      <c r="AB3683" s="54" t="s">
        <v>2</v>
      </c>
      <c r="AC3683" s="54" t="s">
        <v>2</v>
      </c>
      <c r="AD3683" s="54" t="s">
        <v>2</v>
      </c>
      <c r="AE3683" s="54" t="s">
        <v>2</v>
      </c>
      <c r="AF3683" s="54" t="s">
        <v>2</v>
      </c>
      <c r="AG3683" s="54" t="s">
        <v>2</v>
      </c>
    </row>
    <row r="3684" ht="15.75" customHeight="1">
      <c r="B3684" s="56"/>
      <c r="U3684" s="46" t="str">
        <f t="array" ref="U3684">IF($D3684="","",IFERROR(_xlfn.XLOOKUP($D3684,'TIR店舗一覧'!$D:$D,'TIR店舗一覧'!$E:$E,""),""))</f>
        <v/>
      </c>
      <c r="V3684" s="54" t="s">
        <v>2</v>
      </c>
      <c r="W3684" s="54" t="s">
        <v>2</v>
      </c>
      <c r="X3684" s="54" t="s">
        <v>2</v>
      </c>
      <c r="Y3684" s="54" t="s">
        <v>2</v>
      </c>
      <c r="Z3684" s="54" t="s">
        <v>2</v>
      </c>
      <c r="AA3684" s="54" t="s">
        <v>2</v>
      </c>
      <c r="AB3684" s="54" t="s">
        <v>2</v>
      </c>
      <c r="AC3684" s="54" t="s">
        <v>2</v>
      </c>
      <c r="AD3684" s="54" t="s">
        <v>2</v>
      </c>
      <c r="AE3684" s="54" t="s">
        <v>2</v>
      </c>
      <c r="AF3684" s="54" t="s">
        <v>2</v>
      </c>
      <c r="AG3684" s="54" t="s">
        <v>2</v>
      </c>
    </row>
    <row r="3685" ht="15.75" customHeight="1">
      <c r="B3685" s="56"/>
      <c r="U3685" s="46" t="str">
        <f t="array" ref="U3685">IF($D3685="","",IFERROR(_xlfn.XLOOKUP($D3685,'TIR店舗一覧'!$D:$D,'TIR店舗一覧'!$E:$E,""),""))</f>
        <v/>
      </c>
      <c r="V3685" s="54" t="s">
        <v>2</v>
      </c>
      <c r="W3685" s="54" t="s">
        <v>2</v>
      </c>
      <c r="X3685" s="54" t="s">
        <v>2</v>
      </c>
      <c r="Y3685" s="54" t="s">
        <v>2</v>
      </c>
      <c r="Z3685" s="54" t="s">
        <v>2</v>
      </c>
      <c r="AA3685" s="54" t="s">
        <v>2</v>
      </c>
      <c r="AB3685" s="54" t="s">
        <v>2</v>
      </c>
      <c r="AC3685" s="54" t="s">
        <v>2</v>
      </c>
      <c r="AD3685" s="54" t="s">
        <v>2</v>
      </c>
      <c r="AE3685" s="54" t="s">
        <v>2</v>
      </c>
      <c r="AF3685" s="54" t="s">
        <v>2</v>
      </c>
      <c r="AG3685" s="54" t="s">
        <v>2</v>
      </c>
    </row>
    <row r="3686" ht="15.75" customHeight="1">
      <c r="B3686" s="56"/>
      <c r="U3686" s="46" t="str">
        <f t="array" ref="U3686">IF($D3686="","",IFERROR(_xlfn.XLOOKUP($D3686,'TIR店舗一覧'!$D:$D,'TIR店舗一覧'!$E:$E,""),""))</f>
        <v/>
      </c>
      <c r="V3686" s="54" t="s">
        <v>2</v>
      </c>
      <c r="W3686" s="54" t="s">
        <v>2</v>
      </c>
      <c r="X3686" s="54" t="s">
        <v>2</v>
      </c>
      <c r="Y3686" s="54" t="s">
        <v>2</v>
      </c>
      <c r="Z3686" s="54" t="s">
        <v>2</v>
      </c>
      <c r="AA3686" s="54" t="s">
        <v>2</v>
      </c>
      <c r="AB3686" s="54" t="s">
        <v>2</v>
      </c>
      <c r="AC3686" s="54" t="s">
        <v>2</v>
      </c>
      <c r="AD3686" s="54" t="s">
        <v>2</v>
      </c>
      <c r="AE3686" s="54" t="s">
        <v>2</v>
      </c>
      <c r="AF3686" s="54" t="s">
        <v>2</v>
      </c>
      <c r="AG3686" s="54" t="s">
        <v>2</v>
      </c>
    </row>
    <row r="3687" ht="15.75" customHeight="1">
      <c r="B3687" s="56"/>
      <c r="U3687" s="46" t="str">
        <f t="array" ref="U3687">IF($D3687="","",IFERROR(_xlfn.XLOOKUP($D3687,'TIR店舗一覧'!$D:$D,'TIR店舗一覧'!$E:$E,""),""))</f>
        <v/>
      </c>
      <c r="V3687" s="54" t="s">
        <v>2</v>
      </c>
      <c r="W3687" s="54" t="s">
        <v>2</v>
      </c>
      <c r="X3687" s="54" t="s">
        <v>2</v>
      </c>
      <c r="Y3687" s="54" t="s">
        <v>2</v>
      </c>
      <c r="Z3687" s="54" t="s">
        <v>2</v>
      </c>
      <c r="AA3687" s="54" t="s">
        <v>2</v>
      </c>
      <c r="AB3687" s="54" t="s">
        <v>2</v>
      </c>
      <c r="AC3687" s="54" t="s">
        <v>2</v>
      </c>
      <c r="AD3687" s="54" t="s">
        <v>2</v>
      </c>
      <c r="AE3687" s="54" t="s">
        <v>2</v>
      </c>
      <c r="AF3687" s="54" t="s">
        <v>2</v>
      </c>
      <c r="AG3687" s="54" t="s">
        <v>2</v>
      </c>
    </row>
    <row r="3688" ht="15.75" customHeight="1">
      <c r="B3688" s="56"/>
      <c r="U3688" s="46" t="str">
        <f t="array" ref="U3688">IF($D3688="","",IFERROR(_xlfn.XLOOKUP($D3688,'TIR店舗一覧'!$D:$D,'TIR店舗一覧'!$E:$E,""),""))</f>
        <v/>
      </c>
      <c r="V3688" s="54" t="s">
        <v>2</v>
      </c>
      <c r="W3688" s="54" t="s">
        <v>2</v>
      </c>
      <c r="X3688" s="54" t="s">
        <v>2</v>
      </c>
      <c r="Y3688" s="54" t="s">
        <v>2</v>
      </c>
      <c r="Z3688" s="54" t="s">
        <v>2</v>
      </c>
      <c r="AA3688" s="54" t="s">
        <v>2</v>
      </c>
      <c r="AB3688" s="54" t="s">
        <v>2</v>
      </c>
      <c r="AC3688" s="54" t="s">
        <v>2</v>
      </c>
      <c r="AD3688" s="54" t="s">
        <v>2</v>
      </c>
      <c r="AE3688" s="54" t="s">
        <v>2</v>
      </c>
      <c r="AF3688" s="54" t="s">
        <v>2</v>
      </c>
      <c r="AG3688" s="54" t="s">
        <v>2</v>
      </c>
    </row>
    <row r="3689" ht="15.75" customHeight="1">
      <c r="B3689" s="56"/>
      <c r="U3689" s="46" t="str">
        <f t="array" ref="U3689">IF($D3689="","",IFERROR(_xlfn.XLOOKUP($D3689,'TIR店舗一覧'!$D:$D,'TIR店舗一覧'!$E:$E,""),""))</f>
        <v/>
      </c>
      <c r="V3689" s="54" t="s">
        <v>2</v>
      </c>
      <c r="W3689" s="54" t="s">
        <v>2</v>
      </c>
      <c r="X3689" s="54" t="s">
        <v>2</v>
      </c>
      <c r="Y3689" s="54" t="s">
        <v>2</v>
      </c>
      <c r="Z3689" s="54" t="s">
        <v>2</v>
      </c>
      <c r="AA3689" s="54" t="s">
        <v>2</v>
      </c>
      <c r="AB3689" s="54" t="s">
        <v>2</v>
      </c>
      <c r="AC3689" s="54" t="s">
        <v>2</v>
      </c>
      <c r="AD3689" s="54" t="s">
        <v>2</v>
      </c>
      <c r="AE3689" s="54" t="s">
        <v>2</v>
      </c>
      <c r="AF3689" s="54" t="s">
        <v>2</v>
      </c>
      <c r="AG3689" s="54" t="s">
        <v>2</v>
      </c>
    </row>
    <row r="3690" ht="15.75" customHeight="1">
      <c r="B3690" s="56"/>
      <c r="U3690" s="46" t="str">
        <f t="array" ref="U3690">IF($D3690="","",IFERROR(_xlfn.XLOOKUP($D3690,'TIR店舗一覧'!$D:$D,'TIR店舗一覧'!$E:$E,""),""))</f>
        <v/>
      </c>
      <c r="V3690" s="54" t="s">
        <v>2</v>
      </c>
      <c r="W3690" s="54" t="s">
        <v>2</v>
      </c>
      <c r="X3690" s="54" t="s">
        <v>2</v>
      </c>
      <c r="Y3690" s="54" t="s">
        <v>2</v>
      </c>
      <c r="Z3690" s="54" t="s">
        <v>2</v>
      </c>
      <c r="AA3690" s="54" t="s">
        <v>2</v>
      </c>
      <c r="AB3690" s="54" t="s">
        <v>2</v>
      </c>
      <c r="AC3690" s="54" t="s">
        <v>2</v>
      </c>
      <c r="AD3690" s="54" t="s">
        <v>2</v>
      </c>
      <c r="AE3690" s="54" t="s">
        <v>2</v>
      </c>
      <c r="AF3690" s="54" t="s">
        <v>2</v>
      </c>
      <c r="AG3690" s="54" t="s">
        <v>2</v>
      </c>
    </row>
    <row r="3691" ht="15.75" customHeight="1">
      <c r="B3691" s="56"/>
      <c r="U3691" s="46" t="str">
        <f t="array" ref="U3691">IF($D3691="","",IFERROR(_xlfn.XLOOKUP($D3691,'TIR店舗一覧'!$D:$D,'TIR店舗一覧'!$E:$E,""),""))</f>
        <v/>
      </c>
      <c r="V3691" s="54" t="s">
        <v>2</v>
      </c>
      <c r="W3691" s="54" t="s">
        <v>2</v>
      </c>
      <c r="X3691" s="54" t="s">
        <v>2</v>
      </c>
      <c r="Y3691" s="54" t="s">
        <v>2</v>
      </c>
      <c r="Z3691" s="54" t="s">
        <v>2</v>
      </c>
      <c r="AA3691" s="54" t="s">
        <v>2</v>
      </c>
      <c r="AB3691" s="54" t="s">
        <v>2</v>
      </c>
      <c r="AC3691" s="54" t="s">
        <v>2</v>
      </c>
      <c r="AD3691" s="54" t="s">
        <v>2</v>
      </c>
      <c r="AE3691" s="54" t="s">
        <v>2</v>
      </c>
      <c r="AF3691" s="54" t="s">
        <v>2</v>
      </c>
      <c r="AG3691" s="54" t="s">
        <v>2</v>
      </c>
    </row>
    <row r="3692" ht="15.75" customHeight="1">
      <c r="B3692" s="56"/>
      <c r="U3692" s="46" t="str">
        <f t="array" ref="U3692">IF($D3692="","",IFERROR(_xlfn.XLOOKUP($D3692,'TIR店舗一覧'!$D:$D,'TIR店舗一覧'!$E:$E,""),""))</f>
        <v/>
      </c>
      <c r="V3692" s="54" t="s">
        <v>2</v>
      </c>
      <c r="W3692" s="54" t="s">
        <v>2</v>
      </c>
      <c r="X3692" s="54" t="s">
        <v>2</v>
      </c>
      <c r="Y3692" s="54" t="s">
        <v>2</v>
      </c>
      <c r="Z3692" s="54" t="s">
        <v>2</v>
      </c>
      <c r="AA3692" s="54" t="s">
        <v>2</v>
      </c>
      <c r="AB3692" s="54" t="s">
        <v>2</v>
      </c>
      <c r="AC3692" s="54" t="s">
        <v>2</v>
      </c>
      <c r="AD3692" s="54" t="s">
        <v>2</v>
      </c>
      <c r="AE3692" s="54" t="s">
        <v>2</v>
      </c>
      <c r="AF3692" s="54" t="s">
        <v>2</v>
      </c>
      <c r="AG3692" s="54" t="s">
        <v>2</v>
      </c>
    </row>
    <row r="3693" ht="15.75" customHeight="1">
      <c r="B3693" s="56"/>
      <c r="U3693" s="46" t="str">
        <f t="array" ref="U3693">IF($D3693="","",IFERROR(_xlfn.XLOOKUP($D3693,'TIR店舗一覧'!$D:$D,'TIR店舗一覧'!$E:$E,""),""))</f>
        <v/>
      </c>
      <c r="V3693" s="54" t="s">
        <v>2</v>
      </c>
      <c r="W3693" s="54" t="s">
        <v>2</v>
      </c>
      <c r="X3693" s="54" t="s">
        <v>2</v>
      </c>
      <c r="Y3693" s="54" t="s">
        <v>2</v>
      </c>
      <c r="Z3693" s="54" t="s">
        <v>2</v>
      </c>
      <c r="AA3693" s="54" t="s">
        <v>2</v>
      </c>
      <c r="AB3693" s="54" t="s">
        <v>2</v>
      </c>
      <c r="AC3693" s="54" t="s">
        <v>2</v>
      </c>
      <c r="AD3693" s="54" t="s">
        <v>2</v>
      </c>
      <c r="AE3693" s="54" t="s">
        <v>2</v>
      </c>
      <c r="AF3693" s="54" t="s">
        <v>2</v>
      </c>
      <c r="AG3693" s="54" t="s">
        <v>2</v>
      </c>
    </row>
    <row r="3694" ht="15.75" customHeight="1">
      <c r="B3694" s="56"/>
      <c r="U3694" s="46" t="str">
        <f t="array" ref="U3694">IF($D3694="","",IFERROR(_xlfn.XLOOKUP($D3694,'TIR店舗一覧'!$D:$D,'TIR店舗一覧'!$E:$E,""),""))</f>
        <v/>
      </c>
      <c r="V3694" s="54" t="s">
        <v>2</v>
      </c>
      <c r="W3694" s="54" t="s">
        <v>2</v>
      </c>
      <c r="X3694" s="54" t="s">
        <v>2</v>
      </c>
      <c r="Y3694" s="54" t="s">
        <v>2</v>
      </c>
      <c r="Z3694" s="54" t="s">
        <v>2</v>
      </c>
      <c r="AA3694" s="54" t="s">
        <v>2</v>
      </c>
      <c r="AB3694" s="54" t="s">
        <v>2</v>
      </c>
      <c r="AC3694" s="54" t="s">
        <v>2</v>
      </c>
      <c r="AD3694" s="54" t="s">
        <v>2</v>
      </c>
      <c r="AE3694" s="54" t="s">
        <v>2</v>
      </c>
      <c r="AF3694" s="54" t="s">
        <v>2</v>
      </c>
      <c r="AG3694" s="54" t="s">
        <v>2</v>
      </c>
    </row>
    <row r="3695" ht="15.75" customHeight="1">
      <c r="B3695" s="56"/>
      <c r="U3695" s="46" t="str">
        <f t="array" ref="U3695">IF($D3695="","",IFERROR(_xlfn.XLOOKUP($D3695,'TIR店舗一覧'!$D:$D,'TIR店舗一覧'!$E:$E,""),""))</f>
        <v/>
      </c>
      <c r="V3695" s="54" t="s">
        <v>2</v>
      </c>
      <c r="W3695" s="54" t="s">
        <v>2</v>
      </c>
      <c r="X3695" s="54" t="s">
        <v>2</v>
      </c>
      <c r="Y3695" s="54" t="s">
        <v>2</v>
      </c>
      <c r="Z3695" s="54" t="s">
        <v>2</v>
      </c>
      <c r="AA3695" s="54" t="s">
        <v>2</v>
      </c>
      <c r="AB3695" s="54" t="s">
        <v>2</v>
      </c>
      <c r="AC3695" s="54" t="s">
        <v>2</v>
      </c>
      <c r="AD3695" s="54" t="s">
        <v>2</v>
      </c>
      <c r="AE3695" s="54" t="s">
        <v>2</v>
      </c>
      <c r="AF3695" s="54" t="s">
        <v>2</v>
      </c>
      <c r="AG3695" s="54" t="s">
        <v>2</v>
      </c>
    </row>
    <row r="3696" ht="15.75" customHeight="1">
      <c r="B3696" s="56"/>
      <c r="U3696" s="46" t="str">
        <f t="array" ref="U3696">IF($D3696="","",IFERROR(_xlfn.XLOOKUP($D3696,'TIR店舗一覧'!$D:$D,'TIR店舗一覧'!$E:$E,""),""))</f>
        <v/>
      </c>
      <c r="V3696" s="54" t="s">
        <v>2</v>
      </c>
      <c r="W3696" s="54" t="s">
        <v>2</v>
      </c>
      <c r="X3696" s="54" t="s">
        <v>2</v>
      </c>
      <c r="Y3696" s="54" t="s">
        <v>2</v>
      </c>
      <c r="Z3696" s="54" t="s">
        <v>2</v>
      </c>
      <c r="AA3696" s="54" t="s">
        <v>2</v>
      </c>
      <c r="AB3696" s="54" t="s">
        <v>2</v>
      </c>
      <c r="AC3696" s="54" t="s">
        <v>2</v>
      </c>
      <c r="AD3696" s="54" t="s">
        <v>2</v>
      </c>
      <c r="AE3696" s="54" t="s">
        <v>2</v>
      </c>
      <c r="AF3696" s="54" t="s">
        <v>2</v>
      </c>
      <c r="AG3696" s="54" t="s">
        <v>2</v>
      </c>
    </row>
    <row r="3697" ht="15.75" customHeight="1">
      <c r="B3697" s="56"/>
      <c r="U3697" s="46" t="str">
        <f t="array" ref="U3697">IF($D3697="","",IFERROR(_xlfn.XLOOKUP($D3697,'TIR店舗一覧'!$D:$D,'TIR店舗一覧'!$E:$E,""),""))</f>
        <v/>
      </c>
      <c r="V3697" s="54" t="s">
        <v>2</v>
      </c>
      <c r="W3697" s="54" t="s">
        <v>2</v>
      </c>
      <c r="X3697" s="54" t="s">
        <v>2</v>
      </c>
      <c r="Y3697" s="54" t="s">
        <v>2</v>
      </c>
      <c r="Z3697" s="54" t="s">
        <v>2</v>
      </c>
      <c r="AA3697" s="54" t="s">
        <v>2</v>
      </c>
      <c r="AB3697" s="54" t="s">
        <v>2</v>
      </c>
      <c r="AC3697" s="54" t="s">
        <v>2</v>
      </c>
      <c r="AD3697" s="54" t="s">
        <v>2</v>
      </c>
      <c r="AE3697" s="54" t="s">
        <v>2</v>
      </c>
      <c r="AF3697" s="54" t="s">
        <v>2</v>
      </c>
      <c r="AG3697" s="54" t="s">
        <v>2</v>
      </c>
    </row>
    <row r="3698" ht="15.75" customHeight="1">
      <c r="B3698" s="56"/>
      <c r="U3698" s="46" t="str">
        <f t="array" ref="U3698">IF($D3698="","",IFERROR(_xlfn.XLOOKUP($D3698,'TIR店舗一覧'!$D:$D,'TIR店舗一覧'!$E:$E,""),""))</f>
        <v/>
      </c>
      <c r="V3698" s="54" t="s">
        <v>2</v>
      </c>
      <c r="W3698" s="54" t="s">
        <v>2</v>
      </c>
      <c r="X3698" s="54" t="s">
        <v>2</v>
      </c>
      <c r="Y3698" s="54" t="s">
        <v>2</v>
      </c>
      <c r="Z3698" s="54" t="s">
        <v>2</v>
      </c>
      <c r="AA3698" s="54" t="s">
        <v>2</v>
      </c>
      <c r="AB3698" s="54" t="s">
        <v>2</v>
      </c>
      <c r="AC3698" s="54" t="s">
        <v>2</v>
      </c>
      <c r="AD3698" s="54" t="s">
        <v>2</v>
      </c>
      <c r="AE3698" s="54" t="s">
        <v>2</v>
      </c>
      <c r="AF3698" s="54" t="s">
        <v>2</v>
      </c>
      <c r="AG3698" s="54" t="s">
        <v>2</v>
      </c>
    </row>
    <row r="3699" ht="15.75" customHeight="1">
      <c r="B3699" s="56"/>
      <c r="U3699" s="46" t="str">
        <f t="array" ref="U3699">IF($D3699="","",IFERROR(_xlfn.XLOOKUP($D3699,'TIR店舗一覧'!$D:$D,'TIR店舗一覧'!$E:$E,""),""))</f>
        <v/>
      </c>
      <c r="V3699" s="54" t="s">
        <v>2</v>
      </c>
      <c r="W3699" s="54" t="s">
        <v>2</v>
      </c>
      <c r="X3699" s="54" t="s">
        <v>2</v>
      </c>
      <c r="Y3699" s="54" t="s">
        <v>2</v>
      </c>
      <c r="Z3699" s="54" t="s">
        <v>2</v>
      </c>
      <c r="AA3699" s="54" t="s">
        <v>2</v>
      </c>
      <c r="AB3699" s="54" t="s">
        <v>2</v>
      </c>
      <c r="AC3699" s="54" t="s">
        <v>2</v>
      </c>
      <c r="AD3699" s="54" t="s">
        <v>2</v>
      </c>
      <c r="AE3699" s="54" t="s">
        <v>2</v>
      </c>
      <c r="AF3699" s="54" t="s">
        <v>2</v>
      </c>
      <c r="AG3699" s="54" t="s">
        <v>2</v>
      </c>
    </row>
    <row r="3700" ht="15.75" customHeight="1">
      <c r="B3700" s="56"/>
      <c r="U3700" s="46" t="str">
        <f t="array" ref="U3700">IF($D3700="","",IFERROR(_xlfn.XLOOKUP($D3700,'TIR店舗一覧'!$D:$D,'TIR店舗一覧'!$E:$E,""),""))</f>
        <v/>
      </c>
      <c r="V3700" s="54" t="s">
        <v>2</v>
      </c>
      <c r="W3700" s="54" t="s">
        <v>2</v>
      </c>
      <c r="X3700" s="54" t="s">
        <v>2</v>
      </c>
      <c r="Y3700" s="54" t="s">
        <v>2</v>
      </c>
      <c r="Z3700" s="54" t="s">
        <v>2</v>
      </c>
      <c r="AA3700" s="54" t="s">
        <v>2</v>
      </c>
      <c r="AB3700" s="54" t="s">
        <v>2</v>
      </c>
      <c r="AC3700" s="54" t="s">
        <v>2</v>
      </c>
      <c r="AD3700" s="54" t="s">
        <v>2</v>
      </c>
      <c r="AE3700" s="54" t="s">
        <v>2</v>
      </c>
      <c r="AF3700" s="54" t="s">
        <v>2</v>
      </c>
      <c r="AG3700" s="54" t="s">
        <v>2</v>
      </c>
    </row>
    <row r="3701" ht="15.75" customHeight="1">
      <c r="B3701" s="56"/>
      <c r="U3701" s="46" t="str">
        <f t="array" ref="U3701">IF($D3701="","",IFERROR(_xlfn.XLOOKUP($D3701,'TIR店舗一覧'!$D:$D,'TIR店舗一覧'!$E:$E,""),""))</f>
        <v/>
      </c>
      <c r="V3701" s="54" t="s">
        <v>2</v>
      </c>
      <c r="W3701" s="54" t="s">
        <v>2</v>
      </c>
      <c r="X3701" s="54" t="s">
        <v>2</v>
      </c>
      <c r="Y3701" s="54" t="s">
        <v>2</v>
      </c>
      <c r="Z3701" s="54" t="s">
        <v>2</v>
      </c>
      <c r="AA3701" s="54" t="s">
        <v>2</v>
      </c>
      <c r="AB3701" s="54" t="s">
        <v>2</v>
      </c>
      <c r="AC3701" s="54" t="s">
        <v>2</v>
      </c>
      <c r="AD3701" s="54" t="s">
        <v>2</v>
      </c>
      <c r="AE3701" s="54" t="s">
        <v>2</v>
      </c>
      <c r="AF3701" s="54" t="s">
        <v>2</v>
      </c>
      <c r="AG3701" s="54" t="s">
        <v>2</v>
      </c>
    </row>
    <row r="3702" ht="15.75" customHeight="1">
      <c r="B3702" s="56"/>
      <c r="U3702" s="46" t="str">
        <f t="array" ref="U3702">IF($D3702="","",IFERROR(_xlfn.XLOOKUP($D3702,'TIR店舗一覧'!$D:$D,'TIR店舗一覧'!$E:$E,""),""))</f>
        <v/>
      </c>
      <c r="V3702" s="54" t="s">
        <v>2</v>
      </c>
      <c r="W3702" s="54" t="s">
        <v>2</v>
      </c>
      <c r="X3702" s="54" t="s">
        <v>2</v>
      </c>
      <c r="Y3702" s="54" t="s">
        <v>2</v>
      </c>
      <c r="Z3702" s="54" t="s">
        <v>2</v>
      </c>
      <c r="AA3702" s="54" t="s">
        <v>2</v>
      </c>
      <c r="AB3702" s="54" t="s">
        <v>2</v>
      </c>
      <c r="AC3702" s="54" t="s">
        <v>2</v>
      </c>
      <c r="AD3702" s="54" t="s">
        <v>2</v>
      </c>
      <c r="AE3702" s="54" t="s">
        <v>2</v>
      </c>
      <c r="AF3702" s="54" t="s">
        <v>2</v>
      </c>
      <c r="AG3702" s="54" t="s">
        <v>2</v>
      </c>
    </row>
    <row r="3703" ht="15.75" customHeight="1">
      <c r="B3703" s="56"/>
      <c r="U3703" s="46" t="str">
        <f t="array" ref="U3703">IF($D3703="","",IFERROR(_xlfn.XLOOKUP($D3703,'TIR店舗一覧'!$D:$D,'TIR店舗一覧'!$E:$E,""),""))</f>
        <v/>
      </c>
      <c r="V3703" s="54" t="s">
        <v>2</v>
      </c>
      <c r="W3703" s="54" t="s">
        <v>2</v>
      </c>
      <c r="X3703" s="54" t="s">
        <v>2</v>
      </c>
      <c r="Y3703" s="54" t="s">
        <v>2</v>
      </c>
      <c r="Z3703" s="54" t="s">
        <v>2</v>
      </c>
      <c r="AA3703" s="54" t="s">
        <v>2</v>
      </c>
      <c r="AB3703" s="54" t="s">
        <v>2</v>
      </c>
      <c r="AC3703" s="54" t="s">
        <v>2</v>
      </c>
      <c r="AD3703" s="54" t="s">
        <v>2</v>
      </c>
      <c r="AE3703" s="54" t="s">
        <v>2</v>
      </c>
      <c r="AF3703" s="54" t="s">
        <v>2</v>
      </c>
      <c r="AG3703" s="54" t="s">
        <v>2</v>
      </c>
    </row>
    <row r="3704" ht="15.75" customHeight="1">
      <c r="B3704" s="56"/>
      <c r="U3704" s="46" t="str">
        <f t="array" ref="U3704">IF($D3704="","",IFERROR(_xlfn.XLOOKUP($D3704,'TIR店舗一覧'!$D:$D,'TIR店舗一覧'!$E:$E,""),""))</f>
        <v/>
      </c>
      <c r="V3704" s="54" t="s">
        <v>2</v>
      </c>
      <c r="W3704" s="54" t="s">
        <v>2</v>
      </c>
      <c r="X3704" s="54" t="s">
        <v>2</v>
      </c>
      <c r="Y3704" s="54" t="s">
        <v>2</v>
      </c>
      <c r="Z3704" s="54" t="s">
        <v>2</v>
      </c>
      <c r="AA3704" s="54" t="s">
        <v>2</v>
      </c>
      <c r="AB3704" s="54" t="s">
        <v>2</v>
      </c>
      <c r="AC3704" s="54" t="s">
        <v>2</v>
      </c>
      <c r="AD3704" s="54" t="s">
        <v>2</v>
      </c>
      <c r="AE3704" s="54" t="s">
        <v>2</v>
      </c>
      <c r="AF3704" s="54" t="s">
        <v>2</v>
      </c>
      <c r="AG3704" s="54" t="s">
        <v>2</v>
      </c>
    </row>
    <row r="3705" ht="15.75" customHeight="1">
      <c r="B3705" s="56"/>
      <c r="U3705" s="46" t="str">
        <f t="array" ref="U3705">IF($D3705="","",IFERROR(_xlfn.XLOOKUP($D3705,'TIR店舗一覧'!$D:$D,'TIR店舗一覧'!$E:$E,""),""))</f>
        <v/>
      </c>
      <c r="V3705" s="54" t="s">
        <v>2</v>
      </c>
      <c r="W3705" s="54" t="s">
        <v>2</v>
      </c>
      <c r="X3705" s="54" t="s">
        <v>2</v>
      </c>
      <c r="Y3705" s="54" t="s">
        <v>2</v>
      </c>
      <c r="Z3705" s="54" t="s">
        <v>2</v>
      </c>
      <c r="AA3705" s="54" t="s">
        <v>2</v>
      </c>
      <c r="AB3705" s="54" t="s">
        <v>2</v>
      </c>
      <c r="AC3705" s="54" t="s">
        <v>2</v>
      </c>
      <c r="AD3705" s="54" t="s">
        <v>2</v>
      </c>
      <c r="AE3705" s="54" t="s">
        <v>2</v>
      </c>
      <c r="AF3705" s="54" t="s">
        <v>2</v>
      </c>
      <c r="AG3705" s="54" t="s">
        <v>2</v>
      </c>
    </row>
    <row r="3706" ht="15.75" customHeight="1">
      <c r="B3706" s="56"/>
      <c r="U3706" s="46" t="str">
        <f t="array" ref="U3706">IF($D3706="","",IFERROR(_xlfn.XLOOKUP($D3706,'TIR店舗一覧'!$D:$D,'TIR店舗一覧'!$E:$E,""),""))</f>
        <v/>
      </c>
      <c r="V3706" s="54" t="s">
        <v>2</v>
      </c>
      <c r="W3706" s="54" t="s">
        <v>2</v>
      </c>
      <c r="X3706" s="54" t="s">
        <v>2</v>
      </c>
      <c r="Y3706" s="54" t="s">
        <v>2</v>
      </c>
      <c r="Z3706" s="54" t="s">
        <v>2</v>
      </c>
      <c r="AA3706" s="54" t="s">
        <v>2</v>
      </c>
      <c r="AB3706" s="54" t="s">
        <v>2</v>
      </c>
      <c r="AC3706" s="54" t="s">
        <v>2</v>
      </c>
      <c r="AD3706" s="54" t="s">
        <v>2</v>
      </c>
      <c r="AE3706" s="54" t="s">
        <v>2</v>
      </c>
      <c r="AF3706" s="54" t="s">
        <v>2</v>
      </c>
      <c r="AG3706" s="54" t="s">
        <v>2</v>
      </c>
    </row>
    <row r="3707" ht="15.75" customHeight="1">
      <c r="B3707" s="56"/>
      <c r="U3707" s="46" t="str">
        <f t="array" ref="U3707">IF($D3707="","",IFERROR(_xlfn.XLOOKUP($D3707,'TIR店舗一覧'!$D:$D,'TIR店舗一覧'!$E:$E,""),""))</f>
        <v/>
      </c>
      <c r="V3707" s="54" t="s">
        <v>2</v>
      </c>
      <c r="W3707" s="54" t="s">
        <v>2</v>
      </c>
      <c r="X3707" s="54" t="s">
        <v>2</v>
      </c>
      <c r="Y3707" s="54" t="s">
        <v>2</v>
      </c>
      <c r="Z3707" s="54" t="s">
        <v>2</v>
      </c>
      <c r="AA3707" s="54" t="s">
        <v>2</v>
      </c>
      <c r="AB3707" s="54" t="s">
        <v>2</v>
      </c>
      <c r="AC3707" s="54" t="s">
        <v>2</v>
      </c>
      <c r="AD3707" s="54" t="s">
        <v>2</v>
      </c>
      <c r="AE3707" s="54" t="s">
        <v>2</v>
      </c>
      <c r="AF3707" s="54" t="s">
        <v>2</v>
      </c>
      <c r="AG3707" s="54" t="s">
        <v>2</v>
      </c>
    </row>
    <row r="3708" ht="15.75" customHeight="1">
      <c r="B3708" s="56"/>
      <c r="U3708" s="46" t="str">
        <f t="array" ref="U3708">IF($D3708="","",IFERROR(_xlfn.XLOOKUP($D3708,'TIR店舗一覧'!$D:$D,'TIR店舗一覧'!$E:$E,""),""))</f>
        <v/>
      </c>
      <c r="V3708" s="54" t="s">
        <v>2</v>
      </c>
      <c r="W3708" s="54" t="s">
        <v>2</v>
      </c>
      <c r="X3708" s="54" t="s">
        <v>2</v>
      </c>
      <c r="Y3708" s="54" t="s">
        <v>2</v>
      </c>
      <c r="Z3708" s="54" t="s">
        <v>2</v>
      </c>
      <c r="AA3708" s="54" t="s">
        <v>2</v>
      </c>
      <c r="AB3708" s="54" t="s">
        <v>2</v>
      </c>
      <c r="AC3708" s="54" t="s">
        <v>2</v>
      </c>
      <c r="AD3708" s="54" t="s">
        <v>2</v>
      </c>
      <c r="AE3708" s="54" t="s">
        <v>2</v>
      </c>
      <c r="AF3708" s="54" t="s">
        <v>2</v>
      </c>
      <c r="AG3708" s="54" t="s">
        <v>2</v>
      </c>
    </row>
    <row r="3709" ht="15.75" customHeight="1">
      <c r="B3709" s="56"/>
      <c r="U3709" s="46" t="str">
        <f t="array" ref="U3709">IF($D3709="","",IFERROR(_xlfn.XLOOKUP($D3709,'TIR店舗一覧'!$D:$D,'TIR店舗一覧'!$E:$E,""),""))</f>
        <v/>
      </c>
      <c r="V3709" s="54" t="s">
        <v>2</v>
      </c>
      <c r="W3709" s="54" t="s">
        <v>2</v>
      </c>
      <c r="X3709" s="54" t="s">
        <v>2</v>
      </c>
      <c r="Y3709" s="54" t="s">
        <v>2</v>
      </c>
      <c r="Z3709" s="54" t="s">
        <v>2</v>
      </c>
      <c r="AA3709" s="54" t="s">
        <v>2</v>
      </c>
      <c r="AB3709" s="54" t="s">
        <v>2</v>
      </c>
      <c r="AC3709" s="54" t="s">
        <v>2</v>
      </c>
      <c r="AD3709" s="54" t="s">
        <v>2</v>
      </c>
      <c r="AE3709" s="54" t="s">
        <v>2</v>
      </c>
      <c r="AF3709" s="54" t="s">
        <v>2</v>
      </c>
      <c r="AG3709" s="54" t="s">
        <v>2</v>
      </c>
    </row>
    <row r="3710" ht="15.75" customHeight="1">
      <c r="B3710" s="56"/>
      <c r="U3710" s="46" t="str">
        <f t="array" ref="U3710">IF($D3710="","",IFERROR(_xlfn.XLOOKUP($D3710,'TIR店舗一覧'!$D:$D,'TIR店舗一覧'!$E:$E,""),""))</f>
        <v/>
      </c>
      <c r="V3710" s="54" t="s">
        <v>2</v>
      </c>
      <c r="W3710" s="54" t="s">
        <v>2</v>
      </c>
      <c r="X3710" s="54" t="s">
        <v>2</v>
      </c>
      <c r="Y3710" s="54" t="s">
        <v>2</v>
      </c>
      <c r="Z3710" s="54" t="s">
        <v>2</v>
      </c>
      <c r="AA3710" s="54" t="s">
        <v>2</v>
      </c>
      <c r="AB3710" s="54" t="s">
        <v>2</v>
      </c>
      <c r="AC3710" s="54" t="s">
        <v>2</v>
      </c>
      <c r="AD3710" s="54" t="s">
        <v>2</v>
      </c>
      <c r="AE3710" s="54" t="s">
        <v>2</v>
      </c>
      <c r="AF3710" s="54" t="s">
        <v>2</v>
      </c>
      <c r="AG3710" s="54" t="s">
        <v>2</v>
      </c>
    </row>
    <row r="3711" ht="15.75" customHeight="1">
      <c r="B3711" s="56"/>
      <c r="U3711" s="46" t="str">
        <f t="array" ref="U3711">IF($D3711="","",IFERROR(_xlfn.XLOOKUP($D3711,'TIR店舗一覧'!$D:$D,'TIR店舗一覧'!$E:$E,""),""))</f>
        <v/>
      </c>
      <c r="V3711" s="54" t="s">
        <v>2</v>
      </c>
      <c r="W3711" s="54" t="s">
        <v>2</v>
      </c>
      <c r="X3711" s="54" t="s">
        <v>2</v>
      </c>
      <c r="Y3711" s="54" t="s">
        <v>2</v>
      </c>
      <c r="Z3711" s="54" t="s">
        <v>2</v>
      </c>
      <c r="AA3711" s="54" t="s">
        <v>2</v>
      </c>
      <c r="AB3711" s="54" t="s">
        <v>2</v>
      </c>
      <c r="AC3711" s="54" t="s">
        <v>2</v>
      </c>
      <c r="AD3711" s="54" t="s">
        <v>2</v>
      </c>
      <c r="AE3711" s="54" t="s">
        <v>2</v>
      </c>
      <c r="AF3711" s="54" t="s">
        <v>2</v>
      </c>
      <c r="AG3711" s="54" t="s">
        <v>2</v>
      </c>
    </row>
    <row r="3712" ht="15.75" customHeight="1">
      <c r="B3712" s="56"/>
      <c r="U3712" s="46" t="str">
        <f t="array" ref="U3712">IF($D3712="","",IFERROR(_xlfn.XLOOKUP($D3712,'TIR店舗一覧'!$D:$D,'TIR店舗一覧'!$E:$E,""),""))</f>
        <v/>
      </c>
      <c r="V3712" s="54" t="s">
        <v>2</v>
      </c>
      <c r="W3712" s="54" t="s">
        <v>2</v>
      </c>
      <c r="X3712" s="54" t="s">
        <v>2</v>
      </c>
      <c r="Y3712" s="54" t="s">
        <v>2</v>
      </c>
      <c r="Z3712" s="54" t="s">
        <v>2</v>
      </c>
      <c r="AA3712" s="54" t="s">
        <v>2</v>
      </c>
      <c r="AB3712" s="54" t="s">
        <v>2</v>
      </c>
      <c r="AC3712" s="54" t="s">
        <v>2</v>
      </c>
      <c r="AD3712" s="54" t="s">
        <v>2</v>
      </c>
      <c r="AE3712" s="54" t="s">
        <v>2</v>
      </c>
      <c r="AF3712" s="54" t="s">
        <v>2</v>
      </c>
      <c r="AG3712" s="54" t="s">
        <v>2</v>
      </c>
    </row>
    <row r="3713" ht="15.75" customHeight="1">
      <c r="B3713" s="56"/>
      <c r="U3713" s="46" t="str">
        <f t="array" ref="U3713">IF($D3713="","",IFERROR(_xlfn.XLOOKUP($D3713,'TIR店舗一覧'!$D:$D,'TIR店舗一覧'!$E:$E,""),""))</f>
        <v/>
      </c>
      <c r="V3713" s="54" t="s">
        <v>2</v>
      </c>
      <c r="W3713" s="54" t="s">
        <v>2</v>
      </c>
      <c r="X3713" s="54" t="s">
        <v>2</v>
      </c>
      <c r="Y3713" s="54" t="s">
        <v>2</v>
      </c>
      <c r="Z3713" s="54" t="s">
        <v>2</v>
      </c>
      <c r="AA3713" s="54" t="s">
        <v>2</v>
      </c>
      <c r="AB3713" s="54" t="s">
        <v>2</v>
      </c>
      <c r="AC3713" s="54" t="s">
        <v>2</v>
      </c>
      <c r="AD3713" s="54" t="s">
        <v>2</v>
      </c>
      <c r="AE3713" s="54" t="s">
        <v>2</v>
      </c>
      <c r="AF3713" s="54" t="s">
        <v>2</v>
      </c>
      <c r="AG3713" s="54" t="s">
        <v>2</v>
      </c>
    </row>
    <row r="3714" ht="15.75" customHeight="1">
      <c r="B3714" s="56"/>
      <c r="U3714" s="46" t="str">
        <f t="array" ref="U3714">IF($D3714="","",IFERROR(_xlfn.XLOOKUP($D3714,'TIR店舗一覧'!$D:$D,'TIR店舗一覧'!$E:$E,""),""))</f>
        <v/>
      </c>
      <c r="V3714" s="54" t="s">
        <v>2</v>
      </c>
      <c r="W3714" s="54" t="s">
        <v>2</v>
      </c>
      <c r="X3714" s="54" t="s">
        <v>2</v>
      </c>
      <c r="Y3714" s="54" t="s">
        <v>2</v>
      </c>
      <c r="Z3714" s="54" t="s">
        <v>2</v>
      </c>
      <c r="AA3714" s="54" t="s">
        <v>2</v>
      </c>
      <c r="AB3714" s="54" t="s">
        <v>2</v>
      </c>
      <c r="AC3714" s="54" t="s">
        <v>2</v>
      </c>
      <c r="AD3714" s="54" t="s">
        <v>2</v>
      </c>
      <c r="AE3714" s="54" t="s">
        <v>2</v>
      </c>
      <c r="AF3714" s="54" t="s">
        <v>2</v>
      </c>
      <c r="AG3714" s="54" t="s">
        <v>2</v>
      </c>
    </row>
    <row r="3715" ht="15.75" customHeight="1">
      <c r="B3715" s="56"/>
      <c r="U3715" s="46" t="str">
        <f t="array" ref="U3715">IF($D3715="","",IFERROR(_xlfn.XLOOKUP($D3715,'TIR店舗一覧'!$D:$D,'TIR店舗一覧'!$E:$E,""),""))</f>
        <v/>
      </c>
      <c r="V3715" s="54" t="s">
        <v>2</v>
      </c>
      <c r="W3715" s="54" t="s">
        <v>2</v>
      </c>
      <c r="X3715" s="54" t="s">
        <v>2</v>
      </c>
      <c r="Y3715" s="54" t="s">
        <v>2</v>
      </c>
      <c r="Z3715" s="54" t="s">
        <v>2</v>
      </c>
      <c r="AA3715" s="54" t="s">
        <v>2</v>
      </c>
      <c r="AB3715" s="54" t="s">
        <v>2</v>
      </c>
      <c r="AC3715" s="54" t="s">
        <v>2</v>
      </c>
      <c r="AD3715" s="54" t="s">
        <v>2</v>
      </c>
      <c r="AE3715" s="54" t="s">
        <v>2</v>
      </c>
      <c r="AF3715" s="54" t="s">
        <v>2</v>
      </c>
      <c r="AG3715" s="54" t="s">
        <v>2</v>
      </c>
    </row>
    <row r="3716" ht="15.75" customHeight="1">
      <c r="B3716" s="56"/>
      <c r="U3716" s="46" t="str">
        <f t="array" ref="U3716">IF($D3716="","",IFERROR(_xlfn.XLOOKUP($D3716,'TIR店舗一覧'!$D:$D,'TIR店舗一覧'!$E:$E,""),""))</f>
        <v/>
      </c>
      <c r="V3716" s="54" t="s">
        <v>2</v>
      </c>
      <c r="W3716" s="54" t="s">
        <v>2</v>
      </c>
      <c r="X3716" s="54" t="s">
        <v>2</v>
      </c>
      <c r="Y3716" s="54" t="s">
        <v>2</v>
      </c>
      <c r="Z3716" s="54" t="s">
        <v>2</v>
      </c>
      <c r="AA3716" s="54" t="s">
        <v>2</v>
      </c>
      <c r="AB3716" s="54" t="s">
        <v>2</v>
      </c>
      <c r="AC3716" s="54" t="s">
        <v>2</v>
      </c>
      <c r="AD3716" s="54" t="s">
        <v>2</v>
      </c>
      <c r="AE3716" s="54" t="s">
        <v>2</v>
      </c>
      <c r="AF3716" s="54" t="s">
        <v>2</v>
      </c>
      <c r="AG3716" s="54" t="s">
        <v>2</v>
      </c>
    </row>
    <row r="3717" ht="15.75" customHeight="1">
      <c r="B3717" s="56"/>
      <c r="U3717" s="46" t="str">
        <f t="array" ref="U3717">IF($D3717="","",IFERROR(_xlfn.XLOOKUP($D3717,'TIR店舗一覧'!$D:$D,'TIR店舗一覧'!$E:$E,""),""))</f>
        <v/>
      </c>
      <c r="V3717" s="54" t="s">
        <v>2</v>
      </c>
      <c r="W3717" s="54" t="s">
        <v>2</v>
      </c>
      <c r="X3717" s="54" t="s">
        <v>2</v>
      </c>
      <c r="Y3717" s="54" t="s">
        <v>2</v>
      </c>
      <c r="Z3717" s="54" t="s">
        <v>2</v>
      </c>
      <c r="AA3717" s="54" t="s">
        <v>2</v>
      </c>
      <c r="AB3717" s="54" t="s">
        <v>2</v>
      </c>
      <c r="AC3717" s="54" t="s">
        <v>2</v>
      </c>
      <c r="AD3717" s="54" t="s">
        <v>2</v>
      </c>
      <c r="AE3717" s="54" t="s">
        <v>2</v>
      </c>
      <c r="AF3717" s="54" t="s">
        <v>2</v>
      </c>
      <c r="AG3717" s="54" t="s">
        <v>2</v>
      </c>
    </row>
    <row r="3718" ht="15.75" customHeight="1">
      <c r="B3718" s="56"/>
      <c r="U3718" s="46" t="str">
        <f t="array" ref="U3718">IF($D3718="","",IFERROR(_xlfn.XLOOKUP($D3718,'TIR店舗一覧'!$D:$D,'TIR店舗一覧'!$E:$E,""),""))</f>
        <v/>
      </c>
      <c r="V3718" s="54" t="s">
        <v>2</v>
      </c>
      <c r="W3718" s="54" t="s">
        <v>2</v>
      </c>
      <c r="X3718" s="54" t="s">
        <v>2</v>
      </c>
      <c r="Y3718" s="54" t="s">
        <v>2</v>
      </c>
      <c r="Z3718" s="54" t="s">
        <v>2</v>
      </c>
      <c r="AA3718" s="54" t="s">
        <v>2</v>
      </c>
      <c r="AB3718" s="54" t="s">
        <v>2</v>
      </c>
      <c r="AC3718" s="54" t="s">
        <v>2</v>
      </c>
      <c r="AD3718" s="54" t="s">
        <v>2</v>
      </c>
      <c r="AE3718" s="54" t="s">
        <v>2</v>
      </c>
      <c r="AF3718" s="54" t="s">
        <v>2</v>
      </c>
      <c r="AG3718" s="54" t="s">
        <v>2</v>
      </c>
    </row>
    <row r="3719" ht="15.75" customHeight="1">
      <c r="B3719" s="56"/>
      <c r="U3719" s="46" t="str">
        <f t="array" ref="U3719">IF($D3719="","",IFERROR(_xlfn.XLOOKUP($D3719,'TIR店舗一覧'!$D:$D,'TIR店舗一覧'!$E:$E,""),""))</f>
        <v/>
      </c>
      <c r="V3719" s="54" t="s">
        <v>2</v>
      </c>
      <c r="W3719" s="54" t="s">
        <v>2</v>
      </c>
      <c r="X3719" s="54" t="s">
        <v>2</v>
      </c>
      <c r="Y3719" s="54" t="s">
        <v>2</v>
      </c>
      <c r="Z3719" s="54" t="s">
        <v>2</v>
      </c>
      <c r="AA3719" s="54" t="s">
        <v>2</v>
      </c>
      <c r="AB3719" s="54" t="s">
        <v>2</v>
      </c>
      <c r="AC3719" s="54" t="s">
        <v>2</v>
      </c>
      <c r="AD3719" s="54" t="s">
        <v>2</v>
      </c>
      <c r="AE3719" s="54" t="s">
        <v>2</v>
      </c>
      <c r="AF3719" s="54" t="s">
        <v>2</v>
      </c>
      <c r="AG3719" s="54" t="s">
        <v>2</v>
      </c>
    </row>
    <row r="3720" ht="15.75" customHeight="1">
      <c r="B3720" s="56"/>
      <c r="U3720" s="46" t="str">
        <f t="array" ref="U3720">IF($D3720="","",IFERROR(_xlfn.XLOOKUP($D3720,'TIR店舗一覧'!$D:$D,'TIR店舗一覧'!$E:$E,""),""))</f>
        <v/>
      </c>
      <c r="V3720" s="54" t="s">
        <v>2</v>
      </c>
      <c r="W3720" s="54" t="s">
        <v>2</v>
      </c>
      <c r="X3720" s="54" t="s">
        <v>2</v>
      </c>
      <c r="Y3720" s="54" t="s">
        <v>2</v>
      </c>
      <c r="Z3720" s="54" t="s">
        <v>2</v>
      </c>
      <c r="AA3720" s="54" t="s">
        <v>2</v>
      </c>
      <c r="AB3720" s="54" t="s">
        <v>2</v>
      </c>
      <c r="AC3720" s="54" t="s">
        <v>2</v>
      </c>
      <c r="AD3720" s="54" t="s">
        <v>2</v>
      </c>
      <c r="AE3720" s="54" t="s">
        <v>2</v>
      </c>
      <c r="AF3720" s="54" t="s">
        <v>2</v>
      </c>
      <c r="AG3720" s="54" t="s">
        <v>2</v>
      </c>
    </row>
    <row r="3721" ht="15.75" customHeight="1">
      <c r="B3721" s="56"/>
      <c r="U3721" s="46" t="str">
        <f t="array" ref="U3721">IF($D3721="","",IFERROR(_xlfn.XLOOKUP($D3721,'TIR店舗一覧'!$D:$D,'TIR店舗一覧'!$E:$E,""),""))</f>
        <v/>
      </c>
      <c r="V3721" s="54" t="s">
        <v>2</v>
      </c>
      <c r="W3721" s="54" t="s">
        <v>2</v>
      </c>
      <c r="X3721" s="54" t="s">
        <v>2</v>
      </c>
      <c r="Y3721" s="54" t="s">
        <v>2</v>
      </c>
      <c r="Z3721" s="54" t="s">
        <v>2</v>
      </c>
      <c r="AA3721" s="54" t="s">
        <v>2</v>
      </c>
      <c r="AB3721" s="54" t="s">
        <v>2</v>
      </c>
      <c r="AC3721" s="54" t="s">
        <v>2</v>
      </c>
      <c r="AD3721" s="54" t="s">
        <v>2</v>
      </c>
      <c r="AE3721" s="54" t="s">
        <v>2</v>
      </c>
      <c r="AF3721" s="54" t="s">
        <v>2</v>
      </c>
      <c r="AG3721" s="54" t="s">
        <v>2</v>
      </c>
    </row>
    <row r="3722" ht="15.75" customHeight="1">
      <c r="B3722" s="56"/>
      <c r="U3722" s="46" t="str">
        <f t="array" ref="U3722">IF($D3722="","",IFERROR(_xlfn.XLOOKUP($D3722,'TIR店舗一覧'!$D:$D,'TIR店舗一覧'!$E:$E,""),""))</f>
        <v/>
      </c>
      <c r="V3722" s="54" t="s">
        <v>2</v>
      </c>
      <c r="W3722" s="54" t="s">
        <v>2</v>
      </c>
      <c r="X3722" s="54" t="s">
        <v>2</v>
      </c>
      <c r="Y3722" s="54" t="s">
        <v>2</v>
      </c>
      <c r="Z3722" s="54" t="s">
        <v>2</v>
      </c>
      <c r="AA3722" s="54" t="s">
        <v>2</v>
      </c>
      <c r="AB3722" s="54" t="s">
        <v>2</v>
      </c>
      <c r="AC3722" s="54" t="s">
        <v>2</v>
      </c>
      <c r="AD3722" s="54" t="s">
        <v>2</v>
      </c>
      <c r="AE3722" s="54" t="s">
        <v>2</v>
      </c>
      <c r="AF3722" s="54" t="s">
        <v>2</v>
      </c>
      <c r="AG3722" s="54" t="s">
        <v>2</v>
      </c>
    </row>
    <row r="3723" ht="15.75" customHeight="1">
      <c r="B3723" s="56"/>
      <c r="U3723" s="46" t="str">
        <f t="array" ref="U3723">IF($D3723="","",IFERROR(_xlfn.XLOOKUP($D3723,'TIR店舗一覧'!$D:$D,'TIR店舗一覧'!$E:$E,""),""))</f>
        <v/>
      </c>
      <c r="V3723" s="54" t="s">
        <v>2</v>
      </c>
      <c r="W3723" s="54" t="s">
        <v>2</v>
      </c>
      <c r="X3723" s="54" t="s">
        <v>2</v>
      </c>
      <c r="Y3723" s="54" t="s">
        <v>2</v>
      </c>
      <c r="Z3723" s="54" t="s">
        <v>2</v>
      </c>
      <c r="AA3723" s="54" t="s">
        <v>2</v>
      </c>
      <c r="AB3723" s="54" t="s">
        <v>2</v>
      </c>
      <c r="AC3723" s="54" t="s">
        <v>2</v>
      </c>
      <c r="AD3723" s="54" t="s">
        <v>2</v>
      </c>
      <c r="AE3723" s="54" t="s">
        <v>2</v>
      </c>
      <c r="AF3723" s="54" t="s">
        <v>2</v>
      </c>
      <c r="AG3723" s="54" t="s">
        <v>2</v>
      </c>
    </row>
    <row r="3724" ht="15.75" customHeight="1">
      <c r="B3724" s="56"/>
      <c r="U3724" s="46" t="str">
        <f t="array" ref="U3724">IF($D3724="","",IFERROR(_xlfn.XLOOKUP($D3724,'TIR店舗一覧'!$D:$D,'TIR店舗一覧'!$E:$E,""),""))</f>
        <v/>
      </c>
      <c r="V3724" s="54" t="s">
        <v>2</v>
      </c>
      <c r="W3724" s="54" t="s">
        <v>2</v>
      </c>
      <c r="X3724" s="54" t="s">
        <v>2</v>
      </c>
      <c r="Y3724" s="54" t="s">
        <v>2</v>
      </c>
      <c r="Z3724" s="54" t="s">
        <v>2</v>
      </c>
      <c r="AA3724" s="54" t="s">
        <v>2</v>
      </c>
      <c r="AB3724" s="54" t="s">
        <v>2</v>
      </c>
      <c r="AC3724" s="54" t="s">
        <v>2</v>
      </c>
      <c r="AD3724" s="54" t="s">
        <v>2</v>
      </c>
      <c r="AE3724" s="54" t="s">
        <v>2</v>
      </c>
      <c r="AF3724" s="54" t="s">
        <v>2</v>
      </c>
      <c r="AG3724" s="54" t="s">
        <v>2</v>
      </c>
    </row>
    <row r="3725" ht="15.75" customHeight="1">
      <c r="B3725" s="56"/>
      <c r="U3725" s="46" t="str">
        <f t="array" ref="U3725">IF($D3725="","",IFERROR(_xlfn.XLOOKUP($D3725,'TIR店舗一覧'!$D:$D,'TIR店舗一覧'!$E:$E,""),""))</f>
        <v/>
      </c>
      <c r="V3725" s="54" t="s">
        <v>2</v>
      </c>
      <c r="W3725" s="54" t="s">
        <v>2</v>
      </c>
      <c r="X3725" s="54" t="s">
        <v>2</v>
      </c>
      <c r="Y3725" s="54" t="s">
        <v>2</v>
      </c>
      <c r="Z3725" s="54" t="s">
        <v>2</v>
      </c>
      <c r="AA3725" s="54" t="s">
        <v>2</v>
      </c>
      <c r="AB3725" s="54" t="s">
        <v>2</v>
      </c>
      <c r="AC3725" s="54" t="s">
        <v>2</v>
      </c>
      <c r="AD3725" s="54" t="s">
        <v>2</v>
      </c>
      <c r="AE3725" s="54" t="s">
        <v>2</v>
      </c>
      <c r="AF3725" s="54" t="s">
        <v>2</v>
      </c>
      <c r="AG3725" s="54" t="s">
        <v>2</v>
      </c>
    </row>
    <row r="3726" ht="15.75" customHeight="1">
      <c r="B3726" s="56"/>
      <c r="U3726" s="46" t="str">
        <f t="array" ref="U3726">IF($D3726="","",IFERROR(_xlfn.XLOOKUP($D3726,'TIR店舗一覧'!$D:$D,'TIR店舗一覧'!$E:$E,""),""))</f>
        <v/>
      </c>
      <c r="V3726" s="54" t="s">
        <v>2</v>
      </c>
      <c r="W3726" s="54" t="s">
        <v>2</v>
      </c>
      <c r="X3726" s="54" t="s">
        <v>2</v>
      </c>
      <c r="Y3726" s="54" t="s">
        <v>2</v>
      </c>
      <c r="Z3726" s="54" t="s">
        <v>2</v>
      </c>
      <c r="AA3726" s="54" t="s">
        <v>2</v>
      </c>
      <c r="AB3726" s="54" t="s">
        <v>2</v>
      </c>
      <c r="AC3726" s="54" t="s">
        <v>2</v>
      </c>
      <c r="AD3726" s="54" t="s">
        <v>2</v>
      </c>
      <c r="AE3726" s="54" t="s">
        <v>2</v>
      </c>
      <c r="AF3726" s="54" t="s">
        <v>2</v>
      </c>
      <c r="AG3726" s="54" t="s">
        <v>2</v>
      </c>
    </row>
    <row r="3727" ht="15.75" customHeight="1">
      <c r="B3727" s="56"/>
      <c r="U3727" s="46" t="str">
        <f t="array" ref="U3727">IF($D3727="","",IFERROR(_xlfn.XLOOKUP($D3727,'TIR店舗一覧'!$D:$D,'TIR店舗一覧'!$E:$E,""),""))</f>
        <v/>
      </c>
      <c r="V3727" s="54" t="s">
        <v>2</v>
      </c>
      <c r="W3727" s="54" t="s">
        <v>2</v>
      </c>
      <c r="X3727" s="54" t="s">
        <v>2</v>
      </c>
      <c r="Y3727" s="54" t="s">
        <v>2</v>
      </c>
      <c r="Z3727" s="54" t="s">
        <v>2</v>
      </c>
      <c r="AA3727" s="54" t="s">
        <v>2</v>
      </c>
      <c r="AB3727" s="54" t="s">
        <v>2</v>
      </c>
      <c r="AC3727" s="54" t="s">
        <v>2</v>
      </c>
      <c r="AD3727" s="54" t="s">
        <v>2</v>
      </c>
      <c r="AE3727" s="54" t="s">
        <v>2</v>
      </c>
      <c r="AF3727" s="54" t="s">
        <v>2</v>
      </c>
      <c r="AG3727" s="54" t="s">
        <v>2</v>
      </c>
    </row>
    <row r="3728" ht="15.75" customHeight="1">
      <c r="B3728" s="56"/>
      <c r="U3728" s="46" t="str">
        <f t="array" ref="U3728">IF($D3728="","",IFERROR(_xlfn.XLOOKUP($D3728,'TIR店舗一覧'!$D:$D,'TIR店舗一覧'!$E:$E,""),""))</f>
        <v/>
      </c>
      <c r="V3728" s="54" t="s">
        <v>2</v>
      </c>
      <c r="W3728" s="54" t="s">
        <v>2</v>
      </c>
      <c r="X3728" s="54" t="s">
        <v>2</v>
      </c>
      <c r="Y3728" s="54" t="s">
        <v>2</v>
      </c>
      <c r="Z3728" s="54" t="s">
        <v>2</v>
      </c>
      <c r="AA3728" s="54" t="s">
        <v>2</v>
      </c>
      <c r="AB3728" s="54" t="s">
        <v>2</v>
      </c>
      <c r="AC3728" s="54" t="s">
        <v>2</v>
      </c>
      <c r="AD3728" s="54" t="s">
        <v>2</v>
      </c>
      <c r="AE3728" s="54" t="s">
        <v>2</v>
      </c>
      <c r="AF3728" s="54" t="s">
        <v>2</v>
      </c>
      <c r="AG3728" s="54" t="s">
        <v>2</v>
      </c>
    </row>
    <row r="3729" ht="15.75" customHeight="1">
      <c r="B3729" s="56"/>
      <c r="U3729" s="46" t="str">
        <f t="array" ref="U3729">IF($D3729="","",IFERROR(_xlfn.XLOOKUP($D3729,'TIR店舗一覧'!$D:$D,'TIR店舗一覧'!$E:$E,""),""))</f>
        <v/>
      </c>
      <c r="V3729" s="54" t="s">
        <v>2</v>
      </c>
      <c r="W3729" s="54" t="s">
        <v>2</v>
      </c>
      <c r="X3729" s="54" t="s">
        <v>2</v>
      </c>
      <c r="Y3729" s="54" t="s">
        <v>2</v>
      </c>
      <c r="Z3729" s="54" t="s">
        <v>2</v>
      </c>
      <c r="AA3729" s="54" t="s">
        <v>2</v>
      </c>
      <c r="AB3729" s="54" t="s">
        <v>2</v>
      </c>
      <c r="AC3729" s="54" t="s">
        <v>2</v>
      </c>
      <c r="AD3729" s="54" t="s">
        <v>2</v>
      </c>
      <c r="AE3729" s="54" t="s">
        <v>2</v>
      </c>
      <c r="AF3729" s="54" t="s">
        <v>2</v>
      </c>
      <c r="AG3729" s="54" t="s">
        <v>2</v>
      </c>
    </row>
    <row r="3730" ht="15.75" customHeight="1">
      <c r="B3730" s="56"/>
      <c r="U3730" s="46" t="str">
        <f t="array" ref="U3730">IF($D3730="","",IFERROR(_xlfn.XLOOKUP($D3730,'TIR店舗一覧'!$D:$D,'TIR店舗一覧'!$E:$E,""),""))</f>
        <v/>
      </c>
      <c r="V3730" s="54" t="s">
        <v>2</v>
      </c>
      <c r="W3730" s="54" t="s">
        <v>2</v>
      </c>
      <c r="X3730" s="54" t="s">
        <v>2</v>
      </c>
      <c r="Y3730" s="54" t="s">
        <v>2</v>
      </c>
      <c r="Z3730" s="54" t="s">
        <v>2</v>
      </c>
      <c r="AA3730" s="54" t="s">
        <v>2</v>
      </c>
      <c r="AB3730" s="54" t="s">
        <v>2</v>
      </c>
      <c r="AC3730" s="54" t="s">
        <v>2</v>
      </c>
      <c r="AD3730" s="54" t="s">
        <v>2</v>
      </c>
      <c r="AE3730" s="54" t="s">
        <v>2</v>
      </c>
      <c r="AF3730" s="54" t="s">
        <v>2</v>
      </c>
      <c r="AG3730" s="54" t="s">
        <v>2</v>
      </c>
    </row>
    <row r="3731" ht="15.75" customHeight="1">
      <c r="B3731" s="56"/>
      <c r="U3731" s="46" t="str">
        <f t="array" ref="U3731">IF($D3731="","",IFERROR(_xlfn.XLOOKUP($D3731,'TIR店舗一覧'!$D:$D,'TIR店舗一覧'!$E:$E,""),""))</f>
        <v/>
      </c>
      <c r="V3731" s="54" t="s">
        <v>2</v>
      </c>
      <c r="W3731" s="54" t="s">
        <v>2</v>
      </c>
      <c r="X3731" s="54" t="s">
        <v>2</v>
      </c>
      <c r="Y3731" s="54" t="s">
        <v>2</v>
      </c>
      <c r="Z3731" s="54" t="s">
        <v>2</v>
      </c>
      <c r="AA3731" s="54" t="s">
        <v>2</v>
      </c>
      <c r="AB3731" s="54" t="s">
        <v>2</v>
      </c>
      <c r="AC3731" s="54" t="s">
        <v>2</v>
      </c>
      <c r="AD3731" s="54" t="s">
        <v>2</v>
      </c>
      <c r="AE3731" s="54" t="s">
        <v>2</v>
      </c>
      <c r="AF3731" s="54" t="s">
        <v>2</v>
      </c>
      <c r="AG3731" s="54" t="s">
        <v>2</v>
      </c>
    </row>
    <row r="3732" ht="15.75" customHeight="1">
      <c r="B3732" s="56"/>
      <c r="U3732" s="46" t="str">
        <f t="array" ref="U3732">IF($D3732="","",IFERROR(_xlfn.XLOOKUP($D3732,'TIR店舗一覧'!$D:$D,'TIR店舗一覧'!$E:$E,""),""))</f>
        <v/>
      </c>
      <c r="V3732" s="54" t="s">
        <v>2</v>
      </c>
      <c r="W3732" s="54" t="s">
        <v>2</v>
      </c>
      <c r="X3732" s="54" t="s">
        <v>2</v>
      </c>
      <c r="Y3732" s="54" t="s">
        <v>2</v>
      </c>
      <c r="Z3732" s="54" t="s">
        <v>2</v>
      </c>
      <c r="AA3732" s="54" t="s">
        <v>2</v>
      </c>
      <c r="AB3732" s="54" t="s">
        <v>2</v>
      </c>
      <c r="AC3732" s="54" t="s">
        <v>2</v>
      </c>
      <c r="AD3732" s="54" t="s">
        <v>2</v>
      </c>
      <c r="AE3732" s="54" t="s">
        <v>2</v>
      </c>
      <c r="AF3732" s="54" t="s">
        <v>2</v>
      </c>
      <c r="AG3732" s="54" t="s">
        <v>2</v>
      </c>
    </row>
    <row r="3733" ht="15.75" customHeight="1">
      <c r="B3733" s="56"/>
      <c r="U3733" s="46" t="str">
        <f t="array" ref="U3733">IF($D3733="","",IFERROR(_xlfn.XLOOKUP($D3733,'TIR店舗一覧'!$D:$D,'TIR店舗一覧'!$E:$E,""),""))</f>
        <v/>
      </c>
      <c r="V3733" s="54" t="s">
        <v>2</v>
      </c>
      <c r="W3733" s="54" t="s">
        <v>2</v>
      </c>
      <c r="X3733" s="54" t="s">
        <v>2</v>
      </c>
      <c r="Y3733" s="54" t="s">
        <v>2</v>
      </c>
      <c r="Z3733" s="54" t="s">
        <v>2</v>
      </c>
      <c r="AA3733" s="54" t="s">
        <v>2</v>
      </c>
      <c r="AB3733" s="54" t="s">
        <v>2</v>
      </c>
      <c r="AC3733" s="54" t="s">
        <v>2</v>
      </c>
      <c r="AD3733" s="54" t="s">
        <v>2</v>
      </c>
      <c r="AE3733" s="54" t="s">
        <v>2</v>
      </c>
      <c r="AF3733" s="54" t="s">
        <v>2</v>
      </c>
      <c r="AG3733" s="54" t="s">
        <v>2</v>
      </c>
    </row>
    <row r="3734" ht="15.75" customHeight="1">
      <c r="B3734" s="56"/>
      <c r="U3734" s="46" t="str">
        <f t="array" ref="U3734">IF($D3734="","",IFERROR(_xlfn.XLOOKUP($D3734,'TIR店舗一覧'!$D:$D,'TIR店舗一覧'!$E:$E,""),""))</f>
        <v/>
      </c>
      <c r="V3734" s="54" t="s">
        <v>2</v>
      </c>
      <c r="W3734" s="54" t="s">
        <v>2</v>
      </c>
      <c r="X3734" s="54" t="s">
        <v>2</v>
      </c>
      <c r="Y3734" s="54" t="s">
        <v>2</v>
      </c>
      <c r="Z3734" s="54" t="s">
        <v>2</v>
      </c>
      <c r="AA3734" s="54" t="s">
        <v>2</v>
      </c>
      <c r="AB3734" s="54" t="s">
        <v>2</v>
      </c>
      <c r="AC3734" s="54" t="s">
        <v>2</v>
      </c>
      <c r="AD3734" s="54" t="s">
        <v>2</v>
      </c>
      <c r="AE3734" s="54" t="s">
        <v>2</v>
      </c>
      <c r="AF3734" s="54" t="s">
        <v>2</v>
      </c>
      <c r="AG3734" s="54" t="s">
        <v>2</v>
      </c>
    </row>
    <row r="3735" ht="15.75" customHeight="1">
      <c r="B3735" s="56"/>
      <c r="U3735" s="46" t="str">
        <f t="array" ref="U3735">IF($D3735="","",IFERROR(_xlfn.XLOOKUP($D3735,'TIR店舗一覧'!$D:$D,'TIR店舗一覧'!$E:$E,""),""))</f>
        <v/>
      </c>
      <c r="V3735" s="54" t="s">
        <v>2</v>
      </c>
      <c r="W3735" s="54" t="s">
        <v>2</v>
      </c>
      <c r="X3735" s="54" t="s">
        <v>2</v>
      </c>
      <c r="Y3735" s="54" t="s">
        <v>2</v>
      </c>
      <c r="Z3735" s="54" t="s">
        <v>2</v>
      </c>
      <c r="AA3735" s="54" t="s">
        <v>2</v>
      </c>
      <c r="AB3735" s="54" t="s">
        <v>2</v>
      </c>
      <c r="AC3735" s="54" t="s">
        <v>2</v>
      </c>
      <c r="AD3735" s="54" t="s">
        <v>2</v>
      </c>
      <c r="AE3735" s="54" t="s">
        <v>2</v>
      </c>
      <c r="AF3735" s="54" t="s">
        <v>2</v>
      </c>
      <c r="AG3735" s="54" t="s">
        <v>2</v>
      </c>
    </row>
    <row r="3736" ht="15.75" customHeight="1">
      <c r="B3736" s="56"/>
      <c r="U3736" s="46" t="str">
        <f t="array" ref="U3736">IF($D3736="","",IFERROR(_xlfn.XLOOKUP($D3736,'TIR店舗一覧'!$D:$D,'TIR店舗一覧'!$E:$E,""),""))</f>
        <v/>
      </c>
      <c r="V3736" s="54" t="s">
        <v>2</v>
      </c>
      <c r="W3736" s="54" t="s">
        <v>2</v>
      </c>
      <c r="X3736" s="54" t="s">
        <v>2</v>
      </c>
      <c r="Y3736" s="54" t="s">
        <v>2</v>
      </c>
      <c r="Z3736" s="54" t="s">
        <v>2</v>
      </c>
      <c r="AA3736" s="54" t="s">
        <v>2</v>
      </c>
      <c r="AB3736" s="54" t="s">
        <v>2</v>
      </c>
      <c r="AC3736" s="54" t="s">
        <v>2</v>
      </c>
      <c r="AD3736" s="54" t="s">
        <v>2</v>
      </c>
      <c r="AE3736" s="54" t="s">
        <v>2</v>
      </c>
      <c r="AF3736" s="54" t="s">
        <v>2</v>
      </c>
      <c r="AG3736" s="54" t="s">
        <v>2</v>
      </c>
    </row>
    <row r="3737" ht="15.75" customHeight="1">
      <c r="B3737" s="56"/>
      <c r="U3737" s="46" t="str">
        <f t="array" ref="U3737">IF($D3737="","",IFERROR(_xlfn.XLOOKUP($D3737,'TIR店舗一覧'!$D:$D,'TIR店舗一覧'!$E:$E,""),""))</f>
        <v/>
      </c>
      <c r="V3737" s="54" t="s">
        <v>2</v>
      </c>
      <c r="W3737" s="54" t="s">
        <v>2</v>
      </c>
      <c r="X3737" s="54" t="s">
        <v>2</v>
      </c>
      <c r="Y3737" s="54" t="s">
        <v>2</v>
      </c>
      <c r="Z3737" s="54" t="s">
        <v>2</v>
      </c>
      <c r="AA3737" s="54" t="s">
        <v>2</v>
      </c>
      <c r="AB3737" s="54" t="s">
        <v>2</v>
      </c>
      <c r="AC3737" s="54" t="s">
        <v>2</v>
      </c>
      <c r="AD3737" s="54" t="s">
        <v>2</v>
      </c>
      <c r="AE3737" s="54" t="s">
        <v>2</v>
      </c>
      <c r="AF3737" s="54" t="s">
        <v>2</v>
      </c>
      <c r="AG3737" s="54" t="s">
        <v>2</v>
      </c>
    </row>
    <row r="3738" ht="15.75" customHeight="1">
      <c r="B3738" s="56"/>
      <c r="U3738" s="46" t="str">
        <f t="array" ref="U3738">IF($D3738="","",IFERROR(_xlfn.XLOOKUP($D3738,'TIR店舗一覧'!$D:$D,'TIR店舗一覧'!$E:$E,""),""))</f>
        <v/>
      </c>
      <c r="V3738" s="54" t="s">
        <v>2</v>
      </c>
      <c r="W3738" s="54" t="s">
        <v>2</v>
      </c>
      <c r="X3738" s="54" t="s">
        <v>2</v>
      </c>
      <c r="Y3738" s="54" t="s">
        <v>2</v>
      </c>
      <c r="Z3738" s="54" t="s">
        <v>2</v>
      </c>
      <c r="AA3738" s="54" t="s">
        <v>2</v>
      </c>
      <c r="AB3738" s="54" t="s">
        <v>2</v>
      </c>
      <c r="AC3738" s="54" t="s">
        <v>2</v>
      </c>
      <c r="AD3738" s="54" t="s">
        <v>2</v>
      </c>
      <c r="AE3738" s="54" t="s">
        <v>2</v>
      </c>
      <c r="AF3738" s="54" t="s">
        <v>2</v>
      </c>
      <c r="AG3738" s="54" t="s">
        <v>2</v>
      </c>
    </row>
    <row r="3739" ht="15.75" customHeight="1">
      <c r="B3739" s="56"/>
      <c r="U3739" s="46" t="str">
        <f t="array" ref="U3739">IF($D3739="","",IFERROR(_xlfn.XLOOKUP($D3739,'TIR店舗一覧'!$D:$D,'TIR店舗一覧'!$E:$E,""),""))</f>
        <v/>
      </c>
      <c r="V3739" s="54" t="s">
        <v>2</v>
      </c>
      <c r="W3739" s="54" t="s">
        <v>2</v>
      </c>
      <c r="X3739" s="54" t="s">
        <v>2</v>
      </c>
      <c r="Y3739" s="54" t="s">
        <v>2</v>
      </c>
      <c r="Z3739" s="54" t="s">
        <v>2</v>
      </c>
      <c r="AA3739" s="54" t="s">
        <v>2</v>
      </c>
      <c r="AB3739" s="54" t="s">
        <v>2</v>
      </c>
      <c r="AC3739" s="54" t="s">
        <v>2</v>
      </c>
      <c r="AD3739" s="54" t="s">
        <v>2</v>
      </c>
      <c r="AE3739" s="54" t="s">
        <v>2</v>
      </c>
      <c r="AF3739" s="54" t="s">
        <v>2</v>
      </c>
      <c r="AG3739" s="54" t="s">
        <v>2</v>
      </c>
    </row>
    <row r="3740" ht="15.75" customHeight="1">
      <c r="B3740" s="56"/>
      <c r="U3740" s="46" t="str">
        <f t="array" ref="U3740">IF($D3740="","",IFERROR(_xlfn.XLOOKUP($D3740,'TIR店舗一覧'!$D:$D,'TIR店舗一覧'!$E:$E,""),""))</f>
        <v/>
      </c>
      <c r="V3740" s="54" t="s">
        <v>2</v>
      </c>
      <c r="W3740" s="54" t="s">
        <v>2</v>
      </c>
      <c r="X3740" s="54" t="s">
        <v>2</v>
      </c>
      <c r="Y3740" s="54" t="s">
        <v>2</v>
      </c>
      <c r="Z3740" s="54" t="s">
        <v>2</v>
      </c>
      <c r="AA3740" s="54" t="s">
        <v>2</v>
      </c>
      <c r="AB3740" s="54" t="s">
        <v>2</v>
      </c>
      <c r="AC3740" s="54" t="s">
        <v>2</v>
      </c>
      <c r="AD3740" s="54" t="s">
        <v>2</v>
      </c>
      <c r="AE3740" s="54" t="s">
        <v>2</v>
      </c>
      <c r="AF3740" s="54" t="s">
        <v>2</v>
      </c>
      <c r="AG3740" s="54" t="s">
        <v>2</v>
      </c>
    </row>
    <row r="3741" ht="15.75" customHeight="1">
      <c r="B3741" s="56"/>
      <c r="U3741" s="46" t="str">
        <f t="array" ref="U3741">IF($D3741="","",IFERROR(_xlfn.XLOOKUP($D3741,'TIR店舗一覧'!$D:$D,'TIR店舗一覧'!$E:$E,""),""))</f>
        <v/>
      </c>
      <c r="V3741" s="54" t="s">
        <v>2</v>
      </c>
      <c r="W3741" s="54" t="s">
        <v>2</v>
      </c>
      <c r="X3741" s="54" t="s">
        <v>2</v>
      </c>
      <c r="Y3741" s="54" t="s">
        <v>2</v>
      </c>
      <c r="Z3741" s="54" t="s">
        <v>2</v>
      </c>
      <c r="AA3741" s="54" t="s">
        <v>2</v>
      </c>
      <c r="AB3741" s="54" t="s">
        <v>2</v>
      </c>
      <c r="AC3741" s="54" t="s">
        <v>2</v>
      </c>
      <c r="AD3741" s="54" t="s">
        <v>2</v>
      </c>
      <c r="AE3741" s="54" t="s">
        <v>2</v>
      </c>
      <c r="AF3741" s="54" t="s">
        <v>2</v>
      </c>
      <c r="AG3741" s="54" t="s">
        <v>2</v>
      </c>
    </row>
    <row r="3742" ht="15.75" customHeight="1">
      <c r="B3742" s="56"/>
      <c r="U3742" s="46" t="str">
        <f t="array" ref="U3742">IF($D3742="","",IFERROR(_xlfn.XLOOKUP($D3742,'TIR店舗一覧'!$D:$D,'TIR店舗一覧'!$E:$E,""),""))</f>
        <v/>
      </c>
      <c r="V3742" s="54" t="s">
        <v>2</v>
      </c>
      <c r="W3742" s="54" t="s">
        <v>2</v>
      </c>
      <c r="X3742" s="54" t="s">
        <v>2</v>
      </c>
      <c r="Y3742" s="54" t="s">
        <v>2</v>
      </c>
      <c r="Z3742" s="54" t="s">
        <v>2</v>
      </c>
      <c r="AA3742" s="54" t="s">
        <v>2</v>
      </c>
      <c r="AB3742" s="54" t="s">
        <v>2</v>
      </c>
      <c r="AC3742" s="54" t="s">
        <v>2</v>
      </c>
      <c r="AD3742" s="54" t="s">
        <v>2</v>
      </c>
      <c r="AE3742" s="54" t="s">
        <v>2</v>
      </c>
      <c r="AF3742" s="54" t="s">
        <v>2</v>
      </c>
      <c r="AG3742" s="54" t="s">
        <v>2</v>
      </c>
    </row>
    <row r="3743" ht="15.75" customHeight="1">
      <c r="B3743" s="56"/>
      <c r="U3743" s="46" t="str">
        <f t="array" ref="U3743">IF($D3743="","",IFERROR(_xlfn.XLOOKUP($D3743,'TIR店舗一覧'!$D:$D,'TIR店舗一覧'!$E:$E,""),""))</f>
        <v/>
      </c>
      <c r="V3743" s="54" t="s">
        <v>2</v>
      </c>
      <c r="W3743" s="54" t="s">
        <v>2</v>
      </c>
      <c r="X3743" s="54" t="s">
        <v>2</v>
      </c>
      <c r="Y3743" s="54" t="s">
        <v>2</v>
      </c>
      <c r="Z3743" s="54" t="s">
        <v>2</v>
      </c>
      <c r="AA3743" s="54" t="s">
        <v>2</v>
      </c>
      <c r="AB3743" s="54" t="s">
        <v>2</v>
      </c>
      <c r="AC3743" s="54" t="s">
        <v>2</v>
      </c>
      <c r="AD3743" s="54" t="s">
        <v>2</v>
      </c>
      <c r="AE3743" s="54" t="s">
        <v>2</v>
      </c>
      <c r="AF3743" s="54" t="s">
        <v>2</v>
      </c>
      <c r="AG3743" s="54" t="s">
        <v>2</v>
      </c>
    </row>
    <row r="3744" ht="15.75" customHeight="1">
      <c r="B3744" s="56"/>
      <c r="U3744" s="46" t="str">
        <f t="array" ref="U3744">IF($D3744="","",IFERROR(_xlfn.XLOOKUP($D3744,'TIR店舗一覧'!$D:$D,'TIR店舗一覧'!$E:$E,""),""))</f>
        <v/>
      </c>
      <c r="V3744" s="54" t="s">
        <v>2</v>
      </c>
      <c r="W3744" s="54" t="s">
        <v>2</v>
      </c>
      <c r="X3744" s="54" t="s">
        <v>2</v>
      </c>
      <c r="Y3744" s="54" t="s">
        <v>2</v>
      </c>
      <c r="Z3744" s="54" t="s">
        <v>2</v>
      </c>
      <c r="AA3744" s="54" t="s">
        <v>2</v>
      </c>
      <c r="AB3744" s="54" t="s">
        <v>2</v>
      </c>
      <c r="AC3744" s="54" t="s">
        <v>2</v>
      </c>
      <c r="AD3744" s="54" t="s">
        <v>2</v>
      </c>
      <c r="AE3744" s="54" t="s">
        <v>2</v>
      </c>
      <c r="AF3744" s="54" t="s">
        <v>2</v>
      </c>
      <c r="AG3744" s="54" t="s">
        <v>2</v>
      </c>
    </row>
    <row r="3745" ht="15.75" customHeight="1">
      <c r="B3745" s="56"/>
      <c r="U3745" s="46" t="str">
        <f t="array" ref="U3745">IF($D3745="","",IFERROR(_xlfn.XLOOKUP($D3745,'TIR店舗一覧'!$D:$D,'TIR店舗一覧'!$E:$E,""),""))</f>
        <v/>
      </c>
      <c r="V3745" s="54" t="s">
        <v>2</v>
      </c>
      <c r="W3745" s="54" t="s">
        <v>2</v>
      </c>
      <c r="X3745" s="54" t="s">
        <v>2</v>
      </c>
      <c r="Y3745" s="54" t="s">
        <v>2</v>
      </c>
      <c r="Z3745" s="54" t="s">
        <v>2</v>
      </c>
      <c r="AA3745" s="54" t="s">
        <v>2</v>
      </c>
      <c r="AB3745" s="54" t="s">
        <v>2</v>
      </c>
      <c r="AC3745" s="54" t="s">
        <v>2</v>
      </c>
      <c r="AD3745" s="54" t="s">
        <v>2</v>
      </c>
      <c r="AE3745" s="54" t="s">
        <v>2</v>
      </c>
      <c r="AF3745" s="54" t="s">
        <v>2</v>
      </c>
      <c r="AG3745" s="54" t="s">
        <v>2</v>
      </c>
    </row>
    <row r="3746" ht="15.75" customHeight="1">
      <c r="B3746" s="56"/>
      <c r="U3746" s="46" t="str">
        <f t="array" ref="U3746">IF($D3746="","",IFERROR(_xlfn.XLOOKUP($D3746,'TIR店舗一覧'!$D:$D,'TIR店舗一覧'!$E:$E,""),""))</f>
        <v/>
      </c>
      <c r="V3746" s="54" t="s">
        <v>2</v>
      </c>
      <c r="W3746" s="54" t="s">
        <v>2</v>
      </c>
      <c r="X3746" s="54" t="s">
        <v>2</v>
      </c>
      <c r="Y3746" s="54" t="s">
        <v>2</v>
      </c>
      <c r="Z3746" s="54" t="s">
        <v>2</v>
      </c>
      <c r="AA3746" s="54" t="s">
        <v>2</v>
      </c>
      <c r="AB3746" s="54" t="s">
        <v>2</v>
      </c>
      <c r="AC3746" s="54" t="s">
        <v>2</v>
      </c>
      <c r="AD3746" s="54" t="s">
        <v>2</v>
      </c>
      <c r="AE3746" s="54" t="s">
        <v>2</v>
      </c>
      <c r="AF3746" s="54" t="s">
        <v>2</v>
      </c>
      <c r="AG3746" s="54" t="s">
        <v>2</v>
      </c>
    </row>
    <row r="3747" ht="15.75" customHeight="1">
      <c r="B3747" s="56"/>
      <c r="U3747" s="46" t="str">
        <f t="array" ref="U3747">IF($D3747="","",IFERROR(_xlfn.XLOOKUP($D3747,'TIR店舗一覧'!$D:$D,'TIR店舗一覧'!$E:$E,""),""))</f>
        <v/>
      </c>
      <c r="V3747" s="54" t="s">
        <v>2</v>
      </c>
      <c r="W3747" s="54" t="s">
        <v>2</v>
      </c>
      <c r="X3747" s="54" t="s">
        <v>2</v>
      </c>
      <c r="Y3747" s="54" t="s">
        <v>2</v>
      </c>
      <c r="Z3747" s="54" t="s">
        <v>2</v>
      </c>
      <c r="AA3747" s="54" t="s">
        <v>2</v>
      </c>
      <c r="AB3747" s="54" t="s">
        <v>2</v>
      </c>
      <c r="AC3747" s="54" t="s">
        <v>2</v>
      </c>
      <c r="AD3747" s="54" t="s">
        <v>2</v>
      </c>
      <c r="AE3747" s="54" t="s">
        <v>2</v>
      </c>
      <c r="AF3747" s="54" t="s">
        <v>2</v>
      </c>
      <c r="AG3747" s="54" t="s">
        <v>2</v>
      </c>
    </row>
    <row r="3748" ht="15.75" customHeight="1">
      <c r="B3748" s="56"/>
      <c r="U3748" s="46" t="str">
        <f t="array" ref="U3748">IF($D3748="","",IFERROR(_xlfn.XLOOKUP($D3748,'TIR店舗一覧'!$D:$D,'TIR店舗一覧'!$E:$E,""),""))</f>
        <v/>
      </c>
      <c r="V3748" s="54" t="s">
        <v>2</v>
      </c>
      <c r="W3748" s="54" t="s">
        <v>2</v>
      </c>
      <c r="X3748" s="54" t="s">
        <v>2</v>
      </c>
      <c r="Y3748" s="54" t="s">
        <v>2</v>
      </c>
      <c r="Z3748" s="54" t="s">
        <v>2</v>
      </c>
      <c r="AA3748" s="54" t="s">
        <v>2</v>
      </c>
      <c r="AB3748" s="54" t="s">
        <v>2</v>
      </c>
      <c r="AC3748" s="54" t="s">
        <v>2</v>
      </c>
      <c r="AD3748" s="54" t="s">
        <v>2</v>
      </c>
      <c r="AE3748" s="54" t="s">
        <v>2</v>
      </c>
      <c r="AF3748" s="54" t="s">
        <v>2</v>
      </c>
      <c r="AG3748" s="54" t="s">
        <v>2</v>
      </c>
    </row>
    <row r="3749" ht="15.75" customHeight="1">
      <c r="B3749" s="56"/>
      <c r="U3749" s="46" t="str">
        <f t="array" ref="U3749">IF($D3749="","",IFERROR(_xlfn.XLOOKUP($D3749,'TIR店舗一覧'!$D:$D,'TIR店舗一覧'!$E:$E,""),""))</f>
        <v/>
      </c>
      <c r="V3749" s="54" t="s">
        <v>2</v>
      </c>
      <c r="W3749" s="54" t="s">
        <v>2</v>
      </c>
      <c r="X3749" s="54" t="s">
        <v>2</v>
      </c>
      <c r="Y3749" s="54" t="s">
        <v>2</v>
      </c>
      <c r="Z3749" s="54" t="s">
        <v>2</v>
      </c>
      <c r="AA3749" s="54" t="s">
        <v>2</v>
      </c>
      <c r="AB3749" s="54" t="s">
        <v>2</v>
      </c>
      <c r="AC3749" s="54" t="s">
        <v>2</v>
      </c>
      <c r="AD3749" s="54" t="s">
        <v>2</v>
      </c>
      <c r="AE3749" s="54" t="s">
        <v>2</v>
      </c>
      <c r="AF3749" s="54" t="s">
        <v>2</v>
      </c>
      <c r="AG3749" s="54" t="s">
        <v>2</v>
      </c>
    </row>
    <row r="3750" ht="15.75" customHeight="1">
      <c r="B3750" s="56"/>
      <c r="U3750" s="46" t="str">
        <f t="array" ref="U3750">IF($D3750="","",IFERROR(_xlfn.XLOOKUP($D3750,'TIR店舗一覧'!$D:$D,'TIR店舗一覧'!$E:$E,""),""))</f>
        <v/>
      </c>
      <c r="V3750" s="54" t="s">
        <v>2</v>
      </c>
      <c r="W3750" s="54" t="s">
        <v>2</v>
      </c>
      <c r="X3750" s="54" t="s">
        <v>2</v>
      </c>
      <c r="Y3750" s="54" t="s">
        <v>2</v>
      </c>
      <c r="Z3750" s="54" t="s">
        <v>2</v>
      </c>
      <c r="AA3750" s="54" t="s">
        <v>2</v>
      </c>
      <c r="AB3750" s="54" t="s">
        <v>2</v>
      </c>
      <c r="AC3750" s="54" t="s">
        <v>2</v>
      </c>
      <c r="AD3750" s="54" t="s">
        <v>2</v>
      </c>
      <c r="AE3750" s="54" t="s">
        <v>2</v>
      </c>
      <c r="AF3750" s="54" t="s">
        <v>2</v>
      </c>
      <c r="AG3750" s="54" t="s">
        <v>2</v>
      </c>
    </row>
    <row r="3751" ht="15.75" customHeight="1">
      <c r="B3751" s="56"/>
      <c r="U3751" s="46" t="str">
        <f t="array" ref="U3751">IF($D3751="","",IFERROR(_xlfn.XLOOKUP($D3751,'TIR店舗一覧'!$D:$D,'TIR店舗一覧'!$E:$E,""),""))</f>
        <v/>
      </c>
      <c r="V3751" s="54" t="s">
        <v>2</v>
      </c>
      <c r="W3751" s="54" t="s">
        <v>2</v>
      </c>
      <c r="X3751" s="54" t="s">
        <v>2</v>
      </c>
      <c r="Y3751" s="54" t="s">
        <v>2</v>
      </c>
      <c r="Z3751" s="54" t="s">
        <v>2</v>
      </c>
      <c r="AA3751" s="54" t="s">
        <v>2</v>
      </c>
      <c r="AB3751" s="54" t="s">
        <v>2</v>
      </c>
      <c r="AC3751" s="54" t="s">
        <v>2</v>
      </c>
      <c r="AD3751" s="54" t="s">
        <v>2</v>
      </c>
      <c r="AE3751" s="54" t="s">
        <v>2</v>
      </c>
      <c r="AF3751" s="54" t="s">
        <v>2</v>
      </c>
      <c r="AG3751" s="54" t="s">
        <v>2</v>
      </c>
    </row>
    <row r="3752" ht="15.75" customHeight="1">
      <c r="B3752" s="56"/>
      <c r="U3752" s="46" t="str">
        <f t="array" ref="U3752">IF($D3752="","",IFERROR(_xlfn.XLOOKUP($D3752,'TIR店舗一覧'!$D:$D,'TIR店舗一覧'!$E:$E,""),""))</f>
        <v/>
      </c>
      <c r="V3752" s="54" t="s">
        <v>2</v>
      </c>
      <c r="W3752" s="54" t="s">
        <v>2</v>
      </c>
      <c r="X3752" s="54" t="s">
        <v>2</v>
      </c>
      <c r="Y3752" s="54" t="s">
        <v>2</v>
      </c>
      <c r="Z3752" s="54" t="s">
        <v>2</v>
      </c>
      <c r="AA3752" s="54" t="s">
        <v>2</v>
      </c>
      <c r="AB3752" s="54" t="s">
        <v>2</v>
      </c>
      <c r="AC3752" s="54" t="s">
        <v>2</v>
      </c>
      <c r="AD3752" s="54" t="s">
        <v>2</v>
      </c>
      <c r="AE3752" s="54" t="s">
        <v>2</v>
      </c>
      <c r="AF3752" s="54" t="s">
        <v>2</v>
      </c>
      <c r="AG3752" s="54" t="s">
        <v>2</v>
      </c>
    </row>
    <row r="3753" ht="15.75" customHeight="1">
      <c r="B3753" s="56"/>
      <c r="U3753" s="46" t="str">
        <f t="array" ref="U3753">IF($D3753="","",IFERROR(_xlfn.XLOOKUP($D3753,'TIR店舗一覧'!$D:$D,'TIR店舗一覧'!$E:$E,""),""))</f>
        <v/>
      </c>
      <c r="V3753" s="54" t="s">
        <v>2</v>
      </c>
      <c r="W3753" s="54" t="s">
        <v>2</v>
      </c>
      <c r="X3753" s="54" t="s">
        <v>2</v>
      </c>
      <c r="Y3753" s="54" t="s">
        <v>2</v>
      </c>
      <c r="Z3753" s="54" t="s">
        <v>2</v>
      </c>
      <c r="AA3753" s="54" t="s">
        <v>2</v>
      </c>
      <c r="AB3753" s="54" t="s">
        <v>2</v>
      </c>
      <c r="AC3753" s="54" t="s">
        <v>2</v>
      </c>
      <c r="AD3753" s="54" t="s">
        <v>2</v>
      </c>
      <c r="AE3753" s="54" t="s">
        <v>2</v>
      </c>
      <c r="AF3753" s="54" t="s">
        <v>2</v>
      </c>
      <c r="AG3753" s="54" t="s">
        <v>2</v>
      </c>
    </row>
    <row r="3754" ht="15.75" customHeight="1">
      <c r="B3754" s="56"/>
      <c r="U3754" s="46" t="str">
        <f t="array" ref="U3754">IF($D3754="","",IFERROR(_xlfn.XLOOKUP($D3754,'TIR店舗一覧'!$D:$D,'TIR店舗一覧'!$E:$E,""),""))</f>
        <v/>
      </c>
      <c r="V3754" s="54" t="s">
        <v>2</v>
      </c>
      <c r="W3754" s="54" t="s">
        <v>2</v>
      </c>
      <c r="X3754" s="54" t="s">
        <v>2</v>
      </c>
      <c r="Y3754" s="54" t="s">
        <v>2</v>
      </c>
      <c r="Z3754" s="54" t="s">
        <v>2</v>
      </c>
      <c r="AA3754" s="54" t="s">
        <v>2</v>
      </c>
      <c r="AB3754" s="54" t="s">
        <v>2</v>
      </c>
      <c r="AC3754" s="54" t="s">
        <v>2</v>
      </c>
      <c r="AD3754" s="54" t="s">
        <v>2</v>
      </c>
      <c r="AE3754" s="54" t="s">
        <v>2</v>
      </c>
      <c r="AF3754" s="54" t="s">
        <v>2</v>
      </c>
      <c r="AG3754" s="54" t="s">
        <v>2</v>
      </c>
    </row>
    <row r="3755" ht="15.75" customHeight="1">
      <c r="B3755" s="56"/>
      <c r="U3755" s="46" t="str">
        <f t="array" ref="U3755">IF($D3755="","",IFERROR(_xlfn.XLOOKUP($D3755,'TIR店舗一覧'!$D:$D,'TIR店舗一覧'!$E:$E,""),""))</f>
        <v/>
      </c>
      <c r="V3755" s="54" t="s">
        <v>2</v>
      </c>
      <c r="W3755" s="54" t="s">
        <v>2</v>
      </c>
      <c r="X3755" s="54" t="s">
        <v>2</v>
      </c>
      <c r="Y3755" s="54" t="s">
        <v>2</v>
      </c>
      <c r="Z3755" s="54" t="s">
        <v>2</v>
      </c>
      <c r="AA3755" s="54" t="s">
        <v>2</v>
      </c>
      <c r="AB3755" s="54" t="s">
        <v>2</v>
      </c>
      <c r="AC3755" s="54" t="s">
        <v>2</v>
      </c>
      <c r="AD3755" s="54" t="s">
        <v>2</v>
      </c>
      <c r="AE3755" s="54" t="s">
        <v>2</v>
      </c>
      <c r="AF3755" s="54" t="s">
        <v>2</v>
      </c>
      <c r="AG3755" s="54" t="s">
        <v>2</v>
      </c>
    </row>
    <row r="3756" ht="15.75" customHeight="1">
      <c r="B3756" s="56"/>
      <c r="U3756" s="46" t="str">
        <f t="array" ref="U3756">IF($D3756="","",IFERROR(_xlfn.XLOOKUP($D3756,'TIR店舗一覧'!$D:$D,'TIR店舗一覧'!$E:$E,""),""))</f>
        <v/>
      </c>
      <c r="V3756" s="54" t="s">
        <v>2</v>
      </c>
      <c r="W3756" s="54" t="s">
        <v>2</v>
      </c>
      <c r="X3756" s="54" t="s">
        <v>2</v>
      </c>
      <c r="Y3756" s="54" t="s">
        <v>2</v>
      </c>
      <c r="Z3756" s="54" t="s">
        <v>2</v>
      </c>
      <c r="AA3756" s="54" t="s">
        <v>2</v>
      </c>
      <c r="AB3756" s="54" t="s">
        <v>2</v>
      </c>
      <c r="AC3756" s="54" t="s">
        <v>2</v>
      </c>
      <c r="AD3756" s="54" t="s">
        <v>2</v>
      </c>
      <c r="AE3756" s="54" t="s">
        <v>2</v>
      </c>
      <c r="AF3756" s="54" t="s">
        <v>2</v>
      </c>
      <c r="AG3756" s="54" t="s">
        <v>2</v>
      </c>
    </row>
    <row r="3757" ht="15.75" customHeight="1">
      <c r="B3757" s="56"/>
      <c r="U3757" s="46" t="str">
        <f t="array" ref="U3757">IF($D3757="","",IFERROR(_xlfn.XLOOKUP($D3757,'TIR店舗一覧'!$D:$D,'TIR店舗一覧'!$E:$E,""),""))</f>
        <v/>
      </c>
      <c r="V3757" s="54" t="s">
        <v>2</v>
      </c>
      <c r="W3757" s="54" t="s">
        <v>2</v>
      </c>
      <c r="X3757" s="54" t="s">
        <v>2</v>
      </c>
      <c r="Y3757" s="54" t="s">
        <v>2</v>
      </c>
      <c r="Z3757" s="54" t="s">
        <v>2</v>
      </c>
      <c r="AA3757" s="54" t="s">
        <v>2</v>
      </c>
      <c r="AB3757" s="54" t="s">
        <v>2</v>
      </c>
      <c r="AC3757" s="54" t="s">
        <v>2</v>
      </c>
      <c r="AD3757" s="54" t="s">
        <v>2</v>
      </c>
      <c r="AE3757" s="54" t="s">
        <v>2</v>
      </c>
      <c r="AF3757" s="54" t="s">
        <v>2</v>
      </c>
      <c r="AG3757" s="54" t="s">
        <v>2</v>
      </c>
    </row>
    <row r="3758" ht="15.75" customHeight="1">
      <c r="B3758" s="56"/>
      <c r="U3758" s="46" t="str">
        <f t="array" ref="U3758">IF($D3758="","",IFERROR(_xlfn.XLOOKUP($D3758,'TIR店舗一覧'!$D:$D,'TIR店舗一覧'!$E:$E,""),""))</f>
        <v/>
      </c>
      <c r="V3758" s="54" t="s">
        <v>2</v>
      </c>
      <c r="W3758" s="54" t="s">
        <v>2</v>
      </c>
      <c r="X3758" s="54" t="s">
        <v>2</v>
      </c>
      <c r="Y3758" s="54" t="s">
        <v>2</v>
      </c>
      <c r="Z3758" s="54" t="s">
        <v>2</v>
      </c>
      <c r="AA3758" s="54" t="s">
        <v>2</v>
      </c>
      <c r="AB3758" s="54" t="s">
        <v>2</v>
      </c>
      <c r="AC3758" s="54" t="s">
        <v>2</v>
      </c>
      <c r="AD3758" s="54" t="s">
        <v>2</v>
      </c>
      <c r="AE3758" s="54" t="s">
        <v>2</v>
      </c>
      <c r="AF3758" s="54" t="s">
        <v>2</v>
      </c>
      <c r="AG3758" s="54" t="s">
        <v>2</v>
      </c>
    </row>
    <row r="3759" ht="15.75" customHeight="1">
      <c r="B3759" s="56"/>
      <c r="U3759" s="46" t="str">
        <f t="array" ref="U3759">IF($D3759="","",IFERROR(_xlfn.XLOOKUP($D3759,'TIR店舗一覧'!$D:$D,'TIR店舗一覧'!$E:$E,""),""))</f>
        <v/>
      </c>
      <c r="V3759" s="54" t="s">
        <v>2</v>
      </c>
      <c r="W3759" s="54" t="s">
        <v>2</v>
      </c>
      <c r="X3759" s="54" t="s">
        <v>2</v>
      </c>
      <c r="Y3759" s="54" t="s">
        <v>2</v>
      </c>
      <c r="Z3759" s="54" t="s">
        <v>2</v>
      </c>
      <c r="AA3759" s="54" t="s">
        <v>2</v>
      </c>
      <c r="AB3759" s="54" t="s">
        <v>2</v>
      </c>
      <c r="AC3759" s="54" t="s">
        <v>2</v>
      </c>
      <c r="AD3759" s="54" t="s">
        <v>2</v>
      </c>
      <c r="AE3759" s="54" t="s">
        <v>2</v>
      </c>
      <c r="AF3759" s="54" t="s">
        <v>2</v>
      </c>
      <c r="AG3759" s="54" t="s">
        <v>2</v>
      </c>
    </row>
    <row r="3760" ht="15.75" customHeight="1">
      <c r="B3760" s="56"/>
      <c r="U3760" s="46" t="str">
        <f t="array" ref="U3760">IF($D3760="","",IFERROR(_xlfn.XLOOKUP($D3760,'TIR店舗一覧'!$D:$D,'TIR店舗一覧'!$E:$E,""),""))</f>
        <v/>
      </c>
      <c r="V3760" s="54" t="s">
        <v>2</v>
      </c>
      <c r="W3760" s="54" t="s">
        <v>2</v>
      </c>
      <c r="X3760" s="54" t="s">
        <v>2</v>
      </c>
      <c r="Y3760" s="54" t="s">
        <v>2</v>
      </c>
      <c r="Z3760" s="54" t="s">
        <v>2</v>
      </c>
      <c r="AA3760" s="54" t="s">
        <v>2</v>
      </c>
      <c r="AB3760" s="54" t="s">
        <v>2</v>
      </c>
      <c r="AC3760" s="54" t="s">
        <v>2</v>
      </c>
      <c r="AD3760" s="54" t="s">
        <v>2</v>
      </c>
      <c r="AE3760" s="54" t="s">
        <v>2</v>
      </c>
      <c r="AF3760" s="54" t="s">
        <v>2</v>
      </c>
      <c r="AG3760" s="54" t="s">
        <v>2</v>
      </c>
    </row>
    <row r="3761" ht="15.75" customHeight="1">
      <c r="B3761" s="56"/>
      <c r="U3761" s="46" t="str">
        <f t="array" ref="U3761">IF($D3761="","",IFERROR(_xlfn.XLOOKUP($D3761,'TIR店舗一覧'!$D:$D,'TIR店舗一覧'!$E:$E,""),""))</f>
        <v/>
      </c>
      <c r="V3761" s="54" t="s">
        <v>2</v>
      </c>
      <c r="W3761" s="54" t="s">
        <v>2</v>
      </c>
      <c r="X3761" s="54" t="s">
        <v>2</v>
      </c>
      <c r="Y3761" s="54" t="s">
        <v>2</v>
      </c>
      <c r="Z3761" s="54" t="s">
        <v>2</v>
      </c>
      <c r="AA3761" s="54" t="s">
        <v>2</v>
      </c>
      <c r="AB3761" s="54" t="s">
        <v>2</v>
      </c>
      <c r="AC3761" s="54" t="s">
        <v>2</v>
      </c>
      <c r="AD3761" s="54" t="s">
        <v>2</v>
      </c>
      <c r="AE3761" s="54" t="s">
        <v>2</v>
      </c>
      <c r="AF3761" s="54" t="s">
        <v>2</v>
      </c>
      <c r="AG3761" s="54" t="s">
        <v>2</v>
      </c>
    </row>
    <row r="3762" ht="15.75" customHeight="1">
      <c r="B3762" s="56"/>
      <c r="U3762" s="46" t="str">
        <f t="array" ref="U3762">IF($D3762="","",IFERROR(_xlfn.XLOOKUP($D3762,'TIR店舗一覧'!$D:$D,'TIR店舗一覧'!$E:$E,""),""))</f>
        <v/>
      </c>
      <c r="V3762" s="54" t="s">
        <v>2</v>
      </c>
      <c r="W3762" s="54" t="s">
        <v>2</v>
      </c>
      <c r="X3762" s="54" t="s">
        <v>2</v>
      </c>
      <c r="Y3762" s="54" t="s">
        <v>2</v>
      </c>
      <c r="Z3762" s="54" t="s">
        <v>2</v>
      </c>
      <c r="AA3762" s="54" t="s">
        <v>2</v>
      </c>
      <c r="AB3762" s="54" t="s">
        <v>2</v>
      </c>
      <c r="AC3762" s="54" t="s">
        <v>2</v>
      </c>
      <c r="AD3762" s="54" t="s">
        <v>2</v>
      </c>
      <c r="AE3762" s="54" t="s">
        <v>2</v>
      </c>
      <c r="AF3762" s="54" t="s">
        <v>2</v>
      </c>
      <c r="AG3762" s="54" t="s">
        <v>2</v>
      </c>
    </row>
    <row r="3763" ht="15.75" customHeight="1">
      <c r="B3763" s="56"/>
      <c r="U3763" s="46" t="str">
        <f t="array" ref="U3763">IF($D3763="","",IFERROR(_xlfn.XLOOKUP($D3763,'TIR店舗一覧'!$D:$D,'TIR店舗一覧'!$E:$E,""),""))</f>
        <v/>
      </c>
      <c r="V3763" s="54" t="s">
        <v>2</v>
      </c>
      <c r="W3763" s="54" t="s">
        <v>2</v>
      </c>
      <c r="X3763" s="54" t="s">
        <v>2</v>
      </c>
      <c r="Y3763" s="54" t="s">
        <v>2</v>
      </c>
      <c r="Z3763" s="54" t="s">
        <v>2</v>
      </c>
      <c r="AA3763" s="54" t="s">
        <v>2</v>
      </c>
      <c r="AB3763" s="54" t="s">
        <v>2</v>
      </c>
      <c r="AC3763" s="54" t="s">
        <v>2</v>
      </c>
      <c r="AD3763" s="54" t="s">
        <v>2</v>
      </c>
      <c r="AE3763" s="54" t="s">
        <v>2</v>
      </c>
      <c r="AF3763" s="54" t="s">
        <v>2</v>
      </c>
      <c r="AG3763" s="54" t="s">
        <v>2</v>
      </c>
    </row>
    <row r="3764" ht="15.75" customHeight="1">
      <c r="B3764" s="56"/>
      <c r="U3764" s="46" t="str">
        <f t="array" ref="U3764">IF($D3764="","",IFERROR(_xlfn.XLOOKUP($D3764,'TIR店舗一覧'!$D:$D,'TIR店舗一覧'!$E:$E,""),""))</f>
        <v/>
      </c>
      <c r="V3764" s="54" t="s">
        <v>2</v>
      </c>
      <c r="W3764" s="54" t="s">
        <v>2</v>
      </c>
      <c r="X3764" s="54" t="s">
        <v>2</v>
      </c>
      <c r="Y3764" s="54" t="s">
        <v>2</v>
      </c>
      <c r="Z3764" s="54" t="s">
        <v>2</v>
      </c>
      <c r="AA3764" s="54" t="s">
        <v>2</v>
      </c>
      <c r="AB3764" s="54" t="s">
        <v>2</v>
      </c>
      <c r="AC3764" s="54" t="s">
        <v>2</v>
      </c>
      <c r="AD3764" s="54" t="s">
        <v>2</v>
      </c>
      <c r="AE3764" s="54" t="s">
        <v>2</v>
      </c>
      <c r="AF3764" s="54" t="s">
        <v>2</v>
      </c>
      <c r="AG3764" s="54" t="s">
        <v>2</v>
      </c>
    </row>
    <row r="3765" ht="15.75" customHeight="1">
      <c r="B3765" s="56"/>
      <c r="U3765" s="46" t="str">
        <f t="array" ref="U3765">IF($D3765="","",IFERROR(_xlfn.XLOOKUP($D3765,'TIR店舗一覧'!$D:$D,'TIR店舗一覧'!$E:$E,""),""))</f>
        <v/>
      </c>
      <c r="V3765" s="54" t="s">
        <v>2</v>
      </c>
      <c r="W3765" s="54" t="s">
        <v>2</v>
      </c>
      <c r="X3765" s="54" t="s">
        <v>2</v>
      </c>
      <c r="Y3765" s="54" t="s">
        <v>2</v>
      </c>
      <c r="Z3765" s="54" t="s">
        <v>2</v>
      </c>
      <c r="AA3765" s="54" t="s">
        <v>2</v>
      </c>
      <c r="AB3765" s="54" t="s">
        <v>2</v>
      </c>
      <c r="AC3765" s="54" t="s">
        <v>2</v>
      </c>
      <c r="AD3765" s="54" t="s">
        <v>2</v>
      </c>
      <c r="AE3765" s="54" t="s">
        <v>2</v>
      </c>
      <c r="AF3765" s="54" t="s">
        <v>2</v>
      </c>
      <c r="AG3765" s="54" t="s">
        <v>2</v>
      </c>
    </row>
    <row r="3766" ht="15.75" customHeight="1">
      <c r="B3766" s="56"/>
      <c r="U3766" s="46" t="str">
        <f t="array" ref="U3766">IF($D3766="","",IFERROR(_xlfn.XLOOKUP($D3766,'TIR店舗一覧'!$D:$D,'TIR店舗一覧'!$E:$E,""),""))</f>
        <v/>
      </c>
      <c r="V3766" s="54" t="s">
        <v>2</v>
      </c>
      <c r="W3766" s="54" t="s">
        <v>2</v>
      </c>
      <c r="X3766" s="54" t="s">
        <v>2</v>
      </c>
      <c r="Y3766" s="54" t="s">
        <v>2</v>
      </c>
      <c r="Z3766" s="54" t="s">
        <v>2</v>
      </c>
      <c r="AA3766" s="54" t="s">
        <v>2</v>
      </c>
      <c r="AB3766" s="54" t="s">
        <v>2</v>
      </c>
      <c r="AC3766" s="54" t="s">
        <v>2</v>
      </c>
      <c r="AD3766" s="54" t="s">
        <v>2</v>
      </c>
      <c r="AE3766" s="54" t="s">
        <v>2</v>
      </c>
      <c r="AF3766" s="54" t="s">
        <v>2</v>
      </c>
      <c r="AG3766" s="54" t="s">
        <v>2</v>
      </c>
    </row>
    <row r="3767" ht="15.75" customHeight="1">
      <c r="B3767" s="56"/>
      <c r="U3767" s="46" t="str">
        <f t="array" ref="U3767">IF($D3767="","",IFERROR(_xlfn.XLOOKUP($D3767,'TIR店舗一覧'!$D:$D,'TIR店舗一覧'!$E:$E,""),""))</f>
        <v/>
      </c>
      <c r="V3767" s="54" t="s">
        <v>2</v>
      </c>
      <c r="W3767" s="54" t="s">
        <v>2</v>
      </c>
      <c r="X3767" s="54" t="s">
        <v>2</v>
      </c>
      <c r="Y3767" s="54" t="s">
        <v>2</v>
      </c>
      <c r="Z3767" s="54" t="s">
        <v>2</v>
      </c>
      <c r="AA3767" s="54" t="s">
        <v>2</v>
      </c>
      <c r="AB3767" s="54" t="s">
        <v>2</v>
      </c>
      <c r="AC3767" s="54" t="s">
        <v>2</v>
      </c>
      <c r="AD3767" s="54" t="s">
        <v>2</v>
      </c>
      <c r="AE3767" s="54" t="s">
        <v>2</v>
      </c>
      <c r="AF3767" s="54" t="s">
        <v>2</v>
      </c>
      <c r="AG3767" s="54" t="s">
        <v>2</v>
      </c>
    </row>
    <row r="3768" ht="15.75" customHeight="1">
      <c r="B3768" s="56"/>
      <c r="U3768" s="46" t="str">
        <f t="array" ref="U3768">IF($D3768="","",IFERROR(_xlfn.XLOOKUP($D3768,'TIR店舗一覧'!$D:$D,'TIR店舗一覧'!$E:$E,""),""))</f>
        <v/>
      </c>
      <c r="V3768" s="54" t="s">
        <v>2</v>
      </c>
      <c r="W3768" s="54" t="s">
        <v>2</v>
      </c>
      <c r="X3768" s="54" t="s">
        <v>2</v>
      </c>
      <c r="Y3768" s="54" t="s">
        <v>2</v>
      </c>
      <c r="Z3768" s="54" t="s">
        <v>2</v>
      </c>
      <c r="AA3768" s="54" t="s">
        <v>2</v>
      </c>
      <c r="AB3768" s="54" t="s">
        <v>2</v>
      </c>
      <c r="AC3768" s="54" t="s">
        <v>2</v>
      </c>
      <c r="AD3768" s="54" t="s">
        <v>2</v>
      </c>
      <c r="AE3768" s="54" t="s">
        <v>2</v>
      </c>
      <c r="AF3768" s="54" t="s">
        <v>2</v>
      </c>
      <c r="AG3768" s="54" t="s">
        <v>2</v>
      </c>
    </row>
    <row r="3769" ht="15.75" customHeight="1">
      <c r="B3769" s="56"/>
      <c r="U3769" s="46" t="str">
        <f t="array" ref="U3769">IF($D3769="","",IFERROR(_xlfn.XLOOKUP($D3769,'TIR店舗一覧'!$D:$D,'TIR店舗一覧'!$E:$E,""),""))</f>
        <v/>
      </c>
      <c r="V3769" s="54" t="s">
        <v>2</v>
      </c>
      <c r="W3769" s="54" t="s">
        <v>2</v>
      </c>
      <c r="X3769" s="54" t="s">
        <v>2</v>
      </c>
      <c r="Y3769" s="54" t="s">
        <v>2</v>
      </c>
      <c r="Z3769" s="54" t="s">
        <v>2</v>
      </c>
      <c r="AA3769" s="54" t="s">
        <v>2</v>
      </c>
      <c r="AB3769" s="54" t="s">
        <v>2</v>
      </c>
      <c r="AC3769" s="54" t="s">
        <v>2</v>
      </c>
      <c r="AD3769" s="54" t="s">
        <v>2</v>
      </c>
      <c r="AE3769" s="54" t="s">
        <v>2</v>
      </c>
      <c r="AF3769" s="54" t="s">
        <v>2</v>
      </c>
      <c r="AG3769" s="54" t="s">
        <v>2</v>
      </c>
    </row>
    <row r="3770" ht="15.75" customHeight="1">
      <c r="B3770" s="56"/>
      <c r="U3770" s="46" t="str">
        <f t="array" ref="U3770">IF($D3770="","",IFERROR(_xlfn.XLOOKUP($D3770,'TIR店舗一覧'!$D:$D,'TIR店舗一覧'!$E:$E,""),""))</f>
        <v/>
      </c>
      <c r="V3770" s="54" t="s">
        <v>2</v>
      </c>
      <c r="W3770" s="54" t="s">
        <v>2</v>
      </c>
      <c r="X3770" s="54" t="s">
        <v>2</v>
      </c>
      <c r="Y3770" s="54" t="s">
        <v>2</v>
      </c>
      <c r="Z3770" s="54" t="s">
        <v>2</v>
      </c>
      <c r="AA3770" s="54" t="s">
        <v>2</v>
      </c>
      <c r="AB3770" s="54" t="s">
        <v>2</v>
      </c>
      <c r="AC3770" s="54" t="s">
        <v>2</v>
      </c>
      <c r="AD3770" s="54" t="s">
        <v>2</v>
      </c>
      <c r="AE3770" s="54" t="s">
        <v>2</v>
      </c>
      <c r="AF3770" s="54" t="s">
        <v>2</v>
      </c>
      <c r="AG3770" s="54" t="s">
        <v>2</v>
      </c>
    </row>
    <row r="3771" ht="15.75" customHeight="1">
      <c r="B3771" s="56"/>
      <c r="U3771" s="46" t="str">
        <f t="array" ref="U3771">IF($D3771="","",IFERROR(_xlfn.XLOOKUP($D3771,'TIR店舗一覧'!$D:$D,'TIR店舗一覧'!$E:$E,""),""))</f>
        <v/>
      </c>
      <c r="V3771" s="54" t="s">
        <v>2</v>
      </c>
      <c r="W3771" s="54" t="s">
        <v>2</v>
      </c>
      <c r="X3771" s="54" t="s">
        <v>2</v>
      </c>
      <c r="Y3771" s="54" t="s">
        <v>2</v>
      </c>
      <c r="Z3771" s="54" t="s">
        <v>2</v>
      </c>
      <c r="AA3771" s="54" t="s">
        <v>2</v>
      </c>
      <c r="AB3771" s="54" t="s">
        <v>2</v>
      </c>
      <c r="AC3771" s="54" t="s">
        <v>2</v>
      </c>
      <c r="AD3771" s="54" t="s">
        <v>2</v>
      </c>
      <c r="AE3771" s="54" t="s">
        <v>2</v>
      </c>
      <c r="AF3771" s="54" t="s">
        <v>2</v>
      </c>
      <c r="AG3771" s="54" t="s">
        <v>2</v>
      </c>
    </row>
    <row r="3772" ht="15.75" customHeight="1">
      <c r="B3772" s="56"/>
      <c r="U3772" s="46" t="str">
        <f t="array" ref="U3772">IF($D3772="","",IFERROR(_xlfn.XLOOKUP($D3772,'TIR店舗一覧'!$D:$D,'TIR店舗一覧'!$E:$E,""),""))</f>
        <v/>
      </c>
      <c r="V3772" s="54" t="s">
        <v>2</v>
      </c>
      <c r="W3772" s="54" t="s">
        <v>2</v>
      </c>
      <c r="X3772" s="54" t="s">
        <v>2</v>
      </c>
      <c r="Y3772" s="54" t="s">
        <v>2</v>
      </c>
      <c r="Z3772" s="54" t="s">
        <v>2</v>
      </c>
      <c r="AA3772" s="54" t="s">
        <v>2</v>
      </c>
      <c r="AB3772" s="54" t="s">
        <v>2</v>
      </c>
      <c r="AC3772" s="54" t="s">
        <v>2</v>
      </c>
      <c r="AD3772" s="54" t="s">
        <v>2</v>
      </c>
      <c r="AE3772" s="54" t="s">
        <v>2</v>
      </c>
      <c r="AF3772" s="54" t="s">
        <v>2</v>
      </c>
      <c r="AG3772" s="54" t="s">
        <v>2</v>
      </c>
    </row>
    <row r="3773" ht="15.75" customHeight="1">
      <c r="B3773" s="56"/>
      <c r="U3773" s="46" t="str">
        <f t="array" ref="U3773">IF($D3773="","",IFERROR(_xlfn.XLOOKUP($D3773,'TIR店舗一覧'!$D:$D,'TIR店舗一覧'!$E:$E,""),""))</f>
        <v/>
      </c>
      <c r="V3773" s="54" t="s">
        <v>2</v>
      </c>
      <c r="W3773" s="54" t="s">
        <v>2</v>
      </c>
      <c r="X3773" s="54" t="s">
        <v>2</v>
      </c>
      <c r="Y3773" s="54" t="s">
        <v>2</v>
      </c>
      <c r="Z3773" s="54" t="s">
        <v>2</v>
      </c>
      <c r="AA3773" s="54" t="s">
        <v>2</v>
      </c>
      <c r="AB3773" s="54" t="s">
        <v>2</v>
      </c>
      <c r="AC3773" s="54" t="s">
        <v>2</v>
      </c>
      <c r="AD3773" s="54" t="s">
        <v>2</v>
      </c>
      <c r="AE3773" s="54" t="s">
        <v>2</v>
      </c>
      <c r="AF3773" s="54" t="s">
        <v>2</v>
      </c>
      <c r="AG3773" s="54" t="s">
        <v>2</v>
      </c>
    </row>
    <row r="3774" ht="15.75" customHeight="1">
      <c r="B3774" s="56"/>
      <c r="U3774" s="46" t="str">
        <f t="array" ref="U3774">IF($D3774="","",IFERROR(_xlfn.XLOOKUP($D3774,'TIR店舗一覧'!$D:$D,'TIR店舗一覧'!$E:$E,""),""))</f>
        <v/>
      </c>
      <c r="V3774" s="54" t="s">
        <v>2</v>
      </c>
      <c r="W3774" s="54" t="s">
        <v>2</v>
      </c>
      <c r="X3774" s="54" t="s">
        <v>2</v>
      </c>
      <c r="Y3774" s="54" t="s">
        <v>2</v>
      </c>
      <c r="Z3774" s="54" t="s">
        <v>2</v>
      </c>
      <c r="AA3774" s="54" t="s">
        <v>2</v>
      </c>
      <c r="AB3774" s="54" t="s">
        <v>2</v>
      </c>
      <c r="AC3774" s="54" t="s">
        <v>2</v>
      </c>
      <c r="AD3774" s="54" t="s">
        <v>2</v>
      </c>
      <c r="AE3774" s="54" t="s">
        <v>2</v>
      </c>
      <c r="AF3774" s="54" t="s">
        <v>2</v>
      </c>
      <c r="AG3774" s="54" t="s">
        <v>2</v>
      </c>
    </row>
    <row r="3775" ht="15.75" customHeight="1">
      <c r="B3775" s="56"/>
      <c r="U3775" s="46" t="str">
        <f t="array" ref="U3775">IF($D3775="","",IFERROR(_xlfn.XLOOKUP($D3775,'TIR店舗一覧'!$D:$D,'TIR店舗一覧'!$E:$E,""),""))</f>
        <v/>
      </c>
      <c r="V3775" s="54" t="s">
        <v>2</v>
      </c>
      <c r="W3775" s="54" t="s">
        <v>2</v>
      </c>
      <c r="X3775" s="54" t="s">
        <v>2</v>
      </c>
      <c r="Y3775" s="54" t="s">
        <v>2</v>
      </c>
      <c r="Z3775" s="54" t="s">
        <v>2</v>
      </c>
      <c r="AA3775" s="54" t="s">
        <v>2</v>
      </c>
      <c r="AB3775" s="54" t="s">
        <v>2</v>
      </c>
      <c r="AC3775" s="54" t="s">
        <v>2</v>
      </c>
      <c r="AD3775" s="54" t="s">
        <v>2</v>
      </c>
      <c r="AE3775" s="54" t="s">
        <v>2</v>
      </c>
      <c r="AF3775" s="54" t="s">
        <v>2</v>
      </c>
      <c r="AG3775" s="54" t="s">
        <v>2</v>
      </c>
    </row>
    <row r="3776" ht="15.75" customHeight="1">
      <c r="B3776" s="56"/>
      <c r="U3776" s="46" t="str">
        <f t="array" ref="U3776">IF($D3776="","",IFERROR(_xlfn.XLOOKUP($D3776,'TIR店舗一覧'!$D:$D,'TIR店舗一覧'!$E:$E,""),""))</f>
        <v/>
      </c>
      <c r="V3776" s="54" t="s">
        <v>2</v>
      </c>
      <c r="W3776" s="54" t="s">
        <v>2</v>
      </c>
      <c r="X3776" s="54" t="s">
        <v>2</v>
      </c>
      <c r="Y3776" s="54" t="s">
        <v>2</v>
      </c>
      <c r="Z3776" s="54" t="s">
        <v>2</v>
      </c>
      <c r="AA3776" s="54" t="s">
        <v>2</v>
      </c>
      <c r="AB3776" s="54" t="s">
        <v>2</v>
      </c>
      <c r="AC3776" s="54" t="s">
        <v>2</v>
      </c>
      <c r="AD3776" s="54" t="s">
        <v>2</v>
      </c>
      <c r="AE3776" s="54" t="s">
        <v>2</v>
      </c>
      <c r="AF3776" s="54" t="s">
        <v>2</v>
      </c>
      <c r="AG3776" s="54" t="s">
        <v>2</v>
      </c>
    </row>
    <row r="3777" ht="15.75" customHeight="1">
      <c r="B3777" s="56"/>
      <c r="U3777" s="46" t="str">
        <f t="array" ref="U3777">IF($D3777="","",IFERROR(_xlfn.XLOOKUP($D3777,'TIR店舗一覧'!$D:$D,'TIR店舗一覧'!$E:$E,""),""))</f>
        <v/>
      </c>
      <c r="V3777" s="54" t="s">
        <v>2</v>
      </c>
      <c r="W3777" s="54" t="s">
        <v>2</v>
      </c>
      <c r="X3777" s="54" t="s">
        <v>2</v>
      </c>
      <c r="Y3777" s="54" t="s">
        <v>2</v>
      </c>
      <c r="Z3777" s="54" t="s">
        <v>2</v>
      </c>
      <c r="AA3777" s="54" t="s">
        <v>2</v>
      </c>
      <c r="AB3777" s="54" t="s">
        <v>2</v>
      </c>
      <c r="AC3777" s="54" t="s">
        <v>2</v>
      </c>
      <c r="AD3777" s="54" t="s">
        <v>2</v>
      </c>
      <c r="AE3777" s="54" t="s">
        <v>2</v>
      </c>
      <c r="AF3777" s="54" t="s">
        <v>2</v>
      </c>
      <c r="AG3777" s="54" t="s">
        <v>2</v>
      </c>
    </row>
    <row r="3778" ht="15.75" customHeight="1">
      <c r="B3778" s="56"/>
      <c r="U3778" s="46" t="str">
        <f t="array" ref="U3778">IF($D3778="","",IFERROR(_xlfn.XLOOKUP($D3778,'TIR店舗一覧'!$D:$D,'TIR店舗一覧'!$E:$E,""),""))</f>
        <v/>
      </c>
      <c r="V3778" s="54" t="s">
        <v>2</v>
      </c>
      <c r="W3778" s="54" t="s">
        <v>2</v>
      </c>
      <c r="X3778" s="54" t="s">
        <v>2</v>
      </c>
      <c r="Y3778" s="54" t="s">
        <v>2</v>
      </c>
      <c r="Z3778" s="54" t="s">
        <v>2</v>
      </c>
      <c r="AA3778" s="54" t="s">
        <v>2</v>
      </c>
      <c r="AB3778" s="54" t="s">
        <v>2</v>
      </c>
      <c r="AC3778" s="54" t="s">
        <v>2</v>
      </c>
      <c r="AD3778" s="54" t="s">
        <v>2</v>
      </c>
      <c r="AE3778" s="54" t="s">
        <v>2</v>
      </c>
      <c r="AF3778" s="54" t="s">
        <v>2</v>
      </c>
      <c r="AG3778" s="54" t="s">
        <v>2</v>
      </c>
    </row>
    <row r="3779" ht="15.75" customHeight="1">
      <c r="B3779" s="56"/>
      <c r="U3779" s="46" t="str">
        <f t="array" ref="U3779">IF($D3779="","",IFERROR(_xlfn.XLOOKUP($D3779,'TIR店舗一覧'!$D:$D,'TIR店舗一覧'!$E:$E,""),""))</f>
        <v/>
      </c>
      <c r="V3779" s="54" t="s">
        <v>2</v>
      </c>
      <c r="W3779" s="54" t="s">
        <v>2</v>
      </c>
      <c r="X3779" s="54" t="s">
        <v>2</v>
      </c>
      <c r="Y3779" s="54" t="s">
        <v>2</v>
      </c>
      <c r="Z3779" s="54" t="s">
        <v>2</v>
      </c>
      <c r="AA3779" s="54" t="s">
        <v>2</v>
      </c>
      <c r="AB3779" s="54" t="s">
        <v>2</v>
      </c>
      <c r="AC3779" s="54" t="s">
        <v>2</v>
      </c>
      <c r="AD3779" s="54" t="s">
        <v>2</v>
      </c>
      <c r="AE3779" s="54" t="s">
        <v>2</v>
      </c>
      <c r="AF3779" s="54" t="s">
        <v>2</v>
      </c>
      <c r="AG3779" s="54" t="s">
        <v>2</v>
      </c>
    </row>
    <row r="3780" ht="15.75" customHeight="1">
      <c r="B3780" s="56"/>
      <c r="U3780" s="46" t="str">
        <f t="array" ref="U3780">IF($D3780="","",IFERROR(_xlfn.XLOOKUP($D3780,'TIR店舗一覧'!$D:$D,'TIR店舗一覧'!$E:$E,""),""))</f>
        <v/>
      </c>
      <c r="V3780" s="54" t="s">
        <v>2</v>
      </c>
      <c r="W3780" s="54" t="s">
        <v>2</v>
      </c>
      <c r="X3780" s="54" t="s">
        <v>2</v>
      </c>
      <c r="Y3780" s="54" t="s">
        <v>2</v>
      </c>
      <c r="Z3780" s="54" t="s">
        <v>2</v>
      </c>
      <c r="AA3780" s="54" t="s">
        <v>2</v>
      </c>
      <c r="AB3780" s="54" t="s">
        <v>2</v>
      </c>
      <c r="AC3780" s="54" t="s">
        <v>2</v>
      </c>
      <c r="AD3780" s="54" t="s">
        <v>2</v>
      </c>
      <c r="AE3780" s="54" t="s">
        <v>2</v>
      </c>
      <c r="AF3780" s="54" t="s">
        <v>2</v>
      </c>
      <c r="AG3780" s="54" t="s">
        <v>2</v>
      </c>
    </row>
    <row r="3781" ht="15.75" customHeight="1">
      <c r="B3781" s="56"/>
      <c r="U3781" s="46" t="str">
        <f t="array" ref="U3781">IF($D3781="","",IFERROR(_xlfn.XLOOKUP($D3781,'TIR店舗一覧'!$D:$D,'TIR店舗一覧'!$E:$E,""),""))</f>
        <v/>
      </c>
      <c r="V3781" s="54" t="s">
        <v>2</v>
      </c>
      <c r="W3781" s="54" t="s">
        <v>2</v>
      </c>
      <c r="X3781" s="54" t="s">
        <v>2</v>
      </c>
      <c r="Y3781" s="54" t="s">
        <v>2</v>
      </c>
      <c r="Z3781" s="54" t="s">
        <v>2</v>
      </c>
      <c r="AA3781" s="54" t="s">
        <v>2</v>
      </c>
      <c r="AB3781" s="54" t="s">
        <v>2</v>
      </c>
      <c r="AC3781" s="54" t="s">
        <v>2</v>
      </c>
      <c r="AD3781" s="54" t="s">
        <v>2</v>
      </c>
      <c r="AE3781" s="54" t="s">
        <v>2</v>
      </c>
      <c r="AF3781" s="54" t="s">
        <v>2</v>
      </c>
      <c r="AG3781" s="54" t="s">
        <v>2</v>
      </c>
    </row>
    <row r="3782" ht="15.75" customHeight="1">
      <c r="B3782" s="56"/>
      <c r="U3782" s="46" t="str">
        <f t="array" ref="U3782">IF($D3782="","",IFERROR(_xlfn.XLOOKUP($D3782,'TIR店舗一覧'!$D:$D,'TIR店舗一覧'!$E:$E,""),""))</f>
        <v/>
      </c>
      <c r="V3782" s="54" t="s">
        <v>2</v>
      </c>
      <c r="W3782" s="54" t="s">
        <v>2</v>
      </c>
      <c r="X3782" s="54" t="s">
        <v>2</v>
      </c>
      <c r="Y3782" s="54" t="s">
        <v>2</v>
      </c>
      <c r="Z3782" s="54" t="s">
        <v>2</v>
      </c>
      <c r="AA3782" s="54" t="s">
        <v>2</v>
      </c>
      <c r="AB3782" s="54" t="s">
        <v>2</v>
      </c>
      <c r="AC3782" s="54" t="s">
        <v>2</v>
      </c>
      <c r="AD3782" s="54" t="s">
        <v>2</v>
      </c>
      <c r="AE3782" s="54" t="s">
        <v>2</v>
      </c>
      <c r="AF3782" s="54" t="s">
        <v>2</v>
      </c>
      <c r="AG3782" s="54" t="s">
        <v>2</v>
      </c>
    </row>
    <row r="3783" ht="15.75" customHeight="1">
      <c r="B3783" s="56"/>
      <c r="U3783" s="46" t="str">
        <f t="array" ref="U3783">IF($D3783="","",IFERROR(_xlfn.XLOOKUP($D3783,'TIR店舗一覧'!$D:$D,'TIR店舗一覧'!$E:$E,""),""))</f>
        <v/>
      </c>
      <c r="V3783" s="54" t="s">
        <v>2</v>
      </c>
      <c r="W3783" s="54" t="s">
        <v>2</v>
      </c>
      <c r="X3783" s="54" t="s">
        <v>2</v>
      </c>
      <c r="Y3783" s="54" t="s">
        <v>2</v>
      </c>
      <c r="Z3783" s="54" t="s">
        <v>2</v>
      </c>
      <c r="AA3783" s="54" t="s">
        <v>2</v>
      </c>
      <c r="AB3783" s="54" t="s">
        <v>2</v>
      </c>
      <c r="AC3783" s="54" t="s">
        <v>2</v>
      </c>
      <c r="AD3783" s="54" t="s">
        <v>2</v>
      </c>
      <c r="AE3783" s="54" t="s">
        <v>2</v>
      </c>
      <c r="AF3783" s="54" t="s">
        <v>2</v>
      </c>
      <c r="AG3783" s="54" t="s">
        <v>2</v>
      </c>
    </row>
    <row r="3784" ht="15.75" customHeight="1">
      <c r="B3784" s="56"/>
      <c r="U3784" s="46" t="str">
        <f t="array" ref="U3784">IF($D3784="","",IFERROR(_xlfn.XLOOKUP($D3784,'TIR店舗一覧'!$D:$D,'TIR店舗一覧'!$E:$E,""),""))</f>
        <v/>
      </c>
      <c r="V3784" s="54" t="s">
        <v>2</v>
      </c>
      <c r="W3784" s="54" t="s">
        <v>2</v>
      </c>
      <c r="X3784" s="54" t="s">
        <v>2</v>
      </c>
      <c r="Y3784" s="54" t="s">
        <v>2</v>
      </c>
      <c r="Z3784" s="54" t="s">
        <v>2</v>
      </c>
      <c r="AA3784" s="54" t="s">
        <v>2</v>
      </c>
      <c r="AB3784" s="54" t="s">
        <v>2</v>
      </c>
      <c r="AC3784" s="54" t="s">
        <v>2</v>
      </c>
      <c r="AD3784" s="54" t="s">
        <v>2</v>
      </c>
      <c r="AE3784" s="54" t="s">
        <v>2</v>
      </c>
      <c r="AF3784" s="54" t="s">
        <v>2</v>
      </c>
      <c r="AG3784" s="54" t="s">
        <v>2</v>
      </c>
    </row>
    <row r="3785" ht="15.75" customHeight="1">
      <c r="B3785" s="56"/>
      <c r="U3785" s="46" t="str">
        <f t="array" ref="U3785">IF($D3785="","",IFERROR(_xlfn.XLOOKUP($D3785,'TIR店舗一覧'!$D:$D,'TIR店舗一覧'!$E:$E,""),""))</f>
        <v/>
      </c>
      <c r="V3785" s="54" t="s">
        <v>2</v>
      </c>
      <c r="W3785" s="54" t="s">
        <v>2</v>
      </c>
      <c r="X3785" s="54" t="s">
        <v>2</v>
      </c>
      <c r="Y3785" s="54" t="s">
        <v>2</v>
      </c>
      <c r="Z3785" s="54" t="s">
        <v>2</v>
      </c>
      <c r="AA3785" s="54" t="s">
        <v>2</v>
      </c>
      <c r="AB3785" s="54" t="s">
        <v>2</v>
      </c>
      <c r="AC3785" s="54" t="s">
        <v>2</v>
      </c>
      <c r="AD3785" s="54" t="s">
        <v>2</v>
      </c>
      <c r="AE3785" s="54" t="s">
        <v>2</v>
      </c>
      <c r="AF3785" s="54" t="s">
        <v>2</v>
      </c>
      <c r="AG3785" s="54" t="s">
        <v>2</v>
      </c>
    </row>
    <row r="3786" ht="15.75" customHeight="1">
      <c r="B3786" s="56"/>
      <c r="U3786" s="46" t="str">
        <f t="array" ref="U3786">IF($D3786="","",IFERROR(_xlfn.XLOOKUP($D3786,'TIR店舗一覧'!$D:$D,'TIR店舗一覧'!$E:$E,""),""))</f>
        <v/>
      </c>
      <c r="V3786" s="54" t="s">
        <v>2</v>
      </c>
      <c r="W3786" s="54" t="s">
        <v>2</v>
      </c>
      <c r="X3786" s="54" t="s">
        <v>2</v>
      </c>
      <c r="Y3786" s="54" t="s">
        <v>2</v>
      </c>
      <c r="Z3786" s="54" t="s">
        <v>2</v>
      </c>
      <c r="AA3786" s="54" t="s">
        <v>2</v>
      </c>
      <c r="AB3786" s="54" t="s">
        <v>2</v>
      </c>
      <c r="AC3786" s="54" t="s">
        <v>2</v>
      </c>
      <c r="AD3786" s="54" t="s">
        <v>2</v>
      </c>
      <c r="AE3786" s="54" t="s">
        <v>2</v>
      </c>
      <c r="AF3786" s="54" t="s">
        <v>2</v>
      </c>
      <c r="AG3786" s="54" t="s">
        <v>2</v>
      </c>
    </row>
    <row r="3787" ht="15.75" customHeight="1">
      <c r="B3787" s="56"/>
      <c r="U3787" s="46" t="str">
        <f t="array" ref="U3787">IF($D3787="","",IFERROR(_xlfn.XLOOKUP($D3787,'TIR店舗一覧'!$D:$D,'TIR店舗一覧'!$E:$E,""),""))</f>
        <v/>
      </c>
      <c r="V3787" s="54" t="s">
        <v>2</v>
      </c>
      <c r="W3787" s="54" t="s">
        <v>2</v>
      </c>
      <c r="X3787" s="54" t="s">
        <v>2</v>
      </c>
      <c r="Y3787" s="54" t="s">
        <v>2</v>
      </c>
      <c r="Z3787" s="54" t="s">
        <v>2</v>
      </c>
      <c r="AA3787" s="54" t="s">
        <v>2</v>
      </c>
      <c r="AB3787" s="54" t="s">
        <v>2</v>
      </c>
      <c r="AC3787" s="54" t="s">
        <v>2</v>
      </c>
      <c r="AD3787" s="54" t="s">
        <v>2</v>
      </c>
      <c r="AE3787" s="54" t="s">
        <v>2</v>
      </c>
      <c r="AF3787" s="54" t="s">
        <v>2</v>
      </c>
      <c r="AG3787" s="54" t="s">
        <v>2</v>
      </c>
    </row>
    <row r="3788" ht="15.75" customHeight="1">
      <c r="B3788" s="56"/>
      <c r="U3788" s="46" t="str">
        <f t="array" ref="U3788">IF($D3788="","",IFERROR(_xlfn.XLOOKUP($D3788,'TIR店舗一覧'!$D:$D,'TIR店舗一覧'!$E:$E,""),""))</f>
        <v/>
      </c>
      <c r="V3788" s="54" t="s">
        <v>2</v>
      </c>
      <c r="W3788" s="54" t="s">
        <v>2</v>
      </c>
      <c r="X3788" s="54" t="s">
        <v>2</v>
      </c>
      <c r="Y3788" s="54" t="s">
        <v>2</v>
      </c>
      <c r="Z3788" s="54" t="s">
        <v>2</v>
      </c>
      <c r="AA3788" s="54" t="s">
        <v>2</v>
      </c>
      <c r="AB3788" s="54" t="s">
        <v>2</v>
      </c>
      <c r="AC3788" s="54" t="s">
        <v>2</v>
      </c>
      <c r="AD3788" s="54" t="s">
        <v>2</v>
      </c>
      <c r="AE3788" s="54" t="s">
        <v>2</v>
      </c>
      <c r="AF3788" s="54" t="s">
        <v>2</v>
      </c>
      <c r="AG3788" s="54" t="s">
        <v>2</v>
      </c>
    </row>
    <row r="3789" ht="15.75" customHeight="1">
      <c r="B3789" s="56"/>
      <c r="U3789" s="46" t="str">
        <f t="array" ref="U3789">IF($D3789="","",IFERROR(_xlfn.XLOOKUP($D3789,'TIR店舗一覧'!$D:$D,'TIR店舗一覧'!$E:$E,""),""))</f>
        <v/>
      </c>
      <c r="V3789" s="54" t="s">
        <v>2</v>
      </c>
      <c r="W3789" s="54" t="s">
        <v>2</v>
      </c>
      <c r="X3789" s="54" t="s">
        <v>2</v>
      </c>
      <c r="Y3789" s="54" t="s">
        <v>2</v>
      </c>
      <c r="Z3789" s="54" t="s">
        <v>2</v>
      </c>
      <c r="AA3789" s="54" t="s">
        <v>2</v>
      </c>
      <c r="AB3789" s="54" t="s">
        <v>2</v>
      </c>
      <c r="AC3789" s="54" t="s">
        <v>2</v>
      </c>
      <c r="AD3789" s="54" t="s">
        <v>2</v>
      </c>
      <c r="AE3789" s="54" t="s">
        <v>2</v>
      </c>
      <c r="AF3789" s="54" t="s">
        <v>2</v>
      </c>
      <c r="AG3789" s="54" t="s">
        <v>2</v>
      </c>
    </row>
    <row r="3790" ht="15.75" customHeight="1">
      <c r="B3790" s="56"/>
      <c r="U3790" s="46" t="str">
        <f t="array" ref="U3790">IF($D3790="","",IFERROR(_xlfn.XLOOKUP($D3790,'TIR店舗一覧'!$D:$D,'TIR店舗一覧'!$E:$E,""),""))</f>
        <v/>
      </c>
      <c r="V3790" s="54" t="s">
        <v>2</v>
      </c>
      <c r="W3790" s="54" t="s">
        <v>2</v>
      </c>
      <c r="X3790" s="54" t="s">
        <v>2</v>
      </c>
      <c r="Y3790" s="54" t="s">
        <v>2</v>
      </c>
      <c r="Z3790" s="54" t="s">
        <v>2</v>
      </c>
      <c r="AA3790" s="54" t="s">
        <v>2</v>
      </c>
      <c r="AB3790" s="54" t="s">
        <v>2</v>
      </c>
      <c r="AC3790" s="54" t="s">
        <v>2</v>
      </c>
      <c r="AD3790" s="54" t="s">
        <v>2</v>
      </c>
      <c r="AE3790" s="54" t="s">
        <v>2</v>
      </c>
      <c r="AF3790" s="54" t="s">
        <v>2</v>
      </c>
      <c r="AG3790" s="54" t="s">
        <v>2</v>
      </c>
    </row>
    <row r="3791" ht="15.75" customHeight="1">
      <c r="B3791" s="56"/>
      <c r="U3791" s="46" t="str">
        <f t="array" ref="U3791">IF($D3791="","",IFERROR(_xlfn.XLOOKUP($D3791,'TIR店舗一覧'!$D:$D,'TIR店舗一覧'!$E:$E,""),""))</f>
        <v/>
      </c>
      <c r="V3791" s="54" t="s">
        <v>2</v>
      </c>
      <c r="W3791" s="54" t="s">
        <v>2</v>
      </c>
      <c r="X3791" s="54" t="s">
        <v>2</v>
      </c>
      <c r="Y3791" s="54" t="s">
        <v>2</v>
      </c>
      <c r="Z3791" s="54" t="s">
        <v>2</v>
      </c>
      <c r="AA3791" s="54" t="s">
        <v>2</v>
      </c>
      <c r="AB3791" s="54" t="s">
        <v>2</v>
      </c>
      <c r="AC3791" s="54" t="s">
        <v>2</v>
      </c>
      <c r="AD3791" s="54" t="s">
        <v>2</v>
      </c>
      <c r="AE3791" s="54" t="s">
        <v>2</v>
      </c>
      <c r="AF3791" s="54" t="s">
        <v>2</v>
      </c>
      <c r="AG3791" s="54" t="s">
        <v>2</v>
      </c>
    </row>
    <row r="3792" ht="15.75" customHeight="1">
      <c r="B3792" s="56"/>
      <c r="U3792" s="46" t="str">
        <f t="array" ref="U3792">IF($D3792="","",IFERROR(_xlfn.XLOOKUP($D3792,'TIR店舗一覧'!$D:$D,'TIR店舗一覧'!$E:$E,""),""))</f>
        <v/>
      </c>
      <c r="V3792" s="54" t="s">
        <v>2</v>
      </c>
      <c r="W3792" s="54" t="s">
        <v>2</v>
      </c>
      <c r="X3792" s="54" t="s">
        <v>2</v>
      </c>
      <c r="Y3792" s="54" t="s">
        <v>2</v>
      </c>
      <c r="Z3792" s="54" t="s">
        <v>2</v>
      </c>
      <c r="AA3792" s="54" t="s">
        <v>2</v>
      </c>
      <c r="AB3792" s="54" t="s">
        <v>2</v>
      </c>
      <c r="AC3792" s="54" t="s">
        <v>2</v>
      </c>
      <c r="AD3792" s="54" t="s">
        <v>2</v>
      </c>
      <c r="AE3792" s="54" t="s">
        <v>2</v>
      </c>
      <c r="AF3792" s="54" t="s">
        <v>2</v>
      </c>
      <c r="AG3792" s="54" t="s">
        <v>2</v>
      </c>
    </row>
    <row r="3793" ht="15.75" customHeight="1">
      <c r="B3793" s="56"/>
      <c r="U3793" s="46" t="str">
        <f t="array" ref="U3793">IF($D3793="","",IFERROR(_xlfn.XLOOKUP($D3793,'TIR店舗一覧'!$D:$D,'TIR店舗一覧'!$E:$E,""),""))</f>
        <v/>
      </c>
      <c r="V3793" s="54" t="s">
        <v>2</v>
      </c>
      <c r="W3793" s="54" t="s">
        <v>2</v>
      </c>
      <c r="X3793" s="54" t="s">
        <v>2</v>
      </c>
      <c r="Y3793" s="54" t="s">
        <v>2</v>
      </c>
      <c r="Z3793" s="54" t="s">
        <v>2</v>
      </c>
      <c r="AA3793" s="54" t="s">
        <v>2</v>
      </c>
      <c r="AB3793" s="54" t="s">
        <v>2</v>
      </c>
      <c r="AC3793" s="54" t="s">
        <v>2</v>
      </c>
      <c r="AD3793" s="54" t="s">
        <v>2</v>
      </c>
      <c r="AE3793" s="54" t="s">
        <v>2</v>
      </c>
      <c r="AF3793" s="54" t="s">
        <v>2</v>
      </c>
      <c r="AG3793" s="54" t="s">
        <v>2</v>
      </c>
    </row>
    <row r="3794" ht="15.75" customHeight="1">
      <c r="B3794" s="56"/>
      <c r="U3794" s="46" t="str">
        <f t="array" ref="U3794">IF($D3794="","",IFERROR(_xlfn.XLOOKUP($D3794,'TIR店舗一覧'!$D:$D,'TIR店舗一覧'!$E:$E,""),""))</f>
        <v/>
      </c>
      <c r="V3794" s="54" t="s">
        <v>2</v>
      </c>
      <c r="W3794" s="54" t="s">
        <v>2</v>
      </c>
      <c r="X3794" s="54" t="s">
        <v>2</v>
      </c>
      <c r="Y3794" s="54" t="s">
        <v>2</v>
      </c>
      <c r="Z3794" s="54" t="s">
        <v>2</v>
      </c>
      <c r="AA3794" s="54" t="s">
        <v>2</v>
      </c>
      <c r="AB3794" s="54" t="s">
        <v>2</v>
      </c>
      <c r="AC3794" s="54" t="s">
        <v>2</v>
      </c>
      <c r="AD3794" s="54" t="s">
        <v>2</v>
      </c>
      <c r="AE3794" s="54" t="s">
        <v>2</v>
      </c>
      <c r="AF3794" s="54" t="s">
        <v>2</v>
      </c>
      <c r="AG3794" s="54" t="s">
        <v>2</v>
      </c>
    </row>
    <row r="3795" ht="15.75" customHeight="1">
      <c r="B3795" s="56"/>
      <c r="U3795" s="46" t="str">
        <f t="array" ref="U3795">IF($D3795="","",IFERROR(_xlfn.XLOOKUP($D3795,'TIR店舗一覧'!$D:$D,'TIR店舗一覧'!$E:$E,""),""))</f>
        <v/>
      </c>
      <c r="V3795" s="54" t="s">
        <v>2</v>
      </c>
      <c r="W3795" s="54" t="s">
        <v>2</v>
      </c>
      <c r="X3795" s="54" t="s">
        <v>2</v>
      </c>
      <c r="Y3795" s="54" t="s">
        <v>2</v>
      </c>
      <c r="Z3795" s="54" t="s">
        <v>2</v>
      </c>
      <c r="AA3795" s="54" t="s">
        <v>2</v>
      </c>
      <c r="AB3795" s="54" t="s">
        <v>2</v>
      </c>
      <c r="AC3795" s="54" t="s">
        <v>2</v>
      </c>
      <c r="AD3795" s="54" t="s">
        <v>2</v>
      </c>
      <c r="AE3795" s="54" t="s">
        <v>2</v>
      </c>
      <c r="AF3795" s="54" t="s">
        <v>2</v>
      </c>
      <c r="AG3795" s="54" t="s">
        <v>2</v>
      </c>
    </row>
    <row r="3796" ht="15.75" customHeight="1">
      <c r="B3796" s="56"/>
      <c r="U3796" s="46" t="str">
        <f t="array" ref="U3796">IF($D3796="","",IFERROR(_xlfn.XLOOKUP($D3796,'TIR店舗一覧'!$D:$D,'TIR店舗一覧'!$E:$E,""),""))</f>
        <v/>
      </c>
      <c r="V3796" s="54" t="s">
        <v>2</v>
      </c>
      <c r="W3796" s="54" t="s">
        <v>2</v>
      </c>
      <c r="X3796" s="54" t="s">
        <v>2</v>
      </c>
      <c r="Y3796" s="54" t="s">
        <v>2</v>
      </c>
      <c r="Z3796" s="54" t="s">
        <v>2</v>
      </c>
      <c r="AA3796" s="54" t="s">
        <v>2</v>
      </c>
      <c r="AB3796" s="54" t="s">
        <v>2</v>
      </c>
      <c r="AC3796" s="54" t="s">
        <v>2</v>
      </c>
      <c r="AD3796" s="54" t="s">
        <v>2</v>
      </c>
      <c r="AE3796" s="54" t="s">
        <v>2</v>
      </c>
      <c r="AF3796" s="54" t="s">
        <v>2</v>
      </c>
      <c r="AG3796" s="54" t="s">
        <v>2</v>
      </c>
    </row>
    <row r="3797" ht="15.75" customHeight="1">
      <c r="B3797" s="56"/>
      <c r="U3797" s="46" t="str">
        <f t="array" ref="U3797">IF($D3797="","",IFERROR(_xlfn.XLOOKUP($D3797,'TIR店舗一覧'!$D:$D,'TIR店舗一覧'!$E:$E,""),""))</f>
        <v/>
      </c>
      <c r="V3797" s="54" t="s">
        <v>2</v>
      </c>
      <c r="W3797" s="54" t="s">
        <v>2</v>
      </c>
      <c r="X3797" s="54" t="s">
        <v>2</v>
      </c>
      <c r="Y3797" s="54" t="s">
        <v>2</v>
      </c>
      <c r="Z3797" s="54" t="s">
        <v>2</v>
      </c>
      <c r="AA3797" s="54" t="s">
        <v>2</v>
      </c>
      <c r="AB3797" s="54" t="s">
        <v>2</v>
      </c>
      <c r="AC3797" s="54" t="s">
        <v>2</v>
      </c>
      <c r="AD3797" s="54" t="s">
        <v>2</v>
      </c>
      <c r="AE3797" s="54" t="s">
        <v>2</v>
      </c>
      <c r="AF3797" s="54" t="s">
        <v>2</v>
      </c>
      <c r="AG3797" s="54" t="s">
        <v>2</v>
      </c>
    </row>
    <row r="3798" ht="15.75" customHeight="1">
      <c r="B3798" s="56"/>
      <c r="U3798" s="46" t="str">
        <f t="array" ref="U3798">IF($D3798="","",IFERROR(_xlfn.XLOOKUP($D3798,'TIR店舗一覧'!$D:$D,'TIR店舗一覧'!$E:$E,""),""))</f>
        <v/>
      </c>
      <c r="V3798" s="54" t="s">
        <v>2</v>
      </c>
      <c r="W3798" s="54" t="s">
        <v>2</v>
      </c>
      <c r="X3798" s="54" t="s">
        <v>2</v>
      </c>
      <c r="Y3798" s="54" t="s">
        <v>2</v>
      </c>
      <c r="Z3798" s="54" t="s">
        <v>2</v>
      </c>
      <c r="AA3798" s="54" t="s">
        <v>2</v>
      </c>
      <c r="AB3798" s="54" t="s">
        <v>2</v>
      </c>
      <c r="AC3798" s="54" t="s">
        <v>2</v>
      </c>
      <c r="AD3798" s="54" t="s">
        <v>2</v>
      </c>
      <c r="AE3798" s="54" t="s">
        <v>2</v>
      </c>
      <c r="AF3798" s="54" t="s">
        <v>2</v>
      </c>
      <c r="AG3798" s="54" t="s">
        <v>2</v>
      </c>
    </row>
    <row r="3799" ht="15.75" customHeight="1">
      <c r="B3799" s="56"/>
      <c r="U3799" s="46" t="str">
        <f t="array" ref="U3799">IF($D3799="","",IFERROR(_xlfn.XLOOKUP($D3799,'TIR店舗一覧'!$D:$D,'TIR店舗一覧'!$E:$E,""),""))</f>
        <v/>
      </c>
      <c r="V3799" s="54" t="s">
        <v>2</v>
      </c>
      <c r="W3799" s="54" t="s">
        <v>2</v>
      </c>
      <c r="X3799" s="54" t="s">
        <v>2</v>
      </c>
      <c r="Y3799" s="54" t="s">
        <v>2</v>
      </c>
      <c r="Z3799" s="54" t="s">
        <v>2</v>
      </c>
      <c r="AA3799" s="54" t="s">
        <v>2</v>
      </c>
      <c r="AB3799" s="54" t="s">
        <v>2</v>
      </c>
      <c r="AC3799" s="54" t="s">
        <v>2</v>
      </c>
      <c r="AD3799" s="54" t="s">
        <v>2</v>
      </c>
      <c r="AE3799" s="54" t="s">
        <v>2</v>
      </c>
      <c r="AF3799" s="54" t="s">
        <v>2</v>
      </c>
      <c r="AG3799" s="54" t="s">
        <v>2</v>
      </c>
    </row>
    <row r="3800" ht="15.75" customHeight="1">
      <c r="B3800" s="56"/>
      <c r="U3800" s="46" t="str">
        <f t="array" ref="U3800">IF($D3800="","",IFERROR(_xlfn.XLOOKUP($D3800,'TIR店舗一覧'!$D:$D,'TIR店舗一覧'!$E:$E,""),""))</f>
        <v/>
      </c>
      <c r="V3800" s="54" t="s">
        <v>2</v>
      </c>
      <c r="W3800" s="54" t="s">
        <v>2</v>
      </c>
      <c r="X3800" s="54" t="s">
        <v>2</v>
      </c>
      <c r="Y3800" s="54" t="s">
        <v>2</v>
      </c>
      <c r="Z3800" s="54" t="s">
        <v>2</v>
      </c>
      <c r="AA3800" s="54" t="s">
        <v>2</v>
      </c>
      <c r="AB3800" s="54" t="s">
        <v>2</v>
      </c>
      <c r="AC3800" s="54" t="s">
        <v>2</v>
      </c>
      <c r="AD3800" s="54" t="s">
        <v>2</v>
      </c>
      <c r="AE3800" s="54" t="s">
        <v>2</v>
      </c>
      <c r="AF3800" s="54" t="s">
        <v>2</v>
      </c>
      <c r="AG3800" s="54" t="s">
        <v>2</v>
      </c>
    </row>
    <row r="3801" ht="15.75" customHeight="1">
      <c r="B3801" s="56"/>
      <c r="U3801" s="46" t="str">
        <f t="array" ref="U3801">IF($D3801="","",IFERROR(_xlfn.XLOOKUP($D3801,'TIR店舗一覧'!$D:$D,'TIR店舗一覧'!$E:$E,""),""))</f>
        <v/>
      </c>
      <c r="V3801" s="54" t="s">
        <v>2</v>
      </c>
      <c r="W3801" s="54" t="s">
        <v>2</v>
      </c>
      <c r="X3801" s="54" t="s">
        <v>2</v>
      </c>
      <c r="Y3801" s="54" t="s">
        <v>2</v>
      </c>
      <c r="Z3801" s="54" t="s">
        <v>2</v>
      </c>
      <c r="AA3801" s="54" t="s">
        <v>2</v>
      </c>
      <c r="AB3801" s="54" t="s">
        <v>2</v>
      </c>
      <c r="AC3801" s="54" t="s">
        <v>2</v>
      </c>
      <c r="AD3801" s="54" t="s">
        <v>2</v>
      </c>
      <c r="AE3801" s="54" t="s">
        <v>2</v>
      </c>
      <c r="AF3801" s="54" t="s">
        <v>2</v>
      </c>
      <c r="AG3801" s="54" t="s">
        <v>2</v>
      </c>
    </row>
    <row r="3802" ht="15.75" customHeight="1">
      <c r="B3802" s="56"/>
      <c r="U3802" s="46" t="str">
        <f t="array" ref="U3802">IF($D3802="","",IFERROR(_xlfn.XLOOKUP($D3802,'TIR店舗一覧'!$D:$D,'TIR店舗一覧'!$E:$E,""),""))</f>
        <v/>
      </c>
      <c r="V3802" s="54" t="s">
        <v>2</v>
      </c>
      <c r="W3802" s="54" t="s">
        <v>2</v>
      </c>
      <c r="X3802" s="54" t="s">
        <v>2</v>
      </c>
      <c r="Y3802" s="54" t="s">
        <v>2</v>
      </c>
      <c r="Z3802" s="54" t="s">
        <v>2</v>
      </c>
      <c r="AA3802" s="54" t="s">
        <v>2</v>
      </c>
      <c r="AB3802" s="54" t="s">
        <v>2</v>
      </c>
      <c r="AC3802" s="54" t="s">
        <v>2</v>
      </c>
      <c r="AD3802" s="54" t="s">
        <v>2</v>
      </c>
      <c r="AE3802" s="54" t="s">
        <v>2</v>
      </c>
      <c r="AF3802" s="54" t="s">
        <v>2</v>
      </c>
      <c r="AG3802" s="54" t="s">
        <v>2</v>
      </c>
    </row>
    <row r="3803" ht="15.75" customHeight="1">
      <c r="B3803" s="56"/>
      <c r="U3803" s="46" t="str">
        <f t="array" ref="U3803">IF($D3803="","",IFERROR(_xlfn.XLOOKUP($D3803,'TIR店舗一覧'!$D:$D,'TIR店舗一覧'!$E:$E,""),""))</f>
        <v/>
      </c>
      <c r="V3803" s="54" t="s">
        <v>2</v>
      </c>
      <c r="W3803" s="54" t="s">
        <v>2</v>
      </c>
      <c r="X3803" s="54" t="s">
        <v>2</v>
      </c>
      <c r="Y3803" s="54" t="s">
        <v>2</v>
      </c>
      <c r="Z3803" s="54" t="s">
        <v>2</v>
      </c>
      <c r="AA3803" s="54" t="s">
        <v>2</v>
      </c>
      <c r="AB3803" s="54" t="s">
        <v>2</v>
      </c>
      <c r="AC3803" s="54" t="s">
        <v>2</v>
      </c>
      <c r="AD3803" s="54" t="s">
        <v>2</v>
      </c>
      <c r="AE3803" s="54" t="s">
        <v>2</v>
      </c>
      <c r="AF3803" s="54" t="s">
        <v>2</v>
      </c>
      <c r="AG3803" s="54" t="s">
        <v>2</v>
      </c>
    </row>
    <row r="3804" ht="15.75" customHeight="1">
      <c r="B3804" s="56"/>
      <c r="U3804" s="46" t="str">
        <f t="array" ref="U3804">IF($D3804="","",IFERROR(_xlfn.XLOOKUP($D3804,'TIR店舗一覧'!$D:$D,'TIR店舗一覧'!$E:$E,""),""))</f>
        <v/>
      </c>
      <c r="V3804" s="54" t="s">
        <v>2</v>
      </c>
      <c r="W3804" s="54" t="s">
        <v>2</v>
      </c>
      <c r="X3804" s="54" t="s">
        <v>2</v>
      </c>
      <c r="Y3804" s="54" t="s">
        <v>2</v>
      </c>
      <c r="Z3804" s="54" t="s">
        <v>2</v>
      </c>
      <c r="AA3804" s="54" t="s">
        <v>2</v>
      </c>
      <c r="AB3804" s="54" t="s">
        <v>2</v>
      </c>
      <c r="AC3804" s="54" t="s">
        <v>2</v>
      </c>
      <c r="AD3804" s="54" t="s">
        <v>2</v>
      </c>
      <c r="AE3804" s="54" t="s">
        <v>2</v>
      </c>
      <c r="AF3804" s="54" t="s">
        <v>2</v>
      </c>
      <c r="AG3804" s="54" t="s">
        <v>2</v>
      </c>
    </row>
    <row r="3805" ht="15.75" customHeight="1">
      <c r="B3805" s="56"/>
      <c r="U3805" s="46" t="str">
        <f t="array" ref="U3805">IF($D3805="","",IFERROR(_xlfn.XLOOKUP($D3805,'TIR店舗一覧'!$D:$D,'TIR店舗一覧'!$E:$E,""),""))</f>
        <v/>
      </c>
      <c r="V3805" s="54" t="s">
        <v>2</v>
      </c>
      <c r="W3805" s="54" t="s">
        <v>2</v>
      </c>
      <c r="X3805" s="54" t="s">
        <v>2</v>
      </c>
      <c r="Y3805" s="54" t="s">
        <v>2</v>
      </c>
      <c r="Z3805" s="54" t="s">
        <v>2</v>
      </c>
      <c r="AA3805" s="54" t="s">
        <v>2</v>
      </c>
      <c r="AB3805" s="54" t="s">
        <v>2</v>
      </c>
      <c r="AC3805" s="54" t="s">
        <v>2</v>
      </c>
      <c r="AD3805" s="54" t="s">
        <v>2</v>
      </c>
      <c r="AE3805" s="54" t="s">
        <v>2</v>
      </c>
      <c r="AF3805" s="54" t="s">
        <v>2</v>
      </c>
      <c r="AG3805" s="54" t="s">
        <v>2</v>
      </c>
    </row>
    <row r="3806" ht="15.75" customHeight="1">
      <c r="B3806" s="56"/>
      <c r="U3806" s="46" t="str">
        <f t="array" ref="U3806">IF($D3806="","",IFERROR(_xlfn.XLOOKUP($D3806,'TIR店舗一覧'!$D:$D,'TIR店舗一覧'!$E:$E,""),""))</f>
        <v/>
      </c>
      <c r="V3806" s="54" t="s">
        <v>2</v>
      </c>
      <c r="W3806" s="54" t="s">
        <v>2</v>
      </c>
      <c r="X3806" s="54" t="s">
        <v>2</v>
      </c>
      <c r="Y3806" s="54" t="s">
        <v>2</v>
      </c>
      <c r="Z3806" s="54" t="s">
        <v>2</v>
      </c>
      <c r="AA3806" s="54" t="s">
        <v>2</v>
      </c>
      <c r="AB3806" s="54" t="s">
        <v>2</v>
      </c>
      <c r="AC3806" s="54" t="s">
        <v>2</v>
      </c>
      <c r="AD3806" s="54" t="s">
        <v>2</v>
      </c>
      <c r="AE3806" s="54" t="s">
        <v>2</v>
      </c>
      <c r="AF3806" s="54" t="s">
        <v>2</v>
      </c>
      <c r="AG3806" s="54" t="s">
        <v>2</v>
      </c>
    </row>
    <row r="3807" ht="15.75" customHeight="1">
      <c r="B3807" s="56"/>
      <c r="U3807" s="46" t="str">
        <f t="array" ref="U3807">IF($D3807="","",IFERROR(_xlfn.XLOOKUP($D3807,'TIR店舗一覧'!$D:$D,'TIR店舗一覧'!$E:$E,""),""))</f>
        <v/>
      </c>
      <c r="V3807" s="54" t="s">
        <v>2</v>
      </c>
      <c r="W3807" s="54" t="s">
        <v>2</v>
      </c>
      <c r="X3807" s="54" t="s">
        <v>2</v>
      </c>
      <c r="Y3807" s="54" t="s">
        <v>2</v>
      </c>
      <c r="Z3807" s="54" t="s">
        <v>2</v>
      </c>
      <c r="AA3807" s="54" t="s">
        <v>2</v>
      </c>
      <c r="AB3807" s="54" t="s">
        <v>2</v>
      </c>
      <c r="AC3807" s="54" t="s">
        <v>2</v>
      </c>
      <c r="AD3807" s="54" t="s">
        <v>2</v>
      </c>
      <c r="AE3807" s="54" t="s">
        <v>2</v>
      </c>
      <c r="AF3807" s="54" t="s">
        <v>2</v>
      </c>
      <c r="AG3807" s="54" t="s">
        <v>2</v>
      </c>
    </row>
    <row r="3808" ht="15.75" customHeight="1">
      <c r="B3808" s="56"/>
      <c r="U3808" s="46" t="str">
        <f t="array" ref="U3808">IF($D3808="","",IFERROR(_xlfn.XLOOKUP($D3808,'TIR店舗一覧'!$D:$D,'TIR店舗一覧'!$E:$E,""),""))</f>
        <v/>
      </c>
      <c r="V3808" s="54" t="s">
        <v>2</v>
      </c>
      <c r="W3808" s="54" t="s">
        <v>2</v>
      </c>
      <c r="X3808" s="54" t="s">
        <v>2</v>
      </c>
      <c r="Y3808" s="54" t="s">
        <v>2</v>
      </c>
      <c r="Z3808" s="54" t="s">
        <v>2</v>
      </c>
      <c r="AA3808" s="54" t="s">
        <v>2</v>
      </c>
      <c r="AB3808" s="54" t="s">
        <v>2</v>
      </c>
      <c r="AC3808" s="54" t="s">
        <v>2</v>
      </c>
      <c r="AD3808" s="54" t="s">
        <v>2</v>
      </c>
      <c r="AE3808" s="54" t="s">
        <v>2</v>
      </c>
      <c r="AF3808" s="54" t="s">
        <v>2</v>
      </c>
      <c r="AG3808" s="54" t="s">
        <v>2</v>
      </c>
    </row>
    <row r="3809" ht="15.75" customHeight="1">
      <c r="B3809" s="56"/>
      <c r="U3809" s="46" t="str">
        <f t="array" ref="U3809">IF($D3809="","",IFERROR(_xlfn.XLOOKUP($D3809,'TIR店舗一覧'!$D:$D,'TIR店舗一覧'!$E:$E,""),""))</f>
        <v/>
      </c>
      <c r="V3809" s="54" t="s">
        <v>2</v>
      </c>
      <c r="W3809" s="54" t="s">
        <v>2</v>
      </c>
      <c r="X3809" s="54" t="s">
        <v>2</v>
      </c>
      <c r="Y3809" s="54" t="s">
        <v>2</v>
      </c>
      <c r="Z3809" s="54" t="s">
        <v>2</v>
      </c>
      <c r="AA3809" s="54" t="s">
        <v>2</v>
      </c>
      <c r="AB3809" s="54" t="s">
        <v>2</v>
      </c>
      <c r="AC3809" s="54" t="s">
        <v>2</v>
      </c>
      <c r="AD3809" s="54" t="s">
        <v>2</v>
      </c>
      <c r="AE3809" s="54" t="s">
        <v>2</v>
      </c>
      <c r="AF3809" s="54" t="s">
        <v>2</v>
      </c>
      <c r="AG3809" s="54" t="s">
        <v>2</v>
      </c>
    </row>
    <row r="3810" ht="15.75" customHeight="1">
      <c r="B3810" s="56"/>
      <c r="U3810" s="46" t="str">
        <f t="array" ref="U3810">IF($D3810="","",IFERROR(_xlfn.XLOOKUP($D3810,'TIR店舗一覧'!$D:$D,'TIR店舗一覧'!$E:$E,""),""))</f>
        <v/>
      </c>
      <c r="V3810" s="54" t="s">
        <v>2</v>
      </c>
      <c r="W3810" s="54" t="s">
        <v>2</v>
      </c>
      <c r="X3810" s="54" t="s">
        <v>2</v>
      </c>
      <c r="Y3810" s="54" t="s">
        <v>2</v>
      </c>
      <c r="Z3810" s="54" t="s">
        <v>2</v>
      </c>
      <c r="AA3810" s="54" t="s">
        <v>2</v>
      </c>
      <c r="AB3810" s="54" t="s">
        <v>2</v>
      </c>
      <c r="AC3810" s="54" t="s">
        <v>2</v>
      </c>
      <c r="AD3810" s="54" t="s">
        <v>2</v>
      </c>
      <c r="AE3810" s="54" t="s">
        <v>2</v>
      </c>
      <c r="AF3810" s="54" t="s">
        <v>2</v>
      </c>
      <c r="AG3810" s="54" t="s">
        <v>2</v>
      </c>
    </row>
    <row r="3811" ht="15.75" customHeight="1">
      <c r="B3811" s="56"/>
      <c r="U3811" s="46" t="str">
        <f t="array" ref="U3811">IF($D3811="","",IFERROR(_xlfn.XLOOKUP($D3811,'TIR店舗一覧'!$D:$D,'TIR店舗一覧'!$E:$E,""),""))</f>
        <v/>
      </c>
      <c r="V3811" s="54" t="s">
        <v>2</v>
      </c>
      <c r="W3811" s="54" t="s">
        <v>2</v>
      </c>
      <c r="X3811" s="54" t="s">
        <v>2</v>
      </c>
      <c r="Y3811" s="54" t="s">
        <v>2</v>
      </c>
      <c r="Z3811" s="54" t="s">
        <v>2</v>
      </c>
      <c r="AA3811" s="54" t="s">
        <v>2</v>
      </c>
      <c r="AB3811" s="54" t="s">
        <v>2</v>
      </c>
      <c r="AC3811" s="54" t="s">
        <v>2</v>
      </c>
      <c r="AD3811" s="54" t="s">
        <v>2</v>
      </c>
      <c r="AE3811" s="54" t="s">
        <v>2</v>
      </c>
      <c r="AF3811" s="54" t="s">
        <v>2</v>
      </c>
      <c r="AG3811" s="54" t="s">
        <v>2</v>
      </c>
    </row>
    <row r="3812" ht="15.75" customHeight="1">
      <c r="B3812" s="56"/>
      <c r="U3812" s="46" t="str">
        <f t="array" ref="U3812">IF($D3812="","",IFERROR(_xlfn.XLOOKUP($D3812,'TIR店舗一覧'!$D:$D,'TIR店舗一覧'!$E:$E,""),""))</f>
        <v/>
      </c>
      <c r="V3812" s="54" t="s">
        <v>2</v>
      </c>
      <c r="W3812" s="54" t="s">
        <v>2</v>
      </c>
      <c r="X3812" s="54" t="s">
        <v>2</v>
      </c>
      <c r="Y3812" s="54" t="s">
        <v>2</v>
      </c>
      <c r="Z3812" s="54" t="s">
        <v>2</v>
      </c>
      <c r="AA3812" s="54" t="s">
        <v>2</v>
      </c>
      <c r="AB3812" s="54" t="s">
        <v>2</v>
      </c>
      <c r="AC3812" s="54" t="s">
        <v>2</v>
      </c>
      <c r="AD3812" s="54" t="s">
        <v>2</v>
      </c>
      <c r="AE3812" s="54" t="s">
        <v>2</v>
      </c>
      <c r="AF3812" s="54" t="s">
        <v>2</v>
      </c>
      <c r="AG3812" s="54" t="s">
        <v>2</v>
      </c>
    </row>
    <row r="3813" ht="15.75" customHeight="1">
      <c r="B3813" s="56"/>
      <c r="U3813" s="46" t="str">
        <f t="array" ref="U3813">IF($D3813="","",IFERROR(_xlfn.XLOOKUP($D3813,'TIR店舗一覧'!$D:$D,'TIR店舗一覧'!$E:$E,""),""))</f>
        <v/>
      </c>
      <c r="V3813" s="54" t="s">
        <v>2</v>
      </c>
      <c r="W3813" s="54" t="s">
        <v>2</v>
      </c>
      <c r="X3813" s="54" t="s">
        <v>2</v>
      </c>
      <c r="Y3813" s="54" t="s">
        <v>2</v>
      </c>
      <c r="Z3813" s="54" t="s">
        <v>2</v>
      </c>
      <c r="AA3813" s="54" t="s">
        <v>2</v>
      </c>
      <c r="AB3813" s="54" t="s">
        <v>2</v>
      </c>
      <c r="AC3813" s="54" t="s">
        <v>2</v>
      </c>
      <c r="AD3813" s="54" t="s">
        <v>2</v>
      </c>
      <c r="AE3813" s="54" t="s">
        <v>2</v>
      </c>
      <c r="AF3813" s="54" t="s">
        <v>2</v>
      </c>
      <c r="AG3813" s="54" t="s">
        <v>2</v>
      </c>
    </row>
    <row r="3814" ht="15.75" customHeight="1">
      <c r="B3814" s="56"/>
      <c r="U3814" s="46" t="str">
        <f t="array" ref="U3814">IF($D3814="","",IFERROR(_xlfn.XLOOKUP($D3814,'TIR店舗一覧'!$D:$D,'TIR店舗一覧'!$E:$E,""),""))</f>
        <v/>
      </c>
      <c r="V3814" s="54" t="s">
        <v>2</v>
      </c>
      <c r="W3814" s="54" t="s">
        <v>2</v>
      </c>
      <c r="X3814" s="54" t="s">
        <v>2</v>
      </c>
      <c r="Y3814" s="54" t="s">
        <v>2</v>
      </c>
      <c r="Z3814" s="54" t="s">
        <v>2</v>
      </c>
      <c r="AA3814" s="54" t="s">
        <v>2</v>
      </c>
      <c r="AB3814" s="54" t="s">
        <v>2</v>
      </c>
      <c r="AC3814" s="54" t="s">
        <v>2</v>
      </c>
      <c r="AD3814" s="54" t="s">
        <v>2</v>
      </c>
      <c r="AE3814" s="54" t="s">
        <v>2</v>
      </c>
      <c r="AF3814" s="54" t="s">
        <v>2</v>
      </c>
      <c r="AG3814" s="54" t="s">
        <v>2</v>
      </c>
    </row>
    <row r="3815" ht="15.75" customHeight="1">
      <c r="B3815" s="56"/>
      <c r="U3815" s="46" t="str">
        <f t="array" ref="U3815">IF($D3815="","",IFERROR(_xlfn.XLOOKUP($D3815,'TIR店舗一覧'!$D:$D,'TIR店舗一覧'!$E:$E,""),""))</f>
        <v/>
      </c>
      <c r="V3815" s="54" t="s">
        <v>2</v>
      </c>
      <c r="W3815" s="54" t="s">
        <v>2</v>
      </c>
      <c r="X3815" s="54" t="s">
        <v>2</v>
      </c>
      <c r="Y3815" s="54" t="s">
        <v>2</v>
      </c>
      <c r="Z3815" s="54" t="s">
        <v>2</v>
      </c>
      <c r="AA3815" s="54" t="s">
        <v>2</v>
      </c>
      <c r="AB3815" s="54" t="s">
        <v>2</v>
      </c>
      <c r="AC3815" s="54" t="s">
        <v>2</v>
      </c>
      <c r="AD3815" s="54" t="s">
        <v>2</v>
      </c>
      <c r="AE3815" s="54" t="s">
        <v>2</v>
      </c>
      <c r="AF3815" s="54" t="s">
        <v>2</v>
      </c>
      <c r="AG3815" s="54" t="s">
        <v>2</v>
      </c>
    </row>
    <row r="3816" ht="15.75" customHeight="1">
      <c r="B3816" s="56"/>
      <c r="U3816" s="46" t="str">
        <f t="array" ref="U3816">IF($D3816="","",IFERROR(_xlfn.XLOOKUP($D3816,'TIR店舗一覧'!$D:$D,'TIR店舗一覧'!$E:$E,""),""))</f>
        <v/>
      </c>
      <c r="V3816" s="54" t="s">
        <v>2</v>
      </c>
      <c r="W3816" s="54" t="s">
        <v>2</v>
      </c>
      <c r="X3816" s="54" t="s">
        <v>2</v>
      </c>
      <c r="Y3816" s="54" t="s">
        <v>2</v>
      </c>
      <c r="Z3816" s="54" t="s">
        <v>2</v>
      </c>
      <c r="AA3816" s="54" t="s">
        <v>2</v>
      </c>
      <c r="AB3816" s="54" t="s">
        <v>2</v>
      </c>
      <c r="AC3816" s="54" t="s">
        <v>2</v>
      </c>
      <c r="AD3816" s="54" t="s">
        <v>2</v>
      </c>
      <c r="AE3816" s="54" t="s">
        <v>2</v>
      </c>
      <c r="AF3816" s="54" t="s">
        <v>2</v>
      </c>
      <c r="AG3816" s="54" t="s">
        <v>2</v>
      </c>
    </row>
    <row r="3817" ht="15.75" customHeight="1">
      <c r="B3817" s="56"/>
      <c r="U3817" s="46" t="str">
        <f t="array" ref="U3817">IF($D3817="","",IFERROR(_xlfn.XLOOKUP($D3817,'TIR店舗一覧'!$D:$D,'TIR店舗一覧'!$E:$E,""),""))</f>
        <v/>
      </c>
      <c r="V3817" s="54" t="s">
        <v>2</v>
      </c>
      <c r="W3817" s="54" t="s">
        <v>2</v>
      </c>
      <c r="X3817" s="54" t="s">
        <v>2</v>
      </c>
      <c r="Y3817" s="54" t="s">
        <v>2</v>
      </c>
      <c r="Z3817" s="54" t="s">
        <v>2</v>
      </c>
      <c r="AA3817" s="54" t="s">
        <v>2</v>
      </c>
      <c r="AB3817" s="54" t="s">
        <v>2</v>
      </c>
      <c r="AC3817" s="54" t="s">
        <v>2</v>
      </c>
      <c r="AD3817" s="54" t="s">
        <v>2</v>
      </c>
      <c r="AE3817" s="54" t="s">
        <v>2</v>
      </c>
      <c r="AF3817" s="54" t="s">
        <v>2</v>
      </c>
      <c r="AG3817" s="54" t="s">
        <v>2</v>
      </c>
    </row>
    <row r="3818" ht="15.75" customHeight="1">
      <c r="B3818" s="56"/>
      <c r="U3818" s="46" t="str">
        <f t="array" ref="U3818">IF($D3818="","",IFERROR(_xlfn.XLOOKUP($D3818,'TIR店舗一覧'!$D:$D,'TIR店舗一覧'!$E:$E,""),""))</f>
        <v/>
      </c>
      <c r="V3818" s="54" t="s">
        <v>2</v>
      </c>
      <c r="W3818" s="54" t="s">
        <v>2</v>
      </c>
      <c r="X3818" s="54" t="s">
        <v>2</v>
      </c>
      <c r="Y3818" s="54" t="s">
        <v>2</v>
      </c>
      <c r="Z3818" s="54" t="s">
        <v>2</v>
      </c>
      <c r="AA3818" s="54" t="s">
        <v>2</v>
      </c>
      <c r="AB3818" s="54" t="s">
        <v>2</v>
      </c>
      <c r="AC3818" s="54" t="s">
        <v>2</v>
      </c>
      <c r="AD3818" s="54" t="s">
        <v>2</v>
      </c>
      <c r="AE3818" s="54" t="s">
        <v>2</v>
      </c>
      <c r="AF3818" s="54" t="s">
        <v>2</v>
      </c>
      <c r="AG3818" s="54" t="s">
        <v>2</v>
      </c>
    </row>
    <row r="3819" ht="15.75" customHeight="1">
      <c r="B3819" s="56"/>
      <c r="U3819" s="46" t="str">
        <f t="array" ref="U3819">IF($D3819="","",IFERROR(_xlfn.XLOOKUP($D3819,'TIR店舗一覧'!$D:$D,'TIR店舗一覧'!$E:$E,""),""))</f>
        <v/>
      </c>
      <c r="V3819" s="54" t="s">
        <v>2</v>
      </c>
      <c r="W3819" s="54" t="s">
        <v>2</v>
      </c>
      <c r="X3819" s="54" t="s">
        <v>2</v>
      </c>
      <c r="Y3819" s="54" t="s">
        <v>2</v>
      </c>
      <c r="Z3819" s="54" t="s">
        <v>2</v>
      </c>
      <c r="AA3819" s="54" t="s">
        <v>2</v>
      </c>
      <c r="AB3819" s="54" t="s">
        <v>2</v>
      </c>
      <c r="AC3819" s="54" t="s">
        <v>2</v>
      </c>
      <c r="AD3819" s="54" t="s">
        <v>2</v>
      </c>
      <c r="AE3819" s="54" t="s">
        <v>2</v>
      </c>
      <c r="AF3819" s="54" t="s">
        <v>2</v>
      </c>
      <c r="AG3819" s="54" t="s">
        <v>2</v>
      </c>
    </row>
    <row r="3820" ht="15.75" customHeight="1">
      <c r="B3820" s="56"/>
      <c r="U3820" s="46" t="str">
        <f t="array" ref="U3820">IF($D3820="","",IFERROR(_xlfn.XLOOKUP($D3820,'TIR店舗一覧'!$D:$D,'TIR店舗一覧'!$E:$E,""),""))</f>
        <v/>
      </c>
      <c r="V3820" s="54" t="s">
        <v>2</v>
      </c>
      <c r="W3820" s="54" t="s">
        <v>2</v>
      </c>
      <c r="X3820" s="54" t="s">
        <v>2</v>
      </c>
      <c r="Y3820" s="54" t="s">
        <v>2</v>
      </c>
      <c r="Z3820" s="54" t="s">
        <v>2</v>
      </c>
      <c r="AA3820" s="54" t="s">
        <v>2</v>
      </c>
      <c r="AB3820" s="54" t="s">
        <v>2</v>
      </c>
      <c r="AC3820" s="54" t="s">
        <v>2</v>
      </c>
      <c r="AD3820" s="54" t="s">
        <v>2</v>
      </c>
      <c r="AE3820" s="54" t="s">
        <v>2</v>
      </c>
      <c r="AF3820" s="54" t="s">
        <v>2</v>
      </c>
      <c r="AG3820" s="54" t="s">
        <v>2</v>
      </c>
    </row>
    <row r="3821" ht="15.75" customHeight="1">
      <c r="B3821" s="56"/>
      <c r="U3821" s="46" t="str">
        <f t="array" ref="U3821">IF($D3821="","",IFERROR(_xlfn.XLOOKUP($D3821,'TIR店舗一覧'!$D:$D,'TIR店舗一覧'!$E:$E,""),""))</f>
        <v/>
      </c>
      <c r="V3821" s="54" t="s">
        <v>2</v>
      </c>
      <c r="W3821" s="54" t="s">
        <v>2</v>
      </c>
      <c r="X3821" s="54" t="s">
        <v>2</v>
      </c>
      <c r="Y3821" s="54" t="s">
        <v>2</v>
      </c>
      <c r="Z3821" s="54" t="s">
        <v>2</v>
      </c>
      <c r="AA3821" s="54" t="s">
        <v>2</v>
      </c>
      <c r="AB3821" s="54" t="s">
        <v>2</v>
      </c>
      <c r="AC3821" s="54" t="s">
        <v>2</v>
      </c>
      <c r="AD3821" s="54" t="s">
        <v>2</v>
      </c>
      <c r="AE3821" s="54" t="s">
        <v>2</v>
      </c>
      <c r="AF3821" s="54" t="s">
        <v>2</v>
      </c>
      <c r="AG3821" s="54" t="s">
        <v>2</v>
      </c>
    </row>
    <row r="3822" ht="15.75" customHeight="1">
      <c r="B3822" s="56"/>
      <c r="U3822" s="46" t="str">
        <f t="array" ref="U3822">IF($D3822="","",IFERROR(_xlfn.XLOOKUP($D3822,'TIR店舗一覧'!$D:$D,'TIR店舗一覧'!$E:$E,""),""))</f>
        <v/>
      </c>
      <c r="V3822" s="54" t="s">
        <v>2</v>
      </c>
      <c r="W3822" s="54" t="s">
        <v>2</v>
      </c>
      <c r="X3822" s="54" t="s">
        <v>2</v>
      </c>
      <c r="Y3822" s="54" t="s">
        <v>2</v>
      </c>
      <c r="Z3822" s="54" t="s">
        <v>2</v>
      </c>
      <c r="AA3822" s="54" t="s">
        <v>2</v>
      </c>
      <c r="AB3822" s="54" t="s">
        <v>2</v>
      </c>
      <c r="AC3822" s="54" t="s">
        <v>2</v>
      </c>
      <c r="AD3822" s="54" t="s">
        <v>2</v>
      </c>
      <c r="AE3822" s="54" t="s">
        <v>2</v>
      </c>
      <c r="AF3822" s="54" t="s">
        <v>2</v>
      </c>
      <c r="AG3822" s="54" t="s">
        <v>2</v>
      </c>
    </row>
    <row r="3823" ht="15.75" customHeight="1">
      <c r="B3823" s="56"/>
      <c r="U3823" s="46" t="str">
        <f t="array" ref="U3823">IF($D3823="","",IFERROR(_xlfn.XLOOKUP($D3823,'TIR店舗一覧'!$D:$D,'TIR店舗一覧'!$E:$E,""),""))</f>
        <v/>
      </c>
      <c r="V3823" s="54" t="s">
        <v>2</v>
      </c>
      <c r="W3823" s="54" t="s">
        <v>2</v>
      </c>
      <c r="X3823" s="54" t="s">
        <v>2</v>
      </c>
      <c r="Y3823" s="54" t="s">
        <v>2</v>
      </c>
      <c r="Z3823" s="54" t="s">
        <v>2</v>
      </c>
      <c r="AA3823" s="54" t="s">
        <v>2</v>
      </c>
      <c r="AB3823" s="54" t="s">
        <v>2</v>
      </c>
      <c r="AC3823" s="54" t="s">
        <v>2</v>
      </c>
      <c r="AD3823" s="54" t="s">
        <v>2</v>
      </c>
      <c r="AE3823" s="54" t="s">
        <v>2</v>
      </c>
      <c r="AF3823" s="54" t="s">
        <v>2</v>
      </c>
      <c r="AG3823" s="54" t="s">
        <v>2</v>
      </c>
    </row>
    <row r="3824" ht="15.75" customHeight="1">
      <c r="B3824" s="56"/>
      <c r="U3824" s="46" t="str">
        <f t="array" ref="U3824">IF($D3824="","",IFERROR(_xlfn.XLOOKUP($D3824,'TIR店舗一覧'!$D:$D,'TIR店舗一覧'!$E:$E,""),""))</f>
        <v/>
      </c>
      <c r="V3824" s="54" t="s">
        <v>2</v>
      </c>
      <c r="W3824" s="54" t="s">
        <v>2</v>
      </c>
      <c r="X3824" s="54" t="s">
        <v>2</v>
      </c>
      <c r="Y3824" s="54" t="s">
        <v>2</v>
      </c>
      <c r="Z3824" s="54" t="s">
        <v>2</v>
      </c>
      <c r="AA3824" s="54" t="s">
        <v>2</v>
      </c>
      <c r="AB3824" s="54" t="s">
        <v>2</v>
      </c>
      <c r="AC3824" s="54" t="s">
        <v>2</v>
      </c>
      <c r="AD3824" s="54" t="s">
        <v>2</v>
      </c>
      <c r="AE3824" s="54" t="s">
        <v>2</v>
      </c>
      <c r="AF3824" s="54" t="s">
        <v>2</v>
      </c>
      <c r="AG3824" s="54" t="s">
        <v>2</v>
      </c>
    </row>
    <row r="3825" ht="15.75" customHeight="1">
      <c r="B3825" s="56"/>
      <c r="U3825" s="46" t="str">
        <f t="array" ref="U3825">IF($D3825="","",IFERROR(_xlfn.XLOOKUP($D3825,'TIR店舗一覧'!$D:$D,'TIR店舗一覧'!$E:$E,""),""))</f>
        <v/>
      </c>
      <c r="V3825" s="54" t="s">
        <v>2</v>
      </c>
      <c r="W3825" s="54" t="s">
        <v>2</v>
      </c>
      <c r="X3825" s="54" t="s">
        <v>2</v>
      </c>
      <c r="Y3825" s="54" t="s">
        <v>2</v>
      </c>
      <c r="Z3825" s="54" t="s">
        <v>2</v>
      </c>
      <c r="AA3825" s="54" t="s">
        <v>2</v>
      </c>
      <c r="AB3825" s="54" t="s">
        <v>2</v>
      </c>
      <c r="AC3825" s="54" t="s">
        <v>2</v>
      </c>
      <c r="AD3825" s="54" t="s">
        <v>2</v>
      </c>
      <c r="AE3825" s="54" t="s">
        <v>2</v>
      </c>
      <c r="AF3825" s="54" t="s">
        <v>2</v>
      </c>
      <c r="AG3825" s="54" t="s">
        <v>2</v>
      </c>
    </row>
    <row r="3826" ht="15.75" customHeight="1">
      <c r="B3826" s="56"/>
      <c r="U3826" s="46" t="str">
        <f t="array" ref="U3826">IF($D3826="","",IFERROR(_xlfn.XLOOKUP($D3826,'TIR店舗一覧'!$D:$D,'TIR店舗一覧'!$E:$E,""),""))</f>
        <v/>
      </c>
      <c r="V3826" s="54" t="s">
        <v>2</v>
      </c>
      <c r="W3826" s="54" t="s">
        <v>2</v>
      </c>
      <c r="X3826" s="54" t="s">
        <v>2</v>
      </c>
      <c r="Y3826" s="54" t="s">
        <v>2</v>
      </c>
      <c r="Z3826" s="54" t="s">
        <v>2</v>
      </c>
      <c r="AA3826" s="54" t="s">
        <v>2</v>
      </c>
      <c r="AB3826" s="54" t="s">
        <v>2</v>
      </c>
      <c r="AC3826" s="54" t="s">
        <v>2</v>
      </c>
      <c r="AD3826" s="54" t="s">
        <v>2</v>
      </c>
      <c r="AE3826" s="54" t="s">
        <v>2</v>
      </c>
      <c r="AF3826" s="54" t="s">
        <v>2</v>
      </c>
      <c r="AG3826" s="54" t="s">
        <v>2</v>
      </c>
    </row>
    <row r="3827" ht="15.75" customHeight="1">
      <c r="B3827" s="56"/>
      <c r="U3827" s="46" t="str">
        <f t="array" ref="U3827">IF($D3827="","",IFERROR(_xlfn.XLOOKUP($D3827,'TIR店舗一覧'!$D:$D,'TIR店舗一覧'!$E:$E,""),""))</f>
        <v/>
      </c>
      <c r="V3827" s="54" t="s">
        <v>2</v>
      </c>
      <c r="W3827" s="54" t="s">
        <v>2</v>
      </c>
      <c r="X3827" s="54" t="s">
        <v>2</v>
      </c>
      <c r="Y3827" s="54" t="s">
        <v>2</v>
      </c>
      <c r="Z3827" s="54" t="s">
        <v>2</v>
      </c>
      <c r="AA3827" s="54" t="s">
        <v>2</v>
      </c>
      <c r="AB3827" s="54" t="s">
        <v>2</v>
      </c>
      <c r="AC3827" s="54" t="s">
        <v>2</v>
      </c>
      <c r="AD3827" s="54" t="s">
        <v>2</v>
      </c>
      <c r="AE3827" s="54" t="s">
        <v>2</v>
      </c>
      <c r="AF3827" s="54" t="s">
        <v>2</v>
      </c>
      <c r="AG3827" s="54" t="s">
        <v>2</v>
      </c>
    </row>
    <row r="3828" ht="15.75" customHeight="1">
      <c r="B3828" s="56"/>
      <c r="U3828" s="46" t="str">
        <f t="array" ref="U3828">IF($D3828="","",IFERROR(_xlfn.XLOOKUP($D3828,'TIR店舗一覧'!$D:$D,'TIR店舗一覧'!$E:$E,""),""))</f>
        <v/>
      </c>
      <c r="V3828" s="54" t="s">
        <v>2</v>
      </c>
      <c r="W3828" s="54" t="s">
        <v>2</v>
      </c>
      <c r="X3828" s="54" t="s">
        <v>2</v>
      </c>
      <c r="Y3828" s="54" t="s">
        <v>2</v>
      </c>
      <c r="Z3828" s="54" t="s">
        <v>2</v>
      </c>
      <c r="AA3828" s="54" t="s">
        <v>2</v>
      </c>
      <c r="AB3828" s="54" t="s">
        <v>2</v>
      </c>
      <c r="AC3828" s="54" t="s">
        <v>2</v>
      </c>
      <c r="AD3828" s="54" t="s">
        <v>2</v>
      </c>
      <c r="AE3828" s="54" t="s">
        <v>2</v>
      </c>
      <c r="AF3828" s="54" t="s">
        <v>2</v>
      </c>
      <c r="AG3828" s="54" t="s">
        <v>2</v>
      </c>
    </row>
    <row r="3829" ht="15.75" customHeight="1">
      <c r="B3829" s="56"/>
      <c r="U3829" s="46" t="str">
        <f t="array" ref="U3829">IF($D3829="","",IFERROR(_xlfn.XLOOKUP($D3829,'TIR店舗一覧'!$D:$D,'TIR店舗一覧'!$E:$E,""),""))</f>
        <v/>
      </c>
      <c r="V3829" s="54" t="s">
        <v>2</v>
      </c>
      <c r="W3829" s="54" t="s">
        <v>2</v>
      </c>
      <c r="X3829" s="54" t="s">
        <v>2</v>
      </c>
      <c r="Y3829" s="54" t="s">
        <v>2</v>
      </c>
      <c r="Z3829" s="54" t="s">
        <v>2</v>
      </c>
      <c r="AA3829" s="54" t="s">
        <v>2</v>
      </c>
      <c r="AB3829" s="54" t="s">
        <v>2</v>
      </c>
      <c r="AC3829" s="54" t="s">
        <v>2</v>
      </c>
      <c r="AD3829" s="54" t="s">
        <v>2</v>
      </c>
      <c r="AE3829" s="54" t="s">
        <v>2</v>
      </c>
      <c r="AF3829" s="54" t="s">
        <v>2</v>
      </c>
      <c r="AG3829" s="54" t="s">
        <v>2</v>
      </c>
    </row>
    <row r="3830" ht="15.75" customHeight="1">
      <c r="B3830" s="56"/>
      <c r="U3830" s="46" t="str">
        <f t="array" ref="U3830">IF($D3830="","",IFERROR(_xlfn.XLOOKUP($D3830,'TIR店舗一覧'!$D:$D,'TIR店舗一覧'!$E:$E,""),""))</f>
        <v/>
      </c>
      <c r="V3830" s="54" t="s">
        <v>2</v>
      </c>
      <c r="W3830" s="54" t="s">
        <v>2</v>
      </c>
      <c r="X3830" s="54" t="s">
        <v>2</v>
      </c>
      <c r="Y3830" s="54" t="s">
        <v>2</v>
      </c>
      <c r="Z3830" s="54" t="s">
        <v>2</v>
      </c>
      <c r="AA3830" s="54" t="s">
        <v>2</v>
      </c>
      <c r="AB3830" s="54" t="s">
        <v>2</v>
      </c>
      <c r="AC3830" s="54" t="s">
        <v>2</v>
      </c>
      <c r="AD3830" s="54" t="s">
        <v>2</v>
      </c>
      <c r="AE3830" s="54" t="s">
        <v>2</v>
      </c>
      <c r="AF3830" s="54" t="s">
        <v>2</v>
      </c>
      <c r="AG3830" s="54" t="s">
        <v>2</v>
      </c>
    </row>
    <row r="3831" ht="15.75" customHeight="1">
      <c r="B3831" s="56"/>
      <c r="U3831" s="46" t="str">
        <f t="array" ref="U3831">IF($D3831="","",IFERROR(_xlfn.XLOOKUP($D3831,'TIR店舗一覧'!$D:$D,'TIR店舗一覧'!$E:$E,""),""))</f>
        <v/>
      </c>
      <c r="V3831" s="54" t="s">
        <v>2</v>
      </c>
      <c r="W3831" s="54" t="s">
        <v>2</v>
      </c>
      <c r="X3831" s="54" t="s">
        <v>2</v>
      </c>
      <c r="Y3831" s="54" t="s">
        <v>2</v>
      </c>
      <c r="Z3831" s="54" t="s">
        <v>2</v>
      </c>
      <c r="AA3831" s="54" t="s">
        <v>2</v>
      </c>
      <c r="AB3831" s="54" t="s">
        <v>2</v>
      </c>
      <c r="AC3831" s="54" t="s">
        <v>2</v>
      </c>
      <c r="AD3831" s="54" t="s">
        <v>2</v>
      </c>
      <c r="AE3831" s="54" t="s">
        <v>2</v>
      </c>
      <c r="AF3831" s="54" t="s">
        <v>2</v>
      </c>
      <c r="AG3831" s="54" t="s">
        <v>2</v>
      </c>
    </row>
    <row r="3832" ht="15.75" customHeight="1">
      <c r="B3832" s="56"/>
      <c r="U3832" s="46" t="str">
        <f t="array" ref="U3832">IF($D3832="","",IFERROR(_xlfn.XLOOKUP($D3832,'TIR店舗一覧'!$D:$D,'TIR店舗一覧'!$E:$E,""),""))</f>
        <v/>
      </c>
      <c r="V3832" s="54" t="s">
        <v>2</v>
      </c>
      <c r="W3832" s="54" t="s">
        <v>2</v>
      </c>
      <c r="X3832" s="54" t="s">
        <v>2</v>
      </c>
      <c r="Y3832" s="54" t="s">
        <v>2</v>
      </c>
      <c r="Z3832" s="54" t="s">
        <v>2</v>
      </c>
      <c r="AA3832" s="54" t="s">
        <v>2</v>
      </c>
      <c r="AB3832" s="54" t="s">
        <v>2</v>
      </c>
      <c r="AC3832" s="54" t="s">
        <v>2</v>
      </c>
      <c r="AD3832" s="54" t="s">
        <v>2</v>
      </c>
      <c r="AE3832" s="54" t="s">
        <v>2</v>
      </c>
      <c r="AF3832" s="54" t="s">
        <v>2</v>
      </c>
      <c r="AG3832" s="54" t="s">
        <v>2</v>
      </c>
    </row>
    <row r="3833" ht="15.75" customHeight="1">
      <c r="B3833" s="56"/>
      <c r="U3833" s="46" t="str">
        <f t="array" ref="U3833">IF($D3833="","",IFERROR(_xlfn.XLOOKUP($D3833,'TIR店舗一覧'!$D:$D,'TIR店舗一覧'!$E:$E,""),""))</f>
        <v/>
      </c>
      <c r="V3833" s="54" t="s">
        <v>2</v>
      </c>
      <c r="W3833" s="54" t="s">
        <v>2</v>
      </c>
      <c r="X3833" s="54" t="s">
        <v>2</v>
      </c>
      <c r="Y3833" s="54" t="s">
        <v>2</v>
      </c>
      <c r="Z3833" s="54" t="s">
        <v>2</v>
      </c>
      <c r="AA3833" s="54" t="s">
        <v>2</v>
      </c>
      <c r="AB3833" s="54" t="s">
        <v>2</v>
      </c>
      <c r="AC3833" s="54" t="s">
        <v>2</v>
      </c>
      <c r="AD3833" s="54" t="s">
        <v>2</v>
      </c>
      <c r="AE3833" s="54" t="s">
        <v>2</v>
      </c>
      <c r="AF3833" s="54" t="s">
        <v>2</v>
      </c>
      <c r="AG3833" s="54" t="s">
        <v>2</v>
      </c>
    </row>
    <row r="3834" ht="15.75" customHeight="1">
      <c r="B3834" s="56"/>
      <c r="U3834" s="46" t="str">
        <f t="array" ref="U3834">IF($D3834="","",IFERROR(_xlfn.XLOOKUP($D3834,'TIR店舗一覧'!$D:$D,'TIR店舗一覧'!$E:$E,""),""))</f>
        <v/>
      </c>
      <c r="V3834" s="54" t="s">
        <v>2</v>
      </c>
      <c r="W3834" s="54" t="s">
        <v>2</v>
      </c>
      <c r="X3834" s="54" t="s">
        <v>2</v>
      </c>
      <c r="Y3834" s="54" t="s">
        <v>2</v>
      </c>
      <c r="Z3834" s="54" t="s">
        <v>2</v>
      </c>
      <c r="AA3834" s="54" t="s">
        <v>2</v>
      </c>
      <c r="AB3834" s="54" t="s">
        <v>2</v>
      </c>
      <c r="AC3834" s="54" t="s">
        <v>2</v>
      </c>
      <c r="AD3834" s="54" t="s">
        <v>2</v>
      </c>
      <c r="AE3834" s="54" t="s">
        <v>2</v>
      </c>
      <c r="AF3834" s="54" t="s">
        <v>2</v>
      </c>
      <c r="AG3834" s="54" t="s">
        <v>2</v>
      </c>
    </row>
    <row r="3835" ht="15.75" customHeight="1">
      <c r="B3835" s="56"/>
      <c r="U3835" s="46" t="str">
        <f t="array" ref="U3835">IF($D3835="","",IFERROR(_xlfn.XLOOKUP($D3835,'TIR店舗一覧'!$D:$D,'TIR店舗一覧'!$E:$E,""),""))</f>
        <v/>
      </c>
      <c r="V3835" s="54" t="s">
        <v>2</v>
      </c>
      <c r="W3835" s="54" t="s">
        <v>2</v>
      </c>
      <c r="X3835" s="54" t="s">
        <v>2</v>
      </c>
      <c r="Y3835" s="54" t="s">
        <v>2</v>
      </c>
      <c r="Z3835" s="54" t="s">
        <v>2</v>
      </c>
      <c r="AA3835" s="54" t="s">
        <v>2</v>
      </c>
      <c r="AB3835" s="54" t="s">
        <v>2</v>
      </c>
      <c r="AC3835" s="54" t="s">
        <v>2</v>
      </c>
      <c r="AD3835" s="54" t="s">
        <v>2</v>
      </c>
      <c r="AE3835" s="54" t="s">
        <v>2</v>
      </c>
      <c r="AF3835" s="54" t="s">
        <v>2</v>
      </c>
      <c r="AG3835" s="54" t="s">
        <v>2</v>
      </c>
    </row>
    <row r="3836" ht="15.75" customHeight="1">
      <c r="B3836" s="56"/>
      <c r="U3836" s="46" t="str">
        <f t="array" ref="U3836">IF($D3836="","",IFERROR(_xlfn.XLOOKUP($D3836,'TIR店舗一覧'!$D:$D,'TIR店舗一覧'!$E:$E,""),""))</f>
        <v/>
      </c>
      <c r="V3836" s="54" t="s">
        <v>2</v>
      </c>
      <c r="W3836" s="54" t="s">
        <v>2</v>
      </c>
      <c r="X3836" s="54" t="s">
        <v>2</v>
      </c>
      <c r="Y3836" s="54" t="s">
        <v>2</v>
      </c>
      <c r="Z3836" s="54" t="s">
        <v>2</v>
      </c>
      <c r="AA3836" s="54" t="s">
        <v>2</v>
      </c>
      <c r="AB3836" s="54" t="s">
        <v>2</v>
      </c>
      <c r="AC3836" s="54" t="s">
        <v>2</v>
      </c>
      <c r="AD3836" s="54" t="s">
        <v>2</v>
      </c>
      <c r="AE3836" s="54" t="s">
        <v>2</v>
      </c>
      <c r="AF3836" s="54" t="s">
        <v>2</v>
      </c>
      <c r="AG3836" s="54" t="s">
        <v>2</v>
      </c>
    </row>
    <row r="3837" ht="15.75" customHeight="1">
      <c r="B3837" s="56"/>
      <c r="U3837" s="46" t="str">
        <f t="array" ref="U3837">IF($D3837="","",IFERROR(_xlfn.XLOOKUP($D3837,'TIR店舗一覧'!$D:$D,'TIR店舗一覧'!$E:$E,""),""))</f>
        <v/>
      </c>
      <c r="V3837" s="54" t="s">
        <v>2</v>
      </c>
      <c r="W3837" s="54" t="s">
        <v>2</v>
      </c>
      <c r="X3837" s="54" t="s">
        <v>2</v>
      </c>
      <c r="Y3837" s="54" t="s">
        <v>2</v>
      </c>
      <c r="Z3837" s="54" t="s">
        <v>2</v>
      </c>
      <c r="AA3837" s="54" t="s">
        <v>2</v>
      </c>
      <c r="AB3837" s="54" t="s">
        <v>2</v>
      </c>
      <c r="AC3837" s="54" t="s">
        <v>2</v>
      </c>
      <c r="AD3837" s="54" t="s">
        <v>2</v>
      </c>
      <c r="AE3837" s="54" t="s">
        <v>2</v>
      </c>
      <c r="AF3837" s="54" t="s">
        <v>2</v>
      </c>
      <c r="AG3837" s="54" t="s">
        <v>2</v>
      </c>
    </row>
    <row r="3838" ht="15.75" customHeight="1">
      <c r="B3838" s="56"/>
      <c r="U3838" s="46" t="str">
        <f t="array" ref="U3838">IF($D3838="","",IFERROR(_xlfn.XLOOKUP($D3838,'TIR店舗一覧'!$D:$D,'TIR店舗一覧'!$E:$E,""),""))</f>
        <v/>
      </c>
      <c r="V3838" s="54" t="s">
        <v>2</v>
      </c>
      <c r="W3838" s="54" t="s">
        <v>2</v>
      </c>
      <c r="X3838" s="54" t="s">
        <v>2</v>
      </c>
      <c r="Y3838" s="54" t="s">
        <v>2</v>
      </c>
      <c r="Z3838" s="54" t="s">
        <v>2</v>
      </c>
      <c r="AA3838" s="54" t="s">
        <v>2</v>
      </c>
      <c r="AB3838" s="54" t="s">
        <v>2</v>
      </c>
      <c r="AC3838" s="54" t="s">
        <v>2</v>
      </c>
      <c r="AD3838" s="54" t="s">
        <v>2</v>
      </c>
      <c r="AE3838" s="54" t="s">
        <v>2</v>
      </c>
      <c r="AF3838" s="54" t="s">
        <v>2</v>
      </c>
      <c r="AG3838" s="54" t="s">
        <v>2</v>
      </c>
    </row>
    <row r="3839" ht="15.75" customHeight="1">
      <c r="B3839" s="56"/>
      <c r="U3839" s="46" t="str">
        <f t="array" ref="U3839">IF($D3839="","",IFERROR(_xlfn.XLOOKUP($D3839,'TIR店舗一覧'!$D:$D,'TIR店舗一覧'!$E:$E,""),""))</f>
        <v/>
      </c>
      <c r="V3839" s="54" t="s">
        <v>2</v>
      </c>
      <c r="W3839" s="54" t="s">
        <v>2</v>
      </c>
      <c r="X3839" s="54" t="s">
        <v>2</v>
      </c>
      <c r="Y3839" s="54" t="s">
        <v>2</v>
      </c>
      <c r="Z3839" s="54" t="s">
        <v>2</v>
      </c>
      <c r="AA3839" s="54" t="s">
        <v>2</v>
      </c>
      <c r="AB3839" s="54" t="s">
        <v>2</v>
      </c>
      <c r="AC3839" s="54" t="s">
        <v>2</v>
      </c>
      <c r="AD3839" s="54" t="s">
        <v>2</v>
      </c>
      <c r="AE3839" s="54" t="s">
        <v>2</v>
      </c>
      <c r="AF3839" s="54" t="s">
        <v>2</v>
      </c>
      <c r="AG3839" s="54" t="s">
        <v>2</v>
      </c>
    </row>
    <row r="3840" ht="15.75" customHeight="1">
      <c r="B3840" s="56"/>
      <c r="U3840" s="46" t="str">
        <f t="array" ref="U3840">IF($D3840="","",IFERROR(_xlfn.XLOOKUP($D3840,'TIR店舗一覧'!$D:$D,'TIR店舗一覧'!$E:$E,""),""))</f>
        <v/>
      </c>
      <c r="V3840" s="54" t="s">
        <v>2</v>
      </c>
      <c r="W3840" s="54" t="s">
        <v>2</v>
      </c>
      <c r="X3840" s="54" t="s">
        <v>2</v>
      </c>
      <c r="Y3840" s="54" t="s">
        <v>2</v>
      </c>
      <c r="Z3840" s="54" t="s">
        <v>2</v>
      </c>
      <c r="AA3840" s="54" t="s">
        <v>2</v>
      </c>
      <c r="AB3840" s="54" t="s">
        <v>2</v>
      </c>
      <c r="AC3840" s="54" t="s">
        <v>2</v>
      </c>
      <c r="AD3840" s="54" t="s">
        <v>2</v>
      </c>
      <c r="AE3840" s="54" t="s">
        <v>2</v>
      </c>
      <c r="AF3840" s="54" t="s">
        <v>2</v>
      </c>
      <c r="AG3840" s="54" t="s">
        <v>2</v>
      </c>
    </row>
    <row r="3841" ht="15.75" customHeight="1">
      <c r="B3841" s="56"/>
      <c r="U3841" s="46" t="str">
        <f t="array" ref="U3841">IF($D3841="","",IFERROR(_xlfn.XLOOKUP($D3841,'TIR店舗一覧'!$D:$D,'TIR店舗一覧'!$E:$E,""),""))</f>
        <v/>
      </c>
      <c r="V3841" s="54" t="s">
        <v>2</v>
      </c>
      <c r="W3841" s="54" t="s">
        <v>2</v>
      </c>
      <c r="X3841" s="54" t="s">
        <v>2</v>
      </c>
      <c r="Y3841" s="54" t="s">
        <v>2</v>
      </c>
      <c r="Z3841" s="54" t="s">
        <v>2</v>
      </c>
      <c r="AA3841" s="54" t="s">
        <v>2</v>
      </c>
      <c r="AB3841" s="54" t="s">
        <v>2</v>
      </c>
      <c r="AC3841" s="54" t="s">
        <v>2</v>
      </c>
      <c r="AD3841" s="54" t="s">
        <v>2</v>
      </c>
      <c r="AE3841" s="54" t="s">
        <v>2</v>
      </c>
      <c r="AF3841" s="54" t="s">
        <v>2</v>
      </c>
      <c r="AG3841" s="54" t="s">
        <v>2</v>
      </c>
    </row>
    <row r="3842" ht="15.75" customHeight="1">
      <c r="B3842" s="56"/>
      <c r="U3842" s="46" t="str">
        <f t="array" ref="U3842">IF($D3842="","",IFERROR(_xlfn.XLOOKUP($D3842,'TIR店舗一覧'!$D:$D,'TIR店舗一覧'!$E:$E,""),""))</f>
        <v/>
      </c>
      <c r="V3842" s="54" t="s">
        <v>2</v>
      </c>
      <c r="W3842" s="54" t="s">
        <v>2</v>
      </c>
      <c r="X3842" s="54" t="s">
        <v>2</v>
      </c>
      <c r="Y3842" s="54" t="s">
        <v>2</v>
      </c>
      <c r="Z3842" s="54" t="s">
        <v>2</v>
      </c>
      <c r="AA3842" s="54" t="s">
        <v>2</v>
      </c>
      <c r="AB3842" s="54" t="s">
        <v>2</v>
      </c>
      <c r="AC3842" s="54" t="s">
        <v>2</v>
      </c>
      <c r="AD3842" s="54" t="s">
        <v>2</v>
      </c>
      <c r="AE3842" s="54" t="s">
        <v>2</v>
      </c>
      <c r="AF3842" s="54" t="s">
        <v>2</v>
      </c>
      <c r="AG3842" s="54" t="s">
        <v>2</v>
      </c>
    </row>
    <row r="3843" ht="15.75" customHeight="1">
      <c r="B3843" s="56"/>
      <c r="U3843" s="46" t="str">
        <f t="array" ref="U3843">IF($D3843="","",IFERROR(_xlfn.XLOOKUP($D3843,'TIR店舗一覧'!$D:$D,'TIR店舗一覧'!$E:$E,""),""))</f>
        <v/>
      </c>
      <c r="V3843" s="54" t="s">
        <v>2</v>
      </c>
      <c r="W3843" s="54" t="s">
        <v>2</v>
      </c>
      <c r="X3843" s="54" t="s">
        <v>2</v>
      </c>
      <c r="Y3843" s="54" t="s">
        <v>2</v>
      </c>
      <c r="Z3843" s="54" t="s">
        <v>2</v>
      </c>
      <c r="AA3843" s="54" t="s">
        <v>2</v>
      </c>
      <c r="AB3843" s="54" t="s">
        <v>2</v>
      </c>
      <c r="AC3843" s="54" t="s">
        <v>2</v>
      </c>
      <c r="AD3843" s="54" t="s">
        <v>2</v>
      </c>
      <c r="AE3843" s="54" t="s">
        <v>2</v>
      </c>
      <c r="AF3843" s="54" t="s">
        <v>2</v>
      </c>
      <c r="AG3843" s="54" t="s">
        <v>2</v>
      </c>
    </row>
    <row r="3844" ht="15.75" customHeight="1">
      <c r="B3844" s="56"/>
      <c r="U3844" s="46" t="str">
        <f t="array" ref="U3844">IF($D3844="","",IFERROR(_xlfn.XLOOKUP($D3844,'TIR店舗一覧'!$D:$D,'TIR店舗一覧'!$E:$E,""),""))</f>
        <v/>
      </c>
      <c r="V3844" s="54" t="s">
        <v>2</v>
      </c>
      <c r="W3844" s="54" t="s">
        <v>2</v>
      </c>
      <c r="X3844" s="54" t="s">
        <v>2</v>
      </c>
      <c r="Y3844" s="54" t="s">
        <v>2</v>
      </c>
      <c r="Z3844" s="54" t="s">
        <v>2</v>
      </c>
      <c r="AA3844" s="54" t="s">
        <v>2</v>
      </c>
      <c r="AB3844" s="54" t="s">
        <v>2</v>
      </c>
      <c r="AC3844" s="54" t="s">
        <v>2</v>
      </c>
      <c r="AD3844" s="54" t="s">
        <v>2</v>
      </c>
      <c r="AE3844" s="54" t="s">
        <v>2</v>
      </c>
      <c r="AF3844" s="54" t="s">
        <v>2</v>
      </c>
      <c r="AG3844" s="54" t="s">
        <v>2</v>
      </c>
    </row>
    <row r="3845" ht="15.75" customHeight="1">
      <c r="B3845" s="56"/>
      <c r="U3845" s="46" t="str">
        <f t="array" ref="U3845">IF($D3845="","",IFERROR(_xlfn.XLOOKUP($D3845,'TIR店舗一覧'!$D:$D,'TIR店舗一覧'!$E:$E,""),""))</f>
        <v/>
      </c>
      <c r="V3845" s="54" t="s">
        <v>2</v>
      </c>
      <c r="W3845" s="54" t="s">
        <v>2</v>
      </c>
      <c r="X3845" s="54" t="s">
        <v>2</v>
      </c>
      <c r="Y3845" s="54" t="s">
        <v>2</v>
      </c>
      <c r="Z3845" s="54" t="s">
        <v>2</v>
      </c>
      <c r="AA3845" s="54" t="s">
        <v>2</v>
      </c>
      <c r="AB3845" s="54" t="s">
        <v>2</v>
      </c>
      <c r="AC3845" s="54" t="s">
        <v>2</v>
      </c>
      <c r="AD3845" s="54" t="s">
        <v>2</v>
      </c>
      <c r="AE3845" s="54" t="s">
        <v>2</v>
      </c>
      <c r="AF3845" s="54" t="s">
        <v>2</v>
      </c>
      <c r="AG3845" s="54" t="s">
        <v>2</v>
      </c>
    </row>
    <row r="3846" ht="15.75" customHeight="1">
      <c r="B3846" s="56"/>
      <c r="U3846" s="46" t="str">
        <f t="array" ref="U3846">IF($D3846="","",IFERROR(_xlfn.XLOOKUP($D3846,'TIR店舗一覧'!$D:$D,'TIR店舗一覧'!$E:$E,""),""))</f>
        <v/>
      </c>
      <c r="V3846" s="54" t="s">
        <v>2</v>
      </c>
      <c r="W3846" s="54" t="s">
        <v>2</v>
      </c>
      <c r="X3846" s="54" t="s">
        <v>2</v>
      </c>
      <c r="Y3846" s="54" t="s">
        <v>2</v>
      </c>
      <c r="Z3846" s="54" t="s">
        <v>2</v>
      </c>
      <c r="AA3846" s="54" t="s">
        <v>2</v>
      </c>
      <c r="AB3846" s="54" t="s">
        <v>2</v>
      </c>
      <c r="AC3846" s="54" t="s">
        <v>2</v>
      </c>
      <c r="AD3846" s="54" t="s">
        <v>2</v>
      </c>
      <c r="AE3846" s="54" t="s">
        <v>2</v>
      </c>
      <c r="AF3846" s="54" t="s">
        <v>2</v>
      </c>
      <c r="AG3846" s="54" t="s">
        <v>2</v>
      </c>
    </row>
    <row r="3847" ht="15.75" customHeight="1">
      <c r="B3847" s="56"/>
      <c r="U3847" s="46" t="str">
        <f t="array" ref="U3847">IF($D3847="","",IFERROR(_xlfn.XLOOKUP($D3847,'TIR店舗一覧'!$D:$D,'TIR店舗一覧'!$E:$E,""),""))</f>
        <v/>
      </c>
      <c r="V3847" s="54" t="s">
        <v>2</v>
      </c>
      <c r="W3847" s="54" t="s">
        <v>2</v>
      </c>
      <c r="X3847" s="54" t="s">
        <v>2</v>
      </c>
      <c r="Y3847" s="54" t="s">
        <v>2</v>
      </c>
      <c r="Z3847" s="54" t="s">
        <v>2</v>
      </c>
      <c r="AA3847" s="54" t="s">
        <v>2</v>
      </c>
      <c r="AB3847" s="54" t="s">
        <v>2</v>
      </c>
      <c r="AC3847" s="54" t="s">
        <v>2</v>
      </c>
      <c r="AD3847" s="54" t="s">
        <v>2</v>
      </c>
      <c r="AE3847" s="54" t="s">
        <v>2</v>
      </c>
      <c r="AF3847" s="54" t="s">
        <v>2</v>
      </c>
      <c r="AG3847" s="54" t="s">
        <v>2</v>
      </c>
    </row>
    <row r="3848" ht="15.75" customHeight="1">
      <c r="B3848" s="56"/>
      <c r="U3848" s="46" t="str">
        <f t="array" ref="U3848">IF($D3848="","",IFERROR(_xlfn.XLOOKUP($D3848,'TIR店舗一覧'!$D:$D,'TIR店舗一覧'!$E:$E,""),""))</f>
        <v/>
      </c>
      <c r="V3848" s="54" t="s">
        <v>2</v>
      </c>
      <c r="W3848" s="54" t="s">
        <v>2</v>
      </c>
      <c r="X3848" s="54" t="s">
        <v>2</v>
      </c>
      <c r="Y3848" s="54" t="s">
        <v>2</v>
      </c>
      <c r="Z3848" s="54" t="s">
        <v>2</v>
      </c>
      <c r="AA3848" s="54" t="s">
        <v>2</v>
      </c>
      <c r="AB3848" s="54" t="s">
        <v>2</v>
      </c>
      <c r="AC3848" s="54" t="s">
        <v>2</v>
      </c>
      <c r="AD3848" s="54" t="s">
        <v>2</v>
      </c>
      <c r="AE3848" s="54" t="s">
        <v>2</v>
      </c>
      <c r="AF3848" s="54" t="s">
        <v>2</v>
      </c>
      <c r="AG3848" s="54" t="s">
        <v>2</v>
      </c>
    </row>
    <row r="3849" ht="15.75" customHeight="1">
      <c r="B3849" s="56"/>
      <c r="U3849" s="46" t="str">
        <f t="array" ref="U3849">IF($D3849="","",IFERROR(_xlfn.XLOOKUP($D3849,'TIR店舗一覧'!$D:$D,'TIR店舗一覧'!$E:$E,""),""))</f>
        <v/>
      </c>
      <c r="V3849" s="54" t="s">
        <v>2</v>
      </c>
      <c r="W3849" s="54" t="s">
        <v>2</v>
      </c>
      <c r="X3849" s="54" t="s">
        <v>2</v>
      </c>
      <c r="Y3849" s="54" t="s">
        <v>2</v>
      </c>
      <c r="Z3849" s="54" t="s">
        <v>2</v>
      </c>
      <c r="AA3849" s="54" t="s">
        <v>2</v>
      </c>
      <c r="AB3849" s="54" t="s">
        <v>2</v>
      </c>
      <c r="AC3849" s="54" t="s">
        <v>2</v>
      </c>
      <c r="AD3849" s="54" t="s">
        <v>2</v>
      </c>
      <c r="AE3849" s="54" t="s">
        <v>2</v>
      </c>
      <c r="AF3849" s="54" t="s">
        <v>2</v>
      </c>
      <c r="AG3849" s="54" t="s">
        <v>2</v>
      </c>
    </row>
    <row r="3850" ht="15.75" customHeight="1">
      <c r="B3850" s="56"/>
      <c r="U3850" s="46" t="str">
        <f t="array" ref="U3850">IF($D3850="","",IFERROR(_xlfn.XLOOKUP($D3850,'TIR店舗一覧'!$D:$D,'TIR店舗一覧'!$E:$E,""),""))</f>
        <v/>
      </c>
      <c r="V3850" s="54" t="s">
        <v>2</v>
      </c>
      <c r="W3850" s="54" t="s">
        <v>2</v>
      </c>
      <c r="X3850" s="54" t="s">
        <v>2</v>
      </c>
      <c r="Y3850" s="54" t="s">
        <v>2</v>
      </c>
      <c r="Z3850" s="54" t="s">
        <v>2</v>
      </c>
      <c r="AA3850" s="54" t="s">
        <v>2</v>
      </c>
      <c r="AB3850" s="54" t="s">
        <v>2</v>
      </c>
      <c r="AC3850" s="54" t="s">
        <v>2</v>
      </c>
      <c r="AD3850" s="54" t="s">
        <v>2</v>
      </c>
      <c r="AE3850" s="54" t="s">
        <v>2</v>
      </c>
      <c r="AF3850" s="54" t="s">
        <v>2</v>
      </c>
      <c r="AG3850" s="54" t="s">
        <v>2</v>
      </c>
    </row>
    <row r="3851" ht="15.75" customHeight="1">
      <c r="B3851" s="56"/>
      <c r="U3851" s="46" t="str">
        <f t="array" ref="U3851">IF($D3851="","",IFERROR(_xlfn.XLOOKUP($D3851,'TIR店舗一覧'!$D:$D,'TIR店舗一覧'!$E:$E,""),""))</f>
        <v/>
      </c>
      <c r="V3851" s="54" t="s">
        <v>2</v>
      </c>
      <c r="W3851" s="54" t="s">
        <v>2</v>
      </c>
      <c r="X3851" s="54" t="s">
        <v>2</v>
      </c>
      <c r="Y3851" s="54" t="s">
        <v>2</v>
      </c>
      <c r="Z3851" s="54" t="s">
        <v>2</v>
      </c>
      <c r="AA3851" s="54" t="s">
        <v>2</v>
      </c>
      <c r="AB3851" s="54" t="s">
        <v>2</v>
      </c>
      <c r="AC3851" s="54" t="s">
        <v>2</v>
      </c>
      <c r="AD3851" s="54" t="s">
        <v>2</v>
      </c>
      <c r="AE3851" s="54" t="s">
        <v>2</v>
      </c>
      <c r="AF3851" s="54" t="s">
        <v>2</v>
      </c>
      <c r="AG3851" s="54" t="s">
        <v>2</v>
      </c>
    </row>
    <row r="3852" ht="15.75" customHeight="1">
      <c r="B3852" s="56"/>
      <c r="U3852" s="46" t="str">
        <f t="array" ref="U3852">IF($D3852="","",IFERROR(_xlfn.XLOOKUP($D3852,'TIR店舗一覧'!$D:$D,'TIR店舗一覧'!$E:$E,""),""))</f>
        <v/>
      </c>
      <c r="V3852" s="54" t="s">
        <v>2</v>
      </c>
      <c r="W3852" s="54" t="s">
        <v>2</v>
      </c>
      <c r="X3852" s="54" t="s">
        <v>2</v>
      </c>
      <c r="Y3852" s="54" t="s">
        <v>2</v>
      </c>
      <c r="Z3852" s="54" t="s">
        <v>2</v>
      </c>
      <c r="AA3852" s="54" t="s">
        <v>2</v>
      </c>
      <c r="AB3852" s="54" t="s">
        <v>2</v>
      </c>
      <c r="AC3852" s="54" t="s">
        <v>2</v>
      </c>
      <c r="AD3852" s="54" t="s">
        <v>2</v>
      </c>
      <c r="AE3852" s="54" t="s">
        <v>2</v>
      </c>
      <c r="AF3852" s="54" t="s">
        <v>2</v>
      </c>
      <c r="AG3852" s="54" t="s">
        <v>2</v>
      </c>
    </row>
    <row r="3853" ht="15.75" customHeight="1">
      <c r="B3853" s="56"/>
      <c r="U3853" s="46" t="str">
        <f t="array" ref="U3853">IF($D3853="","",IFERROR(_xlfn.XLOOKUP($D3853,'TIR店舗一覧'!$D:$D,'TIR店舗一覧'!$E:$E,""),""))</f>
        <v/>
      </c>
      <c r="V3853" s="54" t="s">
        <v>2</v>
      </c>
      <c r="W3853" s="54" t="s">
        <v>2</v>
      </c>
      <c r="X3853" s="54" t="s">
        <v>2</v>
      </c>
      <c r="Y3853" s="54" t="s">
        <v>2</v>
      </c>
      <c r="Z3853" s="54" t="s">
        <v>2</v>
      </c>
      <c r="AA3853" s="54" t="s">
        <v>2</v>
      </c>
      <c r="AB3853" s="54" t="s">
        <v>2</v>
      </c>
      <c r="AC3853" s="54" t="s">
        <v>2</v>
      </c>
      <c r="AD3853" s="54" t="s">
        <v>2</v>
      </c>
      <c r="AE3853" s="54" t="s">
        <v>2</v>
      </c>
      <c r="AF3853" s="54" t="s">
        <v>2</v>
      </c>
      <c r="AG3853" s="54" t="s">
        <v>2</v>
      </c>
    </row>
    <row r="3854" ht="15.75" customHeight="1">
      <c r="B3854" s="56"/>
      <c r="U3854" s="46" t="str">
        <f t="array" ref="U3854">IF($D3854="","",IFERROR(_xlfn.XLOOKUP($D3854,'TIR店舗一覧'!$D:$D,'TIR店舗一覧'!$E:$E,""),""))</f>
        <v/>
      </c>
      <c r="V3854" s="54" t="s">
        <v>2</v>
      </c>
      <c r="W3854" s="54" t="s">
        <v>2</v>
      </c>
      <c r="X3854" s="54" t="s">
        <v>2</v>
      </c>
      <c r="Y3854" s="54" t="s">
        <v>2</v>
      </c>
      <c r="Z3854" s="54" t="s">
        <v>2</v>
      </c>
      <c r="AA3854" s="54" t="s">
        <v>2</v>
      </c>
      <c r="AB3854" s="54" t="s">
        <v>2</v>
      </c>
      <c r="AC3854" s="54" t="s">
        <v>2</v>
      </c>
      <c r="AD3854" s="54" t="s">
        <v>2</v>
      </c>
      <c r="AE3854" s="54" t="s">
        <v>2</v>
      </c>
      <c r="AF3854" s="54" t="s">
        <v>2</v>
      </c>
      <c r="AG3854" s="54" t="s">
        <v>2</v>
      </c>
    </row>
    <row r="3855" ht="15.75" customHeight="1">
      <c r="B3855" s="56"/>
      <c r="U3855" s="46" t="str">
        <f t="array" ref="U3855">IF($D3855="","",IFERROR(_xlfn.XLOOKUP($D3855,'TIR店舗一覧'!$D:$D,'TIR店舗一覧'!$E:$E,""),""))</f>
        <v/>
      </c>
      <c r="V3855" s="54" t="s">
        <v>2</v>
      </c>
      <c r="W3855" s="54" t="s">
        <v>2</v>
      </c>
      <c r="X3855" s="54" t="s">
        <v>2</v>
      </c>
      <c r="Y3855" s="54" t="s">
        <v>2</v>
      </c>
      <c r="Z3855" s="54" t="s">
        <v>2</v>
      </c>
      <c r="AA3855" s="54" t="s">
        <v>2</v>
      </c>
      <c r="AB3855" s="54" t="s">
        <v>2</v>
      </c>
      <c r="AC3855" s="54" t="s">
        <v>2</v>
      </c>
      <c r="AD3855" s="54" t="s">
        <v>2</v>
      </c>
      <c r="AE3855" s="54" t="s">
        <v>2</v>
      </c>
      <c r="AF3855" s="54" t="s">
        <v>2</v>
      </c>
      <c r="AG3855" s="54" t="s">
        <v>2</v>
      </c>
    </row>
    <row r="3856" ht="15.75" customHeight="1">
      <c r="B3856" s="56"/>
      <c r="U3856" s="46" t="str">
        <f t="array" ref="U3856">IF($D3856="","",IFERROR(_xlfn.XLOOKUP($D3856,'TIR店舗一覧'!$D:$D,'TIR店舗一覧'!$E:$E,""),""))</f>
        <v/>
      </c>
      <c r="V3856" s="54" t="s">
        <v>2</v>
      </c>
      <c r="W3856" s="54" t="s">
        <v>2</v>
      </c>
      <c r="X3856" s="54" t="s">
        <v>2</v>
      </c>
      <c r="Y3856" s="54" t="s">
        <v>2</v>
      </c>
      <c r="Z3856" s="54" t="s">
        <v>2</v>
      </c>
      <c r="AA3856" s="54" t="s">
        <v>2</v>
      </c>
      <c r="AB3856" s="54" t="s">
        <v>2</v>
      </c>
      <c r="AC3856" s="54" t="s">
        <v>2</v>
      </c>
      <c r="AD3856" s="54" t="s">
        <v>2</v>
      </c>
      <c r="AE3856" s="54" t="s">
        <v>2</v>
      </c>
      <c r="AF3856" s="54" t="s">
        <v>2</v>
      </c>
      <c r="AG3856" s="54" t="s">
        <v>2</v>
      </c>
    </row>
    <row r="3857" ht="15.75" customHeight="1">
      <c r="B3857" s="56"/>
      <c r="U3857" s="46" t="str">
        <f t="array" ref="U3857">IF($D3857="","",IFERROR(_xlfn.XLOOKUP($D3857,'TIR店舗一覧'!$D:$D,'TIR店舗一覧'!$E:$E,""),""))</f>
        <v/>
      </c>
      <c r="V3857" s="54" t="s">
        <v>2</v>
      </c>
      <c r="W3857" s="54" t="s">
        <v>2</v>
      </c>
      <c r="X3857" s="54" t="s">
        <v>2</v>
      </c>
      <c r="Y3857" s="54" t="s">
        <v>2</v>
      </c>
      <c r="Z3857" s="54" t="s">
        <v>2</v>
      </c>
      <c r="AA3857" s="54" t="s">
        <v>2</v>
      </c>
      <c r="AB3857" s="54" t="s">
        <v>2</v>
      </c>
      <c r="AC3857" s="54" t="s">
        <v>2</v>
      </c>
      <c r="AD3857" s="54" t="s">
        <v>2</v>
      </c>
      <c r="AE3857" s="54" t="s">
        <v>2</v>
      </c>
      <c r="AF3857" s="54" t="s">
        <v>2</v>
      </c>
      <c r="AG3857" s="54" t="s">
        <v>2</v>
      </c>
    </row>
    <row r="3858" ht="15.75" customHeight="1">
      <c r="B3858" s="56"/>
      <c r="U3858" s="46" t="str">
        <f t="array" ref="U3858">IF($D3858="","",IFERROR(_xlfn.XLOOKUP($D3858,'TIR店舗一覧'!$D:$D,'TIR店舗一覧'!$E:$E,""),""))</f>
        <v/>
      </c>
      <c r="V3858" s="54" t="s">
        <v>2</v>
      </c>
      <c r="W3858" s="54" t="s">
        <v>2</v>
      </c>
      <c r="X3858" s="54" t="s">
        <v>2</v>
      </c>
      <c r="Y3858" s="54" t="s">
        <v>2</v>
      </c>
      <c r="Z3858" s="54" t="s">
        <v>2</v>
      </c>
      <c r="AA3858" s="54" t="s">
        <v>2</v>
      </c>
      <c r="AB3858" s="54" t="s">
        <v>2</v>
      </c>
      <c r="AC3858" s="54" t="s">
        <v>2</v>
      </c>
      <c r="AD3858" s="54" t="s">
        <v>2</v>
      </c>
      <c r="AE3858" s="54" t="s">
        <v>2</v>
      </c>
      <c r="AF3858" s="54" t="s">
        <v>2</v>
      </c>
      <c r="AG3858" s="54" t="s">
        <v>2</v>
      </c>
    </row>
    <row r="3859" ht="15.75" customHeight="1">
      <c r="B3859" s="56"/>
      <c r="U3859" s="46" t="str">
        <f t="array" ref="U3859">IF($D3859="","",IFERROR(_xlfn.XLOOKUP($D3859,'TIR店舗一覧'!$D:$D,'TIR店舗一覧'!$E:$E,""),""))</f>
        <v/>
      </c>
      <c r="V3859" s="54" t="s">
        <v>2</v>
      </c>
      <c r="W3859" s="54" t="s">
        <v>2</v>
      </c>
      <c r="X3859" s="54" t="s">
        <v>2</v>
      </c>
      <c r="Y3859" s="54" t="s">
        <v>2</v>
      </c>
      <c r="Z3859" s="54" t="s">
        <v>2</v>
      </c>
      <c r="AA3859" s="54" t="s">
        <v>2</v>
      </c>
      <c r="AB3859" s="54" t="s">
        <v>2</v>
      </c>
      <c r="AC3859" s="54" t="s">
        <v>2</v>
      </c>
      <c r="AD3859" s="54" t="s">
        <v>2</v>
      </c>
      <c r="AE3859" s="54" t="s">
        <v>2</v>
      </c>
      <c r="AF3859" s="54" t="s">
        <v>2</v>
      </c>
      <c r="AG3859" s="54" t="s">
        <v>2</v>
      </c>
    </row>
    <row r="3860" ht="15.75" customHeight="1">
      <c r="B3860" s="56"/>
      <c r="U3860" s="46" t="str">
        <f t="array" ref="U3860">IF($D3860="","",IFERROR(_xlfn.XLOOKUP($D3860,'TIR店舗一覧'!$D:$D,'TIR店舗一覧'!$E:$E,""),""))</f>
        <v/>
      </c>
      <c r="V3860" s="54" t="s">
        <v>2</v>
      </c>
      <c r="W3860" s="54" t="s">
        <v>2</v>
      </c>
      <c r="X3860" s="54" t="s">
        <v>2</v>
      </c>
      <c r="Y3860" s="54" t="s">
        <v>2</v>
      </c>
      <c r="Z3860" s="54" t="s">
        <v>2</v>
      </c>
      <c r="AA3860" s="54" t="s">
        <v>2</v>
      </c>
      <c r="AB3860" s="54" t="s">
        <v>2</v>
      </c>
      <c r="AC3860" s="54" t="s">
        <v>2</v>
      </c>
      <c r="AD3860" s="54" t="s">
        <v>2</v>
      </c>
      <c r="AE3860" s="54" t="s">
        <v>2</v>
      </c>
      <c r="AF3860" s="54" t="s">
        <v>2</v>
      </c>
      <c r="AG3860" s="54" t="s">
        <v>2</v>
      </c>
    </row>
    <row r="3861" ht="15.75" customHeight="1">
      <c r="B3861" s="56"/>
      <c r="U3861" s="46" t="str">
        <f t="array" ref="U3861">IF($D3861="","",IFERROR(_xlfn.XLOOKUP($D3861,'TIR店舗一覧'!$D:$D,'TIR店舗一覧'!$E:$E,""),""))</f>
        <v/>
      </c>
      <c r="V3861" s="54" t="s">
        <v>2</v>
      </c>
      <c r="W3861" s="54" t="s">
        <v>2</v>
      </c>
      <c r="X3861" s="54" t="s">
        <v>2</v>
      </c>
      <c r="Y3861" s="54" t="s">
        <v>2</v>
      </c>
      <c r="Z3861" s="54" t="s">
        <v>2</v>
      </c>
      <c r="AA3861" s="54" t="s">
        <v>2</v>
      </c>
      <c r="AB3861" s="54" t="s">
        <v>2</v>
      </c>
      <c r="AC3861" s="54" t="s">
        <v>2</v>
      </c>
      <c r="AD3861" s="54" t="s">
        <v>2</v>
      </c>
      <c r="AE3861" s="54" t="s">
        <v>2</v>
      </c>
      <c r="AF3861" s="54" t="s">
        <v>2</v>
      </c>
      <c r="AG3861" s="54" t="s">
        <v>2</v>
      </c>
    </row>
    <row r="3862" ht="15.75" customHeight="1">
      <c r="B3862" s="56"/>
      <c r="U3862" s="46" t="str">
        <f t="array" ref="U3862">IF($D3862="","",IFERROR(_xlfn.XLOOKUP($D3862,'TIR店舗一覧'!$D:$D,'TIR店舗一覧'!$E:$E,""),""))</f>
        <v/>
      </c>
      <c r="V3862" s="54" t="s">
        <v>2</v>
      </c>
      <c r="W3862" s="54" t="s">
        <v>2</v>
      </c>
      <c r="X3862" s="54" t="s">
        <v>2</v>
      </c>
      <c r="Y3862" s="54" t="s">
        <v>2</v>
      </c>
      <c r="Z3862" s="54" t="s">
        <v>2</v>
      </c>
      <c r="AA3862" s="54" t="s">
        <v>2</v>
      </c>
      <c r="AB3862" s="54" t="s">
        <v>2</v>
      </c>
      <c r="AC3862" s="54" t="s">
        <v>2</v>
      </c>
      <c r="AD3862" s="54" t="s">
        <v>2</v>
      </c>
      <c r="AE3862" s="54" t="s">
        <v>2</v>
      </c>
      <c r="AF3862" s="54" t="s">
        <v>2</v>
      </c>
      <c r="AG3862" s="54" t="s">
        <v>2</v>
      </c>
    </row>
    <row r="3863" ht="15.75" customHeight="1">
      <c r="B3863" s="56"/>
      <c r="U3863" s="46" t="str">
        <f t="array" ref="U3863">IF($D3863="","",IFERROR(_xlfn.XLOOKUP($D3863,'TIR店舗一覧'!$D:$D,'TIR店舗一覧'!$E:$E,""),""))</f>
        <v/>
      </c>
      <c r="V3863" s="54" t="s">
        <v>2</v>
      </c>
      <c r="W3863" s="54" t="s">
        <v>2</v>
      </c>
      <c r="X3863" s="54" t="s">
        <v>2</v>
      </c>
      <c r="Y3863" s="54" t="s">
        <v>2</v>
      </c>
      <c r="Z3863" s="54" t="s">
        <v>2</v>
      </c>
      <c r="AA3863" s="54" t="s">
        <v>2</v>
      </c>
      <c r="AB3863" s="54" t="s">
        <v>2</v>
      </c>
      <c r="AC3863" s="54" t="s">
        <v>2</v>
      </c>
      <c r="AD3863" s="54" t="s">
        <v>2</v>
      </c>
      <c r="AE3863" s="54" t="s">
        <v>2</v>
      </c>
      <c r="AF3863" s="54" t="s">
        <v>2</v>
      </c>
      <c r="AG3863" s="54" t="s">
        <v>2</v>
      </c>
    </row>
    <row r="3864" ht="15.75" customHeight="1">
      <c r="B3864" s="56"/>
      <c r="U3864" s="46" t="str">
        <f t="array" ref="U3864">IF($D3864="","",IFERROR(_xlfn.XLOOKUP($D3864,'TIR店舗一覧'!$D:$D,'TIR店舗一覧'!$E:$E,""),""))</f>
        <v/>
      </c>
      <c r="V3864" s="54" t="s">
        <v>2</v>
      </c>
      <c r="W3864" s="54" t="s">
        <v>2</v>
      </c>
      <c r="X3864" s="54" t="s">
        <v>2</v>
      </c>
      <c r="Y3864" s="54" t="s">
        <v>2</v>
      </c>
      <c r="Z3864" s="54" t="s">
        <v>2</v>
      </c>
      <c r="AA3864" s="54" t="s">
        <v>2</v>
      </c>
      <c r="AB3864" s="54" t="s">
        <v>2</v>
      </c>
      <c r="AC3864" s="54" t="s">
        <v>2</v>
      </c>
      <c r="AD3864" s="54" t="s">
        <v>2</v>
      </c>
      <c r="AE3864" s="54" t="s">
        <v>2</v>
      </c>
      <c r="AF3864" s="54" t="s">
        <v>2</v>
      </c>
      <c r="AG3864" s="54" t="s">
        <v>2</v>
      </c>
    </row>
    <row r="3865" ht="15.75" customHeight="1">
      <c r="B3865" s="56"/>
      <c r="U3865" s="46" t="str">
        <f t="array" ref="U3865">IF($D3865="","",IFERROR(_xlfn.XLOOKUP($D3865,'TIR店舗一覧'!$D:$D,'TIR店舗一覧'!$E:$E,""),""))</f>
        <v/>
      </c>
      <c r="V3865" s="54" t="s">
        <v>2</v>
      </c>
      <c r="W3865" s="54" t="s">
        <v>2</v>
      </c>
      <c r="X3865" s="54" t="s">
        <v>2</v>
      </c>
      <c r="Y3865" s="54" t="s">
        <v>2</v>
      </c>
      <c r="Z3865" s="54" t="s">
        <v>2</v>
      </c>
      <c r="AA3865" s="54" t="s">
        <v>2</v>
      </c>
      <c r="AB3865" s="54" t="s">
        <v>2</v>
      </c>
      <c r="AC3865" s="54" t="s">
        <v>2</v>
      </c>
      <c r="AD3865" s="54" t="s">
        <v>2</v>
      </c>
      <c r="AE3865" s="54" t="s">
        <v>2</v>
      </c>
      <c r="AF3865" s="54" t="s">
        <v>2</v>
      </c>
      <c r="AG3865" s="54" t="s">
        <v>2</v>
      </c>
    </row>
    <row r="3866" ht="15.75" customHeight="1">
      <c r="B3866" s="56"/>
      <c r="U3866" s="46" t="str">
        <f t="array" ref="U3866">IF($D3866="","",IFERROR(_xlfn.XLOOKUP($D3866,'TIR店舗一覧'!$D:$D,'TIR店舗一覧'!$E:$E,""),""))</f>
        <v/>
      </c>
      <c r="V3866" s="54" t="s">
        <v>2</v>
      </c>
      <c r="W3866" s="54" t="s">
        <v>2</v>
      </c>
      <c r="X3866" s="54" t="s">
        <v>2</v>
      </c>
      <c r="Y3866" s="54" t="s">
        <v>2</v>
      </c>
      <c r="Z3866" s="54" t="s">
        <v>2</v>
      </c>
      <c r="AA3866" s="54" t="s">
        <v>2</v>
      </c>
      <c r="AB3866" s="54" t="s">
        <v>2</v>
      </c>
      <c r="AC3866" s="54" t="s">
        <v>2</v>
      </c>
      <c r="AD3866" s="54" t="s">
        <v>2</v>
      </c>
      <c r="AE3866" s="54" t="s">
        <v>2</v>
      </c>
      <c r="AF3866" s="54" t="s">
        <v>2</v>
      </c>
      <c r="AG3866" s="54" t="s">
        <v>2</v>
      </c>
    </row>
    <row r="3867" ht="15.75" customHeight="1">
      <c r="B3867" s="56"/>
      <c r="U3867" s="46" t="str">
        <f t="array" ref="U3867">IF($D3867="","",IFERROR(_xlfn.XLOOKUP($D3867,'TIR店舗一覧'!$D:$D,'TIR店舗一覧'!$E:$E,""),""))</f>
        <v/>
      </c>
      <c r="V3867" s="54" t="s">
        <v>2</v>
      </c>
      <c r="W3867" s="54" t="s">
        <v>2</v>
      </c>
      <c r="X3867" s="54" t="s">
        <v>2</v>
      </c>
      <c r="Y3867" s="54" t="s">
        <v>2</v>
      </c>
      <c r="Z3867" s="54" t="s">
        <v>2</v>
      </c>
      <c r="AA3867" s="54" t="s">
        <v>2</v>
      </c>
      <c r="AB3867" s="54" t="s">
        <v>2</v>
      </c>
      <c r="AC3867" s="54" t="s">
        <v>2</v>
      </c>
      <c r="AD3867" s="54" t="s">
        <v>2</v>
      </c>
      <c r="AE3867" s="54" t="s">
        <v>2</v>
      </c>
      <c r="AF3867" s="54" t="s">
        <v>2</v>
      </c>
      <c r="AG3867" s="54" t="s">
        <v>2</v>
      </c>
    </row>
    <row r="3868" ht="15.75" customHeight="1">
      <c r="B3868" s="56"/>
      <c r="U3868" s="46" t="str">
        <f t="array" ref="U3868">IF($D3868="","",IFERROR(_xlfn.XLOOKUP($D3868,'TIR店舗一覧'!$D:$D,'TIR店舗一覧'!$E:$E,""),""))</f>
        <v/>
      </c>
      <c r="V3868" s="54" t="s">
        <v>2</v>
      </c>
      <c r="W3868" s="54" t="s">
        <v>2</v>
      </c>
      <c r="X3868" s="54" t="s">
        <v>2</v>
      </c>
      <c r="Y3868" s="54" t="s">
        <v>2</v>
      </c>
      <c r="Z3868" s="54" t="s">
        <v>2</v>
      </c>
      <c r="AA3868" s="54" t="s">
        <v>2</v>
      </c>
      <c r="AB3868" s="54" t="s">
        <v>2</v>
      </c>
      <c r="AC3868" s="54" t="s">
        <v>2</v>
      </c>
      <c r="AD3868" s="54" t="s">
        <v>2</v>
      </c>
      <c r="AE3868" s="54" t="s">
        <v>2</v>
      </c>
      <c r="AF3868" s="54" t="s">
        <v>2</v>
      </c>
      <c r="AG3868" s="54" t="s">
        <v>2</v>
      </c>
    </row>
    <row r="3869" ht="15.75" customHeight="1">
      <c r="B3869" s="56"/>
      <c r="U3869" s="46" t="str">
        <f t="array" ref="U3869">IF($D3869="","",IFERROR(_xlfn.XLOOKUP($D3869,'TIR店舗一覧'!$D:$D,'TIR店舗一覧'!$E:$E,""),""))</f>
        <v/>
      </c>
      <c r="V3869" s="54" t="s">
        <v>2</v>
      </c>
      <c r="W3869" s="54" t="s">
        <v>2</v>
      </c>
      <c r="X3869" s="54" t="s">
        <v>2</v>
      </c>
      <c r="Y3869" s="54" t="s">
        <v>2</v>
      </c>
      <c r="Z3869" s="54" t="s">
        <v>2</v>
      </c>
      <c r="AA3869" s="54" t="s">
        <v>2</v>
      </c>
      <c r="AB3869" s="54" t="s">
        <v>2</v>
      </c>
      <c r="AC3869" s="54" t="s">
        <v>2</v>
      </c>
      <c r="AD3869" s="54" t="s">
        <v>2</v>
      </c>
      <c r="AE3869" s="54" t="s">
        <v>2</v>
      </c>
      <c r="AF3869" s="54" t="s">
        <v>2</v>
      </c>
      <c r="AG3869" s="54" t="s">
        <v>2</v>
      </c>
    </row>
    <row r="3870" ht="15.75" customHeight="1">
      <c r="B3870" s="56"/>
      <c r="U3870" s="46" t="str">
        <f t="array" ref="U3870">IF($D3870="","",IFERROR(_xlfn.XLOOKUP($D3870,'TIR店舗一覧'!$D:$D,'TIR店舗一覧'!$E:$E,""),""))</f>
        <v/>
      </c>
      <c r="V3870" s="54" t="s">
        <v>2</v>
      </c>
      <c r="W3870" s="54" t="s">
        <v>2</v>
      </c>
      <c r="X3870" s="54" t="s">
        <v>2</v>
      </c>
      <c r="Y3870" s="54" t="s">
        <v>2</v>
      </c>
      <c r="Z3870" s="54" t="s">
        <v>2</v>
      </c>
      <c r="AA3870" s="54" t="s">
        <v>2</v>
      </c>
      <c r="AB3870" s="54" t="s">
        <v>2</v>
      </c>
      <c r="AC3870" s="54" t="s">
        <v>2</v>
      </c>
      <c r="AD3870" s="54" t="s">
        <v>2</v>
      </c>
      <c r="AE3870" s="54" t="s">
        <v>2</v>
      </c>
      <c r="AF3870" s="54" t="s">
        <v>2</v>
      </c>
      <c r="AG3870" s="54" t="s">
        <v>2</v>
      </c>
    </row>
    <row r="3871" ht="15.75" customHeight="1">
      <c r="B3871" s="56"/>
      <c r="U3871" s="46" t="str">
        <f t="array" ref="U3871">IF($D3871="","",IFERROR(_xlfn.XLOOKUP($D3871,'TIR店舗一覧'!$D:$D,'TIR店舗一覧'!$E:$E,""),""))</f>
        <v/>
      </c>
      <c r="V3871" s="54" t="s">
        <v>2</v>
      </c>
      <c r="W3871" s="54" t="s">
        <v>2</v>
      </c>
      <c r="X3871" s="54" t="s">
        <v>2</v>
      </c>
      <c r="Y3871" s="54" t="s">
        <v>2</v>
      </c>
      <c r="Z3871" s="54" t="s">
        <v>2</v>
      </c>
      <c r="AA3871" s="54" t="s">
        <v>2</v>
      </c>
      <c r="AB3871" s="54" t="s">
        <v>2</v>
      </c>
      <c r="AC3871" s="54" t="s">
        <v>2</v>
      </c>
      <c r="AD3871" s="54" t="s">
        <v>2</v>
      </c>
      <c r="AE3871" s="54" t="s">
        <v>2</v>
      </c>
      <c r="AF3871" s="54" t="s">
        <v>2</v>
      </c>
      <c r="AG3871" s="54" t="s">
        <v>2</v>
      </c>
    </row>
    <row r="3872" ht="15.75" customHeight="1">
      <c r="B3872" s="56"/>
      <c r="U3872" s="46" t="str">
        <f t="array" ref="U3872">IF($D3872="","",IFERROR(_xlfn.XLOOKUP($D3872,'TIR店舗一覧'!$D:$D,'TIR店舗一覧'!$E:$E,""),""))</f>
        <v/>
      </c>
      <c r="V3872" s="54" t="s">
        <v>2</v>
      </c>
      <c r="W3872" s="54" t="s">
        <v>2</v>
      </c>
      <c r="X3872" s="54" t="s">
        <v>2</v>
      </c>
      <c r="Y3872" s="54" t="s">
        <v>2</v>
      </c>
      <c r="Z3872" s="54" t="s">
        <v>2</v>
      </c>
      <c r="AA3872" s="54" t="s">
        <v>2</v>
      </c>
      <c r="AB3872" s="54" t="s">
        <v>2</v>
      </c>
      <c r="AC3872" s="54" t="s">
        <v>2</v>
      </c>
      <c r="AD3872" s="54" t="s">
        <v>2</v>
      </c>
      <c r="AE3872" s="54" t="s">
        <v>2</v>
      </c>
      <c r="AF3872" s="54" t="s">
        <v>2</v>
      </c>
      <c r="AG3872" s="54" t="s">
        <v>2</v>
      </c>
    </row>
    <row r="3873" ht="15.75" customHeight="1">
      <c r="B3873" s="56"/>
      <c r="U3873" s="46" t="str">
        <f t="array" ref="U3873">IF($D3873="","",IFERROR(_xlfn.XLOOKUP($D3873,'TIR店舗一覧'!$D:$D,'TIR店舗一覧'!$E:$E,""),""))</f>
        <v/>
      </c>
      <c r="V3873" s="54" t="s">
        <v>2</v>
      </c>
      <c r="W3873" s="54" t="s">
        <v>2</v>
      </c>
      <c r="X3873" s="54" t="s">
        <v>2</v>
      </c>
      <c r="Y3873" s="54" t="s">
        <v>2</v>
      </c>
      <c r="Z3873" s="54" t="s">
        <v>2</v>
      </c>
      <c r="AA3873" s="54" t="s">
        <v>2</v>
      </c>
      <c r="AB3873" s="54" t="s">
        <v>2</v>
      </c>
      <c r="AC3873" s="54" t="s">
        <v>2</v>
      </c>
      <c r="AD3873" s="54" t="s">
        <v>2</v>
      </c>
      <c r="AE3873" s="54" t="s">
        <v>2</v>
      </c>
      <c r="AF3873" s="54" t="s">
        <v>2</v>
      </c>
      <c r="AG3873" s="54" t="s">
        <v>2</v>
      </c>
    </row>
    <row r="3874" ht="15.75" customHeight="1">
      <c r="B3874" s="56"/>
      <c r="U3874" s="46" t="str">
        <f t="array" ref="U3874">IF($D3874="","",IFERROR(_xlfn.XLOOKUP($D3874,'TIR店舗一覧'!$D:$D,'TIR店舗一覧'!$E:$E,""),""))</f>
        <v/>
      </c>
      <c r="V3874" s="54" t="s">
        <v>2</v>
      </c>
      <c r="W3874" s="54" t="s">
        <v>2</v>
      </c>
      <c r="X3874" s="54" t="s">
        <v>2</v>
      </c>
      <c r="Y3874" s="54" t="s">
        <v>2</v>
      </c>
      <c r="Z3874" s="54" t="s">
        <v>2</v>
      </c>
      <c r="AA3874" s="54" t="s">
        <v>2</v>
      </c>
      <c r="AB3874" s="54" t="s">
        <v>2</v>
      </c>
      <c r="AC3874" s="54" t="s">
        <v>2</v>
      </c>
      <c r="AD3874" s="54" t="s">
        <v>2</v>
      </c>
      <c r="AE3874" s="54" t="s">
        <v>2</v>
      </c>
      <c r="AF3874" s="54" t="s">
        <v>2</v>
      </c>
      <c r="AG3874" s="54" t="s">
        <v>2</v>
      </c>
    </row>
    <row r="3875" ht="15.75" customHeight="1">
      <c r="B3875" s="56"/>
      <c r="U3875" s="46" t="str">
        <f t="array" ref="U3875">IF($D3875="","",IFERROR(_xlfn.XLOOKUP($D3875,'TIR店舗一覧'!$D:$D,'TIR店舗一覧'!$E:$E,""),""))</f>
        <v/>
      </c>
      <c r="V3875" s="54" t="s">
        <v>2</v>
      </c>
      <c r="W3875" s="54" t="s">
        <v>2</v>
      </c>
      <c r="X3875" s="54" t="s">
        <v>2</v>
      </c>
      <c r="Y3875" s="54" t="s">
        <v>2</v>
      </c>
      <c r="Z3875" s="54" t="s">
        <v>2</v>
      </c>
      <c r="AA3875" s="54" t="s">
        <v>2</v>
      </c>
      <c r="AB3875" s="54" t="s">
        <v>2</v>
      </c>
      <c r="AC3875" s="54" t="s">
        <v>2</v>
      </c>
      <c r="AD3875" s="54" t="s">
        <v>2</v>
      </c>
      <c r="AE3875" s="54" t="s">
        <v>2</v>
      </c>
      <c r="AF3875" s="54" t="s">
        <v>2</v>
      </c>
      <c r="AG3875" s="54" t="s">
        <v>2</v>
      </c>
    </row>
    <row r="3876" ht="15.75" customHeight="1">
      <c r="B3876" s="56"/>
      <c r="U3876" s="46" t="str">
        <f t="array" ref="U3876">IF($D3876="","",IFERROR(_xlfn.XLOOKUP($D3876,'TIR店舗一覧'!$D:$D,'TIR店舗一覧'!$E:$E,""),""))</f>
        <v/>
      </c>
      <c r="V3876" s="54" t="s">
        <v>2</v>
      </c>
      <c r="W3876" s="54" t="s">
        <v>2</v>
      </c>
      <c r="X3876" s="54" t="s">
        <v>2</v>
      </c>
      <c r="Y3876" s="54" t="s">
        <v>2</v>
      </c>
      <c r="Z3876" s="54" t="s">
        <v>2</v>
      </c>
      <c r="AA3876" s="54" t="s">
        <v>2</v>
      </c>
      <c r="AB3876" s="54" t="s">
        <v>2</v>
      </c>
      <c r="AC3876" s="54" t="s">
        <v>2</v>
      </c>
      <c r="AD3876" s="54" t="s">
        <v>2</v>
      </c>
      <c r="AE3876" s="54" t="s">
        <v>2</v>
      </c>
      <c r="AF3876" s="54" t="s">
        <v>2</v>
      </c>
      <c r="AG3876" s="54" t="s">
        <v>2</v>
      </c>
    </row>
    <row r="3877" ht="15.75" customHeight="1">
      <c r="B3877" s="56"/>
      <c r="U3877" s="46" t="str">
        <f t="array" ref="U3877">IF($D3877="","",IFERROR(_xlfn.XLOOKUP($D3877,'TIR店舗一覧'!$D:$D,'TIR店舗一覧'!$E:$E,""),""))</f>
        <v/>
      </c>
      <c r="V3877" s="54" t="s">
        <v>2</v>
      </c>
      <c r="W3877" s="54" t="s">
        <v>2</v>
      </c>
      <c r="X3877" s="54" t="s">
        <v>2</v>
      </c>
      <c r="Y3877" s="54" t="s">
        <v>2</v>
      </c>
      <c r="Z3877" s="54" t="s">
        <v>2</v>
      </c>
      <c r="AA3877" s="54" t="s">
        <v>2</v>
      </c>
      <c r="AB3877" s="54" t="s">
        <v>2</v>
      </c>
      <c r="AC3877" s="54" t="s">
        <v>2</v>
      </c>
      <c r="AD3877" s="54" t="s">
        <v>2</v>
      </c>
      <c r="AE3877" s="54" t="s">
        <v>2</v>
      </c>
      <c r="AF3877" s="54" t="s">
        <v>2</v>
      </c>
      <c r="AG3877" s="54" t="s">
        <v>2</v>
      </c>
    </row>
    <row r="3878" ht="15.75" customHeight="1">
      <c r="B3878" s="56"/>
      <c r="U3878" s="46" t="str">
        <f t="array" ref="U3878">IF($D3878="","",IFERROR(_xlfn.XLOOKUP($D3878,'TIR店舗一覧'!$D:$D,'TIR店舗一覧'!$E:$E,""),""))</f>
        <v/>
      </c>
      <c r="V3878" s="54" t="s">
        <v>2</v>
      </c>
      <c r="W3878" s="54" t="s">
        <v>2</v>
      </c>
      <c r="X3878" s="54" t="s">
        <v>2</v>
      </c>
      <c r="Y3878" s="54" t="s">
        <v>2</v>
      </c>
      <c r="Z3878" s="54" t="s">
        <v>2</v>
      </c>
      <c r="AA3878" s="54" t="s">
        <v>2</v>
      </c>
      <c r="AB3878" s="54" t="s">
        <v>2</v>
      </c>
      <c r="AC3878" s="54" t="s">
        <v>2</v>
      </c>
      <c r="AD3878" s="54" t="s">
        <v>2</v>
      </c>
      <c r="AE3878" s="54" t="s">
        <v>2</v>
      </c>
      <c r="AF3878" s="54" t="s">
        <v>2</v>
      </c>
      <c r="AG3878" s="54" t="s">
        <v>2</v>
      </c>
    </row>
    <row r="3879" ht="15.75" customHeight="1">
      <c r="B3879" s="56"/>
      <c r="U3879" s="46" t="str">
        <f t="array" ref="U3879">IF($D3879="","",IFERROR(_xlfn.XLOOKUP($D3879,'TIR店舗一覧'!$D:$D,'TIR店舗一覧'!$E:$E,""),""))</f>
        <v/>
      </c>
      <c r="V3879" s="54" t="s">
        <v>2</v>
      </c>
      <c r="W3879" s="54" t="s">
        <v>2</v>
      </c>
      <c r="X3879" s="54" t="s">
        <v>2</v>
      </c>
      <c r="Y3879" s="54" t="s">
        <v>2</v>
      </c>
      <c r="Z3879" s="54" t="s">
        <v>2</v>
      </c>
      <c r="AA3879" s="54" t="s">
        <v>2</v>
      </c>
      <c r="AB3879" s="54" t="s">
        <v>2</v>
      </c>
      <c r="AC3879" s="54" t="s">
        <v>2</v>
      </c>
      <c r="AD3879" s="54" t="s">
        <v>2</v>
      </c>
      <c r="AE3879" s="54" t="s">
        <v>2</v>
      </c>
      <c r="AF3879" s="54" t="s">
        <v>2</v>
      </c>
      <c r="AG3879" s="54" t="s">
        <v>2</v>
      </c>
    </row>
    <row r="3880" ht="15.75" customHeight="1">
      <c r="B3880" s="56"/>
      <c r="U3880" s="46" t="str">
        <f t="array" ref="U3880">IF($D3880="","",IFERROR(_xlfn.XLOOKUP($D3880,'TIR店舗一覧'!$D:$D,'TIR店舗一覧'!$E:$E,""),""))</f>
        <v/>
      </c>
      <c r="V3880" s="54" t="s">
        <v>2</v>
      </c>
      <c r="W3880" s="54" t="s">
        <v>2</v>
      </c>
      <c r="X3880" s="54" t="s">
        <v>2</v>
      </c>
      <c r="Y3880" s="54" t="s">
        <v>2</v>
      </c>
      <c r="Z3880" s="54" t="s">
        <v>2</v>
      </c>
      <c r="AA3880" s="54" t="s">
        <v>2</v>
      </c>
      <c r="AB3880" s="54" t="s">
        <v>2</v>
      </c>
      <c r="AC3880" s="54" t="s">
        <v>2</v>
      </c>
      <c r="AD3880" s="54" t="s">
        <v>2</v>
      </c>
      <c r="AE3880" s="54" t="s">
        <v>2</v>
      </c>
      <c r="AF3880" s="54" t="s">
        <v>2</v>
      </c>
      <c r="AG3880" s="54" t="s">
        <v>2</v>
      </c>
    </row>
    <row r="3881" ht="15.75" customHeight="1">
      <c r="B3881" s="56"/>
      <c r="U3881" s="46" t="str">
        <f t="array" ref="U3881">IF($D3881="","",IFERROR(_xlfn.XLOOKUP($D3881,'TIR店舗一覧'!$D:$D,'TIR店舗一覧'!$E:$E,""),""))</f>
        <v/>
      </c>
      <c r="V3881" s="54" t="s">
        <v>2</v>
      </c>
      <c r="W3881" s="54" t="s">
        <v>2</v>
      </c>
      <c r="X3881" s="54" t="s">
        <v>2</v>
      </c>
      <c r="Y3881" s="54" t="s">
        <v>2</v>
      </c>
      <c r="Z3881" s="54" t="s">
        <v>2</v>
      </c>
      <c r="AA3881" s="54" t="s">
        <v>2</v>
      </c>
      <c r="AB3881" s="54" t="s">
        <v>2</v>
      </c>
      <c r="AC3881" s="54" t="s">
        <v>2</v>
      </c>
      <c r="AD3881" s="54" t="s">
        <v>2</v>
      </c>
      <c r="AE3881" s="54" t="s">
        <v>2</v>
      </c>
      <c r="AF3881" s="54" t="s">
        <v>2</v>
      </c>
      <c r="AG3881" s="54" t="s">
        <v>2</v>
      </c>
    </row>
    <row r="3882" ht="15.75" customHeight="1">
      <c r="B3882" s="56"/>
      <c r="U3882" s="46" t="str">
        <f t="array" ref="U3882">IF($D3882="","",IFERROR(_xlfn.XLOOKUP($D3882,'TIR店舗一覧'!$D:$D,'TIR店舗一覧'!$E:$E,""),""))</f>
        <v/>
      </c>
      <c r="V3882" s="54" t="s">
        <v>2</v>
      </c>
      <c r="W3882" s="54" t="s">
        <v>2</v>
      </c>
      <c r="X3882" s="54" t="s">
        <v>2</v>
      </c>
      <c r="Y3882" s="54" t="s">
        <v>2</v>
      </c>
      <c r="Z3882" s="54" t="s">
        <v>2</v>
      </c>
      <c r="AA3882" s="54" t="s">
        <v>2</v>
      </c>
      <c r="AB3882" s="54" t="s">
        <v>2</v>
      </c>
      <c r="AC3882" s="54" t="s">
        <v>2</v>
      </c>
      <c r="AD3882" s="54" t="s">
        <v>2</v>
      </c>
      <c r="AE3882" s="54" t="s">
        <v>2</v>
      </c>
      <c r="AF3882" s="54" t="s">
        <v>2</v>
      </c>
      <c r="AG3882" s="54" t="s">
        <v>2</v>
      </c>
    </row>
    <row r="3883" ht="15.75" customHeight="1">
      <c r="B3883" s="56"/>
      <c r="U3883" s="46" t="str">
        <f t="array" ref="U3883">IF($D3883="","",IFERROR(_xlfn.XLOOKUP($D3883,'TIR店舗一覧'!$D:$D,'TIR店舗一覧'!$E:$E,""),""))</f>
        <v/>
      </c>
      <c r="V3883" s="54" t="s">
        <v>2</v>
      </c>
      <c r="W3883" s="54" t="s">
        <v>2</v>
      </c>
      <c r="X3883" s="54" t="s">
        <v>2</v>
      </c>
      <c r="Y3883" s="54" t="s">
        <v>2</v>
      </c>
      <c r="Z3883" s="54" t="s">
        <v>2</v>
      </c>
      <c r="AA3883" s="54" t="s">
        <v>2</v>
      </c>
      <c r="AB3883" s="54" t="s">
        <v>2</v>
      </c>
      <c r="AC3883" s="54" t="s">
        <v>2</v>
      </c>
      <c r="AD3883" s="54" t="s">
        <v>2</v>
      </c>
      <c r="AE3883" s="54" t="s">
        <v>2</v>
      </c>
      <c r="AF3883" s="54" t="s">
        <v>2</v>
      </c>
      <c r="AG3883" s="54" t="s">
        <v>2</v>
      </c>
    </row>
    <row r="3884" ht="15.75" customHeight="1">
      <c r="B3884" s="56"/>
      <c r="U3884" s="46" t="str">
        <f t="array" ref="U3884">IF($D3884="","",IFERROR(_xlfn.XLOOKUP($D3884,'TIR店舗一覧'!$D:$D,'TIR店舗一覧'!$E:$E,""),""))</f>
        <v/>
      </c>
      <c r="V3884" s="54" t="s">
        <v>2</v>
      </c>
      <c r="W3884" s="54" t="s">
        <v>2</v>
      </c>
      <c r="X3884" s="54" t="s">
        <v>2</v>
      </c>
      <c r="Y3884" s="54" t="s">
        <v>2</v>
      </c>
      <c r="Z3884" s="54" t="s">
        <v>2</v>
      </c>
      <c r="AA3884" s="54" t="s">
        <v>2</v>
      </c>
      <c r="AB3884" s="54" t="s">
        <v>2</v>
      </c>
      <c r="AC3884" s="54" t="s">
        <v>2</v>
      </c>
      <c r="AD3884" s="54" t="s">
        <v>2</v>
      </c>
      <c r="AE3884" s="54" t="s">
        <v>2</v>
      </c>
      <c r="AF3884" s="54" t="s">
        <v>2</v>
      </c>
      <c r="AG3884" s="54" t="s">
        <v>2</v>
      </c>
    </row>
    <row r="3885" ht="15.75" customHeight="1">
      <c r="B3885" s="56"/>
      <c r="U3885" s="46" t="str">
        <f t="array" ref="U3885">IF($D3885="","",IFERROR(_xlfn.XLOOKUP($D3885,'TIR店舗一覧'!$D:$D,'TIR店舗一覧'!$E:$E,""),""))</f>
        <v/>
      </c>
      <c r="V3885" s="54" t="s">
        <v>2</v>
      </c>
      <c r="W3885" s="54" t="s">
        <v>2</v>
      </c>
      <c r="X3885" s="54" t="s">
        <v>2</v>
      </c>
      <c r="Y3885" s="54" t="s">
        <v>2</v>
      </c>
      <c r="Z3885" s="54" t="s">
        <v>2</v>
      </c>
      <c r="AA3885" s="54" t="s">
        <v>2</v>
      </c>
      <c r="AB3885" s="54" t="s">
        <v>2</v>
      </c>
      <c r="AC3885" s="54" t="s">
        <v>2</v>
      </c>
      <c r="AD3885" s="54" t="s">
        <v>2</v>
      </c>
      <c r="AE3885" s="54" t="s">
        <v>2</v>
      </c>
      <c r="AF3885" s="54" t="s">
        <v>2</v>
      </c>
      <c r="AG3885" s="54" t="s">
        <v>2</v>
      </c>
    </row>
    <row r="3886" ht="15.75" customHeight="1">
      <c r="B3886" s="56"/>
      <c r="U3886" s="46" t="str">
        <f t="array" ref="U3886">IF($D3886="","",IFERROR(_xlfn.XLOOKUP($D3886,'TIR店舗一覧'!$D:$D,'TIR店舗一覧'!$E:$E,""),""))</f>
        <v/>
      </c>
      <c r="V3886" s="54" t="s">
        <v>2</v>
      </c>
      <c r="W3886" s="54" t="s">
        <v>2</v>
      </c>
      <c r="X3886" s="54" t="s">
        <v>2</v>
      </c>
      <c r="Y3886" s="54" t="s">
        <v>2</v>
      </c>
      <c r="Z3886" s="54" t="s">
        <v>2</v>
      </c>
      <c r="AA3886" s="54" t="s">
        <v>2</v>
      </c>
      <c r="AB3886" s="54" t="s">
        <v>2</v>
      </c>
      <c r="AC3886" s="54" t="s">
        <v>2</v>
      </c>
      <c r="AD3886" s="54" t="s">
        <v>2</v>
      </c>
      <c r="AE3886" s="54" t="s">
        <v>2</v>
      </c>
      <c r="AF3886" s="54" t="s">
        <v>2</v>
      </c>
      <c r="AG3886" s="54" t="s">
        <v>2</v>
      </c>
    </row>
    <row r="3887" ht="15.75" customHeight="1">
      <c r="B3887" s="56"/>
      <c r="U3887" s="46" t="str">
        <f t="array" ref="U3887">IF($D3887="","",IFERROR(_xlfn.XLOOKUP($D3887,'TIR店舗一覧'!$D:$D,'TIR店舗一覧'!$E:$E,""),""))</f>
        <v/>
      </c>
      <c r="V3887" s="54" t="s">
        <v>2</v>
      </c>
      <c r="W3887" s="54" t="s">
        <v>2</v>
      </c>
      <c r="X3887" s="54" t="s">
        <v>2</v>
      </c>
      <c r="Y3887" s="54" t="s">
        <v>2</v>
      </c>
      <c r="Z3887" s="54" t="s">
        <v>2</v>
      </c>
      <c r="AA3887" s="54" t="s">
        <v>2</v>
      </c>
      <c r="AB3887" s="54" t="s">
        <v>2</v>
      </c>
      <c r="AC3887" s="54" t="s">
        <v>2</v>
      </c>
      <c r="AD3887" s="54" t="s">
        <v>2</v>
      </c>
      <c r="AE3887" s="54" t="s">
        <v>2</v>
      </c>
      <c r="AF3887" s="54" t="s">
        <v>2</v>
      </c>
      <c r="AG3887" s="54" t="s">
        <v>2</v>
      </c>
    </row>
    <row r="3888" ht="15.75" customHeight="1">
      <c r="B3888" s="56"/>
      <c r="U3888" s="46" t="str">
        <f t="array" ref="U3888">IF($D3888="","",IFERROR(_xlfn.XLOOKUP($D3888,'TIR店舗一覧'!$D:$D,'TIR店舗一覧'!$E:$E,""),""))</f>
        <v/>
      </c>
      <c r="V3888" s="54" t="s">
        <v>2</v>
      </c>
      <c r="W3888" s="54" t="s">
        <v>2</v>
      </c>
      <c r="X3888" s="54" t="s">
        <v>2</v>
      </c>
      <c r="Y3888" s="54" t="s">
        <v>2</v>
      </c>
      <c r="Z3888" s="54" t="s">
        <v>2</v>
      </c>
      <c r="AA3888" s="54" t="s">
        <v>2</v>
      </c>
      <c r="AB3888" s="54" t="s">
        <v>2</v>
      </c>
      <c r="AC3888" s="54" t="s">
        <v>2</v>
      </c>
      <c r="AD3888" s="54" t="s">
        <v>2</v>
      </c>
      <c r="AE3888" s="54" t="s">
        <v>2</v>
      </c>
      <c r="AF3888" s="54" t="s">
        <v>2</v>
      </c>
      <c r="AG3888" s="54" t="s">
        <v>2</v>
      </c>
    </row>
    <row r="3889" ht="15.75" customHeight="1">
      <c r="B3889" s="56"/>
      <c r="U3889" s="46" t="str">
        <f t="array" ref="U3889">IF($D3889="","",IFERROR(_xlfn.XLOOKUP($D3889,'TIR店舗一覧'!$D:$D,'TIR店舗一覧'!$E:$E,""),""))</f>
        <v/>
      </c>
      <c r="V3889" s="54" t="s">
        <v>2</v>
      </c>
      <c r="W3889" s="54" t="s">
        <v>2</v>
      </c>
      <c r="X3889" s="54" t="s">
        <v>2</v>
      </c>
      <c r="Y3889" s="54" t="s">
        <v>2</v>
      </c>
      <c r="Z3889" s="54" t="s">
        <v>2</v>
      </c>
      <c r="AA3889" s="54" t="s">
        <v>2</v>
      </c>
      <c r="AB3889" s="54" t="s">
        <v>2</v>
      </c>
      <c r="AC3889" s="54" t="s">
        <v>2</v>
      </c>
      <c r="AD3889" s="54" t="s">
        <v>2</v>
      </c>
      <c r="AE3889" s="54" t="s">
        <v>2</v>
      </c>
      <c r="AF3889" s="54" t="s">
        <v>2</v>
      </c>
      <c r="AG3889" s="54" t="s">
        <v>2</v>
      </c>
    </row>
    <row r="3890" ht="15.75" customHeight="1">
      <c r="B3890" s="56"/>
      <c r="U3890" s="46" t="str">
        <f t="array" ref="U3890">IF($D3890="","",IFERROR(_xlfn.XLOOKUP($D3890,'TIR店舗一覧'!$D:$D,'TIR店舗一覧'!$E:$E,""),""))</f>
        <v/>
      </c>
      <c r="V3890" s="54" t="s">
        <v>2</v>
      </c>
      <c r="W3890" s="54" t="s">
        <v>2</v>
      </c>
      <c r="X3890" s="54" t="s">
        <v>2</v>
      </c>
      <c r="Y3890" s="54" t="s">
        <v>2</v>
      </c>
      <c r="Z3890" s="54" t="s">
        <v>2</v>
      </c>
      <c r="AA3890" s="54" t="s">
        <v>2</v>
      </c>
      <c r="AB3890" s="54" t="s">
        <v>2</v>
      </c>
      <c r="AC3890" s="54" t="s">
        <v>2</v>
      </c>
      <c r="AD3890" s="54" t="s">
        <v>2</v>
      </c>
      <c r="AE3890" s="54" t="s">
        <v>2</v>
      </c>
      <c r="AF3890" s="54" t="s">
        <v>2</v>
      </c>
      <c r="AG3890" s="54" t="s">
        <v>2</v>
      </c>
    </row>
    <row r="3891" ht="15.75" customHeight="1">
      <c r="B3891" s="56"/>
      <c r="U3891" s="46" t="str">
        <f t="array" ref="U3891">IF($D3891="","",IFERROR(_xlfn.XLOOKUP($D3891,'TIR店舗一覧'!$D:$D,'TIR店舗一覧'!$E:$E,""),""))</f>
        <v/>
      </c>
      <c r="V3891" s="54" t="s">
        <v>2</v>
      </c>
      <c r="W3891" s="54" t="s">
        <v>2</v>
      </c>
      <c r="X3891" s="54" t="s">
        <v>2</v>
      </c>
      <c r="Y3891" s="54" t="s">
        <v>2</v>
      </c>
      <c r="Z3891" s="54" t="s">
        <v>2</v>
      </c>
      <c r="AA3891" s="54" t="s">
        <v>2</v>
      </c>
      <c r="AB3891" s="54" t="s">
        <v>2</v>
      </c>
      <c r="AC3891" s="54" t="s">
        <v>2</v>
      </c>
      <c r="AD3891" s="54" t="s">
        <v>2</v>
      </c>
      <c r="AE3891" s="54" t="s">
        <v>2</v>
      </c>
      <c r="AF3891" s="54" t="s">
        <v>2</v>
      </c>
      <c r="AG3891" s="54" t="s">
        <v>2</v>
      </c>
    </row>
    <row r="3892" ht="15.75" customHeight="1">
      <c r="B3892" s="56"/>
      <c r="U3892" s="46" t="str">
        <f t="array" ref="U3892">IF($D3892="","",IFERROR(_xlfn.XLOOKUP($D3892,'TIR店舗一覧'!$D:$D,'TIR店舗一覧'!$E:$E,""),""))</f>
        <v/>
      </c>
      <c r="V3892" s="54" t="s">
        <v>2</v>
      </c>
      <c r="W3892" s="54" t="s">
        <v>2</v>
      </c>
      <c r="X3892" s="54" t="s">
        <v>2</v>
      </c>
      <c r="Y3892" s="54" t="s">
        <v>2</v>
      </c>
      <c r="Z3892" s="54" t="s">
        <v>2</v>
      </c>
      <c r="AA3892" s="54" t="s">
        <v>2</v>
      </c>
      <c r="AB3892" s="54" t="s">
        <v>2</v>
      </c>
      <c r="AC3892" s="54" t="s">
        <v>2</v>
      </c>
      <c r="AD3892" s="54" t="s">
        <v>2</v>
      </c>
      <c r="AE3892" s="54" t="s">
        <v>2</v>
      </c>
      <c r="AF3892" s="54" t="s">
        <v>2</v>
      </c>
      <c r="AG3892" s="54" t="s">
        <v>2</v>
      </c>
    </row>
    <row r="3893" ht="15.75" customHeight="1">
      <c r="B3893" s="56"/>
      <c r="U3893" s="46" t="str">
        <f t="array" ref="U3893">IF($D3893="","",IFERROR(_xlfn.XLOOKUP($D3893,'TIR店舗一覧'!$D:$D,'TIR店舗一覧'!$E:$E,""),""))</f>
        <v/>
      </c>
      <c r="V3893" s="54" t="s">
        <v>2</v>
      </c>
      <c r="W3893" s="54" t="s">
        <v>2</v>
      </c>
      <c r="X3893" s="54" t="s">
        <v>2</v>
      </c>
      <c r="Y3893" s="54" t="s">
        <v>2</v>
      </c>
      <c r="Z3893" s="54" t="s">
        <v>2</v>
      </c>
      <c r="AA3893" s="54" t="s">
        <v>2</v>
      </c>
      <c r="AB3893" s="54" t="s">
        <v>2</v>
      </c>
      <c r="AC3893" s="54" t="s">
        <v>2</v>
      </c>
      <c r="AD3893" s="54" t="s">
        <v>2</v>
      </c>
      <c r="AE3893" s="54" t="s">
        <v>2</v>
      </c>
      <c r="AF3893" s="54" t="s">
        <v>2</v>
      </c>
      <c r="AG3893" s="54" t="s">
        <v>2</v>
      </c>
    </row>
    <row r="3894" ht="15.75" customHeight="1">
      <c r="B3894" s="56"/>
      <c r="U3894" s="46" t="str">
        <f t="array" ref="U3894">IF($D3894="","",IFERROR(_xlfn.XLOOKUP($D3894,'TIR店舗一覧'!$D:$D,'TIR店舗一覧'!$E:$E,""),""))</f>
        <v/>
      </c>
      <c r="V3894" s="54" t="s">
        <v>2</v>
      </c>
      <c r="W3894" s="54" t="s">
        <v>2</v>
      </c>
      <c r="X3894" s="54" t="s">
        <v>2</v>
      </c>
      <c r="Y3894" s="54" t="s">
        <v>2</v>
      </c>
      <c r="Z3894" s="54" t="s">
        <v>2</v>
      </c>
      <c r="AA3894" s="54" t="s">
        <v>2</v>
      </c>
      <c r="AB3894" s="54" t="s">
        <v>2</v>
      </c>
      <c r="AC3894" s="54" t="s">
        <v>2</v>
      </c>
      <c r="AD3894" s="54" t="s">
        <v>2</v>
      </c>
      <c r="AE3894" s="54" t="s">
        <v>2</v>
      </c>
      <c r="AF3894" s="54" t="s">
        <v>2</v>
      </c>
      <c r="AG3894" s="54" t="s">
        <v>2</v>
      </c>
    </row>
    <row r="3895" ht="15.75" customHeight="1">
      <c r="B3895" s="56"/>
      <c r="U3895" s="46" t="str">
        <f t="array" ref="U3895">IF($D3895="","",IFERROR(_xlfn.XLOOKUP($D3895,'TIR店舗一覧'!$D:$D,'TIR店舗一覧'!$E:$E,""),""))</f>
        <v/>
      </c>
      <c r="V3895" s="54" t="s">
        <v>2</v>
      </c>
      <c r="W3895" s="54" t="s">
        <v>2</v>
      </c>
      <c r="X3895" s="54" t="s">
        <v>2</v>
      </c>
      <c r="Y3895" s="54" t="s">
        <v>2</v>
      </c>
      <c r="Z3895" s="54" t="s">
        <v>2</v>
      </c>
      <c r="AA3895" s="54" t="s">
        <v>2</v>
      </c>
      <c r="AB3895" s="54" t="s">
        <v>2</v>
      </c>
      <c r="AC3895" s="54" t="s">
        <v>2</v>
      </c>
      <c r="AD3895" s="54" t="s">
        <v>2</v>
      </c>
      <c r="AE3895" s="54" t="s">
        <v>2</v>
      </c>
      <c r="AF3895" s="54" t="s">
        <v>2</v>
      </c>
      <c r="AG3895" s="54" t="s">
        <v>2</v>
      </c>
    </row>
    <row r="3896" ht="15.75" customHeight="1">
      <c r="B3896" s="56"/>
      <c r="U3896" s="46" t="str">
        <f t="array" ref="U3896">IF($D3896="","",IFERROR(_xlfn.XLOOKUP($D3896,'TIR店舗一覧'!$D:$D,'TIR店舗一覧'!$E:$E,""),""))</f>
        <v/>
      </c>
      <c r="V3896" s="54" t="s">
        <v>2</v>
      </c>
      <c r="W3896" s="54" t="s">
        <v>2</v>
      </c>
      <c r="X3896" s="54" t="s">
        <v>2</v>
      </c>
      <c r="Y3896" s="54" t="s">
        <v>2</v>
      </c>
      <c r="Z3896" s="54" t="s">
        <v>2</v>
      </c>
      <c r="AA3896" s="54" t="s">
        <v>2</v>
      </c>
      <c r="AB3896" s="54" t="s">
        <v>2</v>
      </c>
      <c r="AC3896" s="54" t="s">
        <v>2</v>
      </c>
      <c r="AD3896" s="54" t="s">
        <v>2</v>
      </c>
      <c r="AE3896" s="54" t="s">
        <v>2</v>
      </c>
      <c r="AF3896" s="54" t="s">
        <v>2</v>
      </c>
      <c r="AG3896" s="54" t="s">
        <v>2</v>
      </c>
    </row>
    <row r="3897" ht="15.75" customHeight="1">
      <c r="B3897" s="56"/>
      <c r="U3897" s="46" t="str">
        <f t="array" ref="U3897">IF($D3897="","",IFERROR(_xlfn.XLOOKUP($D3897,'TIR店舗一覧'!$D:$D,'TIR店舗一覧'!$E:$E,""),""))</f>
        <v/>
      </c>
      <c r="V3897" s="54" t="s">
        <v>2</v>
      </c>
      <c r="W3897" s="54" t="s">
        <v>2</v>
      </c>
      <c r="X3897" s="54" t="s">
        <v>2</v>
      </c>
      <c r="Y3897" s="54" t="s">
        <v>2</v>
      </c>
      <c r="Z3897" s="54" t="s">
        <v>2</v>
      </c>
      <c r="AA3897" s="54" t="s">
        <v>2</v>
      </c>
      <c r="AB3897" s="54" t="s">
        <v>2</v>
      </c>
      <c r="AC3897" s="54" t="s">
        <v>2</v>
      </c>
      <c r="AD3897" s="54" t="s">
        <v>2</v>
      </c>
      <c r="AE3897" s="54" t="s">
        <v>2</v>
      </c>
      <c r="AF3897" s="54" t="s">
        <v>2</v>
      </c>
      <c r="AG3897" s="54" t="s">
        <v>2</v>
      </c>
    </row>
    <row r="3898" ht="15.75" customHeight="1">
      <c r="B3898" s="56"/>
      <c r="U3898" s="46" t="str">
        <f t="array" ref="U3898">IF($D3898="","",IFERROR(_xlfn.XLOOKUP($D3898,'TIR店舗一覧'!$D:$D,'TIR店舗一覧'!$E:$E,""),""))</f>
        <v/>
      </c>
      <c r="V3898" s="54" t="s">
        <v>2</v>
      </c>
      <c r="W3898" s="54" t="s">
        <v>2</v>
      </c>
      <c r="X3898" s="54" t="s">
        <v>2</v>
      </c>
      <c r="Y3898" s="54" t="s">
        <v>2</v>
      </c>
      <c r="Z3898" s="54" t="s">
        <v>2</v>
      </c>
      <c r="AA3898" s="54" t="s">
        <v>2</v>
      </c>
      <c r="AB3898" s="54" t="s">
        <v>2</v>
      </c>
      <c r="AC3898" s="54" t="s">
        <v>2</v>
      </c>
      <c r="AD3898" s="54" t="s">
        <v>2</v>
      </c>
      <c r="AE3898" s="54" t="s">
        <v>2</v>
      </c>
      <c r="AF3898" s="54" t="s">
        <v>2</v>
      </c>
      <c r="AG3898" s="54" t="s">
        <v>2</v>
      </c>
    </row>
    <row r="3899" ht="15.75" customHeight="1">
      <c r="B3899" s="56"/>
      <c r="U3899" s="46" t="str">
        <f t="array" ref="U3899">IF($D3899="","",IFERROR(_xlfn.XLOOKUP($D3899,'TIR店舗一覧'!$D:$D,'TIR店舗一覧'!$E:$E,""),""))</f>
        <v/>
      </c>
      <c r="V3899" s="54" t="s">
        <v>2</v>
      </c>
      <c r="W3899" s="54" t="s">
        <v>2</v>
      </c>
      <c r="X3899" s="54" t="s">
        <v>2</v>
      </c>
      <c r="Y3899" s="54" t="s">
        <v>2</v>
      </c>
      <c r="Z3899" s="54" t="s">
        <v>2</v>
      </c>
      <c r="AA3899" s="54" t="s">
        <v>2</v>
      </c>
      <c r="AB3899" s="54" t="s">
        <v>2</v>
      </c>
      <c r="AC3899" s="54" t="s">
        <v>2</v>
      </c>
      <c r="AD3899" s="54" t="s">
        <v>2</v>
      </c>
      <c r="AE3899" s="54" t="s">
        <v>2</v>
      </c>
      <c r="AF3899" s="54" t="s">
        <v>2</v>
      </c>
      <c r="AG3899" s="54" t="s">
        <v>2</v>
      </c>
    </row>
    <row r="3900" ht="15.75" customHeight="1">
      <c r="B3900" s="56"/>
      <c r="U3900" s="46" t="str">
        <f t="array" ref="U3900">IF($D3900="","",IFERROR(_xlfn.XLOOKUP($D3900,'TIR店舗一覧'!$D:$D,'TIR店舗一覧'!$E:$E,""),""))</f>
        <v/>
      </c>
      <c r="V3900" s="54" t="s">
        <v>2</v>
      </c>
      <c r="W3900" s="54" t="s">
        <v>2</v>
      </c>
      <c r="X3900" s="54" t="s">
        <v>2</v>
      </c>
      <c r="Y3900" s="54" t="s">
        <v>2</v>
      </c>
      <c r="Z3900" s="54" t="s">
        <v>2</v>
      </c>
      <c r="AA3900" s="54" t="s">
        <v>2</v>
      </c>
      <c r="AB3900" s="54" t="s">
        <v>2</v>
      </c>
      <c r="AC3900" s="54" t="s">
        <v>2</v>
      </c>
      <c r="AD3900" s="54" t="s">
        <v>2</v>
      </c>
      <c r="AE3900" s="54" t="s">
        <v>2</v>
      </c>
      <c r="AF3900" s="54" t="s">
        <v>2</v>
      </c>
      <c r="AG3900" s="54" t="s">
        <v>2</v>
      </c>
    </row>
    <row r="3901" ht="15.75" customHeight="1">
      <c r="B3901" s="56"/>
      <c r="U3901" s="46" t="str">
        <f t="array" ref="U3901">IF($D3901="","",IFERROR(_xlfn.XLOOKUP($D3901,'TIR店舗一覧'!$D:$D,'TIR店舗一覧'!$E:$E,""),""))</f>
        <v/>
      </c>
      <c r="V3901" s="54" t="s">
        <v>2</v>
      </c>
      <c r="W3901" s="54" t="s">
        <v>2</v>
      </c>
      <c r="X3901" s="54" t="s">
        <v>2</v>
      </c>
      <c r="Y3901" s="54" t="s">
        <v>2</v>
      </c>
      <c r="Z3901" s="54" t="s">
        <v>2</v>
      </c>
      <c r="AA3901" s="54" t="s">
        <v>2</v>
      </c>
      <c r="AB3901" s="54" t="s">
        <v>2</v>
      </c>
      <c r="AC3901" s="54" t="s">
        <v>2</v>
      </c>
      <c r="AD3901" s="54" t="s">
        <v>2</v>
      </c>
      <c r="AE3901" s="54" t="s">
        <v>2</v>
      </c>
      <c r="AF3901" s="54" t="s">
        <v>2</v>
      </c>
      <c r="AG3901" s="54" t="s">
        <v>2</v>
      </c>
    </row>
    <row r="3902" ht="15.75" customHeight="1">
      <c r="B3902" s="56"/>
      <c r="U3902" s="46" t="str">
        <f t="array" ref="U3902">IF($D3902="","",IFERROR(_xlfn.XLOOKUP($D3902,'TIR店舗一覧'!$D:$D,'TIR店舗一覧'!$E:$E,""),""))</f>
        <v/>
      </c>
      <c r="V3902" s="54" t="s">
        <v>2</v>
      </c>
      <c r="W3902" s="54" t="s">
        <v>2</v>
      </c>
      <c r="X3902" s="54" t="s">
        <v>2</v>
      </c>
      <c r="Y3902" s="54" t="s">
        <v>2</v>
      </c>
      <c r="Z3902" s="54" t="s">
        <v>2</v>
      </c>
      <c r="AA3902" s="54" t="s">
        <v>2</v>
      </c>
      <c r="AB3902" s="54" t="s">
        <v>2</v>
      </c>
      <c r="AC3902" s="54" t="s">
        <v>2</v>
      </c>
      <c r="AD3902" s="54" t="s">
        <v>2</v>
      </c>
      <c r="AE3902" s="54" t="s">
        <v>2</v>
      </c>
      <c r="AF3902" s="54" t="s">
        <v>2</v>
      </c>
      <c r="AG3902" s="54" t="s">
        <v>2</v>
      </c>
    </row>
    <row r="3903" ht="15.75" customHeight="1">
      <c r="B3903" s="56"/>
      <c r="U3903" s="46" t="str">
        <f t="array" ref="U3903">IF($D3903="","",IFERROR(_xlfn.XLOOKUP($D3903,'TIR店舗一覧'!$D:$D,'TIR店舗一覧'!$E:$E,""),""))</f>
        <v/>
      </c>
      <c r="V3903" s="54" t="s">
        <v>2</v>
      </c>
      <c r="W3903" s="54" t="s">
        <v>2</v>
      </c>
      <c r="X3903" s="54" t="s">
        <v>2</v>
      </c>
      <c r="Y3903" s="54" t="s">
        <v>2</v>
      </c>
      <c r="Z3903" s="54" t="s">
        <v>2</v>
      </c>
      <c r="AA3903" s="54" t="s">
        <v>2</v>
      </c>
      <c r="AB3903" s="54" t="s">
        <v>2</v>
      </c>
      <c r="AC3903" s="54" t="s">
        <v>2</v>
      </c>
      <c r="AD3903" s="54" t="s">
        <v>2</v>
      </c>
      <c r="AE3903" s="54" t="s">
        <v>2</v>
      </c>
      <c r="AF3903" s="54" t="s">
        <v>2</v>
      </c>
      <c r="AG3903" s="54" t="s">
        <v>2</v>
      </c>
    </row>
    <row r="3904" ht="15.75" customHeight="1">
      <c r="B3904" s="56"/>
      <c r="U3904" s="46" t="str">
        <f t="array" ref="U3904">IF($D3904="","",IFERROR(_xlfn.XLOOKUP($D3904,'TIR店舗一覧'!$D:$D,'TIR店舗一覧'!$E:$E,""),""))</f>
        <v/>
      </c>
      <c r="V3904" s="54" t="s">
        <v>2</v>
      </c>
      <c r="W3904" s="54" t="s">
        <v>2</v>
      </c>
      <c r="X3904" s="54" t="s">
        <v>2</v>
      </c>
      <c r="Y3904" s="54" t="s">
        <v>2</v>
      </c>
      <c r="Z3904" s="54" t="s">
        <v>2</v>
      </c>
      <c r="AA3904" s="54" t="s">
        <v>2</v>
      </c>
      <c r="AB3904" s="54" t="s">
        <v>2</v>
      </c>
      <c r="AC3904" s="54" t="s">
        <v>2</v>
      </c>
      <c r="AD3904" s="54" t="s">
        <v>2</v>
      </c>
      <c r="AE3904" s="54" t="s">
        <v>2</v>
      </c>
      <c r="AF3904" s="54" t="s">
        <v>2</v>
      </c>
      <c r="AG3904" s="54" t="s">
        <v>2</v>
      </c>
    </row>
    <row r="3905" ht="15.75" customHeight="1">
      <c r="B3905" s="56"/>
      <c r="U3905" s="46" t="str">
        <f t="array" ref="U3905">IF($D3905="","",IFERROR(_xlfn.XLOOKUP($D3905,'TIR店舗一覧'!$D:$D,'TIR店舗一覧'!$E:$E,""),""))</f>
        <v/>
      </c>
      <c r="V3905" s="54" t="s">
        <v>2</v>
      </c>
      <c r="W3905" s="54" t="s">
        <v>2</v>
      </c>
      <c r="X3905" s="54" t="s">
        <v>2</v>
      </c>
      <c r="Y3905" s="54" t="s">
        <v>2</v>
      </c>
      <c r="Z3905" s="54" t="s">
        <v>2</v>
      </c>
      <c r="AA3905" s="54" t="s">
        <v>2</v>
      </c>
      <c r="AB3905" s="54" t="s">
        <v>2</v>
      </c>
      <c r="AC3905" s="54" t="s">
        <v>2</v>
      </c>
      <c r="AD3905" s="54" t="s">
        <v>2</v>
      </c>
      <c r="AE3905" s="54" t="s">
        <v>2</v>
      </c>
      <c r="AF3905" s="54" t="s">
        <v>2</v>
      </c>
      <c r="AG3905" s="54" t="s">
        <v>2</v>
      </c>
    </row>
    <row r="3906" ht="15.75" customHeight="1">
      <c r="B3906" s="56"/>
      <c r="U3906" s="46" t="str">
        <f t="array" ref="U3906">IF($D3906="","",IFERROR(_xlfn.XLOOKUP($D3906,'TIR店舗一覧'!$D:$D,'TIR店舗一覧'!$E:$E,""),""))</f>
        <v/>
      </c>
      <c r="V3906" s="54" t="s">
        <v>2</v>
      </c>
      <c r="W3906" s="54" t="s">
        <v>2</v>
      </c>
      <c r="X3906" s="54" t="s">
        <v>2</v>
      </c>
      <c r="Y3906" s="54" t="s">
        <v>2</v>
      </c>
      <c r="Z3906" s="54" t="s">
        <v>2</v>
      </c>
      <c r="AA3906" s="54" t="s">
        <v>2</v>
      </c>
      <c r="AB3906" s="54" t="s">
        <v>2</v>
      </c>
      <c r="AC3906" s="54" t="s">
        <v>2</v>
      </c>
      <c r="AD3906" s="54" t="s">
        <v>2</v>
      </c>
      <c r="AE3906" s="54" t="s">
        <v>2</v>
      </c>
      <c r="AF3906" s="54" t="s">
        <v>2</v>
      </c>
      <c r="AG3906" s="54" t="s">
        <v>2</v>
      </c>
    </row>
    <row r="3907" ht="15.75" customHeight="1">
      <c r="B3907" s="56"/>
      <c r="U3907" s="46" t="str">
        <f t="array" ref="U3907">IF($D3907="","",IFERROR(_xlfn.XLOOKUP($D3907,'TIR店舗一覧'!$D:$D,'TIR店舗一覧'!$E:$E,""),""))</f>
        <v/>
      </c>
      <c r="V3907" s="54" t="s">
        <v>2</v>
      </c>
      <c r="W3907" s="54" t="s">
        <v>2</v>
      </c>
      <c r="X3907" s="54" t="s">
        <v>2</v>
      </c>
      <c r="Y3907" s="54" t="s">
        <v>2</v>
      </c>
      <c r="Z3907" s="54" t="s">
        <v>2</v>
      </c>
      <c r="AA3907" s="54" t="s">
        <v>2</v>
      </c>
      <c r="AB3907" s="54" t="s">
        <v>2</v>
      </c>
      <c r="AC3907" s="54" t="s">
        <v>2</v>
      </c>
      <c r="AD3907" s="54" t="s">
        <v>2</v>
      </c>
      <c r="AE3907" s="54" t="s">
        <v>2</v>
      </c>
      <c r="AF3907" s="54" t="s">
        <v>2</v>
      </c>
      <c r="AG3907" s="54" t="s">
        <v>2</v>
      </c>
    </row>
    <row r="3908" ht="15.75" customHeight="1">
      <c r="B3908" s="56"/>
      <c r="U3908" s="46" t="str">
        <f t="array" ref="U3908">IF($D3908="","",IFERROR(_xlfn.XLOOKUP($D3908,'TIR店舗一覧'!$D:$D,'TIR店舗一覧'!$E:$E,""),""))</f>
        <v/>
      </c>
      <c r="V3908" s="54" t="s">
        <v>2</v>
      </c>
      <c r="W3908" s="54" t="s">
        <v>2</v>
      </c>
      <c r="X3908" s="54" t="s">
        <v>2</v>
      </c>
      <c r="Y3908" s="54" t="s">
        <v>2</v>
      </c>
      <c r="Z3908" s="54" t="s">
        <v>2</v>
      </c>
      <c r="AA3908" s="54" t="s">
        <v>2</v>
      </c>
      <c r="AB3908" s="54" t="s">
        <v>2</v>
      </c>
      <c r="AC3908" s="54" t="s">
        <v>2</v>
      </c>
      <c r="AD3908" s="54" t="s">
        <v>2</v>
      </c>
      <c r="AE3908" s="54" t="s">
        <v>2</v>
      </c>
      <c r="AF3908" s="54" t="s">
        <v>2</v>
      </c>
      <c r="AG3908" s="54" t="s">
        <v>2</v>
      </c>
    </row>
    <row r="3909" ht="15.75" customHeight="1">
      <c r="B3909" s="56"/>
      <c r="U3909" s="46" t="str">
        <f t="array" ref="U3909">IF($D3909="","",IFERROR(_xlfn.XLOOKUP($D3909,'TIR店舗一覧'!$D:$D,'TIR店舗一覧'!$E:$E,""),""))</f>
        <v/>
      </c>
      <c r="V3909" s="54" t="s">
        <v>2</v>
      </c>
      <c r="W3909" s="54" t="s">
        <v>2</v>
      </c>
      <c r="X3909" s="54" t="s">
        <v>2</v>
      </c>
      <c r="Y3909" s="54" t="s">
        <v>2</v>
      </c>
      <c r="Z3909" s="54" t="s">
        <v>2</v>
      </c>
      <c r="AA3909" s="54" t="s">
        <v>2</v>
      </c>
      <c r="AB3909" s="54" t="s">
        <v>2</v>
      </c>
      <c r="AC3909" s="54" t="s">
        <v>2</v>
      </c>
      <c r="AD3909" s="54" t="s">
        <v>2</v>
      </c>
      <c r="AE3909" s="54" t="s">
        <v>2</v>
      </c>
      <c r="AF3909" s="54" t="s">
        <v>2</v>
      </c>
      <c r="AG3909" s="54" t="s">
        <v>2</v>
      </c>
    </row>
    <row r="3910" ht="15.75" customHeight="1">
      <c r="B3910" s="56"/>
      <c r="U3910" s="46" t="str">
        <f t="array" ref="U3910">IF($D3910="","",IFERROR(_xlfn.XLOOKUP($D3910,'TIR店舗一覧'!$D:$D,'TIR店舗一覧'!$E:$E,""),""))</f>
        <v/>
      </c>
      <c r="V3910" s="54" t="s">
        <v>2</v>
      </c>
      <c r="W3910" s="54" t="s">
        <v>2</v>
      </c>
      <c r="X3910" s="54" t="s">
        <v>2</v>
      </c>
      <c r="Y3910" s="54" t="s">
        <v>2</v>
      </c>
      <c r="Z3910" s="54" t="s">
        <v>2</v>
      </c>
      <c r="AA3910" s="54" t="s">
        <v>2</v>
      </c>
      <c r="AB3910" s="54" t="s">
        <v>2</v>
      </c>
      <c r="AC3910" s="54" t="s">
        <v>2</v>
      </c>
      <c r="AD3910" s="54" t="s">
        <v>2</v>
      </c>
      <c r="AE3910" s="54" t="s">
        <v>2</v>
      </c>
      <c r="AF3910" s="54" t="s">
        <v>2</v>
      </c>
      <c r="AG3910" s="54" t="s">
        <v>2</v>
      </c>
    </row>
    <row r="3911" ht="15.75" customHeight="1">
      <c r="B3911" s="56"/>
      <c r="U3911" s="46" t="str">
        <f t="array" ref="U3911">IF($D3911="","",IFERROR(_xlfn.XLOOKUP($D3911,'TIR店舗一覧'!$D:$D,'TIR店舗一覧'!$E:$E,""),""))</f>
        <v/>
      </c>
      <c r="V3911" s="54" t="s">
        <v>2</v>
      </c>
      <c r="W3911" s="54" t="s">
        <v>2</v>
      </c>
      <c r="X3911" s="54" t="s">
        <v>2</v>
      </c>
      <c r="Y3911" s="54" t="s">
        <v>2</v>
      </c>
      <c r="Z3911" s="54" t="s">
        <v>2</v>
      </c>
      <c r="AA3911" s="54" t="s">
        <v>2</v>
      </c>
      <c r="AB3911" s="54" t="s">
        <v>2</v>
      </c>
      <c r="AC3911" s="54" t="s">
        <v>2</v>
      </c>
      <c r="AD3911" s="54" t="s">
        <v>2</v>
      </c>
      <c r="AE3911" s="54" t="s">
        <v>2</v>
      </c>
      <c r="AF3911" s="54" t="s">
        <v>2</v>
      </c>
      <c r="AG3911" s="54" t="s">
        <v>2</v>
      </c>
    </row>
    <row r="3912" ht="15.75" customHeight="1">
      <c r="B3912" s="56"/>
      <c r="U3912" s="46" t="str">
        <f t="array" ref="U3912">IF($D3912="","",IFERROR(_xlfn.XLOOKUP($D3912,'TIR店舗一覧'!$D:$D,'TIR店舗一覧'!$E:$E,""),""))</f>
        <v/>
      </c>
      <c r="V3912" s="54" t="s">
        <v>2</v>
      </c>
      <c r="W3912" s="54" t="s">
        <v>2</v>
      </c>
      <c r="X3912" s="54" t="s">
        <v>2</v>
      </c>
      <c r="Y3912" s="54" t="s">
        <v>2</v>
      </c>
      <c r="Z3912" s="54" t="s">
        <v>2</v>
      </c>
      <c r="AA3912" s="54" t="s">
        <v>2</v>
      </c>
      <c r="AB3912" s="54" t="s">
        <v>2</v>
      </c>
      <c r="AC3912" s="54" t="s">
        <v>2</v>
      </c>
      <c r="AD3912" s="54" t="s">
        <v>2</v>
      </c>
      <c r="AE3912" s="54" t="s">
        <v>2</v>
      </c>
      <c r="AF3912" s="54" t="s">
        <v>2</v>
      </c>
      <c r="AG3912" s="54" t="s">
        <v>2</v>
      </c>
    </row>
    <row r="3913" ht="15.75" customHeight="1">
      <c r="B3913" s="56"/>
      <c r="U3913" s="46" t="str">
        <f t="array" ref="U3913">IF($D3913="","",IFERROR(_xlfn.XLOOKUP($D3913,'TIR店舗一覧'!$D:$D,'TIR店舗一覧'!$E:$E,""),""))</f>
        <v/>
      </c>
      <c r="V3913" s="54" t="s">
        <v>2</v>
      </c>
      <c r="W3913" s="54" t="s">
        <v>2</v>
      </c>
      <c r="X3913" s="54" t="s">
        <v>2</v>
      </c>
      <c r="Y3913" s="54" t="s">
        <v>2</v>
      </c>
      <c r="Z3913" s="54" t="s">
        <v>2</v>
      </c>
      <c r="AA3913" s="54" t="s">
        <v>2</v>
      </c>
      <c r="AB3913" s="54" t="s">
        <v>2</v>
      </c>
      <c r="AC3913" s="54" t="s">
        <v>2</v>
      </c>
      <c r="AD3913" s="54" t="s">
        <v>2</v>
      </c>
      <c r="AE3913" s="54" t="s">
        <v>2</v>
      </c>
      <c r="AF3913" s="54" t="s">
        <v>2</v>
      </c>
      <c r="AG3913" s="54" t="s">
        <v>2</v>
      </c>
    </row>
    <row r="3914" ht="15.75" customHeight="1">
      <c r="B3914" s="56"/>
      <c r="U3914" s="46" t="str">
        <f t="array" ref="U3914">IF($D3914="","",IFERROR(_xlfn.XLOOKUP($D3914,'TIR店舗一覧'!$D:$D,'TIR店舗一覧'!$E:$E,""),""))</f>
        <v/>
      </c>
      <c r="V3914" s="54" t="s">
        <v>2</v>
      </c>
      <c r="W3914" s="54" t="s">
        <v>2</v>
      </c>
      <c r="X3914" s="54" t="s">
        <v>2</v>
      </c>
      <c r="Y3914" s="54" t="s">
        <v>2</v>
      </c>
      <c r="Z3914" s="54" t="s">
        <v>2</v>
      </c>
      <c r="AA3914" s="54" t="s">
        <v>2</v>
      </c>
      <c r="AB3914" s="54" t="s">
        <v>2</v>
      </c>
      <c r="AC3914" s="54" t="s">
        <v>2</v>
      </c>
      <c r="AD3914" s="54" t="s">
        <v>2</v>
      </c>
      <c r="AE3914" s="54" t="s">
        <v>2</v>
      </c>
      <c r="AF3914" s="54" t="s">
        <v>2</v>
      </c>
      <c r="AG3914" s="54" t="s">
        <v>2</v>
      </c>
    </row>
    <row r="3915" ht="15.75" customHeight="1">
      <c r="B3915" s="56"/>
      <c r="U3915" s="46" t="str">
        <f t="array" ref="U3915">IF($D3915="","",IFERROR(_xlfn.XLOOKUP($D3915,'TIR店舗一覧'!$D:$D,'TIR店舗一覧'!$E:$E,""),""))</f>
        <v/>
      </c>
      <c r="V3915" s="54" t="s">
        <v>2</v>
      </c>
      <c r="W3915" s="54" t="s">
        <v>2</v>
      </c>
      <c r="X3915" s="54" t="s">
        <v>2</v>
      </c>
      <c r="Y3915" s="54" t="s">
        <v>2</v>
      </c>
      <c r="Z3915" s="54" t="s">
        <v>2</v>
      </c>
      <c r="AA3915" s="54" t="s">
        <v>2</v>
      </c>
      <c r="AB3915" s="54" t="s">
        <v>2</v>
      </c>
      <c r="AC3915" s="54" t="s">
        <v>2</v>
      </c>
      <c r="AD3915" s="54" t="s">
        <v>2</v>
      </c>
      <c r="AE3915" s="54" t="s">
        <v>2</v>
      </c>
      <c r="AF3915" s="54" t="s">
        <v>2</v>
      </c>
      <c r="AG3915" s="54" t="s">
        <v>2</v>
      </c>
    </row>
    <row r="3916" ht="15.75" customHeight="1">
      <c r="B3916" s="56"/>
      <c r="U3916" s="46" t="str">
        <f t="array" ref="U3916">IF($D3916="","",IFERROR(_xlfn.XLOOKUP($D3916,'TIR店舗一覧'!$D:$D,'TIR店舗一覧'!$E:$E,""),""))</f>
        <v/>
      </c>
      <c r="V3916" s="54" t="s">
        <v>2</v>
      </c>
      <c r="W3916" s="54" t="s">
        <v>2</v>
      </c>
      <c r="X3916" s="54" t="s">
        <v>2</v>
      </c>
      <c r="Y3916" s="54" t="s">
        <v>2</v>
      </c>
      <c r="Z3916" s="54" t="s">
        <v>2</v>
      </c>
      <c r="AA3916" s="54" t="s">
        <v>2</v>
      </c>
      <c r="AB3916" s="54" t="s">
        <v>2</v>
      </c>
      <c r="AC3916" s="54" t="s">
        <v>2</v>
      </c>
      <c r="AD3916" s="54" t="s">
        <v>2</v>
      </c>
      <c r="AE3916" s="54" t="s">
        <v>2</v>
      </c>
      <c r="AF3916" s="54" t="s">
        <v>2</v>
      </c>
      <c r="AG3916" s="54" t="s">
        <v>2</v>
      </c>
    </row>
    <row r="3917" ht="15.75" customHeight="1">
      <c r="B3917" s="56"/>
      <c r="U3917" s="46" t="str">
        <f t="array" ref="U3917">IF($D3917="","",IFERROR(_xlfn.XLOOKUP($D3917,'TIR店舗一覧'!$D:$D,'TIR店舗一覧'!$E:$E,""),""))</f>
        <v/>
      </c>
      <c r="V3917" s="54" t="s">
        <v>2</v>
      </c>
      <c r="W3917" s="54" t="s">
        <v>2</v>
      </c>
      <c r="X3917" s="54" t="s">
        <v>2</v>
      </c>
      <c r="Y3917" s="54" t="s">
        <v>2</v>
      </c>
      <c r="Z3917" s="54" t="s">
        <v>2</v>
      </c>
      <c r="AA3917" s="54" t="s">
        <v>2</v>
      </c>
      <c r="AB3917" s="54" t="s">
        <v>2</v>
      </c>
      <c r="AC3917" s="54" t="s">
        <v>2</v>
      </c>
      <c r="AD3917" s="54" t="s">
        <v>2</v>
      </c>
      <c r="AE3917" s="54" t="s">
        <v>2</v>
      </c>
      <c r="AF3917" s="54" t="s">
        <v>2</v>
      </c>
      <c r="AG3917" s="54" t="s">
        <v>2</v>
      </c>
    </row>
    <row r="3918" ht="15.75" customHeight="1">
      <c r="B3918" s="56"/>
      <c r="U3918" s="46" t="str">
        <f t="array" ref="U3918">IF($D3918="","",IFERROR(_xlfn.XLOOKUP($D3918,'TIR店舗一覧'!$D:$D,'TIR店舗一覧'!$E:$E,""),""))</f>
        <v/>
      </c>
      <c r="V3918" s="54" t="s">
        <v>2</v>
      </c>
      <c r="W3918" s="54" t="s">
        <v>2</v>
      </c>
      <c r="X3918" s="54" t="s">
        <v>2</v>
      </c>
      <c r="Y3918" s="54" t="s">
        <v>2</v>
      </c>
      <c r="Z3918" s="54" t="s">
        <v>2</v>
      </c>
      <c r="AA3918" s="54" t="s">
        <v>2</v>
      </c>
      <c r="AB3918" s="54" t="s">
        <v>2</v>
      </c>
      <c r="AC3918" s="54" t="s">
        <v>2</v>
      </c>
      <c r="AD3918" s="54" t="s">
        <v>2</v>
      </c>
      <c r="AE3918" s="54" t="s">
        <v>2</v>
      </c>
      <c r="AF3918" s="54" t="s">
        <v>2</v>
      </c>
      <c r="AG3918" s="54" t="s">
        <v>2</v>
      </c>
    </row>
    <row r="3919" ht="15.75" customHeight="1">
      <c r="B3919" s="56"/>
      <c r="U3919" s="46" t="str">
        <f t="array" ref="U3919">IF($D3919="","",IFERROR(_xlfn.XLOOKUP($D3919,'TIR店舗一覧'!$D:$D,'TIR店舗一覧'!$E:$E,""),""))</f>
        <v/>
      </c>
      <c r="V3919" s="54" t="s">
        <v>2</v>
      </c>
      <c r="W3919" s="54" t="s">
        <v>2</v>
      </c>
      <c r="X3919" s="54" t="s">
        <v>2</v>
      </c>
      <c r="Y3919" s="54" t="s">
        <v>2</v>
      </c>
      <c r="Z3919" s="54" t="s">
        <v>2</v>
      </c>
      <c r="AA3919" s="54" t="s">
        <v>2</v>
      </c>
      <c r="AB3919" s="54" t="s">
        <v>2</v>
      </c>
      <c r="AC3919" s="54" t="s">
        <v>2</v>
      </c>
      <c r="AD3919" s="54" t="s">
        <v>2</v>
      </c>
      <c r="AE3919" s="54" t="s">
        <v>2</v>
      </c>
      <c r="AF3919" s="54" t="s">
        <v>2</v>
      </c>
      <c r="AG3919" s="54" t="s">
        <v>2</v>
      </c>
    </row>
    <row r="3920" ht="15.75" customHeight="1">
      <c r="B3920" s="56"/>
      <c r="U3920" s="46" t="str">
        <f t="array" ref="U3920">IF($D3920="","",IFERROR(_xlfn.XLOOKUP($D3920,'TIR店舗一覧'!$D:$D,'TIR店舗一覧'!$E:$E,""),""))</f>
        <v/>
      </c>
      <c r="V3920" s="54" t="s">
        <v>2</v>
      </c>
      <c r="W3920" s="54" t="s">
        <v>2</v>
      </c>
      <c r="X3920" s="54" t="s">
        <v>2</v>
      </c>
      <c r="Y3920" s="54" t="s">
        <v>2</v>
      </c>
      <c r="Z3920" s="54" t="s">
        <v>2</v>
      </c>
      <c r="AA3920" s="54" t="s">
        <v>2</v>
      </c>
      <c r="AB3920" s="54" t="s">
        <v>2</v>
      </c>
      <c r="AC3920" s="54" t="s">
        <v>2</v>
      </c>
      <c r="AD3920" s="54" t="s">
        <v>2</v>
      </c>
      <c r="AE3920" s="54" t="s">
        <v>2</v>
      </c>
      <c r="AF3920" s="54" t="s">
        <v>2</v>
      </c>
      <c r="AG3920" s="54" t="s">
        <v>2</v>
      </c>
    </row>
    <row r="3921" ht="15.75" customHeight="1">
      <c r="B3921" s="56"/>
      <c r="U3921" s="46" t="str">
        <f t="array" ref="U3921">IF($D3921="","",IFERROR(_xlfn.XLOOKUP($D3921,'TIR店舗一覧'!$D:$D,'TIR店舗一覧'!$E:$E,""),""))</f>
        <v/>
      </c>
      <c r="V3921" s="54" t="s">
        <v>2</v>
      </c>
      <c r="W3921" s="54" t="s">
        <v>2</v>
      </c>
      <c r="X3921" s="54" t="s">
        <v>2</v>
      </c>
      <c r="Y3921" s="54" t="s">
        <v>2</v>
      </c>
      <c r="Z3921" s="54" t="s">
        <v>2</v>
      </c>
      <c r="AA3921" s="54" t="s">
        <v>2</v>
      </c>
      <c r="AB3921" s="54" t="s">
        <v>2</v>
      </c>
      <c r="AC3921" s="54" t="s">
        <v>2</v>
      </c>
      <c r="AD3921" s="54" t="s">
        <v>2</v>
      </c>
      <c r="AE3921" s="54" t="s">
        <v>2</v>
      </c>
      <c r="AF3921" s="54" t="s">
        <v>2</v>
      </c>
      <c r="AG3921" s="54" t="s">
        <v>2</v>
      </c>
    </row>
    <row r="3922" ht="15.75" customHeight="1">
      <c r="B3922" s="56"/>
      <c r="U3922" s="46" t="str">
        <f t="array" ref="U3922">IF($D3922="","",IFERROR(_xlfn.XLOOKUP($D3922,'TIR店舗一覧'!$D:$D,'TIR店舗一覧'!$E:$E,""),""))</f>
        <v/>
      </c>
      <c r="V3922" s="54" t="s">
        <v>2</v>
      </c>
      <c r="W3922" s="54" t="s">
        <v>2</v>
      </c>
      <c r="X3922" s="54" t="s">
        <v>2</v>
      </c>
      <c r="Y3922" s="54" t="s">
        <v>2</v>
      </c>
      <c r="Z3922" s="54" t="s">
        <v>2</v>
      </c>
      <c r="AA3922" s="54" t="s">
        <v>2</v>
      </c>
      <c r="AB3922" s="54" t="s">
        <v>2</v>
      </c>
      <c r="AC3922" s="54" t="s">
        <v>2</v>
      </c>
      <c r="AD3922" s="54" t="s">
        <v>2</v>
      </c>
      <c r="AE3922" s="54" t="s">
        <v>2</v>
      </c>
      <c r="AF3922" s="54" t="s">
        <v>2</v>
      </c>
      <c r="AG3922" s="54" t="s">
        <v>2</v>
      </c>
    </row>
    <row r="3923" ht="15.75" customHeight="1">
      <c r="B3923" s="56"/>
      <c r="U3923" s="46" t="str">
        <f t="array" ref="U3923">IF($D3923="","",IFERROR(_xlfn.XLOOKUP($D3923,'TIR店舗一覧'!$D:$D,'TIR店舗一覧'!$E:$E,""),""))</f>
        <v/>
      </c>
      <c r="V3923" s="54" t="s">
        <v>2</v>
      </c>
      <c r="W3923" s="54" t="s">
        <v>2</v>
      </c>
      <c r="X3923" s="54" t="s">
        <v>2</v>
      </c>
      <c r="Y3923" s="54" t="s">
        <v>2</v>
      </c>
      <c r="Z3923" s="54" t="s">
        <v>2</v>
      </c>
      <c r="AA3923" s="54" t="s">
        <v>2</v>
      </c>
      <c r="AB3923" s="54" t="s">
        <v>2</v>
      </c>
      <c r="AC3923" s="54" t="s">
        <v>2</v>
      </c>
      <c r="AD3923" s="54" t="s">
        <v>2</v>
      </c>
      <c r="AE3923" s="54" t="s">
        <v>2</v>
      </c>
      <c r="AF3923" s="54" t="s">
        <v>2</v>
      </c>
      <c r="AG3923" s="54" t="s">
        <v>2</v>
      </c>
    </row>
    <row r="3924" ht="15.75" customHeight="1">
      <c r="B3924" s="56"/>
      <c r="U3924" s="46" t="str">
        <f t="array" ref="U3924">IF($D3924="","",IFERROR(_xlfn.XLOOKUP($D3924,'TIR店舗一覧'!$D:$D,'TIR店舗一覧'!$E:$E,""),""))</f>
        <v/>
      </c>
      <c r="V3924" s="54" t="s">
        <v>2</v>
      </c>
      <c r="W3924" s="54" t="s">
        <v>2</v>
      </c>
      <c r="X3924" s="54" t="s">
        <v>2</v>
      </c>
      <c r="Y3924" s="54" t="s">
        <v>2</v>
      </c>
      <c r="Z3924" s="54" t="s">
        <v>2</v>
      </c>
      <c r="AA3924" s="54" t="s">
        <v>2</v>
      </c>
      <c r="AB3924" s="54" t="s">
        <v>2</v>
      </c>
      <c r="AC3924" s="54" t="s">
        <v>2</v>
      </c>
      <c r="AD3924" s="54" t="s">
        <v>2</v>
      </c>
      <c r="AE3924" s="54" t="s">
        <v>2</v>
      </c>
      <c r="AF3924" s="54" t="s">
        <v>2</v>
      </c>
      <c r="AG3924" s="54" t="s">
        <v>2</v>
      </c>
    </row>
    <row r="3925" ht="15.75" customHeight="1">
      <c r="B3925" s="56"/>
      <c r="U3925" s="46" t="str">
        <f t="array" ref="U3925">IF($D3925="","",IFERROR(_xlfn.XLOOKUP($D3925,'TIR店舗一覧'!$D:$D,'TIR店舗一覧'!$E:$E,""),""))</f>
        <v/>
      </c>
      <c r="V3925" s="54" t="s">
        <v>2</v>
      </c>
      <c r="W3925" s="54" t="s">
        <v>2</v>
      </c>
      <c r="X3925" s="54" t="s">
        <v>2</v>
      </c>
      <c r="Y3925" s="54" t="s">
        <v>2</v>
      </c>
      <c r="Z3925" s="54" t="s">
        <v>2</v>
      </c>
      <c r="AA3925" s="54" t="s">
        <v>2</v>
      </c>
      <c r="AB3925" s="54" t="s">
        <v>2</v>
      </c>
      <c r="AC3925" s="54" t="s">
        <v>2</v>
      </c>
      <c r="AD3925" s="54" t="s">
        <v>2</v>
      </c>
      <c r="AE3925" s="54" t="s">
        <v>2</v>
      </c>
      <c r="AF3925" s="54" t="s">
        <v>2</v>
      </c>
      <c r="AG3925" s="54" t="s">
        <v>2</v>
      </c>
    </row>
    <row r="3926" ht="15.75" customHeight="1">
      <c r="B3926" s="56"/>
      <c r="U3926" s="46" t="str">
        <f t="array" ref="U3926">IF($D3926="","",IFERROR(_xlfn.XLOOKUP($D3926,'TIR店舗一覧'!$D:$D,'TIR店舗一覧'!$E:$E,""),""))</f>
        <v/>
      </c>
      <c r="V3926" s="54" t="s">
        <v>2</v>
      </c>
      <c r="W3926" s="54" t="s">
        <v>2</v>
      </c>
      <c r="X3926" s="54" t="s">
        <v>2</v>
      </c>
      <c r="Y3926" s="54" t="s">
        <v>2</v>
      </c>
      <c r="Z3926" s="54" t="s">
        <v>2</v>
      </c>
      <c r="AA3926" s="54" t="s">
        <v>2</v>
      </c>
      <c r="AB3926" s="54" t="s">
        <v>2</v>
      </c>
      <c r="AC3926" s="54" t="s">
        <v>2</v>
      </c>
      <c r="AD3926" s="54" t="s">
        <v>2</v>
      </c>
      <c r="AE3926" s="54" t="s">
        <v>2</v>
      </c>
      <c r="AF3926" s="54" t="s">
        <v>2</v>
      </c>
      <c r="AG3926" s="54" t="s">
        <v>2</v>
      </c>
    </row>
    <row r="3927" ht="15.75" customHeight="1">
      <c r="B3927" s="56"/>
      <c r="U3927" s="46" t="str">
        <f t="array" ref="U3927">IF($D3927="","",IFERROR(_xlfn.XLOOKUP($D3927,'TIR店舗一覧'!$D:$D,'TIR店舗一覧'!$E:$E,""),""))</f>
        <v/>
      </c>
      <c r="V3927" s="54" t="s">
        <v>2</v>
      </c>
      <c r="W3927" s="54" t="s">
        <v>2</v>
      </c>
      <c r="X3927" s="54" t="s">
        <v>2</v>
      </c>
      <c r="Y3927" s="54" t="s">
        <v>2</v>
      </c>
      <c r="Z3927" s="54" t="s">
        <v>2</v>
      </c>
      <c r="AA3927" s="54" t="s">
        <v>2</v>
      </c>
      <c r="AB3927" s="54" t="s">
        <v>2</v>
      </c>
      <c r="AC3927" s="54" t="s">
        <v>2</v>
      </c>
      <c r="AD3927" s="54" t="s">
        <v>2</v>
      </c>
      <c r="AE3927" s="54" t="s">
        <v>2</v>
      </c>
      <c r="AF3927" s="54" t="s">
        <v>2</v>
      </c>
      <c r="AG3927" s="54" t="s">
        <v>2</v>
      </c>
    </row>
    <row r="3928" ht="15.75" customHeight="1">
      <c r="B3928" s="56"/>
      <c r="U3928" s="46" t="str">
        <f t="array" ref="U3928">IF($D3928="","",IFERROR(_xlfn.XLOOKUP($D3928,'TIR店舗一覧'!$D:$D,'TIR店舗一覧'!$E:$E,""),""))</f>
        <v/>
      </c>
      <c r="V3928" s="54" t="s">
        <v>2</v>
      </c>
      <c r="W3928" s="54" t="s">
        <v>2</v>
      </c>
      <c r="X3928" s="54" t="s">
        <v>2</v>
      </c>
      <c r="Y3928" s="54" t="s">
        <v>2</v>
      </c>
      <c r="Z3928" s="54" t="s">
        <v>2</v>
      </c>
      <c r="AA3928" s="54" t="s">
        <v>2</v>
      </c>
      <c r="AB3928" s="54" t="s">
        <v>2</v>
      </c>
      <c r="AC3928" s="54" t="s">
        <v>2</v>
      </c>
      <c r="AD3928" s="54" t="s">
        <v>2</v>
      </c>
      <c r="AE3928" s="54" t="s">
        <v>2</v>
      </c>
      <c r="AF3928" s="54" t="s">
        <v>2</v>
      </c>
      <c r="AG3928" s="54" t="s">
        <v>2</v>
      </c>
    </row>
    <row r="3929" ht="15.75" customHeight="1">
      <c r="B3929" s="56"/>
      <c r="U3929" s="46" t="str">
        <f t="array" ref="U3929">IF($D3929="","",IFERROR(_xlfn.XLOOKUP($D3929,'TIR店舗一覧'!$D:$D,'TIR店舗一覧'!$E:$E,""),""))</f>
        <v/>
      </c>
      <c r="V3929" s="54" t="s">
        <v>2</v>
      </c>
      <c r="W3929" s="54" t="s">
        <v>2</v>
      </c>
      <c r="X3929" s="54" t="s">
        <v>2</v>
      </c>
      <c r="Y3929" s="54" t="s">
        <v>2</v>
      </c>
      <c r="Z3929" s="54" t="s">
        <v>2</v>
      </c>
      <c r="AA3929" s="54" t="s">
        <v>2</v>
      </c>
      <c r="AB3929" s="54" t="s">
        <v>2</v>
      </c>
      <c r="AC3929" s="54" t="s">
        <v>2</v>
      </c>
      <c r="AD3929" s="54" t="s">
        <v>2</v>
      </c>
      <c r="AE3929" s="54" t="s">
        <v>2</v>
      </c>
      <c r="AF3929" s="54" t="s">
        <v>2</v>
      </c>
      <c r="AG3929" s="54" t="s">
        <v>2</v>
      </c>
    </row>
    <row r="3930" ht="15.75" customHeight="1">
      <c r="B3930" s="56"/>
      <c r="U3930" s="46" t="str">
        <f t="array" ref="U3930">IF($D3930="","",IFERROR(_xlfn.XLOOKUP($D3930,'TIR店舗一覧'!$D:$D,'TIR店舗一覧'!$E:$E,""),""))</f>
        <v/>
      </c>
      <c r="V3930" s="54" t="s">
        <v>2</v>
      </c>
      <c r="W3930" s="54" t="s">
        <v>2</v>
      </c>
      <c r="X3930" s="54" t="s">
        <v>2</v>
      </c>
      <c r="Y3930" s="54" t="s">
        <v>2</v>
      </c>
      <c r="Z3930" s="54" t="s">
        <v>2</v>
      </c>
      <c r="AA3930" s="54" t="s">
        <v>2</v>
      </c>
      <c r="AB3930" s="54" t="s">
        <v>2</v>
      </c>
      <c r="AC3930" s="54" t="s">
        <v>2</v>
      </c>
      <c r="AD3930" s="54" t="s">
        <v>2</v>
      </c>
      <c r="AE3930" s="54" t="s">
        <v>2</v>
      </c>
      <c r="AF3930" s="54" t="s">
        <v>2</v>
      </c>
      <c r="AG3930" s="54" t="s">
        <v>2</v>
      </c>
    </row>
    <row r="3931" ht="15.75" customHeight="1">
      <c r="B3931" s="56"/>
      <c r="U3931" s="46" t="str">
        <f t="array" ref="U3931">IF($D3931="","",IFERROR(_xlfn.XLOOKUP($D3931,'TIR店舗一覧'!$D:$D,'TIR店舗一覧'!$E:$E,""),""))</f>
        <v/>
      </c>
      <c r="V3931" s="54" t="s">
        <v>2</v>
      </c>
      <c r="W3931" s="54" t="s">
        <v>2</v>
      </c>
      <c r="X3931" s="54" t="s">
        <v>2</v>
      </c>
      <c r="Y3931" s="54" t="s">
        <v>2</v>
      </c>
      <c r="Z3931" s="54" t="s">
        <v>2</v>
      </c>
      <c r="AA3931" s="54" t="s">
        <v>2</v>
      </c>
      <c r="AB3931" s="54" t="s">
        <v>2</v>
      </c>
      <c r="AC3931" s="54" t="s">
        <v>2</v>
      </c>
      <c r="AD3931" s="54" t="s">
        <v>2</v>
      </c>
      <c r="AE3931" s="54" t="s">
        <v>2</v>
      </c>
      <c r="AF3931" s="54" t="s">
        <v>2</v>
      </c>
      <c r="AG3931" s="54" t="s">
        <v>2</v>
      </c>
    </row>
    <row r="3932" ht="15.75" customHeight="1">
      <c r="B3932" s="56"/>
      <c r="U3932" s="46" t="str">
        <f t="array" ref="U3932">IF($D3932="","",IFERROR(_xlfn.XLOOKUP($D3932,'TIR店舗一覧'!$D:$D,'TIR店舗一覧'!$E:$E,""),""))</f>
        <v/>
      </c>
      <c r="V3932" s="54" t="s">
        <v>2</v>
      </c>
      <c r="W3932" s="54" t="s">
        <v>2</v>
      </c>
      <c r="X3932" s="54" t="s">
        <v>2</v>
      </c>
      <c r="Y3932" s="54" t="s">
        <v>2</v>
      </c>
      <c r="Z3932" s="54" t="s">
        <v>2</v>
      </c>
      <c r="AA3932" s="54" t="s">
        <v>2</v>
      </c>
      <c r="AB3932" s="54" t="s">
        <v>2</v>
      </c>
      <c r="AC3932" s="54" t="s">
        <v>2</v>
      </c>
      <c r="AD3932" s="54" t="s">
        <v>2</v>
      </c>
      <c r="AE3932" s="54" t="s">
        <v>2</v>
      </c>
      <c r="AF3932" s="54" t="s">
        <v>2</v>
      </c>
      <c r="AG3932" s="54" t="s">
        <v>2</v>
      </c>
    </row>
    <row r="3933" ht="15.75" customHeight="1">
      <c r="B3933" s="56"/>
      <c r="U3933" s="46" t="str">
        <f t="array" ref="U3933">IF($D3933="","",IFERROR(_xlfn.XLOOKUP($D3933,'TIR店舗一覧'!$D:$D,'TIR店舗一覧'!$E:$E,""),""))</f>
        <v/>
      </c>
      <c r="V3933" s="54" t="s">
        <v>2</v>
      </c>
      <c r="W3933" s="54" t="s">
        <v>2</v>
      </c>
      <c r="X3933" s="54" t="s">
        <v>2</v>
      </c>
      <c r="Y3933" s="54" t="s">
        <v>2</v>
      </c>
      <c r="Z3933" s="54" t="s">
        <v>2</v>
      </c>
      <c r="AA3933" s="54" t="s">
        <v>2</v>
      </c>
      <c r="AB3933" s="54" t="s">
        <v>2</v>
      </c>
      <c r="AC3933" s="54" t="s">
        <v>2</v>
      </c>
      <c r="AD3933" s="54" t="s">
        <v>2</v>
      </c>
      <c r="AE3933" s="54" t="s">
        <v>2</v>
      </c>
      <c r="AF3933" s="54" t="s">
        <v>2</v>
      </c>
      <c r="AG3933" s="54" t="s">
        <v>2</v>
      </c>
    </row>
    <row r="3934" ht="15.75" customHeight="1">
      <c r="B3934" s="56"/>
      <c r="U3934" s="46" t="str">
        <f t="array" ref="U3934">IF($D3934="","",IFERROR(_xlfn.XLOOKUP($D3934,'TIR店舗一覧'!$D:$D,'TIR店舗一覧'!$E:$E,""),""))</f>
        <v/>
      </c>
      <c r="V3934" s="54" t="s">
        <v>2</v>
      </c>
      <c r="W3934" s="54" t="s">
        <v>2</v>
      </c>
      <c r="X3934" s="54" t="s">
        <v>2</v>
      </c>
      <c r="Y3934" s="54" t="s">
        <v>2</v>
      </c>
      <c r="Z3934" s="54" t="s">
        <v>2</v>
      </c>
      <c r="AA3934" s="54" t="s">
        <v>2</v>
      </c>
      <c r="AB3934" s="54" t="s">
        <v>2</v>
      </c>
      <c r="AC3934" s="54" t="s">
        <v>2</v>
      </c>
      <c r="AD3934" s="54" t="s">
        <v>2</v>
      </c>
      <c r="AE3934" s="54" t="s">
        <v>2</v>
      </c>
      <c r="AF3934" s="54" t="s">
        <v>2</v>
      </c>
      <c r="AG3934" s="54" t="s">
        <v>2</v>
      </c>
    </row>
    <row r="3935" ht="15.75" customHeight="1">
      <c r="B3935" s="56"/>
      <c r="U3935" s="46" t="str">
        <f t="array" ref="U3935">IF($D3935="","",IFERROR(_xlfn.XLOOKUP($D3935,'TIR店舗一覧'!$D:$D,'TIR店舗一覧'!$E:$E,""),""))</f>
        <v/>
      </c>
      <c r="V3935" s="54" t="s">
        <v>2</v>
      </c>
      <c r="W3935" s="54" t="s">
        <v>2</v>
      </c>
      <c r="X3935" s="54" t="s">
        <v>2</v>
      </c>
      <c r="Y3935" s="54" t="s">
        <v>2</v>
      </c>
      <c r="Z3935" s="54" t="s">
        <v>2</v>
      </c>
      <c r="AA3935" s="54" t="s">
        <v>2</v>
      </c>
      <c r="AB3935" s="54" t="s">
        <v>2</v>
      </c>
      <c r="AC3935" s="54" t="s">
        <v>2</v>
      </c>
      <c r="AD3935" s="54" t="s">
        <v>2</v>
      </c>
      <c r="AE3935" s="54" t="s">
        <v>2</v>
      </c>
      <c r="AF3935" s="54" t="s">
        <v>2</v>
      </c>
      <c r="AG3935" s="54" t="s">
        <v>2</v>
      </c>
    </row>
    <row r="3936" ht="15.75" customHeight="1">
      <c r="B3936" s="56"/>
      <c r="U3936" s="46" t="str">
        <f t="array" ref="U3936">IF($D3936="","",IFERROR(_xlfn.XLOOKUP($D3936,'TIR店舗一覧'!$D:$D,'TIR店舗一覧'!$E:$E,""),""))</f>
        <v/>
      </c>
      <c r="V3936" s="54" t="s">
        <v>2</v>
      </c>
      <c r="W3936" s="54" t="s">
        <v>2</v>
      </c>
      <c r="X3936" s="54" t="s">
        <v>2</v>
      </c>
      <c r="Y3936" s="54" t="s">
        <v>2</v>
      </c>
      <c r="Z3936" s="54" t="s">
        <v>2</v>
      </c>
      <c r="AA3936" s="54" t="s">
        <v>2</v>
      </c>
      <c r="AB3936" s="54" t="s">
        <v>2</v>
      </c>
      <c r="AC3936" s="54" t="s">
        <v>2</v>
      </c>
      <c r="AD3936" s="54" t="s">
        <v>2</v>
      </c>
      <c r="AE3936" s="54" t="s">
        <v>2</v>
      </c>
      <c r="AF3936" s="54" t="s">
        <v>2</v>
      </c>
      <c r="AG3936" s="54" t="s">
        <v>2</v>
      </c>
    </row>
    <row r="3937" ht="15.75" customHeight="1">
      <c r="B3937" s="56"/>
      <c r="U3937" s="46" t="str">
        <f t="array" ref="U3937">IF($D3937="","",IFERROR(_xlfn.XLOOKUP($D3937,'TIR店舗一覧'!$D:$D,'TIR店舗一覧'!$E:$E,""),""))</f>
        <v/>
      </c>
      <c r="V3937" s="54" t="s">
        <v>2</v>
      </c>
      <c r="W3937" s="54" t="s">
        <v>2</v>
      </c>
      <c r="X3937" s="54" t="s">
        <v>2</v>
      </c>
      <c r="Y3937" s="54" t="s">
        <v>2</v>
      </c>
      <c r="Z3937" s="54" t="s">
        <v>2</v>
      </c>
      <c r="AA3937" s="54" t="s">
        <v>2</v>
      </c>
      <c r="AB3937" s="54" t="s">
        <v>2</v>
      </c>
      <c r="AC3937" s="54" t="s">
        <v>2</v>
      </c>
      <c r="AD3937" s="54" t="s">
        <v>2</v>
      </c>
      <c r="AE3937" s="54" t="s">
        <v>2</v>
      </c>
      <c r="AF3937" s="54" t="s">
        <v>2</v>
      </c>
      <c r="AG3937" s="54" t="s">
        <v>2</v>
      </c>
    </row>
    <row r="3938" ht="15.75" customHeight="1">
      <c r="B3938" s="56"/>
      <c r="U3938" s="46" t="str">
        <f t="array" ref="U3938">IF($D3938="","",IFERROR(_xlfn.XLOOKUP($D3938,'TIR店舗一覧'!$D:$D,'TIR店舗一覧'!$E:$E,""),""))</f>
        <v/>
      </c>
      <c r="V3938" s="54" t="s">
        <v>2</v>
      </c>
      <c r="W3938" s="54" t="s">
        <v>2</v>
      </c>
      <c r="X3938" s="54" t="s">
        <v>2</v>
      </c>
      <c r="Y3938" s="54" t="s">
        <v>2</v>
      </c>
      <c r="Z3938" s="54" t="s">
        <v>2</v>
      </c>
      <c r="AA3938" s="54" t="s">
        <v>2</v>
      </c>
      <c r="AB3938" s="54" t="s">
        <v>2</v>
      </c>
      <c r="AC3938" s="54" t="s">
        <v>2</v>
      </c>
      <c r="AD3938" s="54" t="s">
        <v>2</v>
      </c>
      <c r="AE3938" s="54" t="s">
        <v>2</v>
      </c>
      <c r="AF3938" s="54" t="s">
        <v>2</v>
      </c>
      <c r="AG3938" s="54" t="s">
        <v>2</v>
      </c>
    </row>
    <row r="3939" ht="15.75" customHeight="1">
      <c r="B3939" s="56"/>
      <c r="U3939" s="46" t="str">
        <f t="array" ref="U3939">IF($D3939="","",IFERROR(_xlfn.XLOOKUP($D3939,'TIR店舗一覧'!$D:$D,'TIR店舗一覧'!$E:$E,""),""))</f>
        <v/>
      </c>
      <c r="V3939" s="54" t="s">
        <v>2</v>
      </c>
      <c r="W3939" s="54" t="s">
        <v>2</v>
      </c>
      <c r="X3939" s="54" t="s">
        <v>2</v>
      </c>
      <c r="Y3939" s="54" t="s">
        <v>2</v>
      </c>
      <c r="Z3939" s="54" t="s">
        <v>2</v>
      </c>
      <c r="AA3939" s="54" t="s">
        <v>2</v>
      </c>
      <c r="AB3939" s="54" t="s">
        <v>2</v>
      </c>
      <c r="AC3939" s="54" t="s">
        <v>2</v>
      </c>
      <c r="AD3939" s="54" t="s">
        <v>2</v>
      </c>
      <c r="AE3939" s="54" t="s">
        <v>2</v>
      </c>
      <c r="AF3939" s="54" t="s">
        <v>2</v>
      </c>
      <c r="AG3939" s="54" t="s">
        <v>2</v>
      </c>
    </row>
    <row r="3940" ht="15.75" customHeight="1">
      <c r="B3940" s="56"/>
      <c r="U3940" s="46" t="str">
        <f t="array" ref="U3940">IF($D3940="","",IFERROR(_xlfn.XLOOKUP($D3940,'TIR店舗一覧'!$D:$D,'TIR店舗一覧'!$E:$E,""),""))</f>
        <v/>
      </c>
      <c r="V3940" s="54" t="s">
        <v>2</v>
      </c>
      <c r="W3940" s="54" t="s">
        <v>2</v>
      </c>
      <c r="X3940" s="54" t="s">
        <v>2</v>
      </c>
      <c r="Y3940" s="54" t="s">
        <v>2</v>
      </c>
      <c r="Z3940" s="54" t="s">
        <v>2</v>
      </c>
      <c r="AA3940" s="54" t="s">
        <v>2</v>
      </c>
      <c r="AB3940" s="54" t="s">
        <v>2</v>
      </c>
      <c r="AC3940" s="54" t="s">
        <v>2</v>
      </c>
      <c r="AD3940" s="54" t="s">
        <v>2</v>
      </c>
      <c r="AE3940" s="54" t="s">
        <v>2</v>
      </c>
      <c r="AF3940" s="54" t="s">
        <v>2</v>
      </c>
      <c r="AG3940" s="54" t="s">
        <v>2</v>
      </c>
    </row>
    <row r="3941" ht="15.75" customHeight="1">
      <c r="B3941" s="56"/>
      <c r="U3941" s="46" t="str">
        <f t="array" ref="U3941">IF($D3941="","",IFERROR(_xlfn.XLOOKUP($D3941,'TIR店舗一覧'!$D:$D,'TIR店舗一覧'!$E:$E,""),""))</f>
        <v/>
      </c>
      <c r="V3941" s="54" t="s">
        <v>2</v>
      </c>
      <c r="W3941" s="54" t="s">
        <v>2</v>
      </c>
      <c r="X3941" s="54" t="s">
        <v>2</v>
      </c>
      <c r="Y3941" s="54" t="s">
        <v>2</v>
      </c>
      <c r="Z3941" s="54" t="s">
        <v>2</v>
      </c>
      <c r="AA3941" s="54" t="s">
        <v>2</v>
      </c>
      <c r="AB3941" s="54" t="s">
        <v>2</v>
      </c>
      <c r="AC3941" s="54" t="s">
        <v>2</v>
      </c>
      <c r="AD3941" s="54" t="s">
        <v>2</v>
      </c>
      <c r="AE3941" s="54" t="s">
        <v>2</v>
      </c>
      <c r="AF3941" s="54" t="s">
        <v>2</v>
      </c>
      <c r="AG3941" s="54" t="s">
        <v>2</v>
      </c>
    </row>
    <row r="3942" ht="15.75" customHeight="1">
      <c r="B3942" s="56"/>
      <c r="U3942" s="46" t="str">
        <f t="array" ref="U3942">IF($D3942="","",IFERROR(_xlfn.XLOOKUP($D3942,'TIR店舗一覧'!$D:$D,'TIR店舗一覧'!$E:$E,""),""))</f>
        <v/>
      </c>
      <c r="V3942" s="54" t="s">
        <v>2</v>
      </c>
      <c r="W3942" s="54" t="s">
        <v>2</v>
      </c>
      <c r="X3942" s="54" t="s">
        <v>2</v>
      </c>
      <c r="Y3942" s="54" t="s">
        <v>2</v>
      </c>
      <c r="Z3942" s="54" t="s">
        <v>2</v>
      </c>
      <c r="AA3942" s="54" t="s">
        <v>2</v>
      </c>
      <c r="AB3942" s="54" t="s">
        <v>2</v>
      </c>
      <c r="AC3942" s="54" t="s">
        <v>2</v>
      </c>
      <c r="AD3942" s="54" t="s">
        <v>2</v>
      </c>
      <c r="AE3942" s="54" t="s">
        <v>2</v>
      </c>
      <c r="AF3942" s="54" t="s">
        <v>2</v>
      </c>
      <c r="AG3942" s="54" t="s">
        <v>2</v>
      </c>
    </row>
    <row r="3943" ht="15.75" customHeight="1">
      <c r="B3943" s="56"/>
      <c r="U3943" s="46" t="str">
        <f t="array" ref="U3943">IF($D3943="","",IFERROR(_xlfn.XLOOKUP($D3943,'TIR店舗一覧'!$D:$D,'TIR店舗一覧'!$E:$E,""),""))</f>
        <v/>
      </c>
      <c r="V3943" s="54" t="s">
        <v>2</v>
      </c>
      <c r="W3943" s="54" t="s">
        <v>2</v>
      </c>
      <c r="X3943" s="54" t="s">
        <v>2</v>
      </c>
      <c r="Y3943" s="54" t="s">
        <v>2</v>
      </c>
      <c r="Z3943" s="54" t="s">
        <v>2</v>
      </c>
      <c r="AA3943" s="54" t="s">
        <v>2</v>
      </c>
      <c r="AB3943" s="54" t="s">
        <v>2</v>
      </c>
      <c r="AC3943" s="54" t="s">
        <v>2</v>
      </c>
      <c r="AD3943" s="54" t="s">
        <v>2</v>
      </c>
      <c r="AE3943" s="54" t="s">
        <v>2</v>
      </c>
      <c r="AF3943" s="54" t="s">
        <v>2</v>
      </c>
      <c r="AG3943" s="54" t="s">
        <v>2</v>
      </c>
    </row>
    <row r="3944" ht="15.75" customHeight="1">
      <c r="B3944" s="56"/>
      <c r="U3944" s="46" t="str">
        <f t="array" ref="U3944">IF($D3944="","",IFERROR(_xlfn.XLOOKUP($D3944,'TIR店舗一覧'!$D:$D,'TIR店舗一覧'!$E:$E,""),""))</f>
        <v/>
      </c>
      <c r="V3944" s="54" t="s">
        <v>2</v>
      </c>
      <c r="W3944" s="54" t="s">
        <v>2</v>
      </c>
      <c r="X3944" s="54" t="s">
        <v>2</v>
      </c>
      <c r="Y3944" s="54" t="s">
        <v>2</v>
      </c>
      <c r="Z3944" s="54" t="s">
        <v>2</v>
      </c>
      <c r="AA3944" s="54" t="s">
        <v>2</v>
      </c>
      <c r="AB3944" s="54" t="s">
        <v>2</v>
      </c>
      <c r="AC3944" s="54" t="s">
        <v>2</v>
      </c>
      <c r="AD3944" s="54" t="s">
        <v>2</v>
      </c>
      <c r="AE3944" s="54" t="s">
        <v>2</v>
      </c>
      <c r="AF3944" s="54" t="s">
        <v>2</v>
      </c>
      <c r="AG3944" s="54" t="s">
        <v>2</v>
      </c>
    </row>
    <row r="3945" ht="15.75" customHeight="1">
      <c r="B3945" s="56"/>
      <c r="U3945" s="46" t="str">
        <f t="array" ref="U3945">IF($D3945="","",IFERROR(_xlfn.XLOOKUP($D3945,'TIR店舗一覧'!$D:$D,'TIR店舗一覧'!$E:$E,""),""))</f>
        <v/>
      </c>
      <c r="V3945" s="54" t="s">
        <v>2</v>
      </c>
      <c r="W3945" s="54" t="s">
        <v>2</v>
      </c>
      <c r="X3945" s="54" t="s">
        <v>2</v>
      </c>
      <c r="Y3945" s="54" t="s">
        <v>2</v>
      </c>
      <c r="Z3945" s="54" t="s">
        <v>2</v>
      </c>
      <c r="AA3945" s="54" t="s">
        <v>2</v>
      </c>
      <c r="AB3945" s="54" t="s">
        <v>2</v>
      </c>
      <c r="AC3945" s="54" t="s">
        <v>2</v>
      </c>
      <c r="AD3945" s="54" t="s">
        <v>2</v>
      </c>
      <c r="AE3945" s="54" t="s">
        <v>2</v>
      </c>
      <c r="AF3945" s="54" t="s">
        <v>2</v>
      </c>
      <c r="AG3945" s="54" t="s">
        <v>2</v>
      </c>
    </row>
    <row r="3946" ht="15.75" customHeight="1">
      <c r="B3946" s="56"/>
      <c r="U3946" s="46" t="str">
        <f t="array" ref="U3946">IF($D3946="","",IFERROR(_xlfn.XLOOKUP($D3946,'TIR店舗一覧'!$D:$D,'TIR店舗一覧'!$E:$E,""),""))</f>
        <v/>
      </c>
      <c r="V3946" s="54" t="s">
        <v>2</v>
      </c>
      <c r="W3946" s="54" t="s">
        <v>2</v>
      </c>
      <c r="X3946" s="54" t="s">
        <v>2</v>
      </c>
      <c r="Y3946" s="54" t="s">
        <v>2</v>
      </c>
      <c r="Z3946" s="54" t="s">
        <v>2</v>
      </c>
      <c r="AA3946" s="54" t="s">
        <v>2</v>
      </c>
      <c r="AB3946" s="54" t="s">
        <v>2</v>
      </c>
      <c r="AC3946" s="54" t="s">
        <v>2</v>
      </c>
      <c r="AD3946" s="54" t="s">
        <v>2</v>
      </c>
      <c r="AE3946" s="54" t="s">
        <v>2</v>
      </c>
      <c r="AF3946" s="54" t="s">
        <v>2</v>
      </c>
      <c r="AG3946" s="54" t="s">
        <v>2</v>
      </c>
    </row>
    <row r="3947" ht="15.75" customHeight="1">
      <c r="B3947" s="56"/>
      <c r="U3947" s="46" t="str">
        <f t="array" ref="U3947">IF($D3947="","",IFERROR(_xlfn.XLOOKUP($D3947,'TIR店舗一覧'!$D:$D,'TIR店舗一覧'!$E:$E,""),""))</f>
        <v/>
      </c>
      <c r="V3947" s="54" t="s">
        <v>2</v>
      </c>
      <c r="W3947" s="54" t="s">
        <v>2</v>
      </c>
      <c r="X3947" s="54" t="s">
        <v>2</v>
      </c>
      <c r="Y3947" s="54" t="s">
        <v>2</v>
      </c>
      <c r="Z3947" s="54" t="s">
        <v>2</v>
      </c>
      <c r="AA3947" s="54" t="s">
        <v>2</v>
      </c>
      <c r="AB3947" s="54" t="s">
        <v>2</v>
      </c>
      <c r="AC3947" s="54" t="s">
        <v>2</v>
      </c>
      <c r="AD3947" s="54" t="s">
        <v>2</v>
      </c>
      <c r="AE3947" s="54" t="s">
        <v>2</v>
      </c>
      <c r="AF3947" s="54" t="s">
        <v>2</v>
      </c>
      <c r="AG3947" s="54" t="s">
        <v>2</v>
      </c>
    </row>
    <row r="3948" ht="15.75" customHeight="1">
      <c r="B3948" s="56"/>
      <c r="U3948" s="46" t="str">
        <f t="array" ref="U3948">IF($D3948="","",IFERROR(_xlfn.XLOOKUP($D3948,'TIR店舗一覧'!$D:$D,'TIR店舗一覧'!$E:$E,""),""))</f>
        <v/>
      </c>
      <c r="V3948" s="54" t="s">
        <v>2</v>
      </c>
      <c r="W3948" s="54" t="s">
        <v>2</v>
      </c>
      <c r="X3948" s="54" t="s">
        <v>2</v>
      </c>
      <c r="Y3948" s="54" t="s">
        <v>2</v>
      </c>
      <c r="Z3948" s="54" t="s">
        <v>2</v>
      </c>
      <c r="AA3948" s="54" t="s">
        <v>2</v>
      </c>
      <c r="AB3948" s="54" t="s">
        <v>2</v>
      </c>
      <c r="AC3948" s="54" t="s">
        <v>2</v>
      </c>
      <c r="AD3948" s="54" t="s">
        <v>2</v>
      </c>
      <c r="AE3948" s="54" t="s">
        <v>2</v>
      </c>
      <c r="AF3948" s="54" t="s">
        <v>2</v>
      </c>
      <c r="AG3948" s="54" t="s">
        <v>2</v>
      </c>
    </row>
    <row r="3949" ht="15.75" customHeight="1">
      <c r="B3949" s="56"/>
      <c r="U3949" s="46" t="str">
        <f t="array" ref="U3949">IF($D3949="","",IFERROR(_xlfn.XLOOKUP($D3949,'TIR店舗一覧'!$D:$D,'TIR店舗一覧'!$E:$E,""),""))</f>
        <v/>
      </c>
      <c r="V3949" s="54" t="s">
        <v>2</v>
      </c>
      <c r="W3949" s="54" t="s">
        <v>2</v>
      </c>
      <c r="X3949" s="54" t="s">
        <v>2</v>
      </c>
      <c r="Y3949" s="54" t="s">
        <v>2</v>
      </c>
      <c r="Z3949" s="54" t="s">
        <v>2</v>
      </c>
      <c r="AA3949" s="54" t="s">
        <v>2</v>
      </c>
      <c r="AB3949" s="54" t="s">
        <v>2</v>
      </c>
      <c r="AC3949" s="54" t="s">
        <v>2</v>
      </c>
      <c r="AD3949" s="54" t="s">
        <v>2</v>
      </c>
      <c r="AE3949" s="54" t="s">
        <v>2</v>
      </c>
      <c r="AF3949" s="54" t="s">
        <v>2</v>
      </c>
      <c r="AG3949" s="54" t="s">
        <v>2</v>
      </c>
    </row>
    <row r="3950" ht="15.75" customHeight="1">
      <c r="B3950" s="56"/>
      <c r="U3950" s="46" t="str">
        <f t="array" ref="U3950">IF($D3950="","",IFERROR(_xlfn.XLOOKUP($D3950,'TIR店舗一覧'!$D:$D,'TIR店舗一覧'!$E:$E,""),""))</f>
        <v/>
      </c>
      <c r="V3950" s="54" t="s">
        <v>2</v>
      </c>
      <c r="W3950" s="54" t="s">
        <v>2</v>
      </c>
      <c r="X3950" s="54" t="s">
        <v>2</v>
      </c>
      <c r="Y3950" s="54" t="s">
        <v>2</v>
      </c>
      <c r="Z3950" s="54" t="s">
        <v>2</v>
      </c>
      <c r="AA3950" s="54" t="s">
        <v>2</v>
      </c>
      <c r="AB3950" s="54" t="s">
        <v>2</v>
      </c>
      <c r="AC3950" s="54" t="s">
        <v>2</v>
      </c>
      <c r="AD3950" s="54" t="s">
        <v>2</v>
      </c>
      <c r="AE3950" s="54" t="s">
        <v>2</v>
      </c>
      <c r="AF3950" s="54" t="s">
        <v>2</v>
      </c>
      <c r="AG3950" s="54" t="s">
        <v>2</v>
      </c>
    </row>
    <row r="3951" ht="15.75" customHeight="1">
      <c r="B3951" s="56"/>
      <c r="U3951" s="46" t="str">
        <f t="array" ref="U3951">IF($D3951="","",IFERROR(_xlfn.XLOOKUP($D3951,'TIR店舗一覧'!$D:$D,'TIR店舗一覧'!$E:$E,""),""))</f>
        <v/>
      </c>
      <c r="V3951" s="54" t="s">
        <v>2</v>
      </c>
      <c r="W3951" s="54" t="s">
        <v>2</v>
      </c>
      <c r="X3951" s="54" t="s">
        <v>2</v>
      </c>
      <c r="Y3951" s="54" t="s">
        <v>2</v>
      </c>
      <c r="Z3951" s="54" t="s">
        <v>2</v>
      </c>
      <c r="AA3951" s="54" t="s">
        <v>2</v>
      </c>
      <c r="AB3951" s="54" t="s">
        <v>2</v>
      </c>
      <c r="AC3951" s="54" t="s">
        <v>2</v>
      </c>
      <c r="AD3951" s="54" t="s">
        <v>2</v>
      </c>
      <c r="AE3951" s="54" t="s">
        <v>2</v>
      </c>
      <c r="AF3951" s="54" t="s">
        <v>2</v>
      </c>
      <c r="AG3951" s="54" t="s">
        <v>2</v>
      </c>
    </row>
    <row r="3952" ht="15.75" customHeight="1">
      <c r="B3952" s="56"/>
      <c r="U3952" s="46" t="str">
        <f t="array" ref="U3952">IF($D3952="","",IFERROR(_xlfn.XLOOKUP($D3952,'TIR店舗一覧'!$D:$D,'TIR店舗一覧'!$E:$E,""),""))</f>
        <v/>
      </c>
      <c r="V3952" s="54" t="s">
        <v>2</v>
      </c>
      <c r="W3952" s="54" t="s">
        <v>2</v>
      </c>
      <c r="X3952" s="54" t="s">
        <v>2</v>
      </c>
      <c r="Y3952" s="54" t="s">
        <v>2</v>
      </c>
      <c r="Z3952" s="54" t="s">
        <v>2</v>
      </c>
      <c r="AA3952" s="54" t="s">
        <v>2</v>
      </c>
      <c r="AB3952" s="54" t="s">
        <v>2</v>
      </c>
      <c r="AC3952" s="54" t="s">
        <v>2</v>
      </c>
      <c r="AD3952" s="54" t="s">
        <v>2</v>
      </c>
      <c r="AE3952" s="54" t="s">
        <v>2</v>
      </c>
      <c r="AF3952" s="54" t="s">
        <v>2</v>
      </c>
      <c r="AG3952" s="54" t="s">
        <v>2</v>
      </c>
    </row>
    <row r="3953" ht="15.75" customHeight="1">
      <c r="B3953" s="56"/>
      <c r="U3953" s="46" t="str">
        <f t="array" ref="U3953">IF($D3953="","",IFERROR(_xlfn.XLOOKUP($D3953,'TIR店舗一覧'!$D:$D,'TIR店舗一覧'!$E:$E,""),""))</f>
        <v/>
      </c>
      <c r="V3953" s="54" t="s">
        <v>2</v>
      </c>
      <c r="W3953" s="54" t="s">
        <v>2</v>
      </c>
      <c r="X3953" s="54" t="s">
        <v>2</v>
      </c>
      <c r="Y3953" s="54" t="s">
        <v>2</v>
      </c>
      <c r="Z3953" s="54" t="s">
        <v>2</v>
      </c>
      <c r="AA3953" s="54" t="s">
        <v>2</v>
      </c>
      <c r="AB3953" s="54" t="s">
        <v>2</v>
      </c>
      <c r="AC3953" s="54" t="s">
        <v>2</v>
      </c>
      <c r="AD3953" s="54" t="s">
        <v>2</v>
      </c>
      <c r="AE3953" s="54" t="s">
        <v>2</v>
      </c>
      <c r="AF3953" s="54" t="s">
        <v>2</v>
      </c>
      <c r="AG3953" s="54" t="s">
        <v>2</v>
      </c>
    </row>
    <row r="3954" ht="15.75" customHeight="1">
      <c r="B3954" s="56"/>
      <c r="U3954" s="46" t="str">
        <f t="array" ref="U3954">IF($D3954="","",IFERROR(_xlfn.XLOOKUP($D3954,'TIR店舗一覧'!$D:$D,'TIR店舗一覧'!$E:$E,""),""))</f>
        <v/>
      </c>
      <c r="V3954" s="54" t="s">
        <v>2</v>
      </c>
      <c r="W3954" s="54" t="s">
        <v>2</v>
      </c>
      <c r="X3954" s="54" t="s">
        <v>2</v>
      </c>
      <c r="Y3954" s="54" t="s">
        <v>2</v>
      </c>
      <c r="Z3954" s="54" t="s">
        <v>2</v>
      </c>
      <c r="AA3954" s="54" t="s">
        <v>2</v>
      </c>
      <c r="AB3954" s="54" t="s">
        <v>2</v>
      </c>
      <c r="AC3954" s="54" t="s">
        <v>2</v>
      </c>
      <c r="AD3954" s="54" t="s">
        <v>2</v>
      </c>
      <c r="AE3954" s="54" t="s">
        <v>2</v>
      </c>
      <c r="AF3954" s="54" t="s">
        <v>2</v>
      </c>
      <c r="AG3954" s="54" t="s">
        <v>2</v>
      </c>
    </row>
    <row r="3955" ht="15.75" customHeight="1">
      <c r="B3955" s="56"/>
      <c r="U3955" s="46" t="str">
        <f t="array" ref="U3955">IF($D3955="","",IFERROR(_xlfn.XLOOKUP($D3955,'TIR店舗一覧'!$D:$D,'TIR店舗一覧'!$E:$E,""),""))</f>
        <v/>
      </c>
      <c r="V3955" s="54" t="s">
        <v>2</v>
      </c>
      <c r="W3955" s="54" t="s">
        <v>2</v>
      </c>
      <c r="X3955" s="54" t="s">
        <v>2</v>
      </c>
      <c r="Y3955" s="54" t="s">
        <v>2</v>
      </c>
      <c r="Z3955" s="54" t="s">
        <v>2</v>
      </c>
      <c r="AA3955" s="54" t="s">
        <v>2</v>
      </c>
      <c r="AB3955" s="54" t="s">
        <v>2</v>
      </c>
      <c r="AC3955" s="54" t="s">
        <v>2</v>
      </c>
      <c r="AD3955" s="54" t="s">
        <v>2</v>
      </c>
      <c r="AE3955" s="54" t="s">
        <v>2</v>
      </c>
      <c r="AF3955" s="54" t="s">
        <v>2</v>
      </c>
      <c r="AG3955" s="54" t="s">
        <v>2</v>
      </c>
    </row>
    <row r="3956" ht="15.75" customHeight="1">
      <c r="B3956" s="56"/>
      <c r="U3956" s="46" t="str">
        <f t="array" ref="U3956">IF($D3956="","",IFERROR(_xlfn.XLOOKUP($D3956,'TIR店舗一覧'!$D:$D,'TIR店舗一覧'!$E:$E,""),""))</f>
        <v/>
      </c>
      <c r="V3956" s="54" t="s">
        <v>2</v>
      </c>
      <c r="W3956" s="54" t="s">
        <v>2</v>
      </c>
      <c r="X3956" s="54" t="s">
        <v>2</v>
      </c>
      <c r="Y3956" s="54" t="s">
        <v>2</v>
      </c>
      <c r="Z3956" s="54" t="s">
        <v>2</v>
      </c>
      <c r="AA3956" s="54" t="s">
        <v>2</v>
      </c>
      <c r="AB3956" s="54" t="s">
        <v>2</v>
      </c>
      <c r="AC3956" s="54" t="s">
        <v>2</v>
      </c>
      <c r="AD3956" s="54" t="s">
        <v>2</v>
      </c>
      <c r="AE3956" s="54" t="s">
        <v>2</v>
      </c>
      <c r="AF3956" s="54" t="s">
        <v>2</v>
      </c>
      <c r="AG3956" s="54" t="s">
        <v>2</v>
      </c>
    </row>
    <row r="3957" ht="15.75" customHeight="1">
      <c r="B3957" s="56"/>
      <c r="U3957" s="46" t="str">
        <f t="array" ref="U3957">IF($D3957="","",IFERROR(_xlfn.XLOOKUP($D3957,'TIR店舗一覧'!$D:$D,'TIR店舗一覧'!$E:$E,""),""))</f>
        <v/>
      </c>
      <c r="V3957" s="54" t="s">
        <v>2</v>
      </c>
      <c r="W3957" s="54" t="s">
        <v>2</v>
      </c>
      <c r="X3957" s="54" t="s">
        <v>2</v>
      </c>
      <c r="Y3957" s="54" t="s">
        <v>2</v>
      </c>
      <c r="Z3957" s="54" t="s">
        <v>2</v>
      </c>
      <c r="AA3957" s="54" t="s">
        <v>2</v>
      </c>
      <c r="AB3957" s="54" t="s">
        <v>2</v>
      </c>
      <c r="AC3957" s="54" t="s">
        <v>2</v>
      </c>
      <c r="AD3957" s="54" t="s">
        <v>2</v>
      </c>
      <c r="AE3957" s="54" t="s">
        <v>2</v>
      </c>
      <c r="AF3957" s="54" t="s">
        <v>2</v>
      </c>
      <c r="AG3957" s="54" t="s">
        <v>2</v>
      </c>
    </row>
    <row r="3958" ht="15.75" customHeight="1">
      <c r="B3958" s="56"/>
      <c r="U3958" s="46" t="str">
        <f t="array" ref="U3958">IF($D3958="","",IFERROR(_xlfn.XLOOKUP($D3958,'TIR店舗一覧'!$D:$D,'TIR店舗一覧'!$E:$E,""),""))</f>
        <v/>
      </c>
      <c r="V3958" s="54" t="s">
        <v>2</v>
      </c>
      <c r="W3958" s="54" t="s">
        <v>2</v>
      </c>
      <c r="X3958" s="54" t="s">
        <v>2</v>
      </c>
      <c r="Y3958" s="54" t="s">
        <v>2</v>
      </c>
      <c r="Z3958" s="54" t="s">
        <v>2</v>
      </c>
      <c r="AA3958" s="54" t="s">
        <v>2</v>
      </c>
      <c r="AB3958" s="54" t="s">
        <v>2</v>
      </c>
      <c r="AC3958" s="54" t="s">
        <v>2</v>
      </c>
      <c r="AD3958" s="54" t="s">
        <v>2</v>
      </c>
      <c r="AE3958" s="54" t="s">
        <v>2</v>
      </c>
      <c r="AF3958" s="54" t="s">
        <v>2</v>
      </c>
      <c r="AG3958" s="54" t="s">
        <v>2</v>
      </c>
    </row>
    <row r="3959" ht="15.75" customHeight="1">
      <c r="B3959" s="56"/>
      <c r="U3959" s="46" t="str">
        <f t="array" ref="U3959">IF($D3959="","",IFERROR(_xlfn.XLOOKUP($D3959,'TIR店舗一覧'!$D:$D,'TIR店舗一覧'!$E:$E,""),""))</f>
        <v/>
      </c>
      <c r="V3959" s="54" t="s">
        <v>2</v>
      </c>
      <c r="W3959" s="54" t="s">
        <v>2</v>
      </c>
      <c r="X3959" s="54" t="s">
        <v>2</v>
      </c>
      <c r="Y3959" s="54" t="s">
        <v>2</v>
      </c>
      <c r="Z3959" s="54" t="s">
        <v>2</v>
      </c>
      <c r="AA3959" s="54" t="s">
        <v>2</v>
      </c>
      <c r="AB3959" s="54" t="s">
        <v>2</v>
      </c>
      <c r="AC3959" s="54" t="s">
        <v>2</v>
      </c>
      <c r="AD3959" s="54" t="s">
        <v>2</v>
      </c>
      <c r="AE3959" s="54" t="s">
        <v>2</v>
      </c>
      <c r="AF3959" s="54" t="s">
        <v>2</v>
      </c>
      <c r="AG3959" s="54" t="s">
        <v>2</v>
      </c>
    </row>
    <row r="3960" ht="15.75" customHeight="1">
      <c r="B3960" s="56"/>
      <c r="U3960" s="46" t="str">
        <f t="array" ref="U3960">IF($D3960="","",IFERROR(_xlfn.XLOOKUP($D3960,'TIR店舗一覧'!$D:$D,'TIR店舗一覧'!$E:$E,""),""))</f>
        <v/>
      </c>
      <c r="V3960" s="54" t="s">
        <v>2</v>
      </c>
      <c r="W3960" s="54" t="s">
        <v>2</v>
      </c>
      <c r="X3960" s="54" t="s">
        <v>2</v>
      </c>
      <c r="Y3960" s="54" t="s">
        <v>2</v>
      </c>
      <c r="Z3960" s="54" t="s">
        <v>2</v>
      </c>
      <c r="AA3960" s="54" t="s">
        <v>2</v>
      </c>
      <c r="AB3960" s="54" t="s">
        <v>2</v>
      </c>
      <c r="AC3960" s="54" t="s">
        <v>2</v>
      </c>
      <c r="AD3960" s="54" t="s">
        <v>2</v>
      </c>
      <c r="AE3960" s="54" t="s">
        <v>2</v>
      </c>
      <c r="AF3960" s="54" t="s">
        <v>2</v>
      </c>
      <c r="AG3960" s="54" t="s">
        <v>2</v>
      </c>
    </row>
    <row r="3961" ht="15.75" customHeight="1">
      <c r="B3961" s="56"/>
      <c r="U3961" s="46" t="str">
        <f t="array" ref="U3961">IF($D3961="","",IFERROR(_xlfn.XLOOKUP($D3961,'TIR店舗一覧'!$D:$D,'TIR店舗一覧'!$E:$E,""),""))</f>
        <v/>
      </c>
      <c r="V3961" s="54" t="s">
        <v>2</v>
      </c>
      <c r="W3961" s="54" t="s">
        <v>2</v>
      </c>
      <c r="X3961" s="54" t="s">
        <v>2</v>
      </c>
      <c r="Y3961" s="54" t="s">
        <v>2</v>
      </c>
      <c r="Z3961" s="54" t="s">
        <v>2</v>
      </c>
      <c r="AA3961" s="54" t="s">
        <v>2</v>
      </c>
      <c r="AB3961" s="54" t="s">
        <v>2</v>
      </c>
      <c r="AC3961" s="54" t="s">
        <v>2</v>
      </c>
      <c r="AD3961" s="54" t="s">
        <v>2</v>
      </c>
      <c r="AE3961" s="54" t="s">
        <v>2</v>
      </c>
      <c r="AF3961" s="54" t="s">
        <v>2</v>
      </c>
      <c r="AG3961" s="54" t="s">
        <v>2</v>
      </c>
    </row>
    <row r="3962" ht="15.75" customHeight="1">
      <c r="B3962" s="56"/>
      <c r="U3962" s="46" t="str">
        <f t="array" ref="U3962">IF($D3962="","",IFERROR(_xlfn.XLOOKUP($D3962,'TIR店舗一覧'!$D:$D,'TIR店舗一覧'!$E:$E,""),""))</f>
        <v/>
      </c>
      <c r="V3962" s="54" t="s">
        <v>2</v>
      </c>
      <c r="W3962" s="54" t="s">
        <v>2</v>
      </c>
      <c r="X3962" s="54" t="s">
        <v>2</v>
      </c>
      <c r="Y3962" s="54" t="s">
        <v>2</v>
      </c>
      <c r="Z3962" s="54" t="s">
        <v>2</v>
      </c>
      <c r="AA3962" s="54" t="s">
        <v>2</v>
      </c>
      <c r="AB3962" s="54" t="s">
        <v>2</v>
      </c>
      <c r="AC3962" s="54" t="s">
        <v>2</v>
      </c>
      <c r="AD3962" s="54" t="s">
        <v>2</v>
      </c>
      <c r="AE3962" s="54" t="s">
        <v>2</v>
      </c>
      <c r="AF3962" s="54" t="s">
        <v>2</v>
      </c>
      <c r="AG3962" s="54" t="s">
        <v>2</v>
      </c>
    </row>
    <row r="3963" ht="15.75" customHeight="1">
      <c r="B3963" s="56"/>
      <c r="U3963" s="46" t="str">
        <f t="array" ref="U3963">IF($D3963="","",IFERROR(_xlfn.XLOOKUP($D3963,'TIR店舗一覧'!$D:$D,'TIR店舗一覧'!$E:$E,""),""))</f>
        <v/>
      </c>
      <c r="V3963" s="54" t="s">
        <v>2</v>
      </c>
      <c r="W3963" s="54" t="s">
        <v>2</v>
      </c>
      <c r="X3963" s="54" t="s">
        <v>2</v>
      </c>
      <c r="Y3963" s="54" t="s">
        <v>2</v>
      </c>
      <c r="Z3963" s="54" t="s">
        <v>2</v>
      </c>
      <c r="AA3963" s="54" t="s">
        <v>2</v>
      </c>
      <c r="AB3963" s="54" t="s">
        <v>2</v>
      </c>
      <c r="AC3963" s="54" t="s">
        <v>2</v>
      </c>
      <c r="AD3963" s="54" t="s">
        <v>2</v>
      </c>
      <c r="AE3963" s="54" t="s">
        <v>2</v>
      </c>
      <c r="AF3963" s="54" t="s">
        <v>2</v>
      </c>
      <c r="AG3963" s="54" t="s">
        <v>2</v>
      </c>
    </row>
    <row r="3964" ht="15.75" customHeight="1">
      <c r="B3964" s="56"/>
      <c r="U3964" s="46" t="str">
        <f t="array" ref="U3964">IF($D3964="","",IFERROR(_xlfn.XLOOKUP($D3964,'TIR店舗一覧'!$D:$D,'TIR店舗一覧'!$E:$E,""),""))</f>
        <v/>
      </c>
      <c r="V3964" s="54" t="s">
        <v>2</v>
      </c>
      <c r="W3964" s="54" t="s">
        <v>2</v>
      </c>
      <c r="X3964" s="54" t="s">
        <v>2</v>
      </c>
      <c r="Y3964" s="54" t="s">
        <v>2</v>
      </c>
      <c r="Z3964" s="54" t="s">
        <v>2</v>
      </c>
      <c r="AA3964" s="54" t="s">
        <v>2</v>
      </c>
      <c r="AB3964" s="54" t="s">
        <v>2</v>
      </c>
      <c r="AC3964" s="54" t="s">
        <v>2</v>
      </c>
      <c r="AD3964" s="54" t="s">
        <v>2</v>
      </c>
      <c r="AE3964" s="54" t="s">
        <v>2</v>
      </c>
      <c r="AF3964" s="54" t="s">
        <v>2</v>
      </c>
      <c r="AG3964" s="54" t="s">
        <v>2</v>
      </c>
    </row>
    <row r="3965" ht="15.75" customHeight="1">
      <c r="B3965" s="56"/>
      <c r="U3965" s="46" t="str">
        <f t="array" ref="U3965">IF($D3965="","",IFERROR(_xlfn.XLOOKUP($D3965,'TIR店舗一覧'!$D:$D,'TIR店舗一覧'!$E:$E,""),""))</f>
        <v/>
      </c>
      <c r="V3965" s="54" t="s">
        <v>2</v>
      </c>
      <c r="W3965" s="54" t="s">
        <v>2</v>
      </c>
      <c r="X3965" s="54" t="s">
        <v>2</v>
      </c>
      <c r="Y3965" s="54" t="s">
        <v>2</v>
      </c>
      <c r="Z3965" s="54" t="s">
        <v>2</v>
      </c>
      <c r="AA3965" s="54" t="s">
        <v>2</v>
      </c>
      <c r="AB3965" s="54" t="s">
        <v>2</v>
      </c>
      <c r="AC3965" s="54" t="s">
        <v>2</v>
      </c>
      <c r="AD3965" s="54" t="s">
        <v>2</v>
      </c>
      <c r="AE3965" s="54" t="s">
        <v>2</v>
      </c>
      <c r="AF3965" s="54" t="s">
        <v>2</v>
      </c>
      <c r="AG3965" s="54" t="s">
        <v>2</v>
      </c>
    </row>
    <row r="3966" ht="15.75" customHeight="1">
      <c r="B3966" s="56"/>
      <c r="U3966" s="46" t="str">
        <f t="array" ref="U3966">IF($D3966="","",IFERROR(_xlfn.XLOOKUP($D3966,'TIR店舗一覧'!$D:$D,'TIR店舗一覧'!$E:$E,""),""))</f>
        <v/>
      </c>
      <c r="V3966" s="54" t="s">
        <v>2</v>
      </c>
      <c r="W3966" s="54" t="s">
        <v>2</v>
      </c>
      <c r="X3966" s="54" t="s">
        <v>2</v>
      </c>
      <c r="Y3966" s="54" t="s">
        <v>2</v>
      </c>
      <c r="Z3966" s="54" t="s">
        <v>2</v>
      </c>
      <c r="AA3966" s="54" t="s">
        <v>2</v>
      </c>
      <c r="AB3966" s="54" t="s">
        <v>2</v>
      </c>
      <c r="AC3966" s="54" t="s">
        <v>2</v>
      </c>
      <c r="AD3966" s="54" t="s">
        <v>2</v>
      </c>
      <c r="AE3966" s="54" t="s">
        <v>2</v>
      </c>
      <c r="AF3966" s="54" t="s">
        <v>2</v>
      </c>
      <c r="AG3966" s="54" t="s">
        <v>2</v>
      </c>
    </row>
    <row r="3967" ht="15.75" customHeight="1">
      <c r="B3967" s="56"/>
      <c r="U3967" s="46" t="str">
        <f t="array" ref="U3967">IF($D3967="","",IFERROR(_xlfn.XLOOKUP($D3967,'TIR店舗一覧'!$D:$D,'TIR店舗一覧'!$E:$E,""),""))</f>
        <v/>
      </c>
      <c r="V3967" s="54" t="s">
        <v>2</v>
      </c>
      <c r="W3967" s="54" t="s">
        <v>2</v>
      </c>
      <c r="X3967" s="54" t="s">
        <v>2</v>
      </c>
      <c r="Y3967" s="54" t="s">
        <v>2</v>
      </c>
      <c r="Z3967" s="54" t="s">
        <v>2</v>
      </c>
      <c r="AA3967" s="54" t="s">
        <v>2</v>
      </c>
      <c r="AB3967" s="54" t="s">
        <v>2</v>
      </c>
      <c r="AC3967" s="54" t="s">
        <v>2</v>
      </c>
      <c r="AD3967" s="54" t="s">
        <v>2</v>
      </c>
      <c r="AE3967" s="54" t="s">
        <v>2</v>
      </c>
      <c r="AF3967" s="54" t="s">
        <v>2</v>
      </c>
      <c r="AG3967" s="54" t="s">
        <v>2</v>
      </c>
    </row>
    <row r="3968" ht="15.75" customHeight="1">
      <c r="B3968" s="56"/>
      <c r="U3968" s="46" t="str">
        <f t="array" ref="U3968">IF($D3968="","",IFERROR(_xlfn.XLOOKUP($D3968,'TIR店舗一覧'!$D:$D,'TIR店舗一覧'!$E:$E,""),""))</f>
        <v/>
      </c>
      <c r="V3968" s="54" t="s">
        <v>2</v>
      </c>
      <c r="W3968" s="54" t="s">
        <v>2</v>
      </c>
      <c r="X3968" s="54" t="s">
        <v>2</v>
      </c>
      <c r="Y3968" s="54" t="s">
        <v>2</v>
      </c>
      <c r="Z3968" s="54" t="s">
        <v>2</v>
      </c>
      <c r="AA3968" s="54" t="s">
        <v>2</v>
      </c>
      <c r="AB3968" s="54" t="s">
        <v>2</v>
      </c>
      <c r="AC3968" s="54" t="s">
        <v>2</v>
      </c>
      <c r="AD3968" s="54" t="s">
        <v>2</v>
      </c>
      <c r="AE3968" s="54" t="s">
        <v>2</v>
      </c>
      <c r="AF3968" s="54" t="s">
        <v>2</v>
      </c>
      <c r="AG3968" s="54" t="s">
        <v>2</v>
      </c>
    </row>
    <row r="3969" ht="15.75" customHeight="1">
      <c r="B3969" s="56"/>
      <c r="U3969" s="46" t="str">
        <f t="array" ref="U3969">IF($D3969="","",IFERROR(_xlfn.XLOOKUP($D3969,'TIR店舗一覧'!$D:$D,'TIR店舗一覧'!$E:$E,""),""))</f>
        <v/>
      </c>
      <c r="V3969" s="54" t="s">
        <v>2</v>
      </c>
      <c r="W3969" s="54" t="s">
        <v>2</v>
      </c>
      <c r="X3969" s="54" t="s">
        <v>2</v>
      </c>
      <c r="Y3969" s="54" t="s">
        <v>2</v>
      </c>
      <c r="Z3969" s="54" t="s">
        <v>2</v>
      </c>
      <c r="AA3969" s="54" t="s">
        <v>2</v>
      </c>
      <c r="AB3969" s="54" t="s">
        <v>2</v>
      </c>
      <c r="AC3969" s="54" t="s">
        <v>2</v>
      </c>
      <c r="AD3969" s="54" t="s">
        <v>2</v>
      </c>
      <c r="AE3969" s="54" t="s">
        <v>2</v>
      </c>
      <c r="AF3969" s="54" t="s">
        <v>2</v>
      </c>
      <c r="AG3969" s="54" t="s">
        <v>2</v>
      </c>
    </row>
    <row r="3970" ht="15.75" customHeight="1">
      <c r="B3970" s="56"/>
      <c r="U3970" s="46" t="str">
        <f t="array" ref="U3970">IF($D3970="","",IFERROR(_xlfn.XLOOKUP($D3970,'TIR店舗一覧'!$D:$D,'TIR店舗一覧'!$E:$E,""),""))</f>
        <v/>
      </c>
      <c r="V3970" s="54" t="s">
        <v>2</v>
      </c>
      <c r="W3970" s="54" t="s">
        <v>2</v>
      </c>
      <c r="X3970" s="54" t="s">
        <v>2</v>
      </c>
      <c r="Y3970" s="54" t="s">
        <v>2</v>
      </c>
      <c r="Z3970" s="54" t="s">
        <v>2</v>
      </c>
      <c r="AA3970" s="54" t="s">
        <v>2</v>
      </c>
      <c r="AB3970" s="54" t="s">
        <v>2</v>
      </c>
      <c r="AC3970" s="54" t="s">
        <v>2</v>
      </c>
      <c r="AD3970" s="54" t="s">
        <v>2</v>
      </c>
      <c r="AE3970" s="54" t="s">
        <v>2</v>
      </c>
      <c r="AF3970" s="54" t="s">
        <v>2</v>
      </c>
      <c r="AG3970" s="54" t="s">
        <v>2</v>
      </c>
    </row>
    <row r="3971" ht="15.75" customHeight="1">
      <c r="B3971" s="56"/>
      <c r="U3971" s="46" t="str">
        <f t="array" ref="U3971">IF($D3971="","",IFERROR(_xlfn.XLOOKUP($D3971,'TIR店舗一覧'!$D:$D,'TIR店舗一覧'!$E:$E,""),""))</f>
        <v/>
      </c>
      <c r="V3971" s="54" t="s">
        <v>2</v>
      </c>
      <c r="W3971" s="54" t="s">
        <v>2</v>
      </c>
      <c r="X3971" s="54" t="s">
        <v>2</v>
      </c>
      <c r="Y3971" s="54" t="s">
        <v>2</v>
      </c>
      <c r="Z3971" s="54" t="s">
        <v>2</v>
      </c>
      <c r="AA3971" s="54" t="s">
        <v>2</v>
      </c>
      <c r="AB3971" s="54" t="s">
        <v>2</v>
      </c>
      <c r="AC3971" s="54" t="s">
        <v>2</v>
      </c>
      <c r="AD3971" s="54" t="s">
        <v>2</v>
      </c>
      <c r="AE3971" s="54" t="s">
        <v>2</v>
      </c>
      <c r="AF3971" s="54" t="s">
        <v>2</v>
      </c>
      <c r="AG3971" s="54" t="s">
        <v>2</v>
      </c>
    </row>
    <row r="3972" ht="15.75" customHeight="1">
      <c r="B3972" s="56"/>
      <c r="U3972" s="46" t="str">
        <f t="array" ref="U3972">IF($D3972="","",IFERROR(_xlfn.XLOOKUP($D3972,'TIR店舗一覧'!$D:$D,'TIR店舗一覧'!$E:$E,""),""))</f>
        <v/>
      </c>
      <c r="V3972" s="54" t="s">
        <v>2</v>
      </c>
      <c r="W3972" s="54" t="s">
        <v>2</v>
      </c>
      <c r="X3972" s="54" t="s">
        <v>2</v>
      </c>
      <c r="Y3972" s="54" t="s">
        <v>2</v>
      </c>
      <c r="Z3972" s="54" t="s">
        <v>2</v>
      </c>
      <c r="AA3972" s="54" t="s">
        <v>2</v>
      </c>
      <c r="AB3972" s="54" t="s">
        <v>2</v>
      </c>
      <c r="AC3972" s="54" t="s">
        <v>2</v>
      </c>
      <c r="AD3972" s="54" t="s">
        <v>2</v>
      </c>
      <c r="AE3972" s="54" t="s">
        <v>2</v>
      </c>
      <c r="AF3972" s="54" t="s">
        <v>2</v>
      </c>
      <c r="AG3972" s="54" t="s">
        <v>2</v>
      </c>
    </row>
    <row r="3973" ht="15.75" customHeight="1">
      <c r="B3973" s="56"/>
      <c r="U3973" s="46" t="str">
        <f t="array" ref="U3973">IF($D3973="","",IFERROR(_xlfn.XLOOKUP($D3973,'TIR店舗一覧'!$D:$D,'TIR店舗一覧'!$E:$E,""),""))</f>
        <v/>
      </c>
      <c r="V3973" s="54" t="s">
        <v>2</v>
      </c>
      <c r="W3973" s="54" t="s">
        <v>2</v>
      </c>
      <c r="X3973" s="54" t="s">
        <v>2</v>
      </c>
      <c r="Y3973" s="54" t="s">
        <v>2</v>
      </c>
      <c r="Z3973" s="54" t="s">
        <v>2</v>
      </c>
      <c r="AA3973" s="54" t="s">
        <v>2</v>
      </c>
      <c r="AB3973" s="54" t="s">
        <v>2</v>
      </c>
      <c r="AC3973" s="54" t="s">
        <v>2</v>
      </c>
      <c r="AD3973" s="54" t="s">
        <v>2</v>
      </c>
      <c r="AE3973" s="54" t="s">
        <v>2</v>
      </c>
      <c r="AF3973" s="54" t="s">
        <v>2</v>
      </c>
      <c r="AG3973" s="54" t="s">
        <v>2</v>
      </c>
    </row>
    <row r="3974" ht="15.75" customHeight="1">
      <c r="B3974" s="56"/>
      <c r="U3974" s="46" t="str">
        <f t="array" ref="U3974">IF($D3974="","",IFERROR(_xlfn.XLOOKUP($D3974,'TIR店舗一覧'!$D:$D,'TIR店舗一覧'!$E:$E,""),""))</f>
        <v/>
      </c>
      <c r="V3974" s="54" t="s">
        <v>2</v>
      </c>
      <c r="W3974" s="54" t="s">
        <v>2</v>
      </c>
      <c r="X3974" s="54" t="s">
        <v>2</v>
      </c>
      <c r="Y3974" s="54" t="s">
        <v>2</v>
      </c>
      <c r="Z3974" s="54" t="s">
        <v>2</v>
      </c>
      <c r="AA3974" s="54" t="s">
        <v>2</v>
      </c>
      <c r="AB3974" s="54" t="s">
        <v>2</v>
      </c>
      <c r="AC3974" s="54" t="s">
        <v>2</v>
      </c>
      <c r="AD3974" s="54" t="s">
        <v>2</v>
      </c>
      <c r="AE3974" s="54" t="s">
        <v>2</v>
      </c>
      <c r="AF3974" s="54" t="s">
        <v>2</v>
      </c>
      <c r="AG3974" s="54" t="s">
        <v>2</v>
      </c>
    </row>
    <row r="3975" ht="15.75" customHeight="1">
      <c r="B3975" s="56"/>
      <c r="U3975" s="46" t="str">
        <f t="array" ref="U3975">IF($D3975="","",IFERROR(_xlfn.XLOOKUP($D3975,'TIR店舗一覧'!$D:$D,'TIR店舗一覧'!$E:$E,""),""))</f>
        <v/>
      </c>
      <c r="V3975" s="54" t="s">
        <v>2</v>
      </c>
      <c r="W3975" s="54" t="s">
        <v>2</v>
      </c>
      <c r="X3975" s="54" t="s">
        <v>2</v>
      </c>
      <c r="Y3975" s="54" t="s">
        <v>2</v>
      </c>
      <c r="Z3975" s="54" t="s">
        <v>2</v>
      </c>
      <c r="AA3975" s="54" t="s">
        <v>2</v>
      </c>
      <c r="AB3975" s="54" t="s">
        <v>2</v>
      </c>
      <c r="AC3975" s="54" t="s">
        <v>2</v>
      </c>
      <c r="AD3975" s="54" t="s">
        <v>2</v>
      </c>
      <c r="AE3975" s="54" t="s">
        <v>2</v>
      </c>
      <c r="AF3975" s="54" t="s">
        <v>2</v>
      </c>
      <c r="AG3975" s="54" t="s">
        <v>2</v>
      </c>
    </row>
    <row r="3976" ht="15.75" customHeight="1">
      <c r="B3976" s="56"/>
      <c r="U3976" s="46" t="str">
        <f t="array" ref="U3976">IF($D3976="","",IFERROR(_xlfn.XLOOKUP($D3976,'TIR店舗一覧'!$D:$D,'TIR店舗一覧'!$E:$E,""),""))</f>
        <v/>
      </c>
      <c r="V3976" s="54" t="s">
        <v>2</v>
      </c>
      <c r="W3976" s="54" t="s">
        <v>2</v>
      </c>
      <c r="X3976" s="54" t="s">
        <v>2</v>
      </c>
      <c r="Y3976" s="54" t="s">
        <v>2</v>
      </c>
      <c r="Z3976" s="54" t="s">
        <v>2</v>
      </c>
      <c r="AA3976" s="54" t="s">
        <v>2</v>
      </c>
      <c r="AB3976" s="54" t="s">
        <v>2</v>
      </c>
      <c r="AC3976" s="54" t="s">
        <v>2</v>
      </c>
      <c r="AD3976" s="54" t="s">
        <v>2</v>
      </c>
      <c r="AE3976" s="54" t="s">
        <v>2</v>
      </c>
      <c r="AF3976" s="54" t="s">
        <v>2</v>
      </c>
      <c r="AG3976" s="54" t="s">
        <v>2</v>
      </c>
    </row>
    <row r="3977" ht="15.75" customHeight="1">
      <c r="B3977" s="56"/>
      <c r="U3977" s="46" t="str">
        <f t="array" ref="U3977">IF($D3977="","",IFERROR(_xlfn.XLOOKUP($D3977,'TIR店舗一覧'!$D:$D,'TIR店舗一覧'!$E:$E,""),""))</f>
        <v/>
      </c>
      <c r="V3977" s="54" t="s">
        <v>2</v>
      </c>
      <c r="W3977" s="54" t="s">
        <v>2</v>
      </c>
      <c r="X3977" s="54" t="s">
        <v>2</v>
      </c>
      <c r="Y3977" s="54" t="s">
        <v>2</v>
      </c>
      <c r="Z3977" s="54" t="s">
        <v>2</v>
      </c>
      <c r="AA3977" s="54" t="s">
        <v>2</v>
      </c>
      <c r="AB3977" s="54" t="s">
        <v>2</v>
      </c>
      <c r="AC3977" s="54" t="s">
        <v>2</v>
      </c>
      <c r="AD3977" s="54" t="s">
        <v>2</v>
      </c>
      <c r="AE3977" s="54" t="s">
        <v>2</v>
      </c>
      <c r="AF3977" s="54" t="s">
        <v>2</v>
      </c>
      <c r="AG3977" s="54" t="s">
        <v>2</v>
      </c>
    </row>
    <row r="3978" ht="15.75" customHeight="1">
      <c r="B3978" s="56"/>
      <c r="U3978" s="46" t="str">
        <f t="array" ref="U3978">IF($D3978="","",IFERROR(_xlfn.XLOOKUP($D3978,'TIR店舗一覧'!$D:$D,'TIR店舗一覧'!$E:$E,""),""))</f>
        <v/>
      </c>
      <c r="V3978" s="54" t="s">
        <v>2</v>
      </c>
      <c r="W3978" s="54" t="s">
        <v>2</v>
      </c>
      <c r="X3978" s="54" t="s">
        <v>2</v>
      </c>
      <c r="Y3978" s="54" t="s">
        <v>2</v>
      </c>
      <c r="Z3978" s="54" t="s">
        <v>2</v>
      </c>
      <c r="AA3978" s="54" t="s">
        <v>2</v>
      </c>
      <c r="AB3978" s="54" t="s">
        <v>2</v>
      </c>
      <c r="AC3978" s="54" t="s">
        <v>2</v>
      </c>
      <c r="AD3978" s="54" t="s">
        <v>2</v>
      </c>
      <c r="AE3978" s="54" t="s">
        <v>2</v>
      </c>
      <c r="AF3978" s="54" t="s">
        <v>2</v>
      </c>
      <c r="AG3978" s="54" t="s">
        <v>2</v>
      </c>
    </row>
    <row r="3979" ht="15.75" customHeight="1">
      <c r="B3979" s="56"/>
      <c r="U3979" s="46" t="str">
        <f t="array" ref="U3979">IF($D3979="","",IFERROR(_xlfn.XLOOKUP($D3979,'TIR店舗一覧'!$D:$D,'TIR店舗一覧'!$E:$E,""),""))</f>
        <v/>
      </c>
      <c r="V3979" s="54" t="s">
        <v>2</v>
      </c>
      <c r="W3979" s="54" t="s">
        <v>2</v>
      </c>
      <c r="X3979" s="54" t="s">
        <v>2</v>
      </c>
      <c r="Y3979" s="54" t="s">
        <v>2</v>
      </c>
      <c r="Z3979" s="54" t="s">
        <v>2</v>
      </c>
      <c r="AA3979" s="54" t="s">
        <v>2</v>
      </c>
      <c r="AB3979" s="54" t="s">
        <v>2</v>
      </c>
      <c r="AC3979" s="54" t="s">
        <v>2</v>
      </c>
      <c r="AD3979" s="54" t="s">
        <v>2</v>
      </c>
      <c r="AE3979" s="54" t="s">
        <v>2</v>
      </c>
      <c r="AF3979" s="54" t="s">
        <v>2</v>
      </c>
      <c r="AG3979" s="54" t="s">
        <v>2</v>
      </c>
    </row>
    <row r="3980" ht="15.75" customHeight="1">
      <c r="B3980" s="56"/>
      <c r="U3980" s="46" t="str">
        <f t="array" ref="U3980">IF($D3980="","",IFERROR(_xlfn.XLOOKUP($D3980,'TIR店舗一覧'!$D:$D,'TIR店舗一覧'!$E:$E,""),""))</f>
        <v/>
      </c>
      <c r="V3980" s="54" t="s">
        <v>2</v>
      </c>
      <c r="W3980" s="54" t="s">
        <v>2</v>
      </c>
      <c r="X3980" s="54" t="s">
        <v>2</v>
      </c>
      <c r="Y3980" s="54" t="s">
        <v>2</v>
      </c>
      <c r="Z3980" s="54" t="s">
        <v>2</v>
      </c>
      <c r="AA3980" s="54" t="s">
        <v>2</v>
      </c>
      <c r="AB3980" s="54" t="s">
        <v>2</v>
      </c>
      <c r="AC3980" s="54" t="s">
        <v>2</v>
      </c>
      <c r="AD3980" s="54" t="s">
        <v>2</v>
      </c>
      <c r="AE3980" s="54" t="s">
        <v>2</v>
      </c>
      <c r="AF3980" s="54" t="s">
        <v>2</v>
      </c>
      <c r="AG3980" s="54" t="s">
        <v>2</v>
      </c>
    </row>
    <row r="3981" ht="15.75" customHeight="1">
      <c r="B3981" s="56"/>
      <c r="U3981" s="46" t="str">
        <f t="array" ref="U3981">IF($D3981="","",IFERROR(_xlfn.XLOOKUP($D3981,'TIR店舗一覧'!$D:$D,'TIR店舗一覧'!$E:$E,""),""))</f>
        <v/>
      </c>
      <c r="V3981" s="54" t="s">
        <v>2</v>
      </c>
      <c r="W3981" s="54" t="s">
        <v>2</v>
      </c>
      <c r="X3981" s="54" t="s">
        <v>2</v>
      </c>
      <c r="Y3981" s="54" t="s">
        <v>2</v>
      </c>
      <c r="Z3981" s="54" t="s">
        <v>2</v>
      </c>
      <c r="AA3981" s="54" t="s">
        <v>2</v>
      </c>
      <c r="AB3981" s="54" t="s">
        <v>2</v>
      </c>
      <c r="AC3981" s="54" t="s">
        <v>2</v>
      </c>
      <c r="AD3981" s="54" t="s">
        <v>2</v>
      </c>
      <c r="AE3981" s="54" t="s">
        <v>2</v>
      </c>
      <c r="AF3981" s="54" t="s">
        <v>2</v>
      </c>
      <c r="AG3981" s="54" t="s">
        <v>2</v>
      </c>
    </row>
    <row r="3982" ht="15.75" customHeight="1">
      <c r="B3982" s="56"/>
      <c r="U3982" s="46" t="str">
        <f t="array" ref="U3982">IF($D3982="","",IFERROR(_xlfn.XLOOKUP($D3982,'TIR店舗一覧'!$D:$D,'TIR店舗一覧'!$E:$E,""),""))</f>
        <v/>
      </c>
      <c r="V3982" s="54" t="s">
        <v>2</v>
      </c>
      <c r="W3982" s="54" t="s">
        <v>2</v>
      </c>
      <c r="X3982" s="54" t="s">
        <v>2</v>
      </c>
      <c r="Y3982" s="54" t="s">
        <v>2</v>
      </c>
      <c r="Z3982" s="54" t="s">
        <v>2</v>
      </c>
      <c r="AA3982" s="54" t="s">
        <v>2</v>
      </c>
      <c r="AB3982" s="54" t="s">
        <v>2</v>
      </c>
      <c r="AC3982" s="54" t="s">
        <v>2</v>
      </c>
      <c r="AD3982" s="54" t="s">
        <v>2</v>
      </c>
      <c r="AE3982" s="54" t="s">
        <v>2</v>
      </c>
      <c r="AF3982" s="54" t="s">
        <v>2</v>
      </c>
      <c r="AG3982" s="54" t="s">
        <v>2</v>
      </c>
    </row>
    <row r="3983" ht="15.75" customHeight="1">
      <c r="B3983" s="56"/>
      <c r="U3983" s="46" t="str">
        <f t="array" ref="U3983">IF($D3983="","",IFERROR(_xlfn.XLOOKUP($D3983,'TIR店舗一覧'!$D:$D,'TIR店舗一覧'!$E:$E,""),""))</f>
        <v/>
      </c>
      <c r="V3983" s="54" t="s">
        <v>2</v>
      </c>
      <c r="W3983" s="54" t="s">
        <v>2</v>
      </c>
      <c r="X3983" s="54" t="s">
        <v>2</v>
      </c>
      <c r="Y3983" s="54" t="s">
        <v>2</v>
      </c>
      <c r="Z3983" s="54" t="s">
        <v>2</v>
      </c>
      <c r="AA3983" s="54" t="s">
        <v>2</v>
      </c>
      <c r="AB3983" s="54" t="s">
        <v>2</v>
      </c>
      <c r="AC3983" s="54" t="s">
        <v>2</v>
      </c>
      <c r="AD3983" s="54" t="s">
        <v>2</v>
      </c>
      <c r="AE3983" s="54" t="s">
        <v>2</v>
      </c>
      <c r="AF3983" s="54" t="s">
        <v>2</v>
      </c>
      <c r="AG3983" s="54" t="s">
        <v>2</v>
      </c>
    </row>
    <row r="3984" ht="15.75" customHeight="1">
      <c r="B3984" s="56"/>
      <c r="U3984" s="46" t="str">
        <f t="array" ref="U3984">IF($D3984="","",IFERROR(_xlfn.XLOOKUP($D3984,'TIR店舗一覧'!$D:$D,'TIR店舗一覧'!$E:$E,""),""))</f>
        <v/>
      </c>
      <c r="V3984" s="54" t="s">
        <v>2</v>
      </c>
      <c r="W3984" s="54" t="s">
        <v>2</v>
      </c>
      <c r="X3984" s="54" t="s">
        <v>2</v>
      </c>
      <c r="Y3984" s="54" t="s">
        <v>2</v>
      </c>
      <c r="Z3984" s="54" t="s">
        <v>2</v>
      </c>
      <c r="AA3984" s="54" t="s">
        <v>2</v>
      </c>
      <c r="AB3984" s="54" t="s">
        <v>2</v>
      </c>
      <c r="AC3984" s="54" t="s">
        <v>2</v>
      </c>
      <c r="AD3984" s="54" t="s">
        <v>2</v>
      </c>
      <c r="AE3984" s="54" t="s">
        <v>2</v>
      </c>
      <c r="AF3984" s="54" t="s">
        <v>2</v>
      </c>
      <c r="AG3984" s="54" t="s">
        <v>2</v>
      </c>
    </row>
    <row r="3985" ht="15.75" customHeight="1">
      <c r="B3985" s="56"/>
      <c r="U3985" s="46" t="str">
        <f t="array" ref="U3985">IF($D3985="","",IFERROR(_xlfn.XLOOKUP($D3985,'TIR店舗一覧'!$D:$D,'TIR店舗一覧'!$E:$E,""),""))</f>
        <v/>
      </c>
      <c r="V3985" s="54" t="s">
        <v>2</v>
      </c>
      <c r="W3985" s="54" t="s">
        <v>2</v>
      </c>
      <c r="X3985" s="54" t="s">
        <v>2</v>
      </c>
      <c r="Y3985" s="54" t="s">
        <v>2</v>
      </c>
      <c r="Z3985" s="54" t="s">
        <v>2</v>
      </c>
      <c r="AA3985" s="54" t="s">
        <v>2</v>
      </c>
      <c r="AB3985" s="54" t="s">
        <v>2</v>
      </c>
      <c r="AC3985" s="54" t="s">
        <v>2</v>
      </c>
      <c r="AD3985" s="54" t="s">
        <v>2</v>
      </c>
      <c r="AE3985" s="54" t="s">
        <v>2</v>
      </c>
      <c r="AF3985" s="54" t="s">
        <v>2</v>
      </c>
      <c r="AG3985" s="54" t="s">
        <v>2</v>
      </c>
    </row>
    <row r="3986" ht="15.75" customHeight="1">
      <c r="B3986" s="56"/>
      <c r="U3986" s="46" t="str">
        <f t="array" ref="U3986">IF($D3986="","",IFERROR(_xlfn.XLOOKUP($D3986,'TIR店舗一覧'!$D:$D,'TIR店舗一覧'!$E:$E,""),""))</f>
        <v/>
      </c>
      <c r="V3986" s="54" t="s">
        <v>2</v>
      </c>
      <c r="W3986" s="54" t="s">
        <v>2</v>
      </c>
      <c r="X3986" s="54" t="s">
        <v>2</v>
      </c>
      <c r="Y3986" s="54" t="s">
        <v>2</v>
      </c>
      <c r="Z3986" s="54" t="s">
        <v>2</v>
      </c>
      <c r="AA3986" s="54" t="s">
        <v>2</v>
      </c>
      <c r="AB3986" s="54" t="s">
        <v>2</v>
      </c>
      <c r="AC3986" s="54" t="s">
        <v>2</v>
      </c>
      <c r="AD3986" s="54" t="s">
        <v>2</v>
      </c>
      <c r="AE3986" s="54" t="s">
        <v>2</v>
      </c>
      <c r="AF3986" s="54" t="s">
        <v>2</v>
      </c>
      <c r="AG3986" s="54" t="s">
        <v>2</v>
      </c>
    </row>
    <row r="3987" ht="15.75" customHeight="1">
      <c r="B3987" s="56"/>
      <c r="U3987" s="46" t="str">
        <f t="array" ref="U3987">IF($D3987="","",IFERROR(_xlfn.XLOOKUP($D3987,'TIR店舗一覧'!$D:$D,'TIR店舗一覧'!$E:$E,""),""))</f>
        <v/>
      </c>
      <c r="V3987" s="54" t="s">
        <v>2</v>
      </c>
      <c r="W3987" s="54" t="s">
        <v>2</v>
      </c>
      <c r="X3987" s="54" t="s">
        <v>2</v>
      </c>
      <c r="Y3987" s="54" t="s">
        <v>2</v>
      </c>
      <c r="Z3987" s="54" t="s">
        <v>2</v>
      </c>
      <c r="AA3987" s="54" t="s">
        <v>2</v>
      </c>
      <c r="AB3987" s="54" t="s">
        <v>2</v>
      </c>
      <c r="AC3987" s="54" t="s">
        <v>2</v>
      </c>
      <c r="AD3987" s="54" t="s">
        <v>2</v>
      </c>
      <c r="AE3987" s="54" t="s">
        <v>2</v>
      </c>
      <c r="AF3987" s="54" t="s">
        <v>2</v>
      </c>
      <c r="AG3987" s="54" t="s">
        <v>2</v>
      </c>
    </row>
    <row r="3988" ht="15.75" customHeight="1">
      <c r="B3988" s="56"/>
      <c r="U3988" s="46" t="str">
        <f t="array" ref="U3988">IF($D3988="","",IFERROR(_xlfn.XLOOKUP($D3988,'TIR店舗一覧'!$D:$D,'TIR店舗一覧'!$E:$E,""),""))</f>
        <v/>
      </c>
      <c r="V3988" s="54" t="s">
        <v>2</v>
      </c>
      <c r="W3988" s="54" t="s">
        <v>2</v>
      </c>
      <c r="X3988" s="54" t="s">
        <v>2</v>
      </c>
      <c r="Y3988" s="54" t="s">
        <v>2</v>
      </c>
      <c r="Z3988" s="54" t="s">
        <v>2</v>
      </c>
      <c r="AA3988" s="54" t="s">
        <v>2</v>
      </c>
      <c r="AB3988" s="54" t="s">
        <v>2</v>
      </c>
      <c r="AC3988" s="54" t="s">
        <v>2</v>
      </c>
      <c r="AD3988" s="54" t="s">
        <v>2</v>
      </c>
      <c r="AE3988" s="54" t="s">
        <v>2</v>
      </c>
      <c r="AF3988" s="54" t="s">
        <v>2</v>
      </c>
      <c r="AG3988" s="54" t="s">
        <v>2</v>
      </c>
    </row>
    <row r="3989" ht="15.75" customHeight="1">
      <c r="B3989" s="56"/>
      <c r="U3989" s="46" t="str">
        <f t="array" ref="U3989">IF($D3989="","",IFERROR(_xlfn.XLOOKUP($D3989,'TIR店舗一覧'!$D:$D,'TIR店舗一覧'!$E:$E,""),""))</f>
        <v/>
      </c>
      <c r="V3989" s="54" t="s">
        <v>2</v>
      </c>
      <c r="W3989" s="54" t="s">
        <v>2</v>
      </c>
      <c r="X3989" s="54" t="s">
        <v>2</v>
      </c>
      <c r="Y3989" s="54" t="s">
        <v>2</v>
      </c>
      <c r="Z3989" s="54" t="s">
        <v>2</v>
      </c>
      <c r="AA3989" s="54" t="s">
        <v>2</v>
      </c>
      <c r="AB3989" s="54" t="s">
        <v>2</v>
      </c>
      <c r="AC3989" s="54" t="s">
        <v>2</v>
      </c>
      <c r="AD3989" s="54" t="s">
        <v>2</v>
      </c>
      <c r="AE3989" s="54" t="s">
        <v>2</v>
      </c>
      <c r="AF3989" s="54" t="s">
        <v>2</v>
      </c>
      <c r="AG3989" s="54" t="s">
        <v>2</v>
      </c>
    </row>
    <row r="3990" ht="15.75" customHeight="1">
      <c r="B3990" s="56"/>
      <c r="U3990" s="46" t="str">
        <f t="array" ref="U3990">IF($D3990="","",IFERROR(_xlfn.XLOOKUP($D3990,'TIR店舗一覧'!$D:$D,'TIR店舗一覧'!$E:$E,""),""))</f>
        <v/>
      </c>
      <c r="V3990" s="54" t="s">
        <v>2</v>
      </c>
      <c r="W3990" s="54" t="s">
        <v>2</v>
      </c>
      <c r="X3990" s="54" t="s">
        <v>2</v>
      </c>
      <c r="Y3990" s="54" t="s">
        <v>2</v>
      </c>
      <c r="Z3990" s="54" t="s">
        <v>2</v>
      </c>
      <c r="AA3990" s="54" t="s">
        <v>2</v>
      </c>
      <c r="AB3990" s="54" t="s">
        <v>2</v>
      </c>
      <c r="AC3990" s="54" t="s">
        <v>2</v>
      </c>
      <c r="AD3990" s="54" t="s">
        <v>2</v>
      </c>
      <c r="AE3990" s="54" t="s">
        <v>2</v>
      </c>
      <c r="AF3990" s="54" t="s">
        <v>2</v>
      </c>
      <c r="AG3990" s="54" t="s">
        <v>2</v>
      </c>
    </row>
    <row r="3991" ht="15.75" customHeight="1">
      <c r="B3991" s="56"/>
      <c r="U3991" s="46" t="str">
        <f t="array" ref="U3991">IF($D3991="","",IFERROR(_xlfn.XLOOKUP($D3991,'TIR店舗一覧'!$D:$D,'TIR店舗一覧'!$E:$E,""),""))</f>
        <v/>
      </c>
      <c r="V3991" s="54" t="s">
        <v>2</v>
      </c>
      <c r="W3991" s="54" t="s">
        <v>2</v>
      </c>
      <c r="X3991" s="54" t="s">
        <v>2</v>
      </c>
      <c r="Y3991" s="54" t="s">
        <v>2</v>
      </c>
      <c r="Z3991" s="54" t="s">
        <v>2</v>
      </c>
      <c r="AA3991" s="54" t="s">
        <v>2</v>
      </c>
      <c r="AB3991" s="54" t="s">
        <v>2</v>
      </c>
      <c r="AC3991" s="54" t="s">
        <v>2</v>
      </c>
      <c r="AD3991" s="54" t="s">
        <v>2</v>
      </c>
      <c r="AE3991" s="54" t="s">
        <v>2</v>
      </c>
      <c r="AF3991" s="54" t="s">
        <v>2</v>
      </c>
      <c r="AG3991" s="54" t="s">
        <v>2</v>
      </c>
    </row>
    <row r="3992" ht="15.75" customHeight="1">
      <c r="B3992" s="56"/>
      <c r="U3992" s="46" t="str">
        <f t="array" ref="U3992">IF($D3992="","",IFERROR(_xlfn.XLOOKUP($D3992,'TIR店舗一覧'!$D:$D,'TIR店舗一覧'!$E:$E,""),""))</f>
        <v/>
      </c>
      <c r="V3992" s="54" t="s">
        <v>2</v>
      </c>
      <c r="W3992" s="54" t="s">
        <v>2</v>
      </c>
      <c r="X3992" s="54" t="s">
        <v>2</v>
      </c>
      <c r="Y3992" s="54" t="s">
        <v>2</v>
      </c>
      <c r="Z3992" s="54" t="s">
        <v>2</v>
      </c>
      <c r="AA3992" s="54" t="s">
        <v>2</v>
      </c>
      <c r="AB3992" s="54" t="s">
        <v>2</v>
      </c>
      <c r="AC3992" s="54" t="s">
        <v>2</v>
      </c>
      <c r="AD3992" s="54" t="s">
        <v>2</v>
      </c>
      <c r="AE3992" s="54" t="s">
        <v>2</v>
      </c>
      <c r="AF3992" s="54" t="s">
        <v>2</v>
      </c>
      <c r="AG3992" s="54" t="s">
        <v>2</v>
      </c>
    </row>
    <row r="3993" ht="15.75" customHeight="1">
      <c r="B3993" s="56"/>
      <c r="U3993" s="46" t="str">
        <f t="array" ref="U3993">IF($D3993="","",IFERROR(_xlfn.XLOOKUP($D3993,'TIR店舗一覧'!$D:$D,'TIR店舗一覧'!$E:$E,""),""))</f>
        <v/>
      </c>
      <c r="V3993" s="54" t="s">
        <v>2</v>
      </c>
      <c r="W3993" s="54" t="s">
        <v>2</v>
      </c>
      <c r="X3993" s="54" t="s">
        <v>2</v>
      </c>
      <c r="Y3993" s="54" t="s">
        <v>2</v>
      </c>
      <c r="Z3993" s="54" t="s">
        <v>2</v>
      </c>
      <c r="AA3993" s="54" t="s">
        <v>2</v>
      </c>
      <c r="AB3993" s="54" t="s">
        <v>2</v>
      </c>
      <c r="AC3993" s="54" t="s">
        <v>2</v>
      </c>
      <c r="AD3993" s="54" t="s">
        <v>2</v>
      </c>
      <c r="AE3993" s="54" t="s">
        <v>2</v>
      </c>
      <c r="AF3993" s="54" t="s">
        <v>2</v>
      </c>
      <c r="AG3993" s="54" t="s">
        <v>2</v>
      </c>
    </row>
    <row r="3994" ht="15.75" customHeight="1">
      <c r="B3994" s="56"/>
      <c r="U3994" s="46" t="str">
        <f t="array" ref="U3994">IF($D3994="","",IFERROR(_xlfn.XLOOKUP($D3994,'TIR店舗一覧'!$D:$D,'TIR店舗一覧'!$E:$E,""),""))</f>
        <v/>
      </c>
      <c r="V3994" s="54" t="s">
        <v>2</v>
      </c>
      <c r="W3994" s="54" t="s">
        <v>2</v>
      </c>
      <c r="X3994" s="54" t="s">
        <v>2</v>
      </c>
      <c r="Y3994" s="54" t="s">
        <v>2</v>
      </c>
      <c r="Z3994" s="54" t="s">
        <v>2</v>
      </c>
      <c r="AA3994" s="54" t="s">
        <v>2</v>
      </c>
      <c r="AB3994" s="54" t="s">
        <v>2</v>
      </c>
      <c r="AC3994" s="54" t="s">
        <v>2</v>
      </c>
      <c r="AD3994" s="54" t="s">
        <v>2</v>
      </c>
      <c r="AE3994" s="54" t="s">
        <v>2</v>
      </c>
      <c r="AF3994" s="54" t="s">
        <v>2</v>
      </c>
      <c r="AG3994" s="54" t="s">
        <v>2</v>
      </c>
    </row>
    <row r="3995" ht="15.75" customHeight="1">
      <c r="B3995" s="56"/>
      <c r="U3995" s="46" t="str">
        <f t="array" ref="U3995">IF($D3995="","",IFERROR(_xlfn.XLOOKUP($D3995,'TIR店舗一覧'!$D:$D,'TIR店舗一覧'!$E:$E,""),""))</f>
        <v/>
      </c>
      <c r="V3995" s="54" t="s">
        <v>2</v>
      </c>
      <c r="W3995" s="54" t="s">
        <v>2</v>
      </c>
      <c r="X3995" s="54" t="s">
        <v>2</v>
      </c>
      <c r="Y3995" s="54" t="s">
        <v>2</v>
      </c>
      <c r="Z3995" s="54" t="s">
        <v>2</v>
      </c>
      <c r="AA3995" s="54" t="s">
        <v>2</v>
      </c>
      <c r="AB3995" s="54" t="s">
        <v>2</v>
      </c>
      <c r="AC3995" s="54" t="s">
        <v>2</v>
      </c>
      <c r="AD3995" s="54" t="s">
        <v>2</v>
      </c>
      <c r="AE3995" s="54" t="s">
        <v>2</v>
      </c>
      <c r="AF3995" s="54" t="s">
        <v>2</v>
      </c>
      <c r="AG3995" s="54" t="s">
        <v>2</v>
      </c>
    </row>
    <row r="3996" ht="15.75" customHeight="1">
      <c r="B3996" s="56"/>
      <c r="U3996" s="46" t="str">
        <f t="array" ref="U3996">IF($D3996="","",IFERROR(_xlfn.XLOOKUP($D3996,'TIR店舗一覧'!$D:$D,'TIR店舗一覧'!$E:$E,""),""))</f>
        <v/>
      </c>
      <c r="V3996" s="54" t="s">
        <v>2</v>
      </c>
      <c r="W3996" s="54" t="s">
        <v>2</v>
      </c>
      <c r="X3996" s="54" t="s">
        <v>2</v>
      </c>
      <c r="Y3996" s="54" t="s">
        <v>2</v>
      </c>
      <c r="Z3996" s="54" t="s">
        <v>2</v>
      </c>
      <c r="AA3996" s="54" t="s">
        <v>2</v>
      </c>
      <c r="AB3996" s="54" t="s">
        <v>2</v>
      </c>
      <c r="AC3996" s="54" t="s">
        <v>2</v>
      </c>
      <c r="AD3996" s="54" t="s">
        <v>2</v>
      </c>
      <c r="AE3996" s="54" t="s">
        <v>2</v>
      </c>
      <c r="AF3996" s="54" t="s">
        <v>2</v>
      </c>
      <c r="AG3996" s="54" t="s">
        <v>2</v>
      </c>
    </row>
    <row r="3997" ht="15.75" customHeight="1">
      <c r="B3997" s="56"/>
      <c r="U3997" s="46" t="str">
        <f t="array" ref="U3997">IF($D3997="","",IFERROR(_xlfn.XLOOKUP($D3997,'TIR店舗一覧'!$D:$D,'TIR店舗一覧'!$E:$E,""),""))</f>
        <v/>
      </c>
      <c r="V3997" s="54" t="s">
        <v>2</v>
      </c>
      <c r="W3997" s="54" t="s">
        <v>2</v>
      </c>
      <c r="X3997" s="54" t="s">
        <v>2</v>
      </c>
      <c r="Y3997" s="54" t="s">
        <v>2</v>
      </c>
      <c r="Z3997" s="54" t="s">
        <v>2</v>
      </c>
      <c r="AA3997" s="54" t="s">
        <v>2</v>
      </c>
      <c r="AB3997" s="54" t="s">
        <v>2</v>
      </c>
      <c r="AC3997" s="54" t="s">
        <v>2</v>
      </c>
      <c r="AD3997" s="54" t="s">
        <v>2</v>
      </c>
      <c r="AE3997" s="54" t="s">
        <v>2</v>
      </c>
      <c r="AF3997" s="54" t="s">
        <v>2</v>
      </c>
      <c r="AG3997" s="54" t="s">
        <v>2</v>
      </c>
    </row>
    <row r="3998" ht="15.75" customHeight="1">
      <c r="B3998" s="56"/>
      <c r="U3998" s="46" t="str">
        <f t="array" ref="U3998">IF($D3998="","",IFERROR(_xlfn.XLOOKUP($D3998,'TIR店舗一覧'!$D:$D,'TIR店舗一覧'!$E:$E,""),""))</f>
        <v/>
      </c>
      <c r="V3998" s="54" t="s">
        <v>2</v>
      </c>
      <c r="W3998" s="54" t="s">
        <v>2</v>
      </c>
      <c r="X3998" s="54" t="s">
        <v>2</v>
      </c>
      <c r="Y3998" s="54" t="s">
        <v>2</v>
      </c>
      <c r="Z3998" s="54" t="s">
        <v>2</v>
      </c>
      <c r="AA3998" s="54" t="s">
        <v>2</v>
      </c>
      <c r="AB3998" s="54" t="s">
        <v>2</v>
      </c>
      <c r="AC3998" s="54" t="s">
        <v>2</v>
      </c>
      <c r="AD3998" s="54" t="s">
        <v>2</v>
      </c>
      <c r="AE3998" s="54" t="s">
        <v>2</v>
      </c>
      <c r="AF3998" s="54" t="s">
        <v>2</v>
      </c>
      <c r="AG3998" s="54" t="s">
        <v>2</v>
      </c>
    </row>
    <row r="3999" ht="15.75" customHeight="1">
      <c r="B3999" s="56"/>
      <c r="U3999" s="46" t="str">
        <f t="array" ref="U3999">IF($D3999="","",IFERROR(_xlfn.XLOOKUP($D3999,'TIR店舗一覧'!$D:$D,'TIR店舗一覧'!$E:$E,""),""))</f>
        <v/>
      </c>
      <c r="V3999" s="54" t="s">
        <v>2</v>
      </c>
      <c r="W3999" s="54" t="s">
        <v>2</v>
      </c>
      <c r="X3999" s="54" t="s">
        <v>2</v>
      </c>
      <c r="Y3999" s="54" t="s">
        <v>2</v>
      </c>
      <c r="Z3999" s="54" t="s">
        <v>2</v>
      </c>
      <c r="AA3999" s="54" t="s">
        <v>2</v>
      </c>
      <c r="AB3999" s="54" t="s">
        <v>2</v>
      </c>
      <c r="AC3999" s="54" t="s">
        <v>2</v>
      </c>
      <c r="AD3999" s="54" t="s">
        <v>2</v>
      </c>
      <c r="AE3999" s="54" t="s">
        <v>2</v>
      </c>
      <c r="AF3999" s="54" t="s">
        <v>2</v>
      </c>
      <c r="AG3999" s="54" t="s">
        <v>2</v>
      </c>
    </row>
    <row r="4000" ht="15.75" customHeight="1">
      <c r="B4000" s="56"/>
      <c r="U4000" s="46" t="str">
        <f t="array" ref="U4000">IF($D4000="","",IFERROR(_xlfn.XLOOKUP($D4000,'TIR店舗一覧'!$D:$D,'TIR店舗一覧'!$E:$E,""),""))</f>
        <v/>
      </c>
      <c r="V4000" s="54" t="s">
        <v>2</v>
      </c>
      <c r="W4000" s="54" t="s">
        <v>2</v>
      </c>
      <c r="X4000" s="54" t="s">
        <v>2</v>
      </c>
      <c r="Y4000" s="54" t="s">
        <v>2</v>
      </c>
      <c r="Z4000" s="54" t="s">
        <v>2</v>
      </c>
      <c r="AA4000" s="54" t="s">
        <v>2</v>
      </c>
      <c r="AB4000" s="54" t="s">
        <v>2</v>
      </c>
      <c r="AC4000" s="54" t="s">
        <v>2</v>
      </c>
      <c r="AD4000" s="54" t="s">
        <v>2</v>
      </c>
      <c r="AE4000" s="54" t="s">
        <v>2</v>
      </c>
      <c r="AF4000" s="54" t="s">
        <v>2</v>
      </c>
      <c r="AG4000" s="54" t="s">
        <v>2</v>
      </c>
    </row>
    <row r="4001" ht="15.75" customHeight="1">
      <c r="B4001" s="56"/>
      <c r="U4001" s="46" t="str">
        <f t="array" ref="U4001">IF($D4001="","",IFERROR(_xlfn.XLOOKUP($D4001,'TIR店舗一覧'!$D:$D,'TIR店舗一覧'!$E:$E,""),""))</f>
        <v/>
      </c>
      <c r="V4001" s="54" t="s">
        <v>2</v>
      </c>
      <c r="W4001" s="54" t="s">
        <v>2</v>
      </c>
      <c r="X4001" s="54" t="s">
        <v>2</v>
      </c>
      <c r="Y4001" s="54" t="s">
        <v>2</v>
      </c>
      <c r="Z4001" s="54" t="s">
        <v>2</v>
      </c>
      <c r="AA4001" s="54" t="s">
        <v>2</v>
      </c>
      <c r="AB4001" s="54" t="s">
        <v>2</v>
      </c>
      <c r="AC4001" s="54" t="s">
        <v>2</v>
      </c>
      <c r="AD4001" s="54" t="s">
        <v>2</v>
      </c>
      <c r="AE4001" s="54" t="s">
        <v>2</v>
      </c>
      <c r="AF4001" s="54" t="s">
        <v>2</v>
      </c>
      <c r="AG4001" s="54" t="s">
        <v>2</v>
      </c>
    </row>
    <row r="4002" ht="15.75" customHeight="1">
      <c r="B4002" s="56"/>
      <c r="U4002" s="46" t="str">
        <f t="array" ref="U4002">IF($D4002="","",IFERROR(_xlfn.XLOOKUP($D4002,'TIR店舗一覧'!$D:$D,'TIR店舗一覧'!$E:$E,""),""))</f>
        <v/>
      </c>
      <c r="V4002" s="54" t="s">
        <v>2</v>
      </c>
      <c r="W4002" s="54" t="s">
        <v>2</v>
      </c>
      <c r="X4002" s="54" t="s">
        <v>2</v>
      </c>
      <c r="Y4002" s="54" t="s">
        <v>2</v>
      </c>
      <c r="Z4002" s="54" t="s">
        <v>2</v>
      </c>
      <c r="AA4002" s="54" t="s">
        <v>2</v>
      </c>
      <c r="AB4002" s="54" t="s">
        <v>2</v>
      </c>
      <c r="AC4002" s="54" t="s">
        <v>2</v>
      </c>
      <c r="AD4002" s="54" t="s">
        <v>2</v>
      </c>
      <c r="AE4002" s="54" t="s">
        <v>2</v>
      </c>
      <c r="AF4002" s="54" t="s">
        <v>2</v>
      </c>
      <c r="AG4002" s="54" t="s">
        <v>2</v>
      </c>
    </row>
    <row r="4003" ht="15.75" customHeight="1">
      <c r="B4003" s="56"/>
      <c r="U4003" s="46" t="str">
        <f t="array" ref="U4003">IF($D4003="","",IFERROR(_xlfn.XLOOKUP($D4003,'TIR店舗一覧'!$D:$D,'TIR店舗一覧'!$E:$E,""),""))</f>
        <v/>
      </c>
      <c r="V4003" s="54" t="s">
        <v>2</v>
      </c>
      <c r="W4003" s="54" t="s">
        <v>2</v>
      </c>
      <c r="X4003" s="54" t="s">
        <v>2</v>
      </c>
      <c r="Y4003" s="54" t="s">
        <v>2</v>
      </c>
      <c r="Z4003" s="54" t="s">
        <v>2</v>
      </c>
      <c r="AA4003" s="54" t="s">
        <v>2</v>
      </c>
      <c r="AB4003" s="54" t="s">
        <v>2</v>
      </c>
      <c r="AC4003" s="54" t="s">
        <v>2</v>
      </c>
      <c r="AD4003" s="54" t="s">
        <v>2</v>
      </c>
      <c r="AE4003" s="54" t="s">
        <v>2</v>
      </c>
      <c r="AF4003" s="54" t="s">
        <v>2</v>
      </c>
      <c r="AG4003" s="54" t="s">
        <v>2</v>
      </c>
    </row>
    <row r="4004" ht="15.75" customHeight="1">
      <c r="B4004" s="56"/>
      <c r="U4004" s="46" t="str">
        <f t="array" ref="U4004">IF($D4004="","",IFERROR(_xlfn.XLOOKUP($D4004,'TIR店舗一覧'!$D:$D,'TIR店舗一覧'!$E:$E,""),""))</f>
        <v/>
      </c>
      <c r="V4004" s="54" t="s">
        <v>2</v>
      </c>
      <c r="W4004" s="54" t="s">
        <v>2</v>
      </c>
      <c r="X4004" s="54" t="s">
        <v>2</v>
      </c>
      <c r="Y4004" s="54" t="s">
        <v>2</v>
      </c>
      <c r="Z4004" s="54" t="s">
        <v>2</v>
      </c>
      <c r="AA4004" s="54" t="s">
        <v>2</v>
      </c>
      <c r="AB4004" s="54" t="s">
        <v>2</v>
      </c>
      <c r="AC4004" s="54" t="s">
        <v>2</v>
      </c>
      <c r="AD4004" s="54" t="s">
        <v>2</v>
      </c>
      <c r="AE4004" s="54" t="s">
        <v>2</v>
      </c>
      <c r="AF4004" s="54" t="s">
        <v>2</v>
      </c>
      <c r="AG4004" s="54" t="s">
        <v>2</v>
      </c>
    </row>
    <row r="4005" ht="15.75" customHeight="1">
      <c r="B4005" s="56"/>
      <c r="U4005" s="46" t="str">
        <f t="array" ref="U4005">IF($D4005="","",IFERROR(_xlfn.XLOOKUP($D4005,'TIR店舗一覧'!$D:$D,'TIR店舗一覧'!$E:$E,""),""))</f>
        <v/>
      </c>
      <c r="V4005" s="54" t="s">
        <v>2</v>
      </c>
      <c r="W4005" s="54" t="s">
        <v>2</v>
      </c>
      <c r="X4005" s="54" t="s">
        <v>2</v>
      </c>
      <c r="Y4005" s="54" t="s">
        <v>2</v>
      </c>
      <c r="Z4005" s="54" t="s">
        <v>2</v>
      </c>
      <c r="AA4005" s="54" t="s">
        <v>2</v>
      </c>
      <c r="AB4005" s="54" t="s">
        <v>2</v>
      </c>
      <c r="AC4005" s="54" t="s">
        <v>2</v>
      </c>
      <c r="AD4005" s="54" t="s">
        <v>2</v>
      </c>
      <c r="AE4005" s="54" t="s">
        <v>2</v>
      </c>
      <c r="AF4005" s="54" t="s">
        <v>2</v>
      </c>
      <c r="AG4005" s="54" t="s">
        <v>2</v>
      </c>
    </row>
    <row r="4006" ht="15.75" customHeight="1">
      <c r="B4006" s="56"/>
      <c r="U4006" s="46" t="str">
        <f t="array" ref="U4006">IF($D4006="","",IFERROR(_xlfn.XLOOKUP($D4006,'TIR店舗一覧'!$D:$D,'TIR店舗一覧'!$E:$E,""),""))</f>
        <v/>
      </c>
      <c r="V4006" s="54" t="s">
        <v>2</v>
      </c>
      <c r="W4006" s="54" t="s">
        <v>2</v>
      </c>
      <c r="X4006" s="54" t="s">
        <v>2</v>
      </c>
      <c r="Y4006" s="54" t="s">
        <v>2</v>
      </c>
      <c r="Z4006" s="54" t="s">
        <v>2</v>
      </c>
      <c r="AA4006" s="54" t="s">
        <v>2</v>
      </c>
      <c r="AB4006" s="54" t="s">
        <v>2</v>
      </c>
      <c r="AC4006" s="54" t="s">
        <v>2</v>
      </c>
      <c r="AD4006" s="54" t="s">
        <v>2</v>
      </c>
      <c r="AE4006" s="54" t="s">
        <v>2</v>
      </c>
      <c r="AF4006" s="54" t="s">
        <v>2</v>
      </c>
      <c r="AG4006" s="54" t="s">
        <v>2</v>
      </c>
    </row>
    <row r="4007" ht="15.75" customHeight="1">
      <c r="B4007" s="56"/>
      <c r="U4007" s="46" t="str">
        <f t="array" ref="U4007">IF($D4007="","",IFERROR(_xlfn.XLOOKUP($D4007,'TIR店舗一覧'!$D:$D,'TIR店舗一覧'!$E:$E,""),""))</f>
        <v/>
      </c>
      <c r="V4007" s="54" t="s">
        <v>2</v>
      </c>
      <c r="W4007" s="54" t="s">
        <v>2</v>
      </c>
      <c r="X4007" s="54" t="s">
        <v>2</v>
      </c>
      <c r="Y4007" s="54" t="s">
        <v>2</v>
      </c>
      <c r="Z4007" s="54" t="s">
        <v>2</v>
      </c>
      <c r="AA4007" s="54" t="s">
        <v>2</v>
      </c>
      <c r="AB4007" s="54" t="s">
        <v>2</v>
      </c>
      <c r="AC4007" s="54" t="s">
        <v>2</v>
      </c>
      <c r="AD4007" s="54" t="s">
        <v>2</v>
      </c>
      <c r="AE4007" s="54" t="s">
        <v>2</v>
      </c>
      <c r="AF4007" s="54" t="s">
        <v>2</v>
      </c>
      <c r="AG4007" s="54" t="s">
        <v>2</v>
      </c>
    </row>
    <row r="4008" ht="15.75" customHeight="1">
      <c r="B4008" s="56"/>
      <c r="U4008" s="46" t="str">
        <f t="array" ref="U4008">IF($D4008="","",IFERROR(_xlfn.XLOOKUP($D4008,'TIR店舗一覧'!$D:$D,'TIR店舗一覧'!$E:$E,""),""))</f>
        <v/>
      </c>
      <c r="V4008" s="54" t="s">
        <v>2</v>
      </c>
      <c r="W4008" s="54" t="s">
        <v>2</v>
      </c>
      <c r="X4008" s="54" t="s">
        <v>2</v>
      </c>
      <c r="Y4008" s="54" t="s">
        <v>2</v>
      </c>
      <c r="Z4008" s="54" t="s">
        <v>2</v>
      </c>
      <c r="AA4008" s="54" t="s">
        <v>2</v>
      </c>
      <c r="AB4008" s="54" t="s">
        <v>2</v>
      </c>
      <c r="AC4008" s="54" t="s">
        <v>2</v>
      </c>
      <c r="AD4008" s="54" t="s">
        <v>2</v>
      </c>
      <c r="AE4008" s="54" t="s">
        <v>2</v>
      </c>
      <c r="AF4008" s="54" t="s">
        <v>2</v>
      </c>
      <c r="AG4008" s="54" t="s">
        <v>2</v>
      </c>
    </row>
    <row r="4009" ht="15.75" customHeight="1">
      <c r="B4009" s="56"/>
      <c r="U4009" s="46" t="str">
        <f t="array" ref="U4009">IF($D4009="","",IFERROR(_xlfn.XLOOKUP($D4009,'TIR店舗一覧'!$D:$D,'TIR店舗一覧'!$E:$E,""),""))</f>
        <v/>
      </c>
      <c r="V4009" s="54" t="s">
        <v>2</v>
      </c>
      <c r="W4009" s="54" t="s">
        <v>2</v>
      </c>
      <c r="X4009" s="54" t="s">
        <v>2</v>
      </c>
      <c r="Y4009" s="54" t="s">
        <v>2</v>
      </c>
      <c r="Z4009" s="54" t="s">
        <v>2</v>
      </c>
      <c r="AA4009" s="54" t="s">
        <v>2</v>
      </c>
      <c r="AB4009" s="54" t="s">
        <v>2</v>
      </c>
      <c r="AC4009" s="54" t="s">
        <v>2</v>
      </c>
      <c r="AD4009" s="54" t="s">
        <v>2</v>
      </c>
      <c r="AE4009" s="54" t="s">
        <v>2</v>
      </c>
      <c r="AF4009" s="54" t="s">
        <v>2</v>
      </c>
      <c r="AG4009" s="54" t="s">
        <v>2</v>
      </c>
    </row>
    <row r="4010" ht="15.75" customHeight="1">
      <c r="B4010" s="56"/>
      <c r="U4010" s="46" t="str">
        <f t="array" ref="U4010">IF($D4010="","",IFERROR(_xlfn.XLOOKUP($D4010,'TIR店舗一覧'!$D:$D,'TIR店舗一覧'!$E:$E,""),""))</f>
        <v/>
      </c>
      <c r="V4010" s="54" t="s">
        <v>2</v>
      </c>
      <c r="W4010" s="54" t="s">
        <v>2</v>
      </c>
      <c r="X4010" s="54" t="s">
        <v>2</v>
      </c>
      <c r="Y4010" s="54" t="s">
        <v>2</v>
      </c>
      <c r="Z4010" s="54" t="s">
        <v>2</v>
      </c>
      <c r="AA4010" s="54" t="s">
        <v>2</v>
      </c>
      <c r="AB4010" s="54" t="s">
        <v>2</v>
      </c>
      <c r="AC4010" s="54" t="s">
        <v>2</v>
      </c>
      <c r="AD4010" s="54" t="s">
        <v>2</v>
      </c>
      <c r="AE4010" s="54" t="s">
        <v>2</v>
      </c>
      <c r="AF4010" s="54" t="s">
        <v>2</v>
      </c>
      <c r="AG4010" s="54" t="s">
        <v>2</v>
      </c>
    </row>
    <row r="4011" ht="15.75" customHeight="1">
      <c r="B4011" s="56"/>
      <c r="U4011" s="46" t="str">
        <f t="array" ref="U4011">IF($D4011="","",IFERROR(_xlfn.XLOOKUP($D4011,'TIR店舗一覧'!$D:$D,'TIR店舗一覧'!$E:$E,""),""))</f>
        <v/>
      </c>
      <c r="V4011" s="54" t="s">
        <v>2</v>
      </c>
      <c r="W4011" s="54" t="s">
        <v>2</v>
      </c>
      <c r="X4011" s="54" t="s">
        <v>2</v>
      </c>
      <c r="Y4011" s="54" t="s">
        <v>2</v>
      </c>
      <c r="Z4011" s="54" t="s">
        <v>2</v>
      </c>
      <c r="AA4011" s="54" t="s">
        <v>2</v>
      </c>
      <c r="AB4011" s="54" t="s">
        <v>2</v>
      </c>
      <c r="AC4011" s="54" t="s">
        <v>2</v>
      </c>
      <c r="AD4011" s="54" t="s">
        <v>2</v>
      </c>
      <c r="AE4011" s="54" t="s">
        <v>2</v>
      </c>
      <c r="AF4011" s="54" t="s">
        <v>2</v>
      </c>
      <c r="AG4011" s="54" t="s">
        <v>2</v>
      </c>
    </row>
    <row r="4012" ht="15.75" customHeight="1">
      <c r="B4012" s="56"/>
      <c r="U4012" s="46" t="str">
        <f t="array" ref="U4012">IF($D4012="","",IFERROR(_xlfn.XLOOKUP($D4012,'TIR店舗一覧'!$D:$D,'TIR店舗一覧'!$E:$E,""),""))</f>
        <v/>
      </c>
      <c r="V4012" s="54" t="s">
        <v>2</v>
      </c>
      <c r="W4012" s="54" t="s">
        <v>2</v>
      </c>
      <c r="X4012" s="54" t="s">
        <v>2</v>
      </c>
      <c r="Y4012" s="54" t="s">
        <v>2</v>
      </c>
      <c r="Z4012" s="54" t="s">
        <v>2</v>
      </c>
      <c r="AA4012" s="54" t="s">
        <v>2</v>
      </c>
      <c r="AB4012" s="54" t="s">
        <v>2</v>
      </c>
      <c r="AC4012" s="54" t="s">
        <v>2</v>
      </c>
      <c r="AD4012" s="54" t="s">
        <v>2</v>
      </c>
      <c r="AE4012" s="54" t="s">
        <v>2</v>
      </c>
      <c r="AF4012" s="54" t="s">
        <v>2</v>
      </c>
      <c r="AG4012" s="54" t="s">
        <v>2</v>
      </c>
    </row>
    <row r="4013" ht="15.75" customHeight="1">
      <c r="B4013" s="56"/>
      <c r="U4013" s="46" t="str">
        <f t="array" ref="U4013">IF($D4013="","",IFERROR(_xlfn.XLOOKUP($D4013,'TIR店舗一覧'!$D:$D,'TIR店舗一覧'!$E:$E,""),""))</f>
        <v/>
      </c>
      <c r="V4013" s="54" t="s">
        <v>2</v>
      </c>
      <c r="W4013" s="54" t="s">
        <v>2</v>
      </c>
      <c r="X4013" s="54" t="s">
        <v>2</v>
      </c>
      <c r="Y4013" s="54" t="s">
        <v>2</v>
      </c>
      <c r="Z4013" s="54" t="s">
        <v>2</v>
      </c>
      <c r="AA4013" s="54" t="s">
        <v>2</v>
      </c>
      <c r="AB4013" s="54" t="s">
        <v>2</v>
      </c>
      <c r="AC4013" s="54" t="s">
        <v>2</v>
      </c>
      <c r="AD4013" s="54" t="s">
        <v>2</v>
      </c>
      <c r="AE4013" s="54" t="s">
        <v>2</v>
      </c>
      <c r="AF4013" s="54" t="s">
        <v>2</v>
      </c>
      <c r="AG4013" s="54" t="s">
        <v>2</v>
      </c>
    </row>
    <row r="4014" ht="15.75" customHeight="1">
      <c r="B4014" s="56"/>
      <c r="U4014" s="46" t="str">
        <f t="array" ref="U4014">IF($D4014="","",IFERROR(_xlfn.XLOOKUP($D4014,'TIR店舗一覧'!$D:$D,'TIR店舗一覧'!$E:$E,""),""))</f>
        <v/>
      </c>
      <c r="V4014" s="54" t="s">
        <v>2</v>
      </c>
      <c r="W4014" s="54" t="s">
        <v>2</v>
      </c>
      <c r="X4014" s="54" t="s">
        <v>2</v>
      </c>
      <c r="Y4014" s="54" t="s">
        <v>2</v>
      </c>
      <c r="Z4014" s="54" t="s">
        <v>2</v>
      </c>
      <c r="AA4014" s="54" t="s">
        <v>2</v>
      </c>
      <c r="AB4014" s="54" t="s">
        <v>2</v>
      </c>
      <c r="AC4014" s="54" t="s">
        <v>2</v>
      </c>
      <c r="AD4014" s="54" t="s">
        <v>2</v>
      </c>
      <c r="AE4014" s="54" t="s">
        <v>2</v>
      </c>
      <c r="AF4014" s="54" t="s">
        <v>2</v>
      </c>
      <c r="AG4014" s="54" t="s">
        <v>2</v>
      </c>
    </row>
    <row r="4015" ht="15.75" customHeight="1">
      <c r="B4015" s="56"/>
      <c r="U4015" s="46" t="str">
        <f t="array" ref="U4015">IF($D4015="","",IFERROR(_xlfn.XLOOKUP($D4015,'TIR店舗一覧'!$D:$D,'TIR店舗一覧'!$E:$E,""),""))</f>
        <v/>
      </c>
      <c r="V4015" s="54" t="s">
        <v>2</v>
      </c>
      <c r="W4015" s="54" t="s">
        <v>2</v>
      </c>
      <c r="X4015" s="54" t="s">
        <v>2</v>
      </c>
      <c r="Y4015" s="54" t="s">
        <v>2</v>
      </c>
      <c r="Z4015" s="54" t="s">
        <v>2</v>
      </c>
      <c r="AA4015" s="54" t="s">
        <v>2</v>
      </c>
      <c r="AB4015" s="54" t="s">
        <v>2</v>
      </c>
      <c r="AC4015" s="54" t="s">
        <v>2</v>
      </c>
      <c r="AD4015" s="54" t="s">
        <v>2</v>
      </c>
      <c r="AE4015" s="54" t="s">
        <v>2</v>
      </c>
      <c r="AF4015" s="54" t="s">
        <v>2</v>
      </c>
      <c r="AG4015" s="54" t="s">
        <v>2</v>
      </c>
    </row>
    <row r="4016" ht="15.75" customHeight="1">
      <c r="B4016" s="56"/>
      <c r="U4016" s="46" t="str">
        <f t="array" ref="U4016">IF($D4016="","",IFERROR(_xlfn.XLOOKUP($D4016,'TIR店舗一覧'!$D:$D,'TIR店舗一覧'!$E:$E,""),""))</f>
        <v/>
      </c>
      <c r="V4016" s="54" t="s">
        <v>2</v>
      </c>
      <c r="W4016" s="54" t="s">
        <v>2</v>
      </c>
      <c r="X4016" s="54" t="s">
        <v>2</v>
      </c>
      <c r="Y4016" s="54" t="s">
        <v>2</v>
      </c>
      <c r="Z4016" s="54" t="s">
        <v>2</v>
      </c>
      <c r="AA4016" s="54" t="s">
        <v>2</v>
      </c>
      <c r="AB4016" s="54" t="s">
        <v>2</v>
      </c>
      <c r="AC4016" s="54" t="s">
        <v>2</v>
      </c>
      <c r="AD4016" s="54" t="s">
        <v>2</v>
      </c>
      <c r="AE4016" s="54" t="s">
        <v>2</v>
      </c>
      <c r="AF4016" s="54" t="s">
        <v>2</v>
      </c>
      <c r="AG4016" s="54" t="s">
        <v>2</v>
      </c>
    </row>
    <row r="4017" ht="15.75" customHeight="1">
      <c r="B4017" s="56"/>
      <c r="U4017" s="46" t="str">
        <f t="array" ref="U4017">IF($D4017="","",IFERROR(_xlfn.XLOOKUP($D4017,'TIR店舗一覧'!$D:$D,'TIR店舗一覧'!$E:$E,""),""))</f>
        <v/>
      </c>
      <c r="V4017" s="54" t="s">
        <v>2</v>
      </c>
      <c r="W4017" s="54" t="s">
        <v>2</v>
      </c>
      <c r="X4017" s="54" t="s">
        <v>2</v>
      </c>
      <c r="Y4017" s="54" t="s">
        <v>2</v>
      </c>
      <c r="Z4017" s="54" t="s">
        <v>2</v>
      </c>
      <c r="AA4017" s="54" t="s">
        <v>2</v>
      </c>
      <c r="AB4017" s="54" t="s">
        <v>2</v>
      </c>
      <c r="AC4017" s="54" t="s">
        <v>2</v>
      </c>
      <c r="AD4017" s="54" t="s">
        <v>2</v>
      </c>
      <c r="AE4017" s="54" t="s">
        <v>2</v>
      </c>
      <c r="AF4017" s="54" t="s">
        <v>2</v>
      </c>
      <c r="AG4017" s="54" t="s">
        <v>2</v>
      </c>
    </row>
    <row r="4018" ht="15.75" customHeight="1">
      <c r="B4018" s="56"/>
      <c r="U4018" s="46" t="str">
        <f t="array" ref="U4018">IF($D4018="","",IFERROR(_xlfn.XLOOKUP($D4018,'TIR店舗一覧'!$D:$D,'TIR店舗一覧'!$E:$E,""),""))</f>
        <v/>
      </c>
      <c r="V4018" s="54" t="s">
        <v>2</v>
      </c>
      <c r="W4018" s="54" t="s">
        <v>2</v>
      </c>
      <c r="X4018" s="54" t="s">
        <v>2</v>
      </c>
      <c r="Y4018" s="54" t="s">
        <v>2</v>
      </c>
      <c r="Z4018" s="54" t="s">
        <v>2</v>
      </c>
      <c r="AA4018" s="54" t="s">
        <v>2</v>
      </c>
      <c r="AB4018" s="54" t="s">
        <v>2</v>
      </c>
      <c r="AC4018" s="54" t="s">
        <v>2</v>
      </c>
      <c r="AD4018" s="54" t="s">
        <v>2</v>
      </c>
      <c r="AE4018" s="54" t="s">
        <v>2</v>
      </c>
      <c r="AF4018" s="54" t="s">
        <v>2</v>
      </c>
      <c r="AG4018" s="54" t="s">
        <v>2</v>
      </c>
    </row>
    <row r="4019" ht="15.75" customHeight="1">
      <c r="B4019" s="56"/>
      <c r="U4019" s="46" t="str">
        <f t="array" ref="U4019">IF($D4019="","",IFERROR(_xlfn.XLOOKUP($D4019,'TIR店舗一覧'!$D:$D,'TIR店舗一覧'!$E:$E,""),""))</f>
        <v/>
      </c>
      <c r="V4019" s="54" t="s">
        <v>2</v>
      </c>
      <c r="W4019" s="54" t="s">
        <v>2</v>
      </c>
      <c r="X4019" s="54" t="s">
        <v>2</v>
      </c>
      <c r="Y4019" s="54" t="s">
        <v>2</v>
      </c>
      <c r="Z4019" s="54" t="s">
        <v>2</v>
      </c>
      <c r="AA4019" s="54" t="s">
        <v>2</v>
      </c>
      <c r="AB4019" s="54" t="s">
        <v>2</v>
      </c>
      <c r="AC4019" s="54" t="s">
        <v>2</v>
      </c>
      <c r="AD4019" s="54" t="s">
        <v>2</v>
      </c>
      <c r="AE4019" s="54" t="s">
        <v>2</v>
      </c>
      <c r="AF4019" s="54" t="s">
        <v>2</v>
      </c>
      <c r="AG4019" s="54" t="s">
        <v>2</v>
      </c>
    </row>
    <row r="4020" ht="15.75" customHeight="1">
      <c r="B4020" s="56"/>
      <c r="U4020" s="46" t="str">
        <f t="array" ref="U4020">IF($D4020="","",IFERROR(_xlfn.XLOOKUP($D4020,'TIR店舗一覧'!$D:$D,'TIR店舗一覧'!$E:$E,""),""))</f>
        <v/>
      </c>
      <c r="V4020" s="54" t="s">
        <v>2</v>
      </c>
      <c r="W4020" s="54" t="s">
        <v>2</v>
      </c>
      <c r="X4020" s="54" t="s">
        <v>2</v>
      </c>
      <c r="Y4020" s="54" t="s">
        <v>2</v>
      </c>
      <c r="Z4020" s="54" t="s">
        <v>2</v>
      </c>
      <c r="AA4020" s="54" t="s">
        <v>2</v>
      </c>
      <c r="AB4020" s="54" t="s">
        <v>2</v>
      </c>
      <c r="AC4020" s="54" t="s">
        <v>2</v>
      </c>
      <c r="AD4020" s="54" t="s">
        <v>2</v>
      </c>
      <c r="AE4020" s="54" t="s">
        <v>2</v>
      </c>
      <c r="AF4020" s="54" t="s">
        <v>2</v>
      </c>
      <c r="AG4020" s="54" t="s">
        <v>2</v>
      </c>
    </row>
    <row r="4021" ht="15.75" customHeight="1">
      <c r="B4021" s="56"/>
      <c r="U4021" s="46" t="str">
        <f t="array" ref="U4021">IF($D4021="","",IFERROR(_xlfn.XLOOKUP($D4021,'TIR店舗一覧'!$D:$D,'TIR店舗一覧'!$E:$E,""),""))</f>
        <v/>
      </c>
      <c r="V4021" s="54" t="s">
        <v>2</v>
      </c>
      <c r="W4021" s="54" t="s">
        <v>2</v>
      </c>
      <c r="X4021" s="54" t="s">
        <v>2</v>
      </c>
      <c r="Y4021" s="54" t="s">
        <v>2</v>
      </c>
      <c r="Z4021" s="54" t="s">
        <v>2</v>
      </c>
      <c r="AA4021" s="54" t="s">
        <v>2</v>
      </c>
      <c r="AB4021" s="54" t="s">
        <v>2</v>
      </c>
      <c r="AC4021" s="54" t="s">
        <v>2</v>
      </c>
      <c r="AD4021" s="54" t="s">
        <v>2</v>
      </c>
      <c r="AE4021" s="54" t="s">
        <v>2</v>
      </c>
      <c r="AF4021" s="54" t="s">
        <v>2</v>
      </c>
      <c r="AG4021" s="54" t="s">
        <v>2</v>
      </c>
    </row>
    <row r="4022" ht="15.75" customHeight="1">
      <c r="B4022" s="56"/>
      <c r="U4022" s="46" t="str">
        <f t="array" ref="U4022">IF($D4022="","",IFERROR(_xlfn.XLOOKUP($D4022,'TIR店舗一覧'!$D:$D,'TIR店舗一覧'!$E:$E,""),""))</f>
        <v/>
      </c>
      <c r="V4022" s="54" t="s">
        <v>2</v>
      </c>
      <c r="W4022" s="54" t="s">
        <v>2</v>
      </c>
      <c r="X4022" s="54" t="s">
        <v>2</v>
      </c>
      <c r="Y4022" s="54" t="s">
        <v>2</v>
      </c>
      <c r="Z4022" s="54" t="s">
        <v>2</v>
      </c>
      <c r="AA4022" s="54" t="s">
        <v>2</v>
      </c>
      <c r="AB4022" s="54" t="s">
        <v>2</v>
      </c>
      <c r="AC4022" s="54" t="s">
        <v>2</v>
      </c>
      <c r="AD4022" s="54" t="s">
        <v>2</v>
      </c>
      <c r="AE4022" s="54" t="s">
        <v>2</v>
      </c>
      <c r="AF4022" s="54" t="s">
        <v>2</v>
      </c>
      <c r="AG4022" s="54" t="s">
        <v>2</v>
      </c>
    </row>
    <row r="4023" ht="15.75" customHeight="1">
      <c r="B4023" s="56"/>
      <c r="U4023" s="46" t="str">
        <f t="array" ref="U4023">IF($D4023="","",IFERROR(_xlfn.XLOOKUP($D4023,'TIR店舗一覧'!$D:$D,'TIR店舗一覧'!$E:$E,""),""))</f>
        <v/>
      </c>
      <c r="V4023" s="54" t="s">
        <v>2</v>
      </c>
      <c r="W4023" s="54" t="s">
        <v>2</v>
      </c>
      <c r="X4023" s="54" t="s">
        <v>2</v>
      </c>
      <c r="Y4023" s="54" t="s">
        <v>2</v>
      </c>
      <c r="Z4023" s="54" t="s">
        <v>2</v>
      </c>
      <c r="AA4023" s="54" t="s">
        <v>2</v>
      </c>
      <c r="AB4023" s="54" t="s">
        <v>2</v>
      </c>
      <c r="AC4023" s="54" t="s">
        <v>2</v>
      </c>
      <c r="AD4023" s="54" t="s">
        <v>2</v>
      </c>
      <c r="AE4023" s="54" t="s">
        <v>2</v>
      </c>
      <c r="AF4023" s="54" t="s">
        <v>2</v>
      </c>
      <c r="AG4023" s="54" t="s">
        <v>2</v>
      </c>
    </row>
    <row r="4024" ht="15.75" customHeight="1">
      <c r="B4024" s="56"/>
      <c r="U4024" s="46" t="str">
        <f t="array" ref="U4024">IF($D4024="","",IFERROR(_xlfn.XLOOKUP($D4024,'TIR店舗一覧'!$D:$D,'TIR店舗一覧'!$E:$E,""),""))</f>
        <v/>
      </c>
      <c r="V4024" s="54" t="s">
        <v>2</v>
      </c>
      <c r="W4024" s="54" t="s">
        <v>2</v>
      </c>
      <c r="X4024" s="54" t="s">
        <v>2</v>
      </c>
      <c r="Y4024" s="54" t="s">
        <v>2</v>
      </c>
      <c r="Z4024" s="54" t="s">
        <v>2</v>
      </c>
      <c r="AA4024" s="54" t="s">
        <v>2</v>
      </c>
      <c r="AB4024" s="54" t="s">
        <v>2</v>
      </c>
      <c r="AC4024" s="54" t="s">
        <v>2</v>
      </c>
      <c r="AD4024" s="54" t="s">
        <v>2</v>
      </c>
      <c r="AE4024" s="54" t="s">
        <v>2</v>
      </c>
      <c r="AF4024" s="54" t="s">
        <v>2</v>
      </c>
      <c r="AG4024" s="54" t="s">
        <v>2</v>
      </c>
    </row>
    <row r="4025" ht="15.75" customHeight="1">
      <c r="B4025" s="56"/>
      <c r="U4025" s="46" t="str">
        <f t="array" ref="U4025">IF($D4025="","",IFERROR(_xlfn.XLOOKUP($D4025,'TIR店舗一覧'!$D:$D,'TIR店舗一覧'!$E:$E,""),""))</f>
        <v/>
      </c>
      <c r="V4025" s="54" t="s">
        <v>2</v>
      </c>
      <c r="W4025" s="54" t="s">
        <v>2</v>
      </c>
      <c r="X4025" s="54" t="s">
        <v>2</v>
      </c>
      <c r="Y4025" s="54" t="s">
        <v>2</v>
      </c>
      <c r="Z4025" s="54" t="s">
        <v>2</v>
      </c>
      <c r="AA4025" s="54" t="s">
        <v>2</v>
      </c>
      <c r="AB4025" s="54" t="s">
        <v>2</v>
      </c>
      <c r="AC4025" s="54" t="s">
        <v>2</v>
      </c>
      <c r="AD4025" s="54" t="s">
        <v>2</v>
      </c>
      <c r="AE4025" s="54" t="s">
        <v>2</v>
      </c>
      <c r="AF4025" s="54" t="s">
        <v>2</v>
      </c>
      <c r="AG4025" s="54" t="s">
        <v>2</v>
      </c>
    </row>
    <row r="4026" ht="15.75" customHeight="1">
      <c r="B4026" s="56"/>
      <c r="U4026" s="46" t="str">
        <f t="array" ref="U4026">IF($D4026="","",IFERROR(_xlfn.XLOOKUP($D4026,'TIR店舗一覧'!$D:$D,'TIR店舗一覧'!$E:$E,""),""))</f>
        <v/>
      </c>
      <c r="V4026" s="54" t="s">
        <v>2</v>
      </c>
      <c r="W4026" s="54" t="s">
        <v>2</v>
      </c>
      <c r="X4026" s="54" t="s">
        <v>2</v>
      </c>
      <c r="Y4026" s="54" t="s">
        <v>2</v>
      </c>
      <c r="Z4026" s="54" t="s">
        <v>2</v>
      </c>
      <c r="AA4026" s="54" t="s">
        <v>2</v>
      </c>
      <c r="AB4026" s="54" t="s">
        <v>2</v>
      </c>
      <c r="AC4026" s="54" t="s">
        <v>2</v>
      </c>
      <c r="AD4026" s="54" t="s">
        <v>2</v>
      </c>
      <c r="AE4026" s="54" t="s">
        <v>2</v>
      </c>
      <c r="AF4026" s="54" t="s">
        <v>2</v>
      </c>
      <c r="AG4026" s="54" t="s">
        <v>2</v>
      </c>
    </row>
    <row r="4027" ht="15.75" customHeight="1">
      <c r="B4027" s="56"/>
      <c r="U4027" s="46" t="str">
        <f t="array" ref="U4027">IF($D4027="","",IFERROR(_xlfn.XLOOKUP($D4027,'TIR店舗一覧'!$D:$D,'TIR店舗一覧'!$E:$E,""),""))</f>
        <v/>
      </c>
      <c r="V4027" s="54" t="s">
        <v>2</v>
      </c>
      <c r="W4027" s="54" t="s">
        <v>2</v>
      </c>
      <c r="X4027" s="54" t="s">
        <v>2</v>
      </c>
      <c r="Y4027" s="54" t="s">
        <v>2</v>
      </c>
      <c r="Z4027" s="54" t="s">
        <v>2</v>
      </c>
      <c r="AA4027" s="54" t="s">
        <v>2</v>
      </c>
      <c r="AB4027" s="54" t="s">
        <v>2</v>
      </c>
      <c r="AC4027" s="54" t="s">
        <v>2</v>
      </c>
      <c r="AD4027" s="54" t="s">
        <v>2</v>
      </c>
      <c r="AE4027" s="54" t="s">
        <v>2</v>
      </c>
      <c r="AF4027" s="54" t="s">
        <v>2</v>
      </c>
      <c r="AG4027" s="54" t="s">
        <v>2</v>
      </c>
    </row>
    <row r="4028" ht="15.75" customHeight="1">
      <c r="B4028" s="56"/>
      <c r="U4028" s="46" t="str">
        <f t="array" ref="U4028">IF($D4028="","",IFERROR(_xlfn.XLOOKUP($D4028,'TIR店舗一覧'!$D:$D,'TIR店舗一覧'!$E:$E,""),""))</f>
        <v/>
      </c>
      <c r="V4028" s="54" t="s">
        <v>2</v>
      </c>
      <c r="W4028" s="54" t="s">
        <v>2</v>
      </c>
      <c r="X4028" s="54" t="s">
        <v>2</v>
      </c>
      <c r="Y4028" s="54" t="s">
        <v>2</v>
      </c>
      <c r="Z4028" s="54" t="s">
        <v>2</v>
      </c>
      <c r="AA4028" s="54" t="s">
        <v>2</v>
      </c>
      <c r="AB4028" s="54" t="s">
        <v>2</v>
      </c>
      <c r="AC4028" s="54" t="s">
        <v>2</v>
      </c>
      <c r="AD4028" s="54" t="s">
        <v>2</v>
      </c>
      <c r="AE4028" s="54" t="s">
        <v>2</v>
      </c>
      <c r="AF4028" s="54" t="s">
        <v>2</v>
      </c>
      <c r="AG4028" s="54" t="s">
        <v>2</v>
      </c>
    </row>
    <row r="4029" ht="15.75" customHeight="1">
      <c r="B4029" s="56"/>
      <c r="U4029" s="46" t="str">
        <f t="array" ref="U4029">IF($D4029="","",IFERROR(_xlfn.XLOOKUP($D4029,'TIR店舗一覧'!$D:$D,'TIR店舗一覧'!$E:$E,""),""))</f>
        <v/>
      </c>
      <c r="V4029" s="54" t="s">
        <v>2</v>
      </c>
      <c r="W4029" s="54" t="s">
        <v>2</v>
      </c>
      <c r="X4029" s="54" t="s">
        <v>2</v>
      </c>
      <c r="Y4029" s="54" t="s">
        <v>2</v>
      </c>
      <c r="Z4029" s="54" t="s">
        <v>2</v>
      </c>
      <c r="AA4029" s="54" t="s">
        <v>2</v>
      </c>
      <c r="AB4029" s="54" t="s">
        <v>2</v>
      </c>
      <c r="AC4029" s="54" t="s">
        <v>2</v>
      </c>
      <c r="AD4029" s="54" t="s">
        <v>2</v>
      </c>
      <c r="AE4029" s="54" t="s">
        <v>2</v>
      </c>
      <c r="AF4029" s="54" t="s">
        <v>2</v>
      </c>
      <c r="AG4029" s="54" t="s">
        <v>2</v>
      </c>
    </row>
    <row r="4030" ht="15.75" customHeight="1">
      <c r="B4030" s="56"/>
      <c r="U4030" s="46" t="str">
        <f t="array" ref="U4030">IF($D4030="","",IFERROR(_xlfn.XLOOKUP($D4030,'TIR店舗一覧'!$D:$D,'TIR店舗一覧'!$E:$E,""),""))</f>
        <v/>
      </c>
      <c r="V4030" s="54" t="s">
        <v>2</v>
      </c>
      <c r="W4030" s="54" t="s">
        <v>2</v>
      </c>
      <c r="X4030" s="54" t="s">
        <v>2</v>
      </c>
      <c r="Y4030" s="54" t="s">
        <v>2</v>
      </c>
      <c r="Z4030" s="54" t="s">
        <v>2</v>
      </c>
      <c r="AA4030" s="54" t="s">
        <v>2</v>
      </c>
      <c r="AB4030" s="54" t="s">
        <v>2</v>
      </c>
      <c r="AC4030" s="54" t="s">
        <v>2</v>
      </c>
      <c r="AD4030" s="54" t="s">
        <v>2</v>
      </c>
      <c r="AE4030" s="54" t="s">
        <v>2</v>
      </c>
      <c r="AF4030" s="54" t="s">
        <v>2</v>
      </c>
      <c r="AG4030" s="54" t="s">
        <v>2</v>
      </c>
    </row>
    <row r="4031" ht="15.75" customHeight="1">
      <c r="B4031" s="56"/>
      <c r="U4031" s="46" t="str">
        <f t="array" ref="U4031">IF($D4031="","",IFERROR(_xlfn.XLOOKUP($D4031,'TIR店舗一覧'!$D:$D,'TIR店舗一覧'!$E:$E,""),""))</f>
        <v/>
      </c>
      <c r="V4031" s="54" t="s">
        <v>2</v>
      </c>
      <c r="W4031" s="54" t="s">
        <v>2</v>
      </c>
      <c r="X4031" s="54" t="s">
        <v>2</v>
      </c>
      <c r="Y4031" s="54" t="s">
        <v>2</v>
      </c>
      <c r="Z4031" s="54" t="s">
        <v>2</v>
      </c>
      <c r="AA4031" s="54" t="s">
        <v>2</v>
      </c>
      <c r="AB4031" s="54" t="s">
        <v>2</v>
      </c>
      <c r="AC4031" s="54" t="s">
        <v>2</v>
      </c>
      <c r="AD4031" s="54" t="s">
        <v>2</v>
      </c>
      <c r="AE4031" s="54" t="s">
        <v>2</v>
      </c>
      <c r="AF4031" s="54" t="s">
        <v>2</v>
      </c>
      <c r="AG4031" s="54" t="s">
        <v>2</v>
      </c>
    </row>
    <row r="4032" ht="15.75" customHeight="1">
      <c r="B4032" s="56"/>
      <c r="U4032" s="46" t="str">
        <f t="array" ref="U4032">IF($D4032="","",IFERROR(_xlfn.XLOOKUP($D4032,'TIR店舗一覧'!$D:$D,'TIR店舗一覧'!$E:$E,""),""))</f>
        <v/>
      </c>
      <c r="V4032" s="54" t="s">
        <v>2</v>
      </c>
      <c r="W4032" s="54" t="s">
        <v>2</v>
      </c>
      <c r="X4032" s="54" t="s">
        <v>2</v>
      </c>
      <c r="Y4032" s="54" t="s">
        <v>2</v>
      </c>
      <c r="Z4032" s="54" t="s">
        <v>2</v>
      </c>
      <c r="AA4032" s="54" t="s">
        <v>2</v>
      </c>
      <c r="AB4032" s="54" t="s">
        <v>2</v>
      </c>
      <c r="AC4032" s="54" t="s">
        <v>2</v>
      </c>
      <c r="AD4032" s="54" t="s">
        <v>2</v>
      </c>
      <c r="AE4032" s="54" t="s">
        <v>2</v>
      </c>
      <c r="AF4032" s="54" t="s">
        <v>2</v>
      </c>
      <c r="AG4032" s="54" t="s">
        <v>2</v>
      </c>
    </row>
    <row r="4033" ht="15.75" customHeight="1">
      <c r="B4033" s="56"/>
      <c r="U4033" s="46" t="str">
        <f t="array" ref="U4033">IF($D4033="","",IFERROR(_xlfn.XLOOKUP($D4033,'TIR店舗一覧'!$D:$D,'TIR店舗一覧'!$E:$E,""),""))</f>
        <v/>
      </c>
      <c r="V4033" s="54" t="s">
        <v>2</v>
      </c>
      <c r="W4033" s="54" t="s">
        <v>2</v>
      </c>
      <c r="X4033" s="54" t="s">
        <v>2</v>
      </c>
      <c r="Y4033" s="54" t="s">
        <v>2</v>
      </c>
      <c r="Z4033" s="54" t="s">
        <v>2</v>
      </c>
      <c r="AA4033" s="54" t="s">
        <v>2</v>
      </c>
      <c r="AB4033" s="54" t="s">
        <v>2</v>
      </c>
      <c r="AC4033" s="54" t="s">
        <v>2</v>
      </c>
      <c r="AD4033" s="54" t="s">
        <v>2</v>
      </c>
      <c r="AE4033" s="54" t="s">
        <v>2</v>
      </c>
      <c r="AF4033" s="54" t="s">
        <v>2</v>
      </c>
      <c r="AG4033" s="54" t="s">
        <v>2</v>
      </c>
    </row>
    <row r="4034" ht="15.75" customHeight="1">
      <c r="B4034" s="56"/>
      <c r="U4034" s="46" t="str">
        <f t="array" ref="U4034">IF($D4034="","",IFERROR(_xlfn.XLOOKUP($D4034,'TIR店舗一覧'!$D:$D,'TIR店舗一覧'!$E:$E,""),""))</f>
        <v/>
      </c>
      <c r="V4034" s="54" t="s">
        <v>2</v>
      </c>
      <c r="W4034" s="54" t="s">
        <v>2</v>
      </c>
      <c r="X4034" s="54" t="s">
        <v>2</v>
      </c>
      <c r="Y4034" s="54" t="s">
        <v>2</v>
      </c>
      <c r="Z4034" s="54" t="s">
        <v>2</v>
      </c>
      <c r="AA4034" s="54" t="s">
        <v>2</v>
      </c>
      <c r="AB4034" s="54" t="s">
        <v>2</v>
      </c>
      <c r="AC4034" s="54" t="s">
        <v>2</v>
      </c>
      <c r="AD4034" s="54" t="s">
        <v>2</v>
      </c>
      <c r="AE4034" s="54" t="s">
        <v>2</v>
      </c>
      <c r="AF4034" s="54" t="s">
        <v>2</v>
      </c>
      <c r="AG4034" s="54" t="s">
        <v>2</v>
      </c>
    </row>
    <row r="4035" ht="15.75" customHeight="1">
      <c r="B4035" s="56"/>
      <c r="U4035" s="46" t="str">
        <f t="array" ref="U4035">IF($D4035="","",IFERROR(_xlfn.XLOOKUP($D4035,'TIR店舗一覧'!$D:$D,'TIR店舗一覧'!$E:$E,""),""))</f>
        <v/>
      </c>
      <c r="V4035" s="54" t="s">
        <v>2</v>
      </c>
      <c r="W4035" s="54" t="s">
        <v>2</v>
      </c>
      <c r="X4035" s="54" t="s">
        <v>2</v>
      </c>
      <c r="Y4035" s="54" t="s">
        <v>2</v>
      </c>
      <c r="Z4035" s="54" t="s">
        <v>2</v>
      </c>
      <c r="AA4035" s="54" t="s">
        <v>2</v>
      </c>
      <c r="AB4035" s="54" t="s">
        <v>2</v>
      </c>
      <c r="AC4035" s="54" t="s">
        <v>2</v>
      </c>
      <c r="AD4035" s="54" t="s">
        <v>2</v>
      </c>
      <c r="AE4035" s="54" t="s">
        <v>2</v>
      </c>
      <c r="AF4035" s="54" t="s">
        <v>2</v>
      </c>
      <c r="AG4035" s="54" t="s">
        <v>2</v>
      </c>
    </row>
    <row r="4036" ht="15.75" customHeight="1">
      <c r="B4036" s="56"/>
      <c r="U4036" s="46" t="str">
        <f t="array" ref="U4036">IF($D4036="","",IFERROR(_xlfn.XLOOKUP($D4036,'TIR店舗一覧'!$D:$D,'TIR店舗一覧'!$E:$E,""),""))</f>
        <v/>
      </c>
      <c r="V4036" s="54" t="s">
        <v>2</v>
      </c>
      <c r="W4036" s="54" t="s">
        <v>2</v>
      </c>
      <c r="X4036" s="54" t="s">
        <v>2</v>
      </c>
      <c r="Y4036" s="54" t="s">
        <v>2</v>
      </c>
      <c r="Z4036" s="54" t="s">
        <v>2</v>
      </c>
      <c r="AA4036" s="54" t="s">
        <v>2</v>
      </c>
      <c r="AB4036" s="54" t="s">
        <v>2</v>
      </c>
      <c r="AC4036" s="54" t="s">
        <v>2</v>
      </c>
      <c r="AD4036" s="54" t="s">
        <v>2</v>
      </c>
      <c r="AE4036" s="54" t="s">
        <v>2</v>
      </c>
      <c r="AF4036" s="54" t="s">
        <v>2</v>
      </c>
      <c r="AG4036" s="54" t="s">
        <v>2</v>
      </c>
    </row>
    <row r="4037" ht="15.75" customHeight="1">
      <c r="B4037" s="56"/>
      <c r="U4037" s="46" t="str">
        <f t="array" ref="U4037">IF($D4037="","",IFERROR(_xlfn.XLOOKUP($D4037,'TIR店舗一覧'!$D:$D,'TIR店舗一覧'!$E:$E,""),""))</f>
        <v/>
      </c>
      <c r="V4037" s="54" t="s">
        <v>2</v>
      </c>
      <c r="W4037" s="54" t="s">
        <v>2</v>
      </c>
      <c r="X4037" s="54" t="s">
        <v>2</v>
      </c>
      <c r="Y4037" s="54" t="s">
        <v>2</v>
      </c>
      <c r="Z4037" s="54" t="s">
        <v>2</v>
      </c>
      <c r="AA4037" s="54" t="s">
        <v>2</v>
      </c>
      <c r="AB4037" s="54" t="s">
        <v>2</v>
      </c>
      <c r="AC4037" s="54" t="s">
        <v>2</v>
      </c>
      <c r="AD4037" s="54" t="s">
        <v>2</v>
      </c>
      <c r="AE4037" s="54" t="s">
        <v>2</v>
      </c>
      <c r="AF4037" s="54" t="s">
        <v>2</v>
      </c>
      <c r="AG4037" s="54" t="s">
        <v>2</v>
      </c>
    </row>
    <row r="4038" ht="15.75" customHeight="1">
      <c r="B4038" s="56"/>
      <c r="U4038" s="46" t="str">
        <f t="array" ref="U4038">IF($D4038="","",IFERROR(_xlfn.XLOOKUP($D4038,'TIR店舗一覧'!$D:$D,'TIR店舗一覧'!$E:$E,""),""))</f>
        <v/>
      </c>
      <c r="V4038" s="54" t="s">
        <v>2</v>
      </c>
      <c r="W4038" s="54" t="s">
        <v>2</v>
      </c>
      <c r="X4038" s="54" t="s">
        <v>2</v>
      </c>
      <c r="Y4038" s="54" t="s">
        <v>2</v>
      </c>
      <c r="Z4038" s="54" t="s">
        <v>2</v>
      </c>
      <c r="AA4038" s="54" t="s">
        <v>2</v>
      </c>
      <c r="AB4038" s="54" t="s">
        <v>2</v>
      </c>
      <c r="AC4038" s="54" t="s">
        <v>2</v>
      </c>
      <c r="AD4038" s="54" t="s">
        <v>2</v>
      </c>
      <c r="AE4038" s="54" t="s">
        <v>2</v>
      </c>
      <c r="AF4038" s="54" t="s">
        <v>2</v>
      </c>
      <c r="AG4038" s="54" t="s">
        <v>2</v>
      </c>
    </row>
    <row r="4039" ht="15.75" customHeight="1">
      <c r="B4039" s="56"/>
      <c r="U4039" s="46" t="str">
        <f t="array" ref="U4039">IF($D4039="","",IFERROR(_xlfn.XLOOKUP($D4039,'TIR店舗一覧'!$D:$D,'TIR店舗一覧'!$E:$E,""),""))</f>
        <v/>
      </c>
      <c r="V4039" s="54" t="s">
        <v>2</v>
      </c>
      <c r="W4039" s="54" t="s">
        <v>2</v>
      </c>
      <c r="X4039" s="54" t="s">
        <v>2</v>
      </c>
      <c r="Y4039" s="54" t="s">
        <v>2</v>
      </c>
      <c r="Z4039" s="54" t="s">
        <v>2</v>
      </c>
      <c r="AA4039" s="54" t="s">
        <v>2</v>
      </c>
      <c r="AB4039" s="54" t="s">
        <v>2</v>
      </c>
      <c r="AC4039" s="54" t="s">
        <v>2</v>
      </c>
      <c r="AD4039" s="54" t="s">
        <v>2</v>
      </c>
      <c r="AE4039" s="54" t="s">
        <v>2</v>
      </c>
      <c r="AF4039" s="54" t="s">
        <v>2</v>
      </c>
      <c r="AG4039" s="54" t="s">
        <v>2</v>
      </c>
    </row>
    <row r="4040" ht="15.75" customHeight="1">
      <c r="B4040" s="56"/>
      <c r="U4040" s="46" t="str">
        <f t="array" ref="U4040">IF($D4040="","",IFERROR(_xlfn.XLOOKUP($D4040,'TIR店舗一覧'!$D:$D,'TIR店舗一覧'!$E:$E,""),""))</f>
        <v/>
      </c>
      <c r="V4040" s="54" t="s">
        <v>2</v>
      </c>
      <c r="W4040" s="54" t="s">
        <v>2</v>
      </c>
      <c r="X4040" s="54" t="s">
        <v>2</v>
      </c>
      <c r="Y4040" s="54" t="s">
        <v>2</v>
      </c>
      <c r="Z4040" s="54" t="s">
        <v>2</v>
      </c>
      <c r="AA4040" s="54" t="s">
        <v>2</v>
      </c>
      <c r="AB4040" s="54" t="s">
        <v>2</v>
      </c>
      <c r="AC4040" s="54" t="s">
        <v>2</v>
      </c>
      <c r="AD4040" s="54" t="s">
        <v>2</v>
      </c>
      <c r="AE4040" s="54" t="s">
        <v>2</v>
      </c>
      <c r="AF4040" s="54" t="s">
        <v>2</v>
      </c>
      <c r="AG4040" s="54" t="s">
        <v>2</v>
      </c>
    </row>
    <row r="4041" ht="15.75" customHeight="1">
      <c r="B4041" s="56"/>
      <c r="U4041" s="46" t="str">
        <f t="array" ref="U4041">IF($D4041="","",IFERROR(_xlfn.XLOOKUP($D4041,'TIR店舗一覧'!$D:$D,'TIR店舗一覧'!$E:$E,""),""))</f>
        <v/>
      </c>
      <c r="V4041" s="54" t="s">
        <v>2</v>
      </c>
      <c r="W4041" s="54" t="s">
        <v>2</v>
      </c>
      <c r="X4041" s="54" t="s">
        <v>2</v>
      </c>
      <c r="Y4041" s="54" t="s">
        <v>2</v>
      </c>
      <c r="Z4041" s="54" t="s">
        <v>2</v>
      </c>
      <c r="AA4041" s="54" t="s">
        <v>2</v>
      </c>
      <c r="AB4041" s="54" t="s">
        <v>2</v>
      </c>
      <c r="AC4041" s="54" t="s">
        <v>2</v>
      </c>
      <c r="AD4041" s="54" t="s">
        <v>2</v>
      </c>
      <c r="AE4041" s="54" t="s">
        <v>2</v>
      </c>
      <c r="AF4041" s="54" t="s">
        <v>2</v>
      </c>
      <c r="AG4041" s="54" t="s">
        <v>2</v>
      </c>
    </row>
    <row r="4042" ht="15.75" customHeight="1">
      <c r="B4042" s="56"/>
      <c r="U4042" s="46" t="str">
        <f t="array" ref="U4042">IF($D4042="","",IFERROR(_xlfn.XLOOKUP($D4042,'TIR店舗一覧'!$D:$D,'TIR店舗一覧'!$E:$E,""),""))</f>
        <v/>
      </c>
      <c r="V4042" s="54" t="s">
        <v>2</v>
      </c>
      <c r="W4042" s="54" t="s">
        <v>2</v>
      </c>
      <c r="X4042" s="54" t="s">
        <v>2</v>
      </c>
      <c r="Y4042" s="54" t="s">
        <v>2</v>
      </c>
      <c r="Z4042" s="54" t="s">
        <v>2</v>
      </c>
      <c r="AA4042" s="54" t="s">
        <v>2</v>
      </c>
      <c r="AB4042" s="54" t="s">
        <v>2</v>
      </c>
      <c r="AC4042" s="54" t="s">
        <v>2</v>
      </c>
      <c r="AD4042" s="54" t="s">
        <v>2</v>
      </c>
      <c r="AE4042" s="54" t="s">
        <v>2</v>
      </c>
      <c r="AF4042" s="54" t="s">
        <v>2</v>
      </c>
      <c r="AG4042" s="54" t="s">
        <v>2</v>
      </c>
    </row>
    <row r="4043" ht="15.75" customHeight="1">
      <c r="B4043" s="56"/>
      <c r="U4043" s="46" t="str">
        <f t="array" ref="U4043">IF($D4043="","",IFERROR(_xlfn.XLOOKUP($D4043,'TIR店舗一覧'!$D:$D,'TIR店舗一覧'!$E:$E,""),""))</f>
        <v/>
      </c>
      <c r="V4043" s="54" t="s">
        <v>2</v>
      </c>
      <c r="W4043" s="54" t="s">
        <v>2</v>
      </c>
      <c r="X4043" s="54" t="s">
        <v>2</v>
      </c>
      <c r="Y4043" s="54" t="s">
        <v>2</v>
      </c>
      <c r="Z4043" s="54" t="s">
        <v>2</v>
      </c>
      <c r="AA4043" s="54" t="s">
        <v>2</v>
      </c>
      <c r="AB4043" s="54" t="s">
        <v>2</v>
      </c>
      <c r="AC4043" s="54" t="s">
        <v>2</v>
      </c>
      <c r="AD4043" s="54" t="s">
        <v>2</v>
      </c>
      <c r="AE4043" s="54" t="s">
        <v>2</v>
      </c>
      <c r="AF4043" s="54" t="s">
        <v>2</v>
      </c>
      <c r="AG4043" s="54" t="s">
        <v>2</v>
      </c>
    </row>
    <row r="4044" ht="15.75" customHeight="1">
      <c r="B4044" s="56"/>
      <c r="U4044" s="46" t="str">
        <f t="array" ref="U4044">IF($D4044="","",IFERROR(_xlfn.XLOOKUP($D4044,'TIR店舗一覧'!$D:$D,'TIR店舗一覧'!$E:$E,""),""))</f>
        <v/>
      </c>
      <c r="V4044" s="54" t="s">
        <v>2</v>
      </c>
      <c r="W4044" s="54" t="s">
        <v>2</v>
      </c>
      <c r="X4044" s="54" t="s">
        <v>2</v>
      </c>
      <c r="Y4044" s="54" t="s">
        <v>2</v>
      </c>
      <c r="Z4044" s="54" t="s">
        <v>2</v>
      </c>
      <c r="AA4044" s="54" t="s">
        <v>2</v>
      </c>
      <c r="AB4044" s="54" t="s">
        <v>2</v>
      </c>
      <c r="AC4044" s="54" t="s">
        <v>2</v>
      </c>
      <c r="AD4044" s="54" t="s">
        <v>2</v>
      </c>
      <c r="AE4044" s="54" t="s">
        <v>2</v>
      </c>
      <c r="AF4044" s="54" t="s">
        <v>2</v>
      </c>
      <c r="AG4044" s="54" t="s">
        <v>2</v>
      </c>
    </row>
    <row r="4045" ht="15.75" customHeight="1">
      <c r="B4045" s="56"/>
      <c r="U4045" s="46" t="str">
        <f t="array" ref="U4045">IF($D4045="","",IFERROR(_xlfn.XLOOKUP($D4045,'TIR店舗一覧'!$D:$D,'TIR店舗一覧'!$E:$E,""),""))</f>
        <v/>
      </c>
      <c r="V4045" s="54" t="s">
        <v>2</v>
      </c>
      <c r="W4045" s="54" t="s">
        <v>2</v>
      </c>
      <c r="X4045" s="54" t="s">
        <v>2</v>
      </c>
      <c r="Y4045" s="54" t="s">
        <v>2</v>
      </c>
      <c r="Z4045" s="54" t="s">
        <v>2</v>
      </c>
      <c r="AA4045" s="54" t="s">
        <v>2</v>
      </c>
      <c r="AB4045" s="54" t="s">
        <v>2</v>
      </c>
      <c r="AC4045" s="54" t="s">
        <v>2</v>
      </c>
      <c r="AD4045" s="54" t="s">
        <v>2</v>
      </c>
      <c r="AE4045" s="54" t="s">
        <v>2</v>
      </c>
      <c r="AF4045" s="54" t="s">
        <v>2</v>
      </c>
      <c r="AG4045" s="54" t="s">
        <v>2</v>
      </c>
    </row>
    <row r="4046" ht="15.75" customHeight="1">
      <c r="B4046" s="56"/>
      <c r="U4046" s="46" t="str">
        <f t="array" ref="U4046">IF($D4046="","",IFERROR(_xlfn.XLOOKUP($D4046,'TIR店舗一覧'!$D:$D,'TIR店舗一覧'!$E:$E,""),""))</f>
        <v/>
      </c>
      <c r="V4046" s="54" t="s">
        <v>2</v>
      </c>
      <c r="W4046" s="54" t="s">
        <v>2</v>
      </c>
      <c r="X4046" s="54" t="s">
        <v>2</v>
      </c>
      <c r="Y4046" s="54" t="s">
        <v>2</v>
      </c>
      <c r="Z4046" s="54" t="s">
        <v>2</v>
      </c>
      <c r="AA4046" s="54" t="s">
        <v>2</v>
      </c>
      <c r="AB4046" s="54" t="s">
        <v>2</v>
      </c>
      <c r="AC4046" s="54" t="s">
        <v>2</v>
      </c>
      <c r="AD4046" s="54" t="s">
        <v>2</v>
      </c>
      <c r="AE4046" s="54" t="s">
        <v>2</v>
      </c>
      <c r="AF4046" s="54" t="s">
        <v>2</v>
      </c>
      <c r="AG4046" s="54" t="s">
        <v>2</v>
      </c>
    </row>
    <row r="4047" ht="15.75" customHeight="1">
      <c r="B4047" s="56"/>
      <c r="U4047" s="46" t="str">
        <f t="array" ref="U4047">IF($D4047="","",IFERROR(_xlfn.XLOOKUP($D4047,'TIR店舗一覧'!$D:$D,'TIR店舗一覧'!$E:$E,""),""))</f>
        <v/>
      </c>
      <c r="V4047" s="54" t="s">
        <v>2</v>
      </c>
      <c r="W4047" s="54" t="s">
        <v>2</v>
      </c>
      <c r="X4047" s="54" t="s">
        <v>2</v>
      </c>
      <c r="Y4047" s="54" t="s">
        <v>2</v>
      </c>
      <c r="Z4047" s="54" t="s">
        <v>2</v>
      </c>
      <c r="AA4047" s="54" t="s">
        <v>2</v>
      </c>
      <c r="AB4047" s="54" t="s">
        <v>2</v>
      </c>
      <c r="AC4047" s="54" t="s">
        <v>2</v>
      </c>
      <c r="AD4047" s="54" t="s">
        <v>2</v>
      </c>
      <c r="AE4047" s="54" t="s">
        <v>2</v>
      </c>
      <c r="AF4047" s="54" t="s">
        <v>2</v>
      </c>
      <c r="AG4047" s="54" t="s">
        <v>2</v>
      </c>
    </row>
    <row r="4048" ht="15.75" customHeight="1">
      <c r="B4048" s="56"/>
      <c r="U4048" s="46" t="str">
        <f t="array" ref="U4048">IF($D4048="","",IFERROR(_xlfn.XLOOKUP($D4048,'TIR店舗一覧'!$D:$D,'TIR店舗一覧'!$E:$E,""),""))</f>
        <v/>
      </c>
      <c r="V4048" s="54" t="s">
        <v>2</v>
      </c>
      <c r="W4048" s="54" t="s">
        <v>2</v>
      </c>
      <c r="X4048" s="54" t="s">
        <v>2</v>
      </c>
      <c r="Y4048" s="54" t="s">
        <v>2</v>
      </c>
      <c r="Z4048" s="54" t="s">
        <v>2</v>
      </c>
      <c r="AA4048" s="54" t="s">
        <v>2</v>
      </c>
      <c r="AB4048" s="54" t="s">
        <v>2</v>
      </c>
      <c r="AC4048" s="54" t="s">
        <v>2</v>
      </c>
      <c r="AD4048" s="54" t="s">
        <v>2</v>
      </c>
      <c r="AE4048" s="54" t="s">
        <v>2</v>
      </c>
      <c r="AF4048" s="54" t="s">
        <v>2</v>
      </c>
      <c r="AG4048" s="54" t="s">
        <v>2</v>
      </c>
    </row>
    <row r="4049" ht="15.75" customHeight="1">
      <c r="B4049" s="56"/>
      <c r="U4049" s="46" t="str">
        <f t="array" ref="U4049">IF($D4049="","",IFERROR(_xlfn.XLOOKUP($D4049,'TIR店舗一覧'!$D:$D,'TIR店舗一覧'!$E:$E,""),""))</f>
        <v/>
      </c>
      <c r="V4049" s="54" t="s">
        <v>2</v>
      </c>
      <c r="W4049" s="54" t="s">
        <v>2</v>
      </c>
      <c r="X4049" s="54" t="s">
        <v>2</v>
      </c>
      <c r="Y4049" s="54" t="s">
        <v>2</v>
      </c>
      <c r="Z4049" s="54" t="s">
        <v>2</v>
      </c>
      <c r="AA4049" s="54" t="s">
        <v>2</v>
      </c>
      <c r="AB4049" s="54" t="s">
        <v>2</v>
      </c>
      <c r="AC4049" s="54" t="s">
        <v>2</v>
      </c>
      <c r="AD4049" s="54" t="s">
        <v>2</v>
      </c>
      <c r="AE4049" s="54" t="s">
        <v>2</v>
      </c>
      <c r="AF4049" s="54" t="s">
        <v>2</v>
      </c>
      <c r="AG4049" s="54" t="s">
        <v>2</v>
      </c>
    </row>
    <row r="4050" ht="15.75" customHeight="1">
      <c r="B4050" s="56"/>
      <c r="U4050" s="46" t="str">
        <f t="array" ref="U4050">IF($D4050="","",IFERROR(_xlfn.XLOOKUP($D4050,'TIR店舗一覧'!$D:$D,'TIR店舗一覧'!$E:$E,""),""))</f>
        <v/>
      </c>
      <c r="V4050" s="54" t="s">
        <v>2</v>
      </c>
      <c r="W4050" s="54" t="s">
        <v>2</v>
      </c>
      <c r="X4050" s="54" t="s">
        <v>2</v>
      </c>
      <c r="Y4050" s="54" t="s">
        <v>2</v>
      </c>
      <c r="Z4050" s="54" t="s">
        <v>2</v>
      </c>
      <c r="AA4050" s="54" t="s">
        <v>2</v>
      </c>
      <c r="AB4050" s="54" t="s">
        <v>2</v>
      </c>
      <c r="AC4050" s="54" t="s">
        <v>2</v>
      </c>
      <c r="AD4050" s="54" t="s">
        <v>2</v>
      </c>
      <c r="AE4050" s="54" t="s">
        <v>2</v>
      </c>
      <c r="AF4050" s="54" t="s">
        <v>2</v>
      </c>
      <c r="AG4050" s="54" t="s">
        <v>2</v>
      </c>
    </row>
    <row r="4051" ht="15.75" customHeight="1">
      <c r="B4051" s="56"/>
      <c r="U4051" s="46" t="str">
        <f t="array" ref="U4051">IF($D4051="","",IFERROR(_xlfn.XLOOKUP($D4051,'TIR店舗一覧'!$D:$D,'TIR店舗一覧'!$E:$E,""),""))</f>
        <v/>
      </c>
      <c r="V4051" s="54" t="s">
        <v>2</v>
      </c>
      <c r="W4051" s="54" t="s">
        <v>2</v>
      </c>
      <c r="X4051" s="54" t="s">
        <v>2</v>
      </c>
      <c r="Y4051" s="54" t="s">
        <v>2</v>
      </c>
      <c r="Z4051" s="54" t="s">
        <v>2</v>
      </c>
      <c r="AA4051" s="54" t="s">
        <v>2</v>
      </c>
      <c r="AB4051" s="54" t="s">
        <v>2</v>
      </c>
      <c r="AC4051" s="54" t="s">
        <v>2</v>
      </c>
      <c r="AD4051" s="54" t="s">
        <v>2</v>
      </c>
      <c r="AE4051" s="54" t="s">
        <v>2</v>
      </c>
      <c r="AF4051" s="54" t="s">
        <v>2</v>
      </c>
      <c r="AG4051" s="54" t="s">
        <v>2</v>
      </c>
    </row>
    <row r="4052" ht="15.75" customHeight="1">
      <c r="B4052" s="56"/>
      <c r="U4052" s="46" t="str">
        <f t="array" ref="U4052">IF($D4052="","",IFERROR(_xlfn.XLOOKUP($D4052,'TIR店舗一覧'!$D:$D,'TIR店舗一覧'!$E:$E,""),""))</f>
        <v/>
      </c>
      <c r="V4052" s="54" t="s">
        <v>2</v>
      </c>
      <c r="W4052" s="54" t="s">
        <v>2</v>
      </c>
      <c r="X4052" s="54" t="s">
        <v>2</v>
      </c>
      <c r="Y4052" s="54" t="s">
        <v>2</v>
      </c>
      <c r="Z4052" s="54" t="s">
        <v>2</v>
      </c>
      <c r="AA4052" s="54" t="s">
        <v>2</v>
      </c>
      <c r="AB4052" s="54" t="s">
        <v>2</v>
      </c>
      <c r="AC4052" s="54" t="s">
        <v>2</v>
      </c>
      <c r="AD4052" s="54" t="s">
        <v>2</v>
      </c>
      <c r="AE4052" s="54" t="s">
        <v>2</v>
      </c>
      <c r="AF4052" s="54" t="s">
        <v>2</v>
      </c>
      <c r="AG4052" s="54" t="s">
        <v>2</v>
      </c>
    </row>
    <row r="4053" ht="15.75" customHeight="1">
      <c r="B4053" s="56"/>
      <c r="U4053" s="46" t="str">
        <f t="array" ref="U4053">IF($D4053="","",IFERROR(_xlfn.XLOOKUP($D4053,'TIR店舗一覧'!$D:$D,'TIR店舗一覧'!$E:$E,""),""))</f>
        <v/>
      </c>
      <c r="V4053" s="54" t="s">
        <v>2</v>
      </c>
      <c r="W4053" s="54" t="s">
        <v>2</v>
      </c>
      <c r="X4053" s="54" t="s">
        <v>2</v>
      </c>
      <c r="Y4053" s="54" t="s">
        <v>2</v>
      </c>
      <c r="Z4053" s="54" t="s">
        <v>2</v>
      </c>
      <c r="AA4053" s="54" t="s">
        <v>2</v>
      </c>
      <c r="AB4053" s="54" t="s">
        <v>2</v>
      </c>
      <c r="AC4053" s="54" t="s">
        <v>2</v>
      </c>
      <c r="AD4053" s="54" t="s">
        <v>2</v>
      </c>
      <c r="AE4053" s="54" t="s">
        <v>2</v>
      </c>
      <c r="AF4053" s="54" t="s">
        <v>2</v>
      </c>
      <c r="AG4053" s="54" t="s">
        <v>2</v>
      </c>
    </row>
    <row r="4054" ht="15.75" customHeight="1">
      <c r="B4054" s="56"/>
      <c r="U4054" s="46" t="str">
        <f t="array" ref="U4054">IF($D4054="","",IFERROR(_xlfn.XLOOKUP($D4054,'TIR店舗一覧'!$D:$D,'TIR店舗一覧'!$E:$E,""),""))</f>
        <v/>
      </c>
      <c r="V4054" s="54" t="s">
        <v>2</v>
      </c>
      <c r="W4054" s="54" t="s">
        <v>2</v>
      </c>
      <c r="X4054" s="54" t="s">
        <v>2</v>
      </c>
      <c r="Y4054" s="54" t="s">
        <v>2</v>
      </c>
      <c r="Z4054" s="54" t="s">
        <v>2</v>
      </c>
      <c r="AA4054" s="54" t="s">
        <v>2</v>
      </c>
      <c r="AB4054" s="54" t="s">
        <v>2</v>
      </c>
      <c r="AC4054" s="54" t="s">
        <v>2</v>
      </c>
      <c r="AD4054" s="54" t="s">
        <v>2</v>
      </c>
      <c r="AE4054" s="54" t="s">
        <v>2</v>
      </c>
      <c r="AF4054" s="54" t="s">
        <v>2</v>
      </c>
      <c r="AG4054" s="54" t="s">
        <v>2</v>
      </c>
    </row>
    <row r="4055" ht="15.75" customHeight="1">
      <c r="B4055" s="56"/>
      <c r="U4055" s="46" t="str">
        <f t="array" ref="U4055">IF($D4055="","",IFERROR(_xlfn.XLOOKUP($D4055,'TIR店舗一覧'!$D:$D,'TIR店舗一覧'!$E:$E,""),""))</f>
        <v/>
      </c>
      <c r="V4055" s="54" t="s">
        <v>2</v>
      </c>
      <c r="W4055" s="54" t="s">
        <v>2</v>
      </c>
      <c r="X4055" s="54" t="s">
        <v>2</v>
      </c>
      <c r="Y4055" s="54" t="s">
        <v>2</v>
      </c>
      <c r="Z4055" s="54" t="s">
        <v>2</v>
      </c>
      <c r="AA4055" s="54" t="s">
        <v>2</v>
      </c>
      <c r="AB4055" s="54" t="s">
        <v>2</v>
      </c>
      <c r="AC4055" s="54" t="s">
        <v>2</v>
      </c>
      <c r="AD4055" s="54" t="s">
        <v>2</v>
      </c>
      <c r="AE4055" s="54" t="s">
        <v>2</v>
      </c>
      <c r="AF4055" s="54" t="s">
        <v>2</v>
      </c>
      <c r="AG4055" s="54" t="s">
        <v>2</v>
      </c>
    </row>
    <row r="4056" ht="15.75" customHeight="1">
      <c r="B4056" s="56"/>
      <c r="U4056" s="46" t="str">
        <f t="array" ref="U4056">IF($D4056="","",IFERROR(_xlfn.XLOOKUP($D4056,'TIR店舗一覧'!$D:$D,'TIR店舗一覧'!$E:$E,""),""))</f>
        <v/>
      </c>
      <c r="V4056" s="54" t="s">
        <v>2</v>
      </c>
      <c r="W4056" s="54" t="s">
        <v>2</v>
      </c>
      <c r="X4056" s="54" t="s">
        <v>2</v>
      </c>
      <c r="Y4056" s="54" t="s">
        <v>2</v>
      </c>
      <c r="Z4056" s="54" t="s">
        <v>2</v>
      </c>
      <c r="AA4056" s="54" t="s">
        <v>2</v>
      </c>
      <c r="AB4056" s="54" t="s">
        <v>2</v>
      </c>
      <c r="AC4056" s="54" t="s">
        <v>2</v>
      </c>
      <c r="AD4056" s="54" t="s">
        <v>2</v>
      </c>
      <c r="AE4056" s="54" t="s">
        <v>2</v>
      </c>
      <c r="AF4056" s="54" t="s">
        <v>2</v>
      </c>
      <c r="AG4056" s="54" t="s">
        <v>2</v>
      </c>
    </row>
    <row r="4057" ht="15.75" customHeight="1">
      <c r="B4057" s="56"/>
      <c r="U4057" s="46" t="str">
        <f t="array" ref="U4057">IF($D4057="","",IFERROR(_xlfn.XLOOKUP($D4057,'TIR店舗一覧'!$D:$D,'TIR店舗一覧'!$E:$E,""),""))</f>
        <v/>
      </c>
      <c r="V4057" s="54" t="s">
        <v>2</v>
      </c>
      <c r="W4057" s="54" t="s">
        <v>2</v>
      </c>
      <c r="X4057" s="54" t="s">
        <v>2</v>
      </c>
      <c r="Y4057" s="54" t="s">
        <v>2</v>
      </c>
      <c r="Z4057" s="54" t="s">
        <v>2</v>
      </c>
      <c r="AA4057" s="54" t="s">
        <v>2</v>
      </c>
      <c r="AB4057" s="54" t="s">
        <v>2</v>
      </c>
      <c r="AC4057" s="54" t="s">
        <v>2</v>
      </c>
      <c r="AD4057" s="54" t="s">
        <v>2</v>
      </c>
      <c r="AE4057" s="54" t="s">
        <v>2</v>
      </c>
      <c r="AF4057" s="54" t="s">
        <v>2</v>
      </c>
      <c r="AG4057" s="54" t="s">
        <v>2</v>
      </c>
    </row>
    <row r="4058" ht="15.75" customHeight="1">
      <c r="B4058" s="56"/>
      <c r="U4058" s="46" t="str">
        <f t="array" ref="U4058">IF($D4058="","",IFERROR(_xlfn.XLOOKUP($D4058,'TIR店舗一覧'!$D:$D,'TIR店舗一覧'!$E:$E,""),""))</f>
        <v/>
      </c>
      <c r="V4058" s="54" t="s">
        <v>2</v>
      </c>
      <c r="W4058" s="54" t="s">
        <v>2</v>
      </c>
      <c r="X4058" s="54" t="s">
        <v>2</v>
      </c>
      <c r="Y4058" s="54" t="s">
        <v>2</v>
      </c>
      <c r="Z4058" s="54" t="s">
        <v>2</v>
      </c>
      <c r="AA4058" s="54" t="s">
        <v>2</v>
      </c>
      <c r="AB4058" s="54" t="s">
        <v>2</v>
      </c>
      <c r="AC4058" s="54" t="s">
        <v>2</v>
      </c>
      <c r="AD4058" s="54" t="s">
        <v>2</v>
      </c>
      <c r="AE4058" s="54" t="s">
        <v>2</v>
      </c>
      <c r="AF4058" s="54" t="s">
        <v>2</v>
      </c>
      <c r="AG4058" s="54" t="s">
        <v>2</v>
      </c>
    </row>
    <row r="4059" ht="15.75" customHeight="1">
      <c r="B4059" s="56"/>
      <c r="U4059" s="46" t="str">
        <f t="array" ref="U4059">IF($D4059="","",IFERROR(_xlfn.XLOOKUP($D4059,'TIR店舗一覧'!$D:$D,'TIR店舗一覧'!$E:$E,""),""))</f>
        <v/>
      </c>
      <c r="V4059" s="54" t="s">
        <v>2</v>
      </c>
      <c r="W4059" s="54" t="s">
        <v>2</v>
      </c>
      <c r="X4059" s="54" t="s">
        <v>2</v>
      </c>
      <c r="Y4059" s="54" t="s">
        <v>2</v>
      </c>
      <c r="Z4059" s="54" t="s">
        <v>2</v>
      </c>
      <c r="AA4059" s="54" t="s">
        <v>2</v>
      </c>
      <c r="AB4059" s="54" t="s">
        <v>2</v>
      </c>
      <c r="AC4059" s="54" t="s">
        <v>2</v>
      </c>
      <c r="AD4059" s="54" t="s">
        <v>2</v>
      </c>
      <c r="AE4059" s="54" t="s">
        <v>2</v>
      </c>
      <c r="AF4059" s="54" t="s">
        <v>2</v>
      </c>
      <c r="AG4059" s="54" t="s">
        <v>2</v>
      </c>
    </row>
    <row r="4060" ht="15.75" customHeight="1">
      <c r="B4060" s="56"/>
      <c r="U4060" s="46" t="str">
        <f t="array" ref="U4060">IF($D4060="","",IFERROR(_xlfn.XLOOKUP($D4060,'TIR店舗一覧'!$D:$D,'TIR店舗一覧'!$E:$E,""),""))</f>
        <v/>
      </c>
      <c r="V4060" s="54" t="s">
        <v>2</v>
      </c>
      <c r="W4060" s="54" t="s">
        <v>2</v>
      </c>
      <c r="X4060" s="54" t="s">
        <v>2</v>
      </c>
      <c r="Y4060" s="54" t="s">
        <v>2</v>
      </c>
      <c r="Z4060" s="54" t="s">
        <v>2</v>
      </c>
      <c r="AA4060" s="54" t="s">
        <v>2</v>
      </c>
      <c r="AB4060" s="54" t="s">
        <v>2</v>
      </c>
      <c r="AC4060" s="54" t="s">
        <v>2</v>
      </c>
      <c r="AD4060" s="54" t="s">
        <v>2</v>
      </c>
      <c r="AE4060" s="54" t="s">
        <v>2</v>
      </c>
      <c r="AF4060" s="54" t="s">
        <v>2</v>
      </c>
      <c r="AG4060" s="54" t="s">
        <v>2</v>
      </c>
    </row>
    <row r="4061" ht="15.75" customHeight="1">
      <c r="B4061" s="56"/>
      <c r="U4061" s="46" t="str">
        <f t="array" ref="U4061">IF($D4061="","",IFERROR(_xlfn.XLOOKUP($D4061,'TIR店舗一覧'!$D:$D,'TIR店舗一覧'!$E:$E,""),""))</f>
        <v/>
      </c>
      <c r="V4061" s="54" t="s">
        <v>2</v>
      </c>
      <c r="W4061" s="54" t="s">
        <v>2</v>
      </c>
      <c r="X4061" s="54" t="s">
        <v>2</v>
      </c>
      <c r="Y4061" s="54" t="s">
        <v>2</v>
      </c>
      <c r="Z4061" s="54" t="s">
        <v>2</v>
      </c>
      <c r="AA4061" s="54" t="s">
        <v>2</v>
      </c>
      <c r="AB4061" s="54" t="s">
        <v>2</v>
      </c>
      <c r="AC4061" s="54" t="s">
        <v>2</v>
      </c>
      <c r="AD4061" s="54" t="s">
        <v>2</v>
      </c>
      <c r="AE4061" s="54" t="s">
        <v>2</v>
      </c>
      <c r="AF4061" s="54" t="s">
        <v>2</v>
      </c>
      <c r="AG4061" s="54" t="s">
        <v>2</v>
      </c>
    </row>
    <row r="4062" ht="15.75" customHeight="1">
      <c r="B4062" s="56"/>
      <c r="U4062" s="46" t="str">
        <f t="array" ref="U4062">IF($D4062="","",IFERROR(_xlfn.XLOOKUP($D4062,'TIR店舗一覧'!$D:$D,'TIR店舗一覧'!$E:$E,""),""))</f>
        <v/>
      </c>
      <c r="V4062" s="54" t="s">
        <v>2</v>
      </c>
      <c r="W4062" s="54" t="s">
        <v>2</v>
      </c>
      <c r="X4062" s="54" t="s">
        <v>2</v>
      </c>
      <c r="Y4062" s="54" t="s">
        <v>2</v>
      </c>
      <c r="Z4062" s="54" t="s">
        <v>2</v>
      </c>
      <c r="AA4062" s="54" t="s">
        <v>2</v>
      </c>
      <c r="AB4062" s="54" t="s">
        <v>2</v>
      </c>
      <c r="AC4062" s="54" t="s">
        <v>2</v>
      </c>
      <c r="AD4062" s="54" t="s">
        <v>2</v>
      </c>
      <c r="AE4062" s="54" t="s">
        <v>2</v>
      </c>
      <c r="AF4062" s="54" t="s">
        <v>2</v>
      </c>
      <c r="AG4062" s="54" t="s">
        <v>2</v>
      </c>
    </row>
    <row r="4063" ht="15.75" customHeight="1">
      <c r="B4063" s="56"/>
      <c r="U4063" s="46" t="str">
        <f t="array" ref="U4063">IF($D4063="","",IFERROR(_xlfn.XLOOKUP($D4063,'TIR店舗一覧'!$D:$D,'TIR店舗一覧'!$E:$E,""),""))</f>
        <v/>
      </c>
      <c r="V4063" s="54" t="s">
        <v>2</v>
      </c>
      <c r="W4063" s="54" t="s">
        <v>2</v>
      </c>
      <c r="X4063" s="54" t="s">
        <v>2</v>
      </c>
      <c r="Y4063" s="54" t="s">
        <v>2</v>
      </c>
      <c r="Z4063" s="54" t="s">
        <v>2</v>
      </c>
      <c r="AA4063" s="54" t="s">
        <v>2</v>
      </c>
      <c r="AB4063" s="54" t="s">
        <v>2</v>
      </c>
      <c r="AC4063" s="54" t="s">
        <v>2</v>
      </c>
      <c r="AD4063" s="54" t="s">
        <v>2</v>
      </c>
      <c r="AE4063" s="54" t="s">
        <v>2</v>
      </c>
      <c r="AF4063" s="54" t="s">
        <v>2</v>
      </c>
      <c r="AG4063" s="54" t="s">
        <v>2</v>
      </c>
    </row>
    <row r="4064" ht="15.75" customHeight="1">
      <c r="B4064" s="56"/>
      <c r="U4064" s="46" t="str">
        <f t="array" ref="U4064">IF($D4064="","",IFERROR(_xlfn.XLOOKUP($D4064,'TIR店舗一覧'!$D:$D,'TIR店舗一覧'!$E:$E,""),""))</f>
        <v/>
      </c>
      <c r="V4064" s="54" t="s">
        <v>2</v>
      </c>
      <c r="W4064" s="54" t="s">
        <v>2</v>
      </c>
      <c r="X4064" s="54" t="s">
        <v>2</v>
      </c>
      <c r="Y4064" s="54" t="s">
        <v>2</v>
      </c>
      <c r="Z4064" s="54" t="s">
        <v>2</v>
      </c>
      <c r="AA4064" s="54" t="s">
        <v>2</v>
      </c>
      <c r="AB4064" s="54" t="s">
        <v>2</v>
      </c>
      <c r="AC4064" s="54" t="s">
        <v>2</v>
      </c>
      <c r="AD4064" s="54" t="s">
        <v>2</v>
      </c>
      <c r="AE4064" s="54" t="s">
        <v>2</v>
      </c>
      <c r="AF4064" s="54" t="s">
        <v>2</v>
      </c>
      <c r="AG4064" s="54" t="s">
        <v>2</v>
      </c>
    </row>
    <row r="4065" ht="15.75" customHeight="1">
      <c r="B4065" s="56"/>
      <c r="U4065" s="46" t="str">
        <f t="array" ref="U4065">IF($D4065="","",IFERROR(_xlfn.XLOOKUP($D4065,'TIR店舗一覧'!$D:$D,'TIR店舗一覧'!$E:$E,""),""))</f>
        <v/>
      </c>
      <c r="V4065" s="54" t="s">
        <v>2</v>
      </c>
      <c r="W4065" s="54" t="s">
        <v>2</v>
      </c>
      <c r="X4065" s="54" t="s">
        <v>2</v>
      </c>
      <c r="Y4065" s="54" t="s">
        <v>2</v>
      </c>
      <c r="Z4065" s="54" t="s">
        <v>2</v>
      </c>
      <c r="AA4065" s="54" t="s">
        <v>2</v>
      </c>
      <c r="AB4065" s="54" t="s">
        <v>2</v>
      </c>
      <c r="AC4065" s="54" t="s">
        <v>2</v>
      </c>
      <c r="AD4065" s="54" t="s">
        <v>2</v>
      </c>
      <c r="AE4065" s="54" t="s">
        <v>2</v>
      </c>
      <c r="AF4065" s="54" t="s">
        <v>2</v>
      </c>
      <c r="AG4065" s="54" t="s">
        <v>2</v>
      </c>
    </row>
    <row r="4066" ht="15.75" customHeight="1">
      <c r="B4066" s="56"/>
      <c r="U4066" s="46" t="str">
        <f t="array" ref="U4066">IF($D4066="","",IFERROR(_xlfn.XLOOKUP($D4066,'TIR店舗一覧'!$D:$D,'TIR店舗一覧'!$E:$E,""),""))</f>
        <v/>
      </c>
      <c r="V4066" s="54" t="s">
        <v>2</v>
      </c>
      <c r="W4066" s="54" t="s">
        <v>2</v>
      </c>
      <c r="X4066" s="54" t="s">
        <v>2</v>
      </c>
      <c r="Y4066" s="54" t="s">
        <v>2</v>
      </c>
      <c r="Z4066" s="54" t="s">
        <v>2</v>
      </c>
      <c r="AA4066" s="54" t="s">
        <v>2</v>
      </c>
      <c r="AB4066" s="54" t="s">
        <v>2</v>
      </c>
      <c r="AC4066" s="54" t="s">
        <v>2</v>
      </c>
      <c r="AD4066" s="54" t="s">
        <v>2</v>
      </c>
      <c r="AE4066" s="54" t="s">
        <v>2</v>
      </c>
      <c r="AF4066" s="54" t="s">
        <v>2</v>
      </c>
      <c r="AG4066" s="54" t="s">
        <v>2</v>
      </c>
    </row>
    <row r="4067" ht="15.75" customHeight="1">
      <c r="B4067" s="56"/>
      <c r="U4067" s="46" t="str">
        <f t="array" ref="U4067">IF($D4067="","",IFERROR(_xlfn.XLOOKUP($D4067,'TIR店舗一覧'!$D:$D,'TIR店舗一覧'!$E:$E,""),""))</f>
        <v/>
      </c>
      <c r="V4067" s="54" t="s">
        <v>2</v>
      </c>
      <c r="W4067" s="54" t="s">
        <v>2</v>
      </c>
      <c r="X4067" s="54" t="s">
        <v>2</v>
      </c>
      <c r="Y4067" s="54" t="s">
        <v>2</v>
      </c>
      <c r="Z4067" s="54" t="s">
        <v>2</v>
      </c>
      <c r="AA4067" s="54" t="s">
        <v>2</v>
      </c>
      <c r="AB4067" s="54" t="s">
        <v>2</v>
      </c>
      <c r="AC4067" s="54" t="s">
        <v>2</v>
      </c>
      <c r="AD4067" s="54" t="s">
        <v>2</v>
      </c>
      <c r="AE4067" s="54" t="s">
        <v>2</v>
      </c>
      <c r="AF4067" s="54" t="s">
        <v>2</v>
      </c>
      <c r="AG4067" s="54" t="s">
        <v>2</v>
      </c>
    </row>
    <row r="4068" ht="15.75" customHeight="1">
      <c r="B4068" s="56"/>
      <c r="U4068" s="46" t="str">
        <f t="array" ref="U4068">IF($D4068="","",IFERROR(_xlfn.XLOOKUP($D4068,'TIR店舗一覧'!$D:$D,'TIR店舗一覧'!$E:$E,""),""))</f>
        <v/>
      </c>
      <c r="V4068" s="54" t="s">
        <v>2</v>
      </c>
      <c r="W4068" s="54" t="s">
        <v>2</v>
      </c>
      <c r="X4068" s="54" t="s">
        <v>2</v>
      </c>
      <c r="Y4068" s="54" t="s">
        <v>2</v>
      </c>
      <c r="Z4068" s="54" t="s">
        <v>2</v>
      </c>
      <c r="AA4068" s="54" t="s">
        <v>2</v>
      </c>
      <c r="AB4068" s="54" t="s">
        <v>2</v>
      </c>
      <c r="AC4068" s="54" t="s">
        <v>2</v>
      </c>
      <c r="AD4068" s="54" t="s">
        <v>2</v>
      </c>
      <c r="AE4068" s="54" t="s">
        <v>2</v>
      </c>
      <c r="AF4068" s="54" t="s">
        <v>2</v>
      </c>
      <c r="AG4068" s="54" t="s">
        <v>2</v>
      </c>
    </row>
    <row r="4069" ht="15.75" customHeight="1">
      <c r="B4069" s="56"/>
      <c r="U4069" s="46" t="str">
        <f t="array" ref="U4069">IF($D4069="","",IFERROR(_xlfn.XLOOKUP($D4069,'TIR店舗一覧'!$D:$D,'TIR店舗一覧'!$E:$E,""),""))</f>
        <v/>
      </c>
      <c r="V4069" s="54" t="s">
        <v>2</v>
      </c>
      <c r="W4069" s="54" t="s">
        <v>2</v>
      </c>
      <c r="X4069" s="54" t="s">
        <v>2</v>
      </c>
      <c r="Y4069" s="54" t="s">
        <v>2</v>
      </c>
      <c r="Z4069" s="54" t="s">
        <v>2</v>
      </c>
      <c r="AA4069" s="54" t="s">
        <v>2</v>
      </c>
      <c r="AB4069" s="54" t="s">
        <v>2</v>
      </c>
      <c r="AC4069" s="54" t="s">
        <v>2</v>
      </c>
      <c r="AD4069" s="54" t="s">
        <v>2</v>
      </c>
      <c r="AE4069" s="54" t="s">
        <v>2</v>
      </c>
      <c r="AF4069" s="54" t="s">
        <v>2</v>
      </c>
      <c r="AG4069" s="54" t="s">
        <v>2</v>
      </c>
    </row>
    <row r="4070" ht="15.75" customHeight="1">
      <c r="B4070" s="56"/>
      <c r="U4070" s="46" t="str">
        <f t="array" ref="U4070">IF($D4070="","",IFERROR(_xlfn.XLOOKUP($D4070,'TIR店舗一覧'!$D:$D,'TIR店舗一覧'!$E:$E,""),""))</f>
        <v/>
      </c>
      <c r="V4070" s="54" t="s">
        <v>2</v>
      </c>
      <c r="W4070" s="54" t="s">
        <v>2</v>
      </c>
      <c r="X4070" s="54" t="s">
        <v>2</v>
      </c>
      <c r="Y4070" s="54" t="s">
        <v>2</v>
      </c>
      <c r="Z4070" s="54" t="s">
        <v>2</v>
      </c>
      <c r="AA4070" s="54" t="s">
        <v>2</v>
      </c>
      <c r="AB4070" s="54" t="s">
        <v>2</v>
      </c>
      <c r="AC4070" s="54" t="s">
        <v>2</v>
      </c>
      <c r="AD4070" s="54" t="s">
        <v>2</v>
      </c>
      <c r="AE4070" s="54" t="s">
        <v>2</v>
      </c>
      <c r="AF4070" s="54" t="s">
        <v>2</v>
      </c>
      <c r="AG4070" s="54" t="s">
        <v>2</v>
      </c>
    </row>
    <row r="4071" ht="15.75" customHeight="1">
      <c r="B4071" s="56"/>
      <c r="U4071" s="46" t="str">
        <f t="array" ref="U4071">IF($D4071="","",IFERROR(_xlfn.XLOOKUP($D4071,'TIR店舗一覧'!$D:$D,'TIR店舗一覧'!$E:$E,""),""))</f>
        <v/>
      </c>
      <c r="V4071" s="54" t="s">
        <v>2</v>
      </c>
      <c r="W4071" s="54" t="s">
        <v>2</v>
      </c>
      <c r="X4071" s="54" t="s">
        <v>2</v>
      </c>
      <c r="Y4071" s="54" t="s">
        <v>2</v>
      </c>
      <c r="Z4071" s="54" t="s">
        <v>2</v>
      </c>
      <c r="AA4071" s="54" t="s">
        <v>2</v>
      </c>
      <c r="AB4071" s="54" t="s">
        <v>2</v>
      </c>
      <c r="AC4071" s="54" t="s">
        <v>2</v>
      </c>
      <c r="AD4071" s="54" t="s">
        <v>2</v>
      </c>
      <c r="AE4071" s="54" t="s">
        <v>2</v>
      </c>
      <c r="AF4071" s="54" t="s">
        <v>2</v>
      </c>
      <c r="AG4071" s="54" t="s">
        <v>2</v>
      </c>
    </row>
    <row r="4072" ht="15.75" customHeight="1">
      <c r="B4072" s="56"/>
      <c r="U4072" s="46" t="str">
        <f t="array" ref="U4072">IF($D4072="","",IFERROR(_xlfn.XLOOKUP($D4072,'TIR店舗一覧'!$D:$D,'TIR店舗一覧'!$E:$E,""),""))</f>
        <v/>
      </c>
      <c r="V4072" s="54" t="s">
        <v>2</v>
      </c>
      <c r="W4072" s="54" t="s">
        <v>2</v>
      </c>
      <c r="X4072" s="54" t="s">
        <v>2</v>
      </c>
      <c r="Y4072" s="54" t="s">
        <v>2</v>
      </c>
      <c r="Z4072" s="54" t="s">
        <v>2</v>
      </c>
      <c r="AA4072" s="54" t="s">
        <v>2</v>
      </c>
      <c r="AB4072" s="54" t="s">
        <v>2</v>
      </c>
      <c r="AC4072" s="54" t="s">
        <v>2</v>
      </c>
      <c r="AD4072" s="54" t="s">
        <v>2</v>
      </c>
      <c r="AE4072" s="54" t="s">
        <v>2</v>
      </c>
      <c r="AF4072" s="54" t="s">
        <v>2</v>
      </c>
      <c r="AG4072" s="54" t="s">
        <v>2</v>
      </c>
    </row>
    <row r="4073" ht="15.75" customHeight="1">
      <c r="B4073" s="56"/>
      <c r="U4073" s="46" t="str">
        <f t="array" ref="U4073">IF($D4073="","",IFERROR(_xlfn.XLOOKUP($D4073,'TIR店舗一覧'!$D:$D,'TIR店舗一覧'!$E:$E,""),""))</f>
        <v/>
      </c>
      <c r="V4073" s="54" t="s">
        <v>2</v>
      </c>
      <c r="W4073" s="54" t="s">
        <v>2</v>
      </c>
      <c r="X4073" s="54" t="s">
        <v>2</v>
      </c>
      <c r="Y4073" s="54" t="s">
        <v>2</v>
      </c>
      <c r="Z4073" s="54" t="s">
        <v>2</v>
      </c>
      <c r="AA4073" s="54" t="s">
        <v>2</v>
      </c>
      <c r="AB4073" s="54" t="s">
        <v>2</v>
      </c>
      <c r="AC4073" s="54" t="s">
        <v>2</v>
      </c>
      <c r="AD4073" s="54" t="s">
        <v>2</v>
      </c>
      <c r="AE4073" s="54" t="s">
        <v>2</v>
      </c>
      <c r="AF4073" s="54" t="s">
        <v>2</v>
      </c>
      <c r="AG4073" s="54" t="s">
        <v>2</v>
      </c>
    </row>
    <row r="4074" ht="15.75" customHeight="1">
      <c r="B4074" s="56"/>
      <c r="U4074" s="46" t="str">
        <f t="array" ref="U4074">IF($D4074="","",IFERROR(_xlfn.XLOOKUP($D4074,'TIR店舗一覧'!$D:$D,'TIR店舗一覧'!$E:$E,""),""))</f>
        <v/>
      </c>
      <c r="V4074" s="54" t="s">
        <v>2</v>
      </c>
      <c r="W4074" s="54" t="s">
        <v>2</v>
      </c>
      <c r="X4074" s="54" t="s">
        <v>2</v>
      </c>
      <c r="Y4074" s="54" t="s">
        <v>2</v>
      </c>
      <c r="Z4074" s="54" t="s">
        <v>2</v>
      </c>
      <c r="AA4074" s="54" t="s">
        <v>2</v>
      </c>
      <c r="AB4074" s="54" t="s">
        <v>2</v>
      </c>
      <c r="AC4074" s="54" t="s">
        <v>2</v>
      </c>
      <c r="AD4074" s="54" t="s">
        <v>2</v>
      </c>
      <c r="AE4074" s="54" t="s">
        <v>2</v>
      </c>
      <c r="AF4074" s="54" t="s">
        <v>2</v>
      </c>
      <c r="AG4074" s="54" t="s">
        <v>2</v>
      </c>
    </row>
    <row r="4075" ht="15.75" customHeight="1">
      <c r="B4075" s="56"/>
      <c r="U4075" s="46" t="str">
        <f t="array" ref="U4075">IF($D4075="","",IFERROR(_xlfn.XLOOKUP($D4075,'TIR店舗一覧'!$D:$D,'TIR店舗一覧'!$E:$E,""),""))</f>
        <v/>
      </c>
      <c r="V4075" s="54" t="s">
        <v>2</v>
      </c>
      <c r="W4075" s="54" t="s">
        <v>2</v>
      </c>
      <c r="X4075" s="54" t="s">
        <v>2</v>
      </c>
      <c r="Y4075" s="54" t="s">
        <v>2</v>
      </c>
      <c r="Z4075" s="54" t="s">
        <v>2</v>
      </c>
      <c r="AA4075" s="54" t="s">
        <v>2</v>
      </c>
      <c r="AB4075" s="54" t="s">
        <v>2</v>
      </c>
      <c r="AC4075" s="54" t="s">
        <v>2</v>
      </c>
      <c r="AD4075" s="54" t="s">
        <v>2</v>
      </c>
      <c r="AE4075" s="54" t="s">
        <v>2</v>
      </c>
      <c r="AF4075" s="54" t="s">
        <v>2</v>
      </c>
      <c r="AG4075" s="54" t="s">
        <v>2</v>
      </c>
    </row>
    <row r="4076" ht="15.75" customHeight="1">
      <c r="B4076" s="56"/>
      <c r="U4076" s="46" t="str">
        <f t="array" ref="U4076">IF($D4076="","",IFERROR(_xlfn.XLOOKUP($D4076,'TIR店舗一覧'!$D:$D,'TIR店舗一覧'!$E:$E,""),""))</f>
        <v/>
      </c>
      <c r="V4076" s="54" t="s">
        <v>2</v>
      </c>
      <c r="W4076" s="54" t="s">
        <v>2</v>
      </c>
      <c r="X4076" s="54" t="s">
        <v>2</v>
      </c>
      <c r="Y4076" s="54" t="s">
        <v>2</v>
      </c>
      <c r="Z4076" s="54" t="s">
        <v>2</v>
      </c>
      <c r="AA4076" s="54" t="s">
        <v>2</v>
      </c>
      <c r="AB4076" s="54" t="s">
        <v>2</v>
      </c>
      <c r="AC4076" s="54" t="s">
        <v>2</v>
      </c>
      <c r="AD4076" s="54" t="s">
        <v>2</v>
      </c>
      <c r="AE4076" s="54" t="s">
        <v>2</v>
      </c>
      <c r="AF4076" s="54" t="s">
        <v>2</v>
      </c>
      <c r="AG4076" s="54" t="s">
        <v>2</v>
      </c>
    </row>
    <row r="4077" ht="15.75" customHeight="1">
      <c r="B4077" s="56"/>
      <c r="U4077" s="46" t="str">
        <f t="array" ref="U4077">IF($D4077="","",IFERROR(_xlfn.XLOOKUP($D4077,'TIR店舗一覧'!$D:$D,'TIR店舗一覧'!$E:$E,""),""))</f>
        <v/>
      </c>
      <c r="V4077" s="54" t="s">
        <v>2</v>
      </c>
      <c r="W4077" s="54" t="s">
        <v>2</v>
      </c>
      <c r="X4077" s="54" t="s">
        <v>2</v>
      </c>
      <c r="Y4077" s="54" t="s">
        <v>2</v>
      </c>
      <c r="Z4077" s="54" t="s">
        <v>2</v>
      </c>
      <c r="AA4077" s="54" t="s">
        <v>2</v>
      </c>
      <c r="AB4077" s="54" t="s">
        <v>2</v>
      </c>
      <c r="AC4077" s="54" t="s">
        <v>2</v>
      </c>
      <c r="AD4077" s="54" t="s">
        <v>2</v>
      </c>
      <c r="AE4077" s="54" t="s">
        <v>2</v>
      </c>
      <c r="AF4077" s="54" t="s">
        <v>2</v>
      </c>
      <c r="AG4077" s="54" t="s">
        <v>2</v>
      </c>
    </row>
    <row r="4078" ht="15.75" customHeight="1">
      <c r="B4078" s="56"/>
      <c r="U4078" s="46" t="str">
        <f t="array" ref="U4078">IF($D4078="","",IFERROR(_xlfn.XLOOKUP($D4078,'TIR店舗一覧'!$D:$D,'TIR店舗一覧'!$E:$E,""),""))</f>
        <v/>
      </c>
      <c r="V4078" s="54" t="s">
        <v>2</v>
      </c>
      <c r="W4078" s="54" t="s">
        <v>2</v>
      </c>
      <c r="X4078" s="54" t="s">
        <v>2</v>
      </c>
      <c r="Y4078" s="54" t="s">
        <v>2</v>
      </c>
      <c r="Z4078" s="54" t="s">
        <v>2</v>
      </c>
      <c r="AA4078" s="54" t="s">
        <v>2</v>
      </c>
      <c r="AB4078" s="54" t="s">
        <v>2</v>
      </c>
      <c r="AC4078" s="54" t="s">
        <v>2</v>
      </c>
      <c r="AD4078" s="54" t="s">
        <v>2</v>
      </c>
      <c r="AE4078" s="54" t="s">
        <v>2</v>
      </c>
      <c r="AF4078" s="54" t="s">
        <v>2</v>
      </c>
      <c r="AG4078" s="54" t="s">
        <v>2</v>
      </c>
    </row>
    <row r="4079" ht="15.75" customHeight="1">
      <c r="B4079" s="56"/>
      <c r="U4079" s="46" t="str">
        <f t="array" ref="U4079">IF($D4079="","",IFERROR(_xlfn.XLOOKUP($D4079,'TIR店舗一覧'!$D:$D,'TIR店舗一覧'!$E:$E,""),""))</f>
        <v/>
      </c>
      <c r="V4079" s="54" t="s">
        <v>2</v>
      </c>
      <c r="W4079" s="54" t="s">
        <v>2</v>
      </c>
      <c r="X4079" s="54" t="s">
        <v>2</v>
      </c>
      <c r="Y4079" s="54" t="s">
        <v>2</v>
      </c>
      <c r="Z4079" s="54" t="s">
        <v>2</v>
      </c>
      <c r="AA4079" s="54" t="s">
        <v>2</v>
      </c>
      <c r="AB4079" s="54" t="s">
        <v>2</v>
      </c>
      <c r="AC4079" s="54" t="s">
        <v>2</v>
      </c>
      <c r="AD4079" s="54" t="s">
        <v>2</v>
      </c>
      <c r="AE4079" s="54" t="s">
        <v>2</v>
      </c>
      <c r="AF4079" s="54" t="s">
        <v>2</v>
      </c>
      <c r="AG4079" s="54" t="s">
        <v>2</v>
      </c>
    </row>
    <row r="4080" ht="15.75" customHeight="1">
      <c r="B4080" s="56"/>
      <c r="U4080" s="46" t="str">
        <f t="array" ref="U4080">IF($D4080="","",IFERROR(_xlfn.XLOOKUP($D4080,'TIR店舗一覧'!$D:$D,'TIR店舗一覧'!$E:$E,""),""))</f>
        <v/>
      </c>
      <c r="V4080" s="54" t="s">
        <v>2</v>
      </c>
      <c r="W4080" s="54" t="s">
        <v>2</v>
      </c>
      <c r="X4080" s="54" t="s">
        <v>2</v>
      </c>
      <c r="Y4080" s="54" t="s">
        <v>2</v>
      </c>
      <c r="Z4080" s="54" t="s">
        <v>2</v>
      </c>
      <c r="AA4080" s="54" t="s">
        <v>2</v>
      </c>
      <c r="AB4080" s="54" t="s">
        <v>2</v>
      </c>
      <c r="AC4080" s="54" t="s">
        <v>2</v>
      </c>
      <c r="AD4080" s="54" t="s">
        <v>2</v>
      </c>
      <c r="AE4080" s="54" t="s">
        <v>2</v>
      </c>
      <c r="AF4080" s="54" t="s">
        <v>2</v>
      </c>
      <c r="AG4080" s="54" t="s">
        <v>2</v>
      </c>
    </row>
    <row r="4081" ht="15.75" customHeight="1">
      <c r="B4081" s="56"/>
      <c r="U4081" s="46" t="str">
        <f t="array" ref="U4081">IF($D4081="","",IFERROR(_xlfn.XLOOKUP($D4081,'TIR店舗一覧'!$D:$D,'TIR店舗一覧'!$E:$E,""),""))</f>
        <v/>
      </c>
      <c r="V4081" s="54" t="s">
        <v>2</v>
      </c>
      <c r="W4081" s="54" t="s">
        <v>2</v>
      </c>
      <c r="X4081" s="54" t="s">
        <v>2</v>
      </c>
      <c r="Y4081" s="54" t="s">
        <v>2</v>
      </c>
      <c r="Z4081" s="54" t="s">
        <v>2</v>
      </c>
      <c r="AA4081" s="54" t="s">
        <v>2</v>
      </c>
      <c r="AB4081" s="54" t="s">
        <v>2</v>
      </c>
      <c r="AC4081" s="54" t="s">
        <v>2</v>
      </c>
      <c r="AD4081" s="54" t="s">
        <v>2</v>
      </c>
      <c r="AE4081" s="54" t="s">
        <v>2</v>
      </c>
      <c r="AF4081" s="54" t="s">
        <v>2</v>
      </c>
      <c r="AG4081" s="54" t="s">
        <v>2</v>
      </c>
    </row>
    <row r="4082" ht="15.75" customHeight="1">
      <c r="B4082" s="56"/>
      <c r="U4082" s="46" t="str">
        <f t="array" ref="U4082">IF($D4082="","",IFERROR(_xlfn.XLOOKUP($D4082,'TIR店舗一覧'!$D:$D,'TIR店舗一覧'!$E:$E,""),""))</f>
        <v/>
      </c>
      <c r="V4082" s="54" t="s">
        <v>2</v>
      </c>
      <c r="W4082" s="54" t="s">
        <v>2</v>
      </c>
      <c r="X4082" s="54" t="s">
        <v>2</v>
      </c>
      <c r="Y4082" s="54" t="s">
        <v>2</v>
      </c>
      <c r="Z4082" s="54" t="s">
        <v>2</v>
      </c>
      <c r="AA4082" s="54" t="s">
        <v>2</v>
      </c>
      <c r="AB4082" s="54" t="s">
        <v>2</v>
      </c>
      <c r="AC4082" s="54" t="s">
        <v>2</v>
      </c>
      <c r="AD4082" s="54" t="s">
        <v>2</v>
      </c>
      <c r="AE4082" s="54" t="s">
        <v>2</v>
      </c>
      <c r="AF4082" s="54" t="s">
        <v>2</v>
      </c>
      <c r="AG4082" s="54" t="s">
        <v>2</v>
      </c>
    </row>
    <row r="4083" ht="15.75" customHeight="1">
      <c r="B4083" s="56"/>
      <c r="U4083" s="46" t="str">
        <f t="array" ref="U4083">IF($D4083="","",IFERROR(_xlfn.XLOOKUP($D4083,'TIR店舗一覧'!$D:$D,'TIR店舗一覧'!$E:$E,""),""))</f>
        <v/>
      </c>
      <c r="V4083" s="54" t="s">
        <v>2</v>
      </c>
      <c r="W4083" s="54" t="s">
        <v>2</v>
      </c>
      <c r="X4083" s="54" t="s">
        <v>2</v>
      </c>
      <c r="Y4083" s="54" t="s">
        <v>2</v>
      </c>
      <c r="Z4083" s="54" t="s">
        <v>2</v>
      </c>
      <c r="AA4083" s="54" t="s">
        <v>2</v>
      </c>
      <c r="AB4083" s="54" t="s">
        <v>2</v>
      </c>
      <c r="AC4083" s="54" t="s">
        <v>2</v>
      </c>
      <c r="AD4083" s="54" t="s">
        <v>2</v>
      </c>
      <c r="AE4083" s="54" t="s">
        <v>2</v>
      </c>
      <c r="AF4083" s="54" t="s">
        <v>2</v>
      </c>
      <c r="AG4083" s="54" t="s">
        <v>2</v>
      </c>
    </row>
    <row r="4084" ht="15.75" customHeight="1">
      <c r="B4084" s="56"/>
      <c r="U4084" s="46" t="str">
        <f t="array" ref="U4084">IF($D4084="","",IFERROR(_xlfn.XLOOKUP($D4084,'TIR店舗一覧'!$D:$D,'TIR店舗一覧'!$E:$E,""),""))</f>
        <v/>
      </c>
      <c r="V4084" s="54" t="s">
        <v>2</v>
      </c>
      <c r="W4084" s="54" t="s">
        <v>2</v>
      </c>
      <c r="X4084" s="54" t="s">
        <v>2</v>
      </c>
      <c r="Y4084" s="54" t="s">
        <v>2</v>
      </c>
      <c r="Z4084" s="54" t="s">
        <v>2</v>
      </c>
      <c r="AA4084" s="54" t="s">
        <v>2</v>
      </c>
      <c r="AB4084" s="54" t="s">
        <v>2</v>
      </c>
      <c r="AC4084" s="54" t="s">
        <v>2</v>
      </c>
      <c r="AD4084" s="54" t="s">
        <v>2</v>
      </c>
      <c r="AE4084" s="54" t="s">
        <v>2</v>
      </c>
      <c r="AF4084" s="54" t="s">
        <v>2</v>
      </c>
      <c r="AG4084" s="54" t="s">
        <v>2</v>
      </c>
    </row>
    <row r="4085" ht="15.75" customHeight="1">
      <c r="B4085" s="56"/>
      <c r="U4085" s="46" t="str">
        <f t="array" ref="U4085">IF($D4085="","",IFERROR(_xlfn.XLOOKUP($D4085,'TIR店舗一覧'!$D:$D,'TIR店舗一覧'!$E:$E,""),""))</f>
        <v/>
      </c>
      <c r="V4085" s="54" t="s">
        <v>2</v>
      </c>
      <c r="W4085" s="54" t="s">
        <v>2</v>
      </c>
      <c r="X4085" s="54" t="s">
        <v>2</v>
      </c>
      <c r="Y4085" s="54" t="s">
        <v>2</v>
      </c>
      <c r="Z4085" s="54" t="s">
        <v>2</v>
      </c>
      <c r="AA4085" s="54" t="s">
        <v>2</v>
      </c>
      <c r="AB4085" s="54" t="s">
        <v>2</v>
      </c>
      <c r="AC4085" s="54" t="s">
        <v>2</v>
      </c>
      <c r="AD4085" s="54" t="s">
        <v>2</v>
      </c>
      <c r="AE4085" s="54" t="s">
        <v>2</v>
      </c>
      <c r="AF4085" s="54" t="s">
        <v>2</v>
      </c>
      <c r="AG4085" s="54" t="s">
        <v>2</v>
      </c>
    </row>
    <row r="4086" ht="15.75" customHeight="1">
      <c r="B4086" s="56"/>
      <c r="U4086" s="46" t="str">
        <f t="array" ref="U4086">IF($D4086="","",IFERROR(_xlfn.XLOOKUP($D4086,'TIR店舗一覧'!$D:$D,'TIR店舗一覧'!$E:$E,""),""))</f>
        <v/>
      </c>
      <c r="V4086" s="54" t="s">
        <v>2</v>
      </c>
      <c r="W4086" s="54" t="s">
        <v>2</v>
      </c>
      <c r="X4086" s="54" t="s">
        <v>2</v>
      </c>
      <c r="Y4086" s="54" t="s">
        <v>2</v>
      </c>
      <c r="Z4086" s="54" t="s">
        <v>2</v>
      </c>
      <c r="AA4086" s="54" t="s">
        <v>2</v>
      </c>
      <c r="AB4086" s="54" t="s">
        <v>2</v>
      </c>
      <c r="AC4086" s="54" t="s">
        <v>2</v>
      </c>
      <c r="AD4086" s="54" t="s">
        <v>2</v>
      </c>
      <c r="AE4086" s="54" t="s">
        <v>2</v>
      </c>
      <c r="AF4086" s="54" t="s">
        <v>2</v>
      </c>
      <c r="AG4086" s="54" t="s">
        <v>2</v>
      </c>
    </row>
    <row r="4087" ht="15.75" customHeight="1">
      <c r="B4087" s="56"/>
      <c r="U4087" s="46" t="str">
        <f t="array" ref="U4087">IF($D4087="","",IFERROR(_xlfn.XLOOKUP($D4087,'TIR店舗一覧'!$D:$D,'TIR店舗一覧'!$E:$E,""),""))</f>
        <v/>
      </c>
      <c r="V4087" s="54" t="s">
        <v>2</v>
      </c>
      <c r="W4087" s="54" t="s">
        <v>2</v>
      </c>
      <c r="X4087" s="54" t="s">
        <v>2</v>
      </c>
      <c r="Y4087" s="54" t="s">
        <v>2</v>
      </c>
      <c r="Z4087" s="54" t="s">
        <v>2</v>
      </c>
      <c r="AA4087" s="54" t="s">
        <v>2</v>
      </c>
      <c r="AB4087" s="54" t="s">
        <v>2</v>
      </c>
      <c r="AC4087" s="54" t="s">
        <v>2</v>
      </c>
      <c r="AD4087" s="54" t="s">
        <v>2</v>
      </c>
      <c r="AE4087" s="54" t="s">
        <v>2</v>
      </c>
      <c r="AF4087" s="54" t="s">
        <v>2</v>
      </c>
      <c r="AG4087" s="54" t="s">
        <v>2</v>
      </c>
    </row>
    <row r="4088" ht="15.75" customHeight="1">
      <c r="B4088" s="56"/>
      <c r="U4088" s="46" t="str">
        <f t="array" ref="U4088">IF($D4088="","",IFERROR(_xlfn.XLOOKUP($D4088,'TIR店舗一覧'!$D:$D,'TIR店舗一覧'!$E:$E,""),""))</f>
        <v/>
      </c>
      <c r="V4088" s="54" t="s">
        <v>2</v>
      </c>
      <c r="W4088" s="54" t="s">
        <v>2</v>
      </c>
      <c r="X4088" s="54" t="s">
        <v>2</v>
      </c>
      <c r="Y4088" s="54" t="s">
        <v>2</v>
      </c>
      <c r="Z4088" s="54" t="s">
        <v>2</v>
      </c>
      <c r="AA4088" s="54" t="s">
        <v>2</v>
      </c>
      <c r="AB4088" s="54" t="s">
        <v>2</v>
      </c>
      <c r="AC4088" s="54" t="s">
        <v>2</v>
      </c>
      <c r="AD4088" s="54" t="s">
        <v>2</v>
      </c>
      <c r="AE4088" s="54" t="s">
        <v>2</v>
      </c>
      <c r="AF4088" s="54" t="s">
        <v>2</v>
      </c>
      <c r="AG4088" s="54" t="s">
        <v>2</v>
      </c>
    </row>
    <row r="4089" ht="15.75" customHeight="1">
      <c r="B4089" s="56"/>
      <c r="U4089" s="46" t="str">
        <f t="array" ref="U4089">IF($D4089="","",IFERROR(_xlfn.XLOOKUP($D4089,'TIR店舗一覧'!$D:$D,'TIR店舗一覧'!$E:$E,""),""))</f>
        <v/>
      </c>
      <c r="V4089" s="54" t="s">
        <v>2</v>
      </c>
      <c r="W4089" s="54" t="s">
        <v>2</v>
      </c>
      <c r="X4089" s="54" t="s">
        <v>2</v>
      </c>
      <c r="Y4089" s="54" t="s">
        <v>2</v>
      </c>
      <c r="Z4089" s="54" t="s">
        <v>2</v>
      </c>
      <c r="AA4089" s="54" t="s">
        <v>2</v>
      </c>
      <c r="AB4089" s="54" t="s">
        <v>2</v>
      </c>
      <c r="AC4089" s="54" t="s">
        <v>2</v>
      </c>
      <c r="AD4089" s="54" t="s">
        <v>2</v>
      </c>
      <c r="AE4089" s="54" t="s">
        <v>2</v>
      </c>
      <c r="AF4089" s="54" t="s">
        <v>2</v>
      </c>
      <c r="AG4089" s="54" t="s">
        <v>2</v>
      </c>
    </row>
    <row r="4090" ht="15.75" customHeight="1">
      <c r="B4090" s="56"/>
      <c r="U4090" s="46" t="str">
        <f t="array" ref="U4090">IF($D4090="","",IFERROR(_xlfn.XLOOKUP($D4090,'TIR店舗一覧'!$D:$D,'TIR店舗一覧'!$E:$E,""),""))</f>
        <v/>
      </c>
      <c r="V4090" s="54" t="s">
        <v>2</v>
      </c>
      <c r="W4090" s="54" t="s">
        <v>2</v>
      </c>
      <c r="X4090" s="54" t="s">
        <v>2</v>
      </c>
      <c r="Y4090" s="54" t="s">
        <v>2</v>
      </c>
      <c r="Z4090" s="54" t="s">
        <v>2</v>
      </c>
      <c r="AA4090" s="54" t="s">
        <v>2</v>
      </c>
      <c r="AB4090" s="54" t="s">
        <v>2</v>
      </c>
      <c r="AC4090" s="54" t="s">
        <v>2</v>
      </c>
      <c r="AD4090" s="54" t="s">
        <v>2</v>
      </c>
      <c r="AE4090" s="54" t="s">
        <v>2</v>
      </c>
      <c r="AF4090" s="54" t="s">
        <v>2</v>
      </c>
      <c r="AG4090" s="54" t="s">
        <v>2</v>
      </c>
    </row>
    <row r="4091" ht="15.75" customHeight="1">
      <c r="B4091" s="56"/>
      <c r="U4091" s="46" t="str">
        <f t="array" ref="U4091">IF($D4091="","",IFERROR(_xlfn.XLOOKUP($D4091,'TIR店舗一覧'!$D:$D,'TIR店舗一覧'!$E:$E,""),""))</f>
        <v/>
      </c>
      <c r="V4091" s="54" t="s">
        <v>2</v>
      </c>
      <c r="W4091" s="54" t="s">
        <v>2</v>
      </c>
      <c r="X4091" s="54" t="s">
        <v>2</v>
      </c>
      <c r="Y4091" s="54" t="s">
        <v>2</v>
      </c>
      <c r="Z4091" s="54" t="s">
        <v>2</v>
      </c>
      <c r="AA4091" s="54" t="s">
        <v>2</v>
      </c>
      <c r="AB4091" s="54" t="s">
        <v>2</v>
      </c>
      <c r="AC4091" s="54" t="s">
        <v>2</v>
      </c>
      <c r="AD4091" s="54" t="s">
        <v>2</v>
      </c>
      <c r="AE4091" s="54" t="s">
        <v>2</v>
      </c>
      <c r="AF4091" s="54" t="s">
        <v>2</v>
      </c>
      <c r="AG4091" s="54" t="s">
        <v>2</v>
      </c>
    </row>
    <row r="4092" ht="15.75" customHeight="1">
      <c r="B4092" s="56"/>
      <c r="U4092" s="46" t="str">
        <f t="array" ref="U4092">IF($D4092="","",IFERROR(_xlfn.XLOOKUP($D4092,'TIR店舗一覧'!$D:$D,'TIR店舗一覧'!$E:$E,""),""))</f>
        <v/>
      </c>
      <c r="V4092" s="54" t="s">
        <v>2</v>
      </c>
      <c r="W4092" s="54" t="s">
        <v>2</v>
      </c>
      <c r="X4092" s="54" t="s">
        <v>2</v>
      </c>
      <c r="Y4092" s="54" t="s">
        <v>2</v>
      </c>
      <c r="Z4092" s="54" t="s">
        <v>2</v>
      </c>
      <c r="AA4092" s="54" t="s">
        <v>2</v>
      </c>
      <c r="AB4092" s="54" t="s">
        <v>2</v>
      </c>
      <c r="AC4092" s="54" t="s">
        <v>2</v>
      </c>
      <c r="AD4092" s="54" t="s">
        <v>2</v>
      </c>
      <c r="AE4092" s="54" t="s">
        <v>2</v>
      </c>
      <c r="AF4092" s="54" t="s">
        <v>2</v>
      </c>
      <c r="AG4092" s="54" t="s">
        <v>2</v>
      </c>
    </row>
    <row r="4093" ht="15.75" customHeight="1">
      <c r="B4093" s="56"/>
      <c r="U4093" s="46" t="str">
        <f t="array" ref="U4093">IF($D4093="","",IFERROR(_xlfn.XLOOKUP($D4093,'TIR店舗一覧'!$D:$D,'TIR店舗一覧'!$E:$E,""),""))</f>
        <v/>
      </c>
      <c r="V4093" s="54" t="s">
        <v>2</v>
      </c>
      <c r="W4093" s="54" t="s">
        <v>2</v>
      </c>
      <c r="X4093" s="54" t="s">
        <v>2</v>
      </c>
      <c r="Y4093" s="54" t="s">
        <v>2</v>
      </c>
      <c r="Z4093" s="54" t="s">
        <v>2</v>
      </c>
      <c r="AA4093" s="54" t="s">
        <v>2</v>
      </c>
      <c r="AB4093" s="54" t="s">
        <v>2</v>
      </c>
      <c r="AC4093" s="54" t="s">
        <v>2</v>
      </c>
      <c r="AD4093" s="54" t="s">
        <v>2</v>
      </c>
      <c r="AE4093" s="54" t="s">
        <v>2</v>
      </c>
      <c r="AF4093" s="54" t="s">
        <v>2</v>
      </c>
      <c r="AG4093" s="54" t="s">
        <v>2</v>
      </c>
    </row>
    <row r="4094" ht="15.75" customHeight="1">
      <c r="B4094" s="56"/>
      <c r="U4094" s="46" t="str">
        <f t="array" ref="U4094">IF($D4094="","",IFERROR(_xlfn.XLOOKUP($D4094,'TIR店舗一覧'!$D:$D,'TIR店舗一覧'!$E:$E,""),""))</f>
        <v/>
      </c>
      <c r="V4094" s="54" t="s">
        <v>2</v>
      </c>
      <c r="W4094" s="54" t="s">
        <v>2</v>
      </c>
      <c r="X4094" s="54" t="s">
        <v>2</v>
      </c>
      <c r="Y4094" s="54" t="s">
        <v>2</v>
      </c>
      <c r="Z4094" s="54" t="s">
        <v>2</v>
      </c>
      <c r="AA4094" s="54" t="s">
        <v>2</v>
      </c>
      <c r="AB4094" s="54" t="s">
        <v>2</v>
      </c>
      <c r="AC4094" s="54" t="s">
        <v>2</v>
      </c>
      <c r="AD4094" s="54" t="s">
        <v>2</v>
      </c>
      <c r="AE4094" s="54" t="s">
        <v>2</v>
      </c>
      <c r="AF4094" s="54" t="s">
        <v>2</v>
      </c>
      <c r="AG4094" s="54" t="s">
        <v>2</v>
      </c>
    </row>
    <row r="4095" ht="15.75" customHeight="1">
      <c r="B4095" s="56"/>
      <c r="U4095" s="46" t="str">
        <f t="array" ref="U4095">IF($D4095="","",IFERROR(_xlfn.XLOOKUP($D4095,'TIR店舗一覧'!$D:$D,'TIR店舗一覧'!$E:$E,""),""))</f>
        <v/>
      </c>
      <c r="V4095" s="54" t="s">
        <v>2</v>
      </c>
      <c r="W4095" s="54" t="s">
        <v>2</v>
      </c>
      <c r="X4095" s="54" t="s">
        <v>2</v>
      </c>
      <c r="Y4095" s="54" t="s">
        <v>2</v>
      </c>
      <c r="Z4095" s="54" t="s">
        <v>2</v>
      </c>
      <c r="AA4095" s="54" t="s">
        <v>2</v>
      </c>
      <c r="AB4095" s="54" t="s">
        <v>2</v>
      </c>
      <c r="AC4095" s="54" t="s">
        <v>2</v>
      </c>
      <c r="AD4095" s="54" t="s">
        <v>2</v>
      </c>
      <c r="AE4095" s="54" t="s">
        <v>2</v>
      </c>
      <c r="AF4095" s="54" t="s">
        <v>2</v>
      </c>
      <c r="AG4095" s="54" t="s">
        <v>2</v>
      </c>
    </row>
    <row r="4096" ht="15.75" customHeight="1">
      <c r="B4096" s="56"/>
      <c r="U4096" s="46" t="str">
        <f t="array" ref="U4096">IF($D4096="","",IFERROR(_xlfn.XLOOKUP($D4096,'TIR店舗一覧'!$D:$D,'TIR店舗一覧'!$E:$E,""),""))</f>
        <v/>
      </c>
      <c r="V4096" s="54" t="s">
        <v>2</v>
      </c>
      <c r="W4096" s="54" t="s">
        <v>2</v>
      </c>
      <c r="X4096" s="54" t="s">
        <v>2</v>
      </c>
      <c r="Y4096" s="54" t="s">
        <v>2</v>
      </c>
      <c r="Z4096" s="54" t="s">
        <v>2</v>
      </c>
      <c r="AA4096" s="54" t="s">
        <v>2</v>
      </c>
      <c r="AB4096" s="54" t="s">
        <v>2</v>
      </c>
      <c r="AC4096" s="54" t="s">
        <v>2</v>
      </c>
      <c r="AD4096" s="54" t="s">
        <v>2</v>
      </c>
      <c r="AE4096" s="54" t="s">
        <v>2</v>
      </c>
      <c r="AF4096" s="54" t="s">
        <v>2</v>
      </c>
      <c r="AG4096" s="54" t="s">
        <v>2</v>
      </c>
    </row>
    <row r="4097" ht="15.75" customHeight="1">
      <c r="B4097" s="56"/>
      <c r="U4097" s="46" t="str">
        <f t="array" ref="U4097">IF($D4097="","",IFERROR(_xlfn.XLOOKUP($D4097,'TIR店舗一覧'!$D:$D,'TIR店舗一覧'!$E:$E,""),""))</f>
        <v/>
      </c>
      <c r="V4097" s="54" t="s">
        <v>2</v>
      </c>
      <c r="W4097" s="54" t="s">
        <v>2</v>
      </c>
      <c r="X4097" s="54" t="s">
        <v>2</v>
      </c>
      <c r="Y4097" s="54" t="s">
        <v>2</v>
      </c>
      <c r="Z4097" s="54" t="s">
        <v>2</v>
      </c>
      <c r="AA4097" s="54" t="s">
        <v>2</v>
      </c>
      <c r="AB4097" s="54" t="s">
        <v>2</v>
      </c>
      <c r="AC4097" s="54" t="s">
        <v>2</v>
      </c>
      <c r="AD4097" s="54" t="s">
        <v>2</v>
      </c>
      <c r="AE4097" s="54" t="s">
        <v>2</v>
      </c>
      <c r="AF4097" s="54" t="s">
        <v>2</v>
      </c>
      <c r="AG4097" s="54" t="s">
        <v>2</v>
      </c>
    </row>
    <row r="4098" ht="15.75" customHeight="1">
      <c r="B4098" s="56"/>
      <c r="U4098" s="46" t="str">
        <f t="array" ref="U4098">IF($D4098="","",IFERROR(_xlfn.XLOOKUP($D4098,'TIR店舗一覧'!$D:$D,'TIR店舗一覧'!$E:$E,""),""))</f>
        <v/>
      </c>
      <c r="V4098" s="54" t="s">
        <v>2</v>
      </c>
      <c r="W4098" s="54" t="s">
        <v>2</v>
      </c>
      <c r="X4098" s="54" t="s">
        <v>2</v>
      </c>
      <c r="Y4098" s="54" t="s">
        <v>2</v>
      </c>
      <c r="Z4098" s="54" t="s">
        <v>2</v>
      </c>
      <c r="AA4098" s="54" t="s">
        <v>2</v>
      </c>
      <c r="AB4098" s="54" t="s">
        <v>2</v>
      </c>
      <c r="AC4098" s="54" t="s">
        <v>2</v>
      </c>
      <c r="AD4098" s="54" t="s">
        <v>2</v>
      </c>
      <c r="AE4098" s="54" t="s">
        <v>2</v>
      </c>
      <c r="AF4098" s="54" t="s">
        <v>2</v>
      </c>
      <c r="AG4098" s="54" t="s">
        <v>2</v>
      </c>
    </row>
    <row r="4099" ht="15.75" customHeight="1">
      <c r="B4099" s="56"/>
      <c r="U4099" s="46" t="str">
        <f t="array" ref="U4099">IF($D4099="","",IFERROR(_xlfn.XLOOKUP($D4099,'TIR店舗一覧'!$D:$D,'TIR店舗一覧'!$E:$E,""),""))</f>
        <v/>
      </c>
      <c r="V4099" s="54" t="s">
        <v>2</v>
      </c>
      <c r="W4099" s="54" t="s">
        <v>2</v>
      </c>
      <c r="X4099" s="54" t="s">
        <v>2</v>
      </c>
      <c r="Y4099" s="54" t="s">
        <v>2</v>
      </c>
      <c r="Z4099" s="54" t="s">
        <v>2</v>
      </c>
      <c r="AA4099" s="54" t="s">
        <v>2</v>
      </c>
      <c r="AB4099" s="54" t="s">
        <v>2</v>
      </c>
      <c r="AC4099" s="54" t="s">
        <v>2</v>
      </c>
      <c r="AD4099" s="54" t="s">
        <v>2</v>
      </c>
      <c r="AE4099" s="54" t="s">
        <v>2</v>
      </c>
      <c r="AF4099" s="54" t="s">
        <v>2</v>
      </c>
      <c r="AG4099" s="54" t="s">
        <v>2</v>
      </c>
    </row>
    <row r="4100" ht="15.75" customHeight="1">
      <c r="B4100" s="56"/>
      <c r="U4100" s="46" t="str">
        <f t="array" ref="U4100">IF($D4100="","",IFERROR(_xlfn.XLOOKUP($D4100,'TIR店舗一覧'!$D:$D,'TIR店舗一覧'!$E:$E,""),""))</f>
        <v/>
      </c>
      <c r="V4100" s="54" t="s">
        <v>2</v>
      </c>
      <c r="W4100" s="54" t="s">
        <v>2</v>
      </c>
      <c r="X4100" s="54" t="s">
        <v>2</v>
      </c>
      <c r="Y4100" s="54" t="s">
        <v>2</v>
      </c>
      <c r="Z4100" s="54" t="s">
        <v>2</v>
      </c>
      <c r="AA4100" s="54" t="s">
        <v>2</v>
      </c>
      <c r="AB4100" s="54" t="s">
        <v>2</v>
      </c>
      <c r="AC4100" s="54" t="s">
        <v>2</v>
      </c>
      <c r="AD4100" s="54" t="s">
        <v>2</v>
      </c>
      <c r="AE4100" s="54" t="s">
        <v>2</v>
      </c>
      <c r="AF4100" s="54" t="s">
        <v>2</v>
      </c>
      <c r="AG4100" s="54" t="s">
        <v>2</v>
      </c>
    </row>
    <row r="4101" ht="15.75" customHeight="1">
      <c r="B4101" s="56"/>
      <c r="U4101" s="46" t="str">
        <f t="array" ref="U4101">IF($D4101="","",IFERROR(_xlfn.XLOOKUP($D4101,'TIR店舗一覧'!$D:$D,'TIR店舗一覧'!$E:$E,""),""))</f>
        <v/>
      </c>
      <c r="V4101" s="54" t="s">
        <v>2</v>
      </c>
      <c r="W4101" s="54" t="s">
        <v>2</v>
      </c>
      <c r="X4101" s="54" t="s">
        <v>2</v>
      </c>
      <c r="Y4101" s="54" t="s">
        <v>2</v>
      </c>
      <c r="Z4101" s="54" t="s">
        <v>2</v>
      </c>
      <c r="AA4101" s="54" t="s">
        <v>2</v>
      </c>
      <c r="AB4101" s="54" t="s">
        <v>2</v>
      </c>
      <c r="AC4101" s="54" t="s">
        <v>2</v>
      </c>
      <c r="AD4101" s="54" t="s">
        <v>2</v>
      </c>
      <c r="AE4101" s="54" t="s">
        <v>2</v>
      </c>
      <c r="AF4101" s="54" t="s">
        <v>2</v>
      </c>
      <c r="AG4101" s="54" t="s">
        <v>2</v>
      </c>
    </row>
    <row r="4102" ht="15.75" customHeight="1">
      <c r="B4102" s="56"/>
      <c r="U4102" s="46" t="str">
        <f t="array" ref="U4102">IF($D4102="","",IFERROR(_xlfn.XLOOKUP($D4102,'TIR店舗一覧'!$D:$D,'TIR店舗一覧'!$E:$E,""),""))</f>
        <v/>
      </c>
      <c r="V4102" s="54" t="s">
        <v>2</v>
      </c>
      <c r="W4102" s="54" t="s">
        <v>2</v>
      </c>
      <c r="X4102" s="54" t="s">
        <v>2</v>
      </c>
      <c r="Y4102" s="54" t="s">
        <v>2</v>
      </c>
      <c r="Z4102" s="54" t="s">
        <v>2</v>
      </c>
      <c r="AA4102" s="54" t="s">
        <v>2</v>
      </c>
      <c r="AB4102" s="54" t="s">
        <v>2</v>
      </c>
      <c r="AC4102" s="54" t="s">
        <v>2</v>
      </c>
      <c r="AD4102" s="54" t="s">
        <v>2</v>
      </c>
      <c r="AE4102" s="54" t="s">
        <v>2</v>
      </c>
      <c r="AF4102" s="54" t="s">
        <v>2</v>
      </c>
      <c r="AG4102" s="54" t="s">
        <v>2</v>
      </c>
    </row>
    <row r="4103" ht="15.75" customHeight="1">
      <c r="B4103" s="56"/>
      <c r="U4103" s="46" t="str">
        <f t="array" ref="U4103">IF($D4103="","",IFERROR(_xlfn.XLOOKUP($D4103,'TIR店舗一覧'!$D:$D,'TIR店舗一覧'!$E:$E,""),""))</f>
        <v/>
      </c>
      <c r="V4103" s="54" t="s">
        <v>2</v>
      </c>
      <c r="W4103" s="54" t="s">
        <v>2</v>
      </c>
      <c r="X4103" s="54" t="s">
        <v>2</v>
      </c>
      <c r="Y4103" s="54" t="s">
        <v>2</v>
      </c>
      <c r="Z4103" s="54" t="s">
        <v>2</v>
      </c>
      <c r="AA4103" s="54" t="s">
        <v>2</v>
      </c>
      <c r="AB4103" s="54" t="s">
        <v>2</v>
      </c>
      <c r="AC4103" s="54" t="s">
        <v>2</v>
      </c>
      <c r="AD4103" s="54" t="s">
        <v>2</v>
      </c>
      <c r="AE4103" s="54" t="s">
        <v>2</v>
      </c>
      <c r="AF4103" s="54" t="s">
        <v>2</v>
      </c>
      <c r="AG4103" s="54" t="s">
        <v>2</v>
      </c>
    </row>
    <row r="4104" ht="15.75" customHeight="1">
      <c r="B4104" s="56"/>
      <c r="U4104" s="46" t="str">
        <f t="array" ref="U4104">IF($D4104="","",IFERROR(_xlfn.XLOOKUP($D4104,'TIR店舗一覧'!$D:$D,'TIR店舗一覧'!$E:$E,""),""))</f>
        <v/>
      </c>
      <c r="V4104" s="54" t="s">
        <v>2</v>
      </c>
      <c r="W4104" s="54" t="s">
        <v>2</v>
      </c>
      <c r="X4104" s="54" t="s">
        <v>2</v>
      </c>
      <c r="Y4104" s="54" t="s">
        <v>2</v>
      </c>
      <c r="Z4104" s="54" t="s">
        <v>2</v>
      </c>
      <c r="AA4104" s="54" t="s">
        <v>2</v>
      </c>
      <c r="AB4104" s="54" t="s">
        <v>2</v>
      </c>
      <c r="AC4104" s="54" t="s">
        <v>2</v>
      </c>
      <c r="AD4104" s="54" t="s">
        <v>2</v>
      </c>
      <c r="AE4104" s="54" t="s">
        <v>2</v>
      </c>
      <c r="AF4104" s="54" t="s">
        <v>2</v>
      </c>
      <c r="AG4104" s="54" t="s">
        <v>2</v>
      </c>
    </row>
    <row r="4105" ht="15.75" customHeight="1">
      <c r="B4105" s="56"/>
      <c r="U4105" s="46" t="str">
        <f t="array" ref="U4105">IF($D4105="","",IFERROR(_xlfn.XLOOKUP($D4105,'TIR店舗一覧'!$D:$D,'TIR店舗一覧'!$E:$E,""),""))</f>
        <v/>
      </c>
      <c r="V4105" s="54" t="s">
        <v>2</v>
      </c>
      <c r="W4105" s="54" t="s">
        <v>2</v>
      </c>
      <c r="X4105" s="54" t="s">
        <v>2</v>
      </c>
      <c r="Y4105" s="54" t="s">
        <v>2</v>
      </c>
      <c r="Z4105" s="54" t="s">
        <v>2</v>
      </c>
      <c r="AA4105" s="54" t="s">
        <v>2</v>
      </c>
      <c r="AB4105" s="54" t="s">
        <v>2</v>
      </c>
      <c r="AC4105" s="54" t="s">
        <v>2</v>
      </c>
      <c r="AD4105" s="54" t="s">
        <v>2</v>
      </c>
      <c r="AE4105" s="54" t="s">
        <v>2</v>
      </c>
      <c r="AF4105" s="54" t="s">
        <v>2</v>
      </c>
      <c r="AG4105" s="54" t="s">
        <v>2</v>
      </c>
    </row>
    <row r="4106" ht="15.75" customHeight="1">
      <c r="B4106" s="56"/>
      <c r="U4106" s="46" t="str">
        <f t="array" ref="U4106">IF($D4106="","",IFERROR(_xlfn.XLOOKUP($D4106,'TIR店舗一覧'!$D:$D,'TIR店舗一覧'!$E:$E,""),""))</f>
        <v/>
      </c>
      <c r="V4106" s="54" t="s">
        <v>2</v>
      </c>
      <c r="W4106" s="54" t="s">
        <v>2</v>
      </c>
      <c r="X4106" s="54" t="s">
        <v>2</v>
      </c>
      <c r="Y4106" s="54" t="s">
        <v>2</v>
      </c>
      <c r="Z4106" s="54" t="s">
        <v>2</v>
      </c>
      <c r="AA4106" s="54" t="s">
        <v>2</v>
      </c>
      <c r="AB4106" s="54" t="s">
        <v>2</v>
      </c>
      <c r="AC4106" s="54" t="s">
        <v>2</v>
      </c>
      <c r="AD4106" s="54" t="s">
        <v>2</v>
      </c>
      <c r="AE4106" s="54" t="s">
        <v>2</v>
      </c>
      <c r="AF4106" s="54" t="s">
        <v>2</v>
      </c>
      <c r="AG4106" s="54" t="s">
        <v>2</v>
      </c>
    </row>
    <row r="4107" ht="15.75" customHeight="1">
      <c r="B4107" s="56"/>
      <c r="U4107" s="46" t="str">
        <f t="array" ref="U4107">IF($D4107="","",IFERROR(_xlfn.XLOOKUP($D4107,'TIR店舗一覧'!$D:$D,'TIR店舗一覧'!$E:$E,""),""))</f>
        <v/>
      </c>
      <c r="V4107" s="54" t="s">
        <v>2</v>
      </c>
      <c r="W4107" s="54" t="s">
        <v>2</v>
      </c>
      <c r="X4107" s="54" t="s">
        <v>2</v>
      </c>
      <c r="Y4107" s="54" t="s">
        <v>2</v>
      </c>
      <c r="Z4107" s="54" t="s">
        <v>2</v>
      </c>
      <c r="AA4107" s="54" t="s">
        <v>2</v>
      </c>
      <c r="AB4107" s="54" t="s">
        <v>2</v>
      </c>
      <c r="AC4107" s="54" t="s">
        <v>2</v>
      </c>
      <c r="AD4107" s="54" t="s">
        <v>2</v>
      </c>
      <c r="AE4107" s="54" t="s">
        <v>2</v>
      </c>
      <c r="AF4107" s="54" t="s">
        <v>2</v>
      </c>
      <c r="AG4107" s="54" t="s">
        <v>2</v>
      </c>
    </row>
    <row r="4108" ht="15.75" customHeight="1">
      <c r="B4108" s="56"/>
      <c r="U4108" s="46" t="str">
        <f t="array" ref="U4108">IF($D4108="","",IFERROR(_xlfn.XLOOKUP($D4108,'TIR店舗一覧'!$D:$D,'TIR店舗一覧'!$E:$E,""),""))</f>
        <v/>
      </c>
      <c r="V4108" s="54" t="s">
        <v>2</v>
      </c>
      <c r="W4108" s="54" t="s">
        <v>2</v>
      </c>
      <c r="X4108" s="54" t="s">
        <v>2</v>
      </c>
      <c r="Y4108" s="54" t="s">
        <v>2</v>
      </c>
      <c r="Z4108" s="54" t="s">
        <v>2</v>
      </c>
      <c r="AA4108" s="54" t="s">
        <v>2</v>
      </c>
      <c r="AB4108" s="54" t="s">
        <v>2</v>
      </c>
      <c r="AC4108" s="54" t="s">
        <v>2</v>
      </c>
      <c r="AD4108" s="54" t="s">
        <v>2</v>
      </c>
      <c r="AE4108" s="54" t="s">
        <v>2</v>
      </c>
      <c r="AF4108" s="54" t="s">
        <v>2</v>
      </c>
      <c r="AG4108" s="54" t="s">
        <v>2</v>
      </c>
    </row>
    <row r="4109" ht="15.75" customHeight="1">
      <c r="B4109" s="56"/>
      <c r="U4109" s="46" t="str">
        <f t="array" ref="U4109">IF($D4109="","",IFERROR(_xlfn.XLOOKUP($D4109,'TIR店舗一覧'!$D:$D,'TIR店舗一覧'!$E:$E,""),""))</f>
        <v/>
      </c>
      <c r="V4109" s="54" t="s">
        <v>2</v>
      </c>
      <c r="W4109" s="54" t="s">
        <v>2</v>
      </c>
      <c r="X4109" s="54" t="s">
        <v>2</v>
      </c>
      <c r="Y4109" s="54" t="s">
        <v>2</v>
      </c>
      <c r="Z4109" s="54" t="s">
        <v>2</v>
      </c>
      <c r="AA4109" s="54" t="s">
        <v>2</v>
      </c>
      <c r="AB4109" s="54" t="s">
        <v>2</v>
      </c>
      <c r="AC4109" s="54" t="s">
        <v>2</v>
      </c>
      <c r="AD4109" s="54" t="s">
        <v>2</v>
      </c>
      <c r="AE4109" s="54" t="s">
        <v>2</v>
      </c>
      <c r="AF4109" s="54" t="s">
        <v>2</v>
      </c>
      <c r="AG4109" s="54" t="s">
        <v>2</v>
      </c>
    </row>
    <row r="4110" ht="15.75" customHeight="1">
      <c r="B4110" s="56"/>
      <c r="U4110" s="46" t="str">
        <f t="array" ref="U4110">IF($D4110="","",IFERROR(_xlfn.XLOOKUP($D4110,'TIR店舗一覧'!$D:$D,'TIR店舗一覧'!$E:$E,""),""))</f>
        <v/>
      </c>
      <c r="V4110" s="54" t="s">
        <v>2</v>
      </c>
      <c r="W4110" s="54" t="s">
        <v>2</v>
      </c>
      <c r="X4110" s="54" t="s">
        <v>2</v>
      </c>
      <c r="Y4110" s="54" t="s">
        <v>2</v>
      </c>
      <c r="Z4110" s="54" t="s">
        <v>2</v>
      </c>
      <c r="AA4110" s="54" t="s">
        <v>2</v>
      </c>
      <c r="AB4110" s="54" t="s">
        <v>2</v>
      </c>
      <c r="AC4110" s="54" t="s">
        <v>2</v>
      </c>
      <c r="AD4110" s="54" t="s">
        <v>2</v>
      </c>
      <c r="AE4110" s="54" t="s">
        <v>2</v>
      </c>
      <c r="AF4110" s="54" t="s">
        <v>2</v>
      </c>
      <c r="AG4110" s="54" t="s">
        <v>2</v>
      </c>
    </row>
    <row r="4111" ht="15.75" customHeight="1">
      <c r="B4111" s="56"/>
      <c r="U4111" s="46" t="str">
        <f t="array" ref="U4111">IF($D4111="","",IFERROR(_xlfn.XLOOKUP($D4111,'TIR店舗一覧'!$D:$D,'TIR店舗一覧'!$E:$E,""),""))</f>
        <v/>
      </c>
      <c r="V4111" s="54" t="s">
        <v>2</v>
      </c>
      <c r="W4111" s="54" t="s">
        <v>2</v>
      </c>
      <c r="X4111" s="54" t="s">
        <v>2</v>
      </c>
      <c r="Y4111" s="54" t="s">
        <v>2</v>
      </c>
      <c r="Z4111" s="54" t="s">
        <v>2</v>
      </c>
      <c r="AA4111" s="54" t="s">
        <v>2</v>
      </c>
      <c r="AB4111" s="54" t="s">
        <v>2</v>
      </c>
      <c r="AC4111" s="54" t="s">
        <v>2</v>
      </c>
      <c r="AD4111" s="54" t="s">
        <v>2</v>
      </c>
      <c r="AE4111" s="54" t="s">
        <v>2</v>
      </c>
      <c r="AF4111" s="54" t="s">
        <v>2</v>
      </c>
      <c r="AG4111" s="54" t="s">
        <v>2</v>
      </c>
    </row>
    <row r="4112" ht="15.75" customHeight="1">
      <c r="B4112" s="56"/>
      <c r="U4112" s="46" t="str">
        <f t="array" ref="U4112">IF($D4112="","",IFERROR(_xlfn.XLOOKUP($D4112,'TIR店舗一覧'!$D:$D,'TIR店舗一覧'!$E:$E,""),""))</f>
        <v/>
      </c>
      <c r="V4112" s="54" t="s">
        <v>2</v>
      </c>
      <c r="W4112" s="54" t="s">
        <v>2</v>
      </c>
      <c r="X4112" s="54" t="s">
        <v>2</v>
      </c>
      <c r="Y4112" s="54" t="s">
        <v>2</v>
      </c>
      <c r="Z4112" s="54" t="s">
        <v>2</v>
      </c>
      <c r="AA4112" s="54" t="s">
        <v>2</v>
      </c>
      <c r="AB4112" s="54" t="s">
        <v>2</v>
      </c>
      <c r="AC4112" s="54" t="s">
        <v>2</v>
      </c>
      <c r="AD4112" s="54" t="s">
        <v>2</v>
      </c>
      <c r="AE4112" s="54" t="s">
        <v>2</v>
      </c>
      <c r="AF4112" s="54" t="s">
        <v>2</v>
      </c>
      <c r="AG4112" s="54" t="s">
        <v>2</v>
      </c>
    </row>
    <row r="4113" ht="15.75" customHeight="1">
      <c r="B4113" s="56"/>
      <c r="U4113" s="46" t="str">
        <f t="array" ref="U4113">IF($D4113="","",IFERROR(_xlfn.XLOOKUP($D4113,'TIR店舗一覧'!$D:$D,'TIR店舗一覧'!$E:$E,""),""))</f>
        <v/>
      </c>
      <c r="V4113" s="54" t="s">
        <v>2</v>
      </c>
      <c r="W4113" s="54" t="s">
        <v>2</v>
      </c>
      <c r="X4113" s="54" t="s">
        <v>2</v>
      </c>
      <c r="Y4113" s="54" t="s">
        <v>2</v>
      </c>
      <c r="Z4113" s="54" t="s">
        <v>2</v>
      </c>
      <c r="AA4113" s="54" t="s">
        <v>2</v>
      </c>
      <c r="AB4113" s="54" t="s">
        <v>2</v>
      </c>
      <c r="AC4113" s="54" t="s">
        <v>2</v>
      </c>
      <c r="AD4113" s="54" t="s">
        <v>2</v>
      </c>
      <c r="AE4113" s="54" t="s">
        <v>2</v>
      </c>
      <c r="AF4113" s="54" t="s">
        <v>2</v>
      </c>
      <c r="AG4113" s="54" t="s">
        <v>2</v>
      </c>
    </row>
    <row r="4114" ht="15.75" customHeight="1">
      <c r="B4114" s="56"/>
      <c r="U4114" s="46" t="str">
        <f t="array" ref="U4114">IF($D4114="","",IFERROR(_xlfn.XLOOKUP($D4114,'TIR店舗一覧'!$D:$D,'TIR店舗一覧'!$E:$E,""),""))</f>
        <v/>
      </c>
      <c r="V4114" s="54" t="s">
        <v>2</v>
      </c>
      <c r="W4114" s="54" t="s">
        <v>2</v>
      </c>
      <c r="X4114" s="54" t="s">
        <v>2</v>
      </c>
      <c r="Y4114" s="54" t="s">
        <v>2</v>
      </c>
      <c r="Z4114" s="54" t="s">
        <v>2</v>
      </c>
      <c r="AA4114" s="54" t="s">
        <v>2</v>
      </c>
      <c r="AB4114" s="54" t="s">
        <v>2</v>
      </c>
      <c r="AC4114" s="54" t="s">
        <v>2</v>
      </c>
      <c r="AD4114" s="54" t="s">
        <v>2</v>
      </c>
      <c r="AE4114" s="54" t="s">
        <v>2</v>
      </c>
      <c r="AF4114" s="54" t="s">
        <v>2</v>
      </c>
      <c r="AG4114" s="54" t="s">
        <v>2</v>
      </c>
    </row>
    <row r="4115" ht="15.75" customHeight="1">
      <c r="B4115" s="56"/>
      <c r="U4115" s="46" t="str">
        <f t="array" ref="U4115">IF($D4115="","",IFERROR(_xlfn.XLOOKUP($D4115,'TIR店舗一覧'!$D:$D,'TIR店舗一覧'!$E:$E,""),""))</f>
        <v/>
      </c>
      <c r="V4115" s="54" t="s">
        <v>2</v>
      </c>
      <c r="W4115" s="54" t="s">
        <v>2</v>
      </c>
      <c r="X4115" s="54" t="s">
        <v>2</v>
      </c>
      <c r="Y4115" s="54" t="s">
        <v>2</v>
      </c>
      <c r="Z4115" s="54" t="s">
        <v>2</v>
      </c>
      <c r="AA4115" s="54" t="s">
        <v>2</v>
      </c>
      <c r="AB4115" s="54" t="s">
        <v>2</v>
      </c>
      <c r="AC4115" s="54" t="s">
        <v>2</v>
      </c>
      <c r="AD4115" s="54" t="s">
        <v>2</v>
      </c>
      <c r="AE4115" s="54" t="s">
        <v>2</v>
      </c>
      <c r="AF4115" s="54" t="s">
        <v>2</v>
      </c>
      <c r="AG4115" s="54" t="s">
        <v>2</v>
      </c>
    </row>
    <row r="4116" ht="15.75" customHeight="1">
      <c r="B4116" s="56"/>
      <c r="U4116" s="46" t="str">
        <f t="array" ref="U4116">IF($D4116="","",IFERROR(_xlfn.XLOOKUP($D4116,'TIR店舗一覧'!$D:$D,'TIR店舗一覧'!$E:$E,""),""))</f>
        <v/>
      </c>
      <c r="V4116" s="54" t="s">
        <v>2</v>
      </c>
      <c r="W4116" s="54" t="s">
        <v>2</v>
      </c>
      <c r="X4116" s="54" t="s">
        <v>2</v>
      </c>
      <c r="Y4116" s="54" t="s">
        <v>2</v>
      </c>
      <c r="Z4116" s="54" t="s">
        <v>2</v>
      </c>
      <c r="AA4116" s="54" t="s">
        <v>2</v>
      </c>
      <c r="AB4116" s="54" t="s">
        <v>2</v>
      </c>
      <c r="AC4116" s="54" t="s">
        <v>2</v>
      </c>
      <c r="AD4116" s="54" t="s">
        <v>2</v>
      </c>
      <c r="AE4116" s="54" t="s">
        <v>2</v>
      </c>
      <c r="AF4116" s="54" t="s">
        <v>2</v>
      </c>
      <c r="AG4116" s="54" t="s">
        <v>2</v>
      </c>
    </row>
    <row r="4117" ht="15.75" customHeight="1">
      <c r="B4117" s="56"/>
      <c r="U4117" s="46" t="str">
        <f t="array" ref="U4117">IF($D4117="","",IFERROR(_xlfn.XLOOKUP($D4117,'TIR店舗一覧'!$D:$D,'TIR店舗一覧'!$E:$E,""),""))</f>
        <v/>
      </c>
      <c r="V4117" s="54" t="s">
        <v>2</v>
      </c>
      <c r="W4117" s="54" t="s">
        <v>2</v>
      </c>
      <c r="X4117" s="54" t="s">
        <v>2</v>
      </c>
      <c r="Y4117" s="54" t="s">
        <v>2</v>
      </c>
      <c r="Z4117" s="54" t="s">
        <v>2</v>
      </c>
      <c r="AA4117" s="54" t="s">
        <v>2</v>
      </c>
      <c r="AB4117" s="54" t="s">
        <v>2</v>
      </c>
      <c r="AC4117" s="54" t="s">
        <v>2</v>
      </c>
      <c r="AD4117" s="54" t="s">
        <v>2</v>
      </c>
      <c r="AE4117" s="54" t="s">
        <v>2</v>
      </c>
      <c r="AF4117" s="54" t="s">
        <v>2</v>
      </c>
      <c r="AG4117" s="54" t="s">
        <v>2</v>
      </c>
    </row>
    <row r="4118" ht="15.75" customHeight="1">
      <c r="B4118" s="56"/>
      <c r="U4118" s="46" t="str">
        <f t="array" ref="U4118">IF($D4118="","",IFERROR(_xlfn.XLOOKUP($D4118,'TIR店舗一覧'!$D:$D,'TIR店舗一覧'!$E:$E,""),""))</f>
        <v/>
      </c>
      <c r="V4118" s="54" t="s">
        <v>2</v>
      </c>
      <c r="W4118" s="54" t="s">
        <v>2</v>
      </c>
      <c r="X4118" s="54" t="s">
        <v>2</v>
      </c>
      <c r="Y4118" s="54" t="s">
        <v>2</v>
      </c>
      <c r="Z4118" s="54" t="s">
        <v>2</v>
      </c>
      <c r="AA4118" s="54" t="s">
        <v>2</v>
      </c>
      <c r="AB4118" s="54" t="s">
        <v>2</v>
      </c>
      <c r="AC4118" s="54" t="s">
        <v>2</v>
      </c>
      <c r="AD4118" s="54" t="s">
        <v>2</v>
      </c>
      <c r="AE4118" s="54" t="s">
        <v>2</v>
      </c>
      <c r="AF4118" s="54" t="s">
        <v>2</v>
      </c>
      <c r="AG4118" s="54" t="s">
        <v>2</v>
      </c>
    </row>
    <row r="4119" ht="15.75" customHeight="1">
      <c r="B4119" s="56"/>
      <c r="U4119" s="46" t="str">
        <f t="array" ref="U4119">IF($D4119="","",IFERROR(_xlfn.XLOOKUP($D4119,'TIR店舗一覧'!$D:$D,'TIR店舗一覧'!$E:$E,""),""))</f>
        <v/>
      </c>
      <c r="V4119" s="54" t="s">
        <v>2</v>
      </c>
      <c r="W4119" s="54" t="s">
        <v>2</v>
      </c>
      <c r="X4119" s="54" t="s">
        <v>2</v>
      </c>
      <c r="Y4119" s="54" t="s">
        <v>2</v>
      </c>
      <c r="Z4119" s="54" t="s">
        <v>2</v>
      </c>
      <c r="AA4119" s="54" t="s">
        <v>2</v>
      </c>
      <c r="AB4119" s="54" t="s">
        <v>2</v>
      </c>
      <c r="AC4119" s="54" t="s">
        <v>2</v>
      </c>
      <c r="AD4119" s="54" t="s">
        <v>2</v>
      </c>
      <c r="AE4119" s="54" t="s">
        <v>2</v>
      </c>
      <c r="AF4119" s="54" t="s">
        <v>2</v>
      </c>
      <c r="AG4119" s="54" t="s">
        <v>2</v>
      </c>
    </row>
    <row r="4120" ht="15.75" customHeight="1">
      <c r="B4120" s="56"/>
      <c r="U4120" s="46" t="str">
        <f t="array" ref="U4120">IF($D4120="","",IFERROR(_xlfn.XLOOKUP($D4120,'TIR店舗一覧'!$D:$D,'TIR店舗一覧'!$E:$E,""),""))</f>
        <v/>
      </c>
      <c r="V4120" s="54" t="s">
        <v>2</v>
      </c>
      <c r="W4120" s="54" t="s">
        <v>2</v>
      </c>
      <c r="X4120" s="54" t="s">
        <v>2</v>
      </c>
      <c r="Y4120" s="54" t="s">
        <v>2</v>
      </c>
      <c r="Z4120" s="54" t="s">
        <v>2</v>
      </c>
      <c r="AA4120" s="54" t="s">
        <v>2</v>
      </c>
      <c r="AB4120" s="54" t="s">
        <v>2</v>
      </c>
      <c r="AC4120" s="54" t="s">
        <v>2</v>
      </c>
      <c r="AD4120" s="54" t="s">
        <v>2</v>
      </c>
      <c r="AE4120" s="54" t="s">
        <v>2</v>
      </c>
      <c r="AF4120" s="54" t="s">
        <v>2</v>
      </c>
      <c r="AG4120" s="54" t="s">
        <v>2</v>
      </c>
    </row>
    <row r="4121" ht="15.75" customHeight="1">
      <c r="B4121" s="56"/>
      <c r="U4121" s="46" t="str">
        <f t="array" ref="U4121">IF($D4121="","",IFERROR(_xlfn.XLOOKUP($D4121,'TIR店舗一覧'!$D:$D,'TIR店舗一覧'!$E:$E,""),""))</f>
        <v/>
      </c>
      <c r="V4121" s="54" t="s">
        <v>2</v>
      </c>
      <c r="W4121" s="54" t="s">
        <v>2</v>
      </c>
      <c r="X4121" s="54" t="s">
        <v>2</v>
      </c>
      <c r="Y4121" s="54" t="s">
        <v>2</v>
      </c>
      <c r="Z4121" s="54" t="s">
        <v>2</v>
      </c>
      <c r="AA4121" s="54" t="s">
        <v>2</v>
      </c>
      <c r="AB4121" s="54" t="s">
        <v>2</v>
      </c>
      <c r="AC4121" s="54" t="s">
        <v>2</v>
      </c>
      <c r="AD4121" s="54" t="s">
        <v>2</v>
      </c>
      <c r="AE4121" s="54" t="s">
        <v>2</v>
      </c>
      <c r="AF4121" s="54" t="s">
        <v>2</v>
      </c>
      <c r="AG4121" s="54" t="s">
        <v>2</v>
      </c>
    </row>
    <row r="4122" ht="15.75" customHeight="1">
      <c r="B4122" s="56"/>
      <c r="U4122" s="46" t="str">
        <f t="array" ref="U4122">IF($D4122="","",IFERROR(_xlfn.XLOOKUP($D4122,'TIR店舗一覧'!$D:$D,'TIR店舗一覧'!$E:$E,""),""))</f>
        <v/>
      </c>
      <c r="V4122" s="54" t="s">
        <v>2</v>
      </c>
      <c r="W4122" s="54" t="s">
        <v>2</v>
      </c>
      <c r="X4122" s="54" t="s">
        <v>2</v>
      </c>
      <c r="Y4122" s="54" t="s">
        <v>2</v>
      </c>
      <c r="Z4122" s="54" t="s">
        <v>2</v>
      </c>
      <c r="AA4122" s="54" t="s">
        <v>2</v>
      </c>
      <c r="AB4122" s="54" t="s">
        <v>2</v>
      </c>
      <c r="AC4122" s="54" t="s">
        <v>2</v>
      </c>
      <c r="AD4122" s="54" t="s">
        <v>2</v>
      </c>
      <c r="AE4122" s="54" t="s">
        <v>2</v>
      </c>
      <c r="AF4122" s="54" t="s">
        <v>2</v>
      </c>
      <c r="AG4122" s="54" t="s">
        <v>2</v>
      </c>
    </row>
    <row r="4123" ht="15.75" customHeight="1">
      <c r="B4123" s="56"/>
      <c r="U4123" s="46" t="str">
        <f t="array" ref="U4123">IF($D4123="","",IFERROR(_xlfn.XLOOKUP($D4123,'TIR店舗一覧'!$D:$D,'TIR店舗一覧'!$E:$E,""),""))</f>
        <v/>
      </c>
      <c r="V4123" s="54" t="s">
        <v>2</v>
      </c>
      <c r="W4123" s="54" t="s">
        <v>2</v>
      </c>
      <c r="X4123" s="54" t="s">
        <v>2</v>
      </c>
      <c r="Y4123" s="54" t="s">
        <v>2</v>
      </c>
      <c r="Z4123" s="54" t="s">
        <v>2</v>
      </c>
      <c r="AA4123" s="54" t="s">
        <v>2</v>
      </c>
      <c r="AB4123" s="54" t="s">
        <v>2</v>
      </c>
      <c r="AC4123" s="54" t="s">
        <v>2</v>
      </c>
      <c r="AD4123" s="54" t="s">
        <v>2</v>
      </c>
      <c r="AE4123" s="54" t="s">
        <v>2</v>
      </c>
      <c r="AF4123" s="54" t="s">
        <v>2</v>
      </c>
      <c r="AG4123" s="54" t="s">
        <v>2</v>
      </c>
    </row>
    <row r="4124" ht="15.75" customHeight="1">
      <c r="B4124" s="56"/>
      <c r="U4124" s="46" t="str">
        <f t="array" ref="U4124">IF($D4124="","",IFERROR(_xlfn.XLOOKUP($D4124,'TIR店舗一覧'!$D:$D,'TIR店舗一覧'!$E:$E,""),""))</f>
        <v/>
      </c>
      <c r="V4124" s="54" t="s">
        <v>2</v>
      </c>
      <c r="W4124" s="54" t="s">
        <v>2</v>
      </c>
      <c r="X4124" s="54" t="s">
        <v>2</v>
      </c>
      <c r="Y4124" s="54" t="s">
        <v>2</v>
      </c>
      <c r="Z4124" s="54" t="s">
        <v>2</v>
      </c>
      <c r="AA4124" s="54" t="s">
        <v>2</v>
      </c>
      <c r="AB4124" s="54" t="s">
        <v>2</v>
      </c>
      <c r="AC4124" s="54" t="s">
        <v>2</v>
      </c>
      <c r="AD4124" s="54" t="s">
        <v>2</v>
      </c>
      <c r="AE4124" s="54" t="s">
        <v>2</v>
      </c>
      <c r="AF4124" s="54" t="s">
        <v>2</v>
      </c>
      <c r="AG4124" s="54" t="s">
        <v>2</v>
      </c>
    </row>
    <row r="4125" ht="15.75" customHeight="1">
      <c r="B4125" s="56"/>
      <c r="U4125" s="46" t="str">
        <f t="array" ref="U4125">IF($D4125="","",IFERROR(_xlfn.XLOOKUP($D4125,'TIR店舗一覧'!$D:$D,'TIR店舗一覧'!$E:$E,""),""))</f>
        <v/>
      </c>
      <c r="V4125" s="54" t="s">
        <v>2</v>
      </c>
      <c r="W4125" s="54" t="s">
        <v>2</v>
      </c>
      <c r="X4125" s="54" t="s">
        <v>2</v>
      </c>
      <c r="Y4125" s="54" t="s">
        <v>2</v>
      </c>
      <c r="Z4125" s="54" t="s">
        <v>2</v>
      </c>
      <c r="AA4125" s="54" t="s">
        <v>2</v>
      </c>
      <c r="AB4125" s="54" t="s">
        <v>2</v>
      </c>
      <c r="AC4125" s="54" t="s">
        <v>2</v>
      </c>
      <c r="AD4125" s="54" t="s">
        <v>2</v>
      </c>
      <c r="AE4125" s="54" t="s">
        <v>2</v>
      </c>
      <c r="AF4125" s="54" t="s">
        <v>2</v>
      </c>
      <c r="AG4125" s="54" t="s">
        <v>2</v>
      </c>
    </row>
    <row r="4126" ht="15.75" customHeight="1">
      <c r="B4126" s="56"/>
      <c r="U4126" s="46" t="str">
        <f t="array" ref="U4126">IF($D4126="","",IFERROR(_xlfn.XLOOKUP($D4126,'TIR店舗一覧'!$D:$D,'TIR店舗一覧'!$E:$E,""),""))</f>
        <v/>
      </c>
      <c r="V4126" s="54" t="s">
        <v>2</v>
      </c>
      <c r="W4126" s="54" t="s">
        <v>2</v>
      </c>
      <c r="X4126" s="54" t="s">
        <v>2</v>
      </c>
      <c r="Y4126" s="54" t="s">
        <v>2</v>
      </c>
      <c r="Z4126" s="54" t="s">
        <v>2</v>
      </c>
      <c r="AA4126" s="54" t="s">
        <v>2</v>
      </c>
      <c r="AB4126" s="54" t="s">
        <v>2</v>
      </c>
      <c r="AC4126" s="54" t="s">
        <v>2</v>
      </c>
      <c r="AD4126" s="54" t="s">
        <v>2</v>
      </c>
      <c r="AE4126" s="54" t="s">
        <v>2</v>
      </c>
      <c r="AF4126" s="54" t="s">
        <v>2</v>
      </c>
      <c r="AG4126" s="54" t="s">
        <v>2</v>
      </c>
    </row>
    <row r="4127" ht="15.75" customHeight="1">
      <c r="B4127" s="56"/>
      <c r="U4127" s="46" t="str">
        <f t="array" ref="U4127">IF($D4127="","",IFERROR(_xlfn.XLOOKUP($D4127,'TIR店舗一覧'!$D:$D,'TIR店舗一覧'!$E:$E,""),""))</f>
        <v/>
      </c>
      <c r="V4127" s="54" t="s">
        <v>2</v>
      </c>
      <c r="W4127" s="54" t="s">
        <v>2</v>
      </c>
      <c r="X4127" s="54" t="s">
        <v>2</v>
      </c>
      <c r="Y4127" s="54" t="s">
        <v>2</v>
      </c>
      <c r="Z4127" s="54" t="s">
        <v>2</v>
      </c>
      <c r="AA4127" s="54" t="s">
        <v>2</v>
      </c>
      <c r="AB4127" s="54" t="s">
        <v>2</v>
      </c>
      <c r="AC4127" s="54" t="s">
        <v>2</v>
      </c>
      <c r="AD4127" s="54" t="s">
        <v>2</v>
      </c>
      <c r="AE4127" s="54" t="s">
        <v>2</v>
      </c>
      <c r="AF4127" s="54" t="s">
        <v>2</v>
      </c>
      <c r="AG4127" s="54" t="s">
        <v>2</v>
      </c>
    </row>
    <row r="4128" ht="15.75" customHeight="1">
      <c r="B4128" s="56"/>
      <c r="U4128" s="46" t="str">
        <f t="array" ref="U4128">IF($D4128="","",IFERROR(_xlfn.XLOOKUP($D4128,'TIR店舗一覧'!$D:$D,'TIR店舗一覧'!$E:$E,""),""))</f>
        <v/>
      </c>
      <c r="V4128" s="54" t="s">
        <v>2</v>
      </c>
      <c r="W4128" s="54" t="s">
        <v>2</v>
      </c>
      <c r="X4128" s="54" t="s">
        <v>2</v>
      </c>
      <c r="Y4128" s="54" t="s">
        <v>2</v>
      </c>
      <c r="Z4128" s="54" t="s">
        <v>2</v>
      </c>
      <c r="AA4128" s="54" t="s">
        <v>2</v>
      </c>
      <c r="AB4128" s="54" t="s">
        <v>2</v>
      </c>
      <c r="AC4128" s="54" t="s">
        <v>2</v>
      </c>
      <c r="AD4128" s="54" t="s">
        <v>2</v>
      </c>
      <c r="AE4128" s="54" t="s">
        <v>2</v>
      </c>
      <c r="AF4128" s="54" t="s">
        <v>2</v>
      </c>
      <c r="AG4128" s="54" t="s">
        <v>2</v>
      </c>
    </row>
    <row r="4129" ht="15.75" customHeight="1">
      <c r="B4129" s="56"/>
      <c r="U4129" s="46" t="str">
        <f t="array" ref="U4129">IF($D4129="","",IFERROR(_xlfn.XLOOKUP($D4129,'TIR店舗一覧'!$D:$D,'TIR店舗一覧'!$E:$E,""),""))</f>
        <v/>
      </c>
      <c r="V4129" s="54" t="s">
        <v>2</v>
      </c>
      <c r="W4129" s="54" t="s">
        <v>2</v>
      </c>
      <c r="X4129" s="54" t="s">
        <v>2</v>
      </c>
      <c r="Y4129" s="54" t="s">
        <v>2</v>
      </c>
      <c r="Z4129" s="54" t="s">
        <v>2</v>
      </c>
      <c r="AA4129" s="54" t="s">
        <v>2</v>
      </c>
      <c r="AB4129" s="54" t="s">
        <v>2</v>
      </c>
      <c r="AC4129" s="54" t="s">
        <v>2</v>
      </c>
      <c r="AD4129" s="54" t="s">
        <v>2</v>
      </c>
      <c r="AE4129" s="54" t="s">
        <v>2</v>
      </c>
      <c r="AF4129" s="54" t="s">
        <v>2</v>
      </c>
      <c r="AG4129" s="54" t="s">
        <v>2</v>
      </c>
    </row>
    <row r="4130" ht="15.75" customHeight="1">
      <c r="B4130" s="56"/>
      <c r="U4130" s="46" t="str">
        <f t="array" ref="U4130">IF($D4130="","",IFERROR(_xlfn.XLOOKUP($D4130,'TIR店舗一覧'!$D:$D,'TIR店舗一覧'!$E:$E,""),""))</f>
        <v/>
      </c>
      <c r="V4130" s="54" t="s">
        <v>2</v>
      </c>
      <c r="W4130" s="54" t="s">
        <v>2</v>
      </c>
      <c r="X4130" s="54" t="s">
        <v>2</v>
      </c>
      <c r="Y4130" s="54" t="s">
        <v>2</v>
      </c>
      <c r="Z4130" s="54" t="s">
        <v>2</v>
      </c>
      <c r="AA4130" s="54" t="s">
        <v>2</v>
      </c>
      <c r="AB4130" s="54" t="s">
        <v>2</v>
      </c>
      <c r="AC4130" s="54" t="s">
        <v>2</v>
      </c>
      <c r="AD4130" s="54" t="s">
        <v>2</v>
      </c>
      <c r="AE4130" s="54" t="s">
        <v>2</v>
      </c>
      <c r="AF4130" s="54" t="s">
        <v>2</v>
      </c>
      <c r="AG4130" s="54" t="s">
        <v>2</v>
      </c>
    </row>
    <row r="4131" ht="15.75" customHeight="1">
      <c r="B4131" s="56"/>
      <c r="U4131" s="46" t="str">
        <f t="array" ref="U4131">IF($D4131="","",IFERROR(_xlfn.XLOOKUP($D4131,'TIR店舗一覧'!$D:$D,'TIR店舗一覧'!$E:$E,""),""))</f>
        <v/>
      </c>
      <c r="V4131" s="54" t="s">
        <v>2</v>
      </c>
      <c r="W4131" s="54" t="s">
        <v>2</v>
      </c>
      <c r="X4131" s="54" t="s">
        <v>2</v>
      </c>
      <c r="Y4131" s="54" t="s">
        <v>2</v>
      </c>
      <c r="Z4131" s="54" t="s">
        <v>2</v>
      </c>
      <c r="AA4131" s="54" t="s">
        <v>2</v>
      </c>
      <c r="AB4131" s="54" t="s">
        <v>2</v>
      </c>
      <c r="AC4131" s="54" t="s">
        <v>2</v>
      </c>
      <c r="AD4131" s="54" t="s">
        <v>2</v>
      </c>
      <c r="AE4131" s="54" t="s">
        <v>2</v>
      </c>
      <c r="AF4131" s="54" t="s">
        <v>2</v>
      </c>
      <c r="AG4131" s="54" t="s">
        <v>2</v>
      </c>
    </row>
    <row r="4132" ht="15.75" customHeight="1">
      <c r="B4132" s="56"/>
      <c r="U4132" s="46" t="str">
        <f t="array" ref="U4132">IF($D4132="","",IFERROR(_xlfn.XLOOKUP($D4132,'TIR店舗一覧'!$D:$D,'TIR店舗一覧'!$E:$E,""),""))</f>
        <v/>
      </c>
      <c r="V4132" s="54" t="s">
        <v>2</v>
      </c>
      <c r="W4132" s="54" t="s">
        <v>2</v>
      </c>
      <c r="X4132" s="54" t="s">
        <v>2</v>
      </c>
      <c r="Y4132" s="54" t="s">
        <v>2</v>
      </c>
      <c r="Z4132" s="54" t="s">
        <v>2</v>
      </c>
      <c r="AA4132" s="54" t="s">
        <v>2</v>
      </c>
      <c r="AB4132" s="54" t="s">
        <v>2</v>
      </c>
      <c r="AC4132" s="54" t="s">
        <v>2</v>
      </c>
      <c r="AD4132" s="54" t="s">
        <v>2</v>
      </c>
      <c r="AE4132" s="54" t="s">
        <v>2</v>
      </c>
      <c r="AF4132" s="54" t="s">
        <v>2</v>
      </c>
      <c r="AG4132" s="54" t="s">
        <v>2</v>
      </c>
    </row>
    <row r="4133" ht="15.75" customHeight="1">
      <c r="B4133" s="56"/>
      <c r="U4133" s="46" t="str">
        <f t="array" ref="U4133">IF($D4133="","",IFERROR(_xlfn.XLOOKUP($D4133,'TIR店舗一覧'!$D:$D,'TIR店舗一覧'!$E:$E,""),""))</f>
        <v/>
      </c>
      <c r="V4133" s="54" t="s">
        <v>2</v>
      </c>
      <c r="W4133" s="54" t="s">
        <v>2</v>
      </c>
      <c r="X4133" s="54" t="s">
        <v>2</v>
      </c>
      <c r="Y4133" s="54" t="s">
        <v>2</v>
      </c>
      <c r="Z4133" s="54" t="s">
        <v>2</v>
      </c>
      <c r="AA4133" s="54" t="s">
        <v>2</v>
      </c>
      <c r="AB4133" s="54" t="s">
        <v>2</v>
      </c>
      <c r="AC4133" s="54" t="s">
        <v>2</v>
      </c>
      <c r="AD4133" s="54" t="s">
        <v>2</v>
      </c>
      <c r="AE4133" s="54" t="s">
        <v>2</v>
      </c>
      <c r="AF4133" s="54" t="s">
        <v>2</v>
      </c>
      <c r="AG4133" s="54" t="s">
        <v>2</v>
      </c>
    </row>
    <row r="4134" ht="15.75" customHeight="1">
      <c r="B4134" s="56"/>
      <c r="U4134" s="46" t="str">
        <f t="array" ref="U4134">IF($D4134="","",IFERROR(_xlfn.XLOOKUP($D4134,'TIR店舗一覧'!$D:$D,'TIR店舗一覧'!$E:$E,""),""))</f>
        <v/>
      </c>
      <c r="V4134" s="54" t="s">
        <v>2</v>
      </c>
      <c r="W4134" s="54" t="s">
        <v>2</v>
      </c>
      <c r="X4134" s="54" t="s">
        <v>2</v>
      </c>
      <c r="Y4134" s="54" t="s">
        <v>2</v>
      </c>
      <c r="Z4134" s="54" t="s">
        <v>2</v>
      </c>
      <c r="AA4134" s="54" t="s">
        <v>2</v>
      </c>
      <c r="AB4134" s="54" t="s">
        <v>2</v>
      </c>
      <c r="AC4134" s="54" t="s">
        <v>2</v>
      </c>
      <c r="AD4134" s="54" t="s">
        <v>2</v>
      </c>
      <c r="AE4134" s="54" t="s">
        <v>2</v>
      </c>
      <c r="AF4134" s="54" t="s">
        <v>2</v>
      </c>
      <c r="AG4134" s="54" t="s">
        <v>2</v>
      </c>
    </row>
    <row r="4135" ht="15.75" customHeight="1">
      <c r="B4135" s="56"/>
      <c r="U4135" s="46" t="str">
        <f t="array" ref="U4135">IF($D4135="","",IFERROR(_xlfn.XLOOKUP($D4135,'TIR店舗一覧'!$D:$D,'TIR店舗一覧'!$E:$E,""),""))</f>
        <v/>
      </c>
      <c r="V4135" s="54" t="s">
        <v>2</v>
      </c>
      <c r="W4135" s="54" t="s">
        <v>2</v>
      </c>
      <c r="X4135" s="54" t="s">
        <v>2</v>
      </c>
      <c r="Y4135" s="54" t="s">
        <v>2</v>
      </c>
      <c r="Z4135" s="54" t="s">
        <v>2</v>
      </c>
      <c r="AA4135" s="54" t="s">
        <v>2</v>
      </c>
      <c r="AB4135" s="54" t="s">
        <v>2</v>
      </c>
      <c r="AC4135" s="54" t="s">
        <v>2</v>
      </c>
      <c r="AD4135" s="54" t="s">
        <v>2</v>
      </c>
      <c r="AE4135" s="54" t="s">
        <v>2</v>
      </c>
      <c r="AF4135" s="54" t="s">
        <v>2</v>
      </c>
      <c r="AG4135" s="54" t="s">
        <v>2</v>
      </c>
    </row>
    <row r="4136" ht="15.75" customHeight="1">
      <c r="B4136" s="56"/>
      <c r="U4136" s="46" t="str">
        <f t="array" ref="U4136">IF($D4136="","",IFERROR(_xlfn.XLOOKUP($D4136,'TIR店舗一覧'!$D:$D,'TIR店舗一覧'!$E:$E,""),""))</f>
        <v/>
      </c>
      <c r="V4136" s="54" t="s">
        <v>2</v>
      </c>
      <c r="W4136" s="54" t="s">
        <v>2</v>
      </c>
      <c r="X4136" s="54" t="s">
        <v>2</v>
      </c>
      <c r="Y4136" s="54" t="s">
        <v>2</v>
      </c>
      <c r="Z4136" s="54" t="s">
        <v>2</v>
      </c>
      <c r="AA4136" s="54" t="s">
        <v>2</v>
      </c>
      <c r="AB4136" s="54" t="s">
        <v>2</v>
      </c>
      <c r="AC4136" s="54" t="s">
        <v>2</v>
      </c>
      <c r="AD4136" s="54" t="s">
        <v>2</v>
      </c>
      <c r="AE4136" s="54" t="s">
        <v>2</v>
      </c>
      <c r="AF4136" s="54" t="s">
        <v>2</v>
      </c>
      <c r="AG4136" s="54" t="s">
        <v>2</v>
      </c>
    </row>
    <row r="4137" ht="15.75" customHeight="1">
      <c r="B4137" s="56"/>
      <c r="U4137" s="46" t="str">
        <f t="array" ref="U4137">IF($D4137="","",IFERROR(_xlfn.XLOOKUP($D4137,'TIR店舗一覧'!$D:$D,'TIR店舗一覧'!$E:$E,""),""))</f>
        <v/>
      </c>
      <c r="V4137" s="54" t="s">
        <v>2</v>
      </c>
      <c r="W4137" s="54" t="s">
        <v>2</v>
      </c>
      <c r="X4137" s="54" t="s">
        <v>2</v>
      </c>
      <c r="Y4137" s="54" t="s">
        <v>2</v>
      </c>
      <c r="Z4137" s="54" t="s">
        <v>2</v>
      </c>
      <c r="AA4137" s="54" t="s">
        <v>2</v>
      </c>
      <c r="AB4137" s="54" t="s">
        <v>2</v>
      </c>
      <c r="AC4137" s="54" t="s">
        <v>2</v>
      </c>
      <c r="AD4137" s="54" t="s">
        <v>2</v>
      </c>
      <c r="AE4137" s="54" t="s">
        <v>2</v>
      </c>
      <c r="AF4137" s="54" t="s">
        <v>2</v>
      </c>
      <c r="AG4137" s="54" t="s">
        <v>2</v>
      </c>
    </row>
    <row r="4138" ht="15.75" customHeight="1">
      <c r="B4138" s="56"/>
      <c r="U4138" s="46" t="str">
        <f t="array" ref="U4138">IF($D4138="","",IFERROR(_xlfn.XLOOKUP($D4138,'TIR店舗一覧'!$D:$D,'TIR店舗一覧'!$E:$E,""),""))</f>
        <v/>
      </c>
      <c r="V4138" s="54" t="s">
        <v>2</v>
      </c>
      <c r="W4138" s="54" t="s">
        <v>2</v>
      </c>
      <c r="X4138" s="54" t="s">
        <v>2</v>
      </c>
      <c r="Y4138" s="54" t="s">
        <v>2</v>
      </c>
      <c r="Z4138" s="54" t="s">
        <v>2</v>
      </c>
      <c r="AA4138" s="54" t="s">
        <v>2</v>
      </c>
      <c r="AB4138" s="54" t="s">
        <v>2</v>
      </c>
      <c r="AC4138" s="54" t="s">
        <v>2</v>
      </c>
      <c r="AD4138" s="54" t="s">
        <v>2</v>
      </c>
      <c r="AE4138" s="54" t="s">
        <v>2</v>
      </c>
      <c r="AF4138" s="54" t="s">
        <v>2</v>
      </c>
      <c r="AG4138" s="54" t="s">
        <v>2</v>
      </c>
    </row>
    <row r="4139" ht="15.75" customHeight="1">
      <c r="B4139" s="56"/>
      <c r="U4139" s="46" t="str">
        <f t="array" ref="U4139">IF($D4139="","",IFERROR(_xlfn.XLOOKUP($D4139,'TIR店舗一覧'!$D:$D,'TIR店舗一覧'!$E:$E,""),""))</f>
        <v/>
      </c>
      <c r="V4139" s="54" t="s">
        <v>2</v>
      </c>
      <c r="W4139" s="54" t="s">
        <v>2</v>
      </c>
      <c r="X4139" s="54" t="s">
        <v>2</v>
      </c>
      <c r="Y4139" s="54" t="s">
        <v>2</v>
      </c>
      <c r="Z4139" s="54" t="s">
        <v>2</v>
      </c>
      <c r="AA4139" s="54" t="s">
        <v>2</v>
      </c>
      <c r="AB4139" s="54" t="s">
        <v>2</v>
      </c>
      <c r="AC4139" s="54" t="s">
        <v>2</v>
      </c>
      <c r="AD4139" s="54" t="s">
        <v>2</v>
      </c>
      <c r="AE4139" s="54" t="s">
        <v>2</v>
      </c>
      <c r="AF4139" s="54" t="s">
        <v>2</v>
      </c>
      <c r="AG4139" s="54" t="s">
        <v>2</v>
      </c>
    </row>
    <row r="4140" ht="15.75" customHeight="1">
      <c r="B4140" s="56"/>
      <c r="U4140" s="46" t="str">
        <f t="array" ref="U4140">IF($D4140="","",IFERROR(_xlfn.XLOOKUP($D4140,'TIR店舗一覧'!$D:$D,'TIR店舗一覧'!$E:$E,""),""))</f>
        <v/>
      </c>
      <c r="V4140" s="54" t="s">
        <v>2</v>
      </c>
      <c r="W4140" s="54" t="s">
        <v>2</v>
      </c>
      <c r="X4140" s="54" t="s">
        <v>2</v>
      </c>
      <c r="Y4140" s="54" t="s">
        <v>2</v>
      </c>
      <c r="Z4140" s="54" t="s">
        <v>2</v>
      </c>
      <c r="AA4140" s="54" t="s">
        <v>2</v>
      </c>
      <c r="AB4140" s="54" t="s">
        <v>2</v>
      </c>
      <c r="AC4140" s="54" t="s">
        <v>2</v>
      </c>
      <c r="AD4140" s="54" t="s">
        <v>2</v>
      </c>
      <c r="AE4140" s="54" t="s">
        <v>2</v>
      </c>
      <c r="AF4140" s="54" t="s">
        <v>2</v>
      </c>
      <c r="AG4140" s="54" t="s">
        <v>2</v>
      </c>
    </row>
    <row r="4141" ht="15.75" customHeight="1">
      <c r="B4141" s="56"/>
      <c r="U4141" s="46" t="str">
        <f t="array" ref="U4141">IF($D4141="","",IFERROR(_xlfn.XLOOKUP($D4141,'TIR店舗一覧'!$D:$D,'TIR店舗一覧'!$E:$E,""),""))</f>
        <v/>
      </c>
      <c r="V4141" s="54" t="s">
        <v>2</v>
      </c>
      <c r="W4141" s="54" t="s">
        <v>2</v>
      </c>
      <c r="X4141" s="54" t="s">
        <v>2</v>
      </c>
      <c r="Y4141" s="54" t="s">
        <v>2</v>
      </c>
      <c r="Z4141" s="54" t="s">
        <v>2</v>
      </c>
      <c r="AA4141" s="54" t="s">
        <v>2</v>
      </c>
      <c r="AB4141" s="54" t="s">
        <v>2</v>
      </c>
      <c r="AC4141" s="54" t="s">
        <v>2</v>
      </c>
      <c r="AD4141" s="54" t="s">
        <v>2</v>
      </c>
      <c r="AE4141" s="54" t="s">
        <v>2</v>
      </c>
      <c r="AF4141" s="54" t="s">
        <v>2</v>
      </c>
      <c r="AG4141" s="54" t="s">
        <v>2</v>
      </c>
    </row>
    <row r="4142" ht="15.75" customHeight="1">
      <c r="B4142" s="56"/>
      <c r="U4142" s="46" t="str">
        <f t="array" ref="U4142">IF($D4142="","",IFERROR(_xlfn.XLOOKUP($D4142,'TIR店舗一覧'!$D:$D,'TIR店舗一覧'!$E:$E,""),""))</f>
        <v/>
      </c>
      <c r="V4142" s="54" t="s">
        <v>2</v>
      </c>
      <c r="W4142" s="54" t="s">
        <v>2</v>
      </c>
      <c r="X4142" s="54" t="s">
        <v>2</v>
      </c>
      <c r="Y4142" s="54" t="s">
        <v>2</v>
      </c>
      <c r="Z4142" s="54" t="s">
        <v>2</v>
      </c>
      <c r="AA4142" s="54" t="s">
        <v>2</v>
      </c>
      <c r="AB4142" s="54" t="s">
        <v>2</v>
      </c>
      <c r="AC4142" s="54" t="s">
        <v>2</v>
      </c>
      <c r="AD4142" s="54" t="s">
        <v>2</v>
      </c>
      <c r="AE4142" s="54" t="s">
        <v>2</v>
      </c>
      <c r="AF4142" s="54" t="s">
        <v>2</v>
      </c>
      <c r="AG4142" s="54" t="s">
        <v>2</v>
      </c>
    </row>
    <row r="4143" ht="15.75" customHeight="1">
      <c r="B4143" s="56"/>
      <c r="U4143" s="46" t="str">
        <f t="array" ref="U4143">IF($D4143="","",IFERROR(_xlfn.XLOOKUP($D4143,'TIR店舗一覧'!$D:$D,'TIR店舗一覧'!$E:$E,""),""))</f>
        <v/>
      </c>
      <c r="V4143" s="54" t="s">
        <v>2</v>
      </c>
      <c r="W4143" s="54" t="s">
        <v>2</v>
      </c>
      <c r="X4143" s="54" t="s">
        <v>2</v>
      </c>
      <c r="Y4143" s="54" t="s">
        <v>2</v>
      </c>
      <c r="Z4143" s="54" t="s">
        <v>2</v>
      </c>
      <c r="AA4143" s="54" t="s">
        <v>2</v>
      </c>
      <c r="AB4143" s="54" t="s">
        <v>2</v>
      </c>
      <c r="AC4143" s="54" t="s">
        <v>2</v>
      </c>
      <c r="AD4143" s="54" t="s">
        <v>2</v>
      </c>
      <c r="AE4143" s="54" t="s">
        <v>2</v>
      </c>
      <c r="AF4143" s="54" t="s">
        <v>2</v>
      </c>
      <c r="AG4143" s="54" t="s">
        <v>2</v>
      </c>
    </row>
    <row r="4144" ht="15.75" customHeight="1">
      <c r="B4144" s="56"/>
      <c r="U4144" s="46" t="str">
        <f t="array" ref="U4144">IF($D4144="","",IFERROR(_xlfn.XLOOKUP($D4144,'TIR店舗一覧'!$D:$D,'TIR店舗一覧'!$E:$E,""),""))</f>
        <v/>
      </c>
      <c r="V4144" s="54" t="s">
        <v>2</v>
      </c>
      <c r="W4144" s="54" t="s">
        <v>2</v>
      </c>
      <c r="X4144" s="54" t="s">
        <v>2</v>
      </c>
      <c r="Y4144" s="54" t="s">
        <v>2</v>
      </c>
      <c r="Z4144" s="54" t="s">
        <v>2</v>
      </c>
      <c r="AA4144" s="54" t="s">
        <v>2</v>
      </c>
      <c r="AB4144" s="54" t="s">
        <v>2</v>
      </c>
      <c r="AC4144" s="54" t="s">
        <v>2</v>
      </c>
      <c r="AD4144" s="54" t="s">
        <v>2</v>
      </c>
      <c r="AE4144" s="54" t="s">
        <v>2</v>
      </c>
      <c r="AF4144" s="54" t="s">
        <v>2</v>
      </c>
      <c r="AG4144" s="54" t="s">
        <v>2</v>
      </c>
    </row>
    <row r="4145" ht="15.75" customHeight="1">
      <c r="B4145" s="56"/>
      <c r="U4145" s="46" t="str">
        <f t="array" ref="U4145">IF($D4145="","",IFERROR(_xlfn.XLOOKUP($D4145,'TIR店舗一覧'!$D:$D,'TIR店舗一覧'!$E:$E,""),""))</f>
        <v/>
      </c>
      <c r="V4145" s="54" t="s">
        <v>2</v>
      </c>
      <c r="W4145" s="54" t="s">
        <v>2</v>
      </c>
      <c r="X4145" s="54" t="s">
        <v>2</v>
      </c>
      <c r="Y4145" s="54" t="s">
        <v>2</v>
      </c>
      <c r="Z4145" s="54" t="s">
        <v>2</v>
      </c>
      <c r="AA4145" s="54" t="s">
        <v>2</v>
      </c>
      <c r="AB4145" s="54" t="s">
        <v>2</v>
      </c>
      <c r="AC4145" s="54" t="s">
        <v>2</v>
      </c>
      <c r="AD4145" s="54" t="s">
        <v>2</v>
      </c>
      <c r="AE4145" s="54" t="s">
        <v>2</v>
      </c>
      <c r="AF4145" s="54" t="s">
        <v>2</v>
      </c>
      <c r="AG4145" s="54" t="s">
        <v>2</v>
      </c>
    </row>
    <row r="4146" ht="15.75" customHeight="1">
      <c r="B4146" s="56"/>
      <c r="U4146" s="46" t="str">
        <f t="array" ref="U4146">IF($D4146="","",IFERROR(_xlfn.XLOOKUP($D4146,'TIR店舗一覧'!$D:$D,'TIR店舗一覧'!$E:$E,""),""))</f>
        <v/>
      </c>
      <c r="V4146" s="54" t="s">
        <v>2</v>
      </c>
      <c r="W4146" s="54" t="s">
        <v>2</v>
      </c>
      <c r="X4146" s="54" t="s">
        <v>2</v>
      </c>
      <c r="Y4146" s="54" t="s">
        <v>2</v>
      </c>
      <c r="Z4146" s="54" t="s">
        <v>2</v>
      </c>
      <c r="AA4146" s="54" t="s">
        <v>2</v>
      </c>
      <c r="AB4146" s="54" t="s">
        <v>2</v>
      </c>
      <c r="AC4146" s="54" t="s">
        <v>2</v>
      </c>
      <c r="AD4146" s="54" t="s">
        <v>2</v>
      </c>
      <c r="AE4146" s="54" t="s">
        <v>2</v>
      </c>
      <c r="AF4146" s="54" t="s">
        <v>2</v>
      </c>
      <c r="AG4146" s="54" t="s">
        <v>2</v>
      </c>
    </row>
    <row r="4147" ht="15.75" customHeight="1">
      <c r="B4147" s="56"/>
      <c r="U4147" s="46" t="str">
        <f t="array" ref="U4147">IF($D4147="","",IFERROR(_xlfn.XLOOKUP($D4147,'TIR店舗一覧'!$D:$D,'TIR店舗一覧'!$E:$E,""),""))</f>
        <v/>
      </c>
      <c r="V4147" s="54" t="s">
        <v>2</v>
      </c>
      <c r="W4147" s="54" t="s">
        <v>2</v>
      </c>
      <c r="X4147" s="54" t="s">
        <v>2</v>
      </c>
      <c r="Y4147" s="54" t="s">
        <v>2</v>
      </c>
      <c r="Z4147" s="54" t="s">
        <v>2</v>
      </c>
      <c r="AA4147" s="54" t="s">
        <v>2</v>
      </c>
      <c r="AB4147" s="54" t="s">
        <v>2</v>
      </c>
      <c r="AC4147" s="54" t="s">
        <v>2</v>
      </c>
      <c r="AD4147" s="54" t="s">
        <v>2</v>
      </c>
      <c r="AE4147" s="54" t="s">
        <v>2</v>
      </c>
      <c r="AF4147" s="54" t="s">
        <v>2</v>
      </c>
      <c r="AG4147" s="54" t="s">
        <v>2</v>
      </c>
    </row>
    <row r="4148" ht="15.75" customHeight="1">
      <c r="B4148" s="56"/>
      <c r="U4148" s="46" t="str">
        <f t="array" ref="U4148">IF($D4148="","",IFERROR(_xlfn.XLOOKUP($D4148,'TIR店舗一覧'!$D:$D,'TIR店舗一覧'!$E:$E,""),""))</f>
        <v/>
      </c>
      <c r="V4148" s="54" t="s">
        <v>2</v>
      </c>
      <c r="W4148" s="54" t="s">
        <v>2</v>
      </c>
      <c r="X4148" s="54" t="s">
        <v>2</v>
      </c>
      <c r="Y4148" s="54" t="s">
        <v>2</v>
      </c>
      <c r="Z4148" s="54" t="s">
        <v>2</v>
      </c>
      <c r="AA4148" s="54" t="s">
        <v>2</v>
      </c>
      <c r="AB4148" s="54" t="s">
        <v>2</v>
      </c>
      <c r="AC4148" s="54" t="s">
        <v>2</v>
      </c>
      <c r="AD4148" s="54" t="s">
        <v>2</v>
      </c>
      <c r="AE4148" s="54" t="s">
        <v>2</v>
      </c>
      <c r="AF4148" s="54" t="s">
        <v>2</v>
      </c>
      <c r="AG4148" s="54" t="s">
        <v>2</v>
      </c>
    </row>
    <row r="4149" ht="15.75" customHeight="1">
      <c r="B4149" s="56"/>
      <c r="U4149" s="46" t="str">
        <f t="array" ref="U4149">IF($D4149="","",IFERROR(_xlfn.XLOOKUP($D4149,'TIR店舗一覧'!$D:$D,'TIR店舗一覧'!$E:$E,""),""))</f>
        <v/>
      </c>
      <c r="V4149" s="54" t="s">
        <v>2</v>
      </c>
      <c r="W4149" s="54" t="s">
        <v>2</v>
      </c>
      <c r="X4149" s="54" t="s">
        <v>2</v>
      </c>
      <c r="Y4149" s="54" t="s">
        <v>2</v>
      </c>
      <c r="Z4149" s="54" t="s">
        <v>2</v>
      </c>
      <c r="AA4149" s="54" t="s">
        <v>2</v>
      </c>
      <c r="AB4149" s="54" t="s">
        <v>2</v>
      </c>
      <c r="AC4149" s="54" t="s">
        <v>2</v>
      </c>
      <c r="AD4149" s="54" t="s">
        <v>2</v>
      </c>
      <c r="AE4149" s="54" t="s">
        <v>2</v>
      </c>
      <c r="AF4149" s="54" t="s">
        <v>2</v>
      </c>
      <c r="AG4149" s="54" t="s">
        <v>2</v>
      </c>
    </row>
    <row r="4150" ht="15.75" customHeight="1">
      <c r="B4150" s="56"/>
      <c r="U4150" s="46" t="str">
        <f t="array" ref="U4150">IF($D4150="","",IFERROR(_xlfn.XLOOKUP($D4150,'TIR店舗一覧'!$D:$D,'TIR店舗一覧'!$E:$E,""),""))</f>
        <v/>
      </c>
      <c r="V4150" s="54" t="s">
        <v>2</v>
      </c>
      <c r="W4150" s="54" t="s">
        <v>2</v>
      </c>
      <c r="X4150" s="54" t="s">
        <v>2</v>
      </c>
      <c r="Y4150" s="54" t="s">
        <v>2</v>
      </c>
      <c r="Z4150" s="54" t="s">
        <v>2</v>
      </c>
      <c r="AA4150" s="54" t="s">
        <v>2</v>
      </c>
      <c r="AB4150" s="54" t="s">
        <v>2</v>
      </c>
      <c r="AC4150" s="54" t="s">
        <v>2</v>
      </c>
      <c r="AD4150" s="54" t="s">
        <v>2</v>
      </c>
      <c r="AE4150" s="54" t="s">
        <v>2</v>
      </c>
      <c r="AF4150" s="54" t="s">
        <v>2</v>
      </c>
      <c r="AG4150" s="54" t="s">
        <v>2</v>
      </c>
    </row>
    <row r="4151" ht="15.75" customHeight="1">
      <c r="B4151" s="56"/>
      <c r="U4151" s="46" t="str">
        <f t="array" ref="U4151">IF($D4151="","",IFERROR(_xlfn.XLOOKUP($D4151,'TIR店舗一覧'!$D:$D,'TIR店舗一覧'!$E:$E,""),""))</f>
        <v/>
      </c>
      <c r="V4151" s="54" t="s">
        <v>2</v>
      </c>
      <c r="W4151" s="54" t="s">
        <v>2</v>
      </c>
      <c r="X4151" s="54" t="s">
        <v>2</v>
      </c>
      <c r="Y4151" s="54" t="s">
        <v>2</v>
      </c>
      <c r="Z4151" s="54" t="s">
        <v>2</v>
      </c>
      <c r="AA4151" s="54" t="s">
        <v>2</v>
      </c>
      <c r="AB4151" s="54" t="s">
        <v>2</v>
      </c>
      <c r="AC4151" s="54" t="s">
        <v>2</v>
      </c>
      <c r="AD4151" s="54" t="s">
        <v>2</v>
      </c>
      <c r="AE4151" s="54" t="s">
        <v>2</v>
      </c>
      <c r="AF4151" s="54" t="s">
        <v>2</v>
      </c>
      <c r="AG4151" s="54" t="s">
        <v>2</v>
      </c>
    </row>
    <row r="4152" ht="15.75" customHeight="1">
      <c r="B4152" s="56"/>
      <c r="U4152" s="46" t="str">
        <f t="array" ref="U4152">IF($D4152="","",IFERROR(_xlfn.XLOOKUP($D4152,'TIR店舗一覧'!$D:$D,'TIR店舗一覧'!$E:$E,""),""))</f>
        <v/>
      </c>
      <c r="V4152" s="54" t="s">
        <v>2</v>
      </c>
      <c r="W4152" s="54" t="s">
        <v>2</v>
      </c>
      <c r="X4152" s="54" t="s">
        <v>2</v>
      </c>
      <c r="Y4152" s="54" t="s">
        <v>2</v>
      </c>
      <c r="Z4152" s="54" t="s">
        <v>2</v>
      </c>
      <c r="AA4152" s="54" t="s">
        <v>2</v>
      </c>
      <c r="AB4152" s="54" t="s">
        <v>2</v>
      </c>
      <c r="AC4152" s="54" t="s">
        <v>2</v>
      </c>
      <c r="AD4152" s="54" t="s">
        <v>2</v>
      </c>
      <c r="AE4152" s="54" t="s">
        <v>2</v>
      </c>
      <c r="AF4152" s="54" t="s">
        <v>2</v>
      </c>
      <c r="AG4152" s="54" t="s">
        <v>2</v>
      </c>
    </row>
    <row r="4153" ht="15.75" customHeight="1">
      <c r="B4153" s="56"/>
      <c r="U4153" s="46" t="str">
        <f t="array" ref="U4153">IF($D4153="","",IFERROR(_xlfn.XLOOKUP($D4153,'TIR店舗一覧'!$D:$D,'TIR店舗一覧'!$E:$E,""),""))</f>
        <v/>
      </c>
      <c r="V4153" s="54" t="s">
        <v>2</v>
      </c>
      <c r="W4153" s="54" t="s">
        <v>2</v>
      </c>
      <c r="X4153" s="54" t="s">
        <v>2</v>
      </c>
      <c r="Y4153" s="54" t="s">
        <v>2</v>
      </c>
      <c r="Z4153" s="54" t="s">
        <v>2</v>
      </c>
      <c r="AA4153" s="54" t="s">
        <v>2</v>
      </c>
      <c r="AB4153" s="54" t="s">
        <v>2</v>
      </c>
      <c r="AC4153" s="54" t="s">
        <v>2</v>
      </c>
      <c r="AD4153" s="54" t="s">
        <v>2</v>
      </c>
      <c r="AE4153" s="54" t="s">
        <v>2</v>
      </c>
      <c r="AF4153" s="54" t="s">
        <v>2</v>
      </c>
      <c r="AG4153" s="54" t="s">
        <v>2</v>
      </c>
    </row>
    <row r="4154" ht="15.75" customHeight="1">
      <c r="B4154" s="56"/>
      <c r="U4154" s="46" t="str">
        <f t="array" ref="U4154">IF($D4154="","",IFERROR(_xlfn.XLOOKUP($D4154,'TIR店舗一覧'!$D:$D,'TIR店舗一覧'!$E:$E,""),""))</f>
        <v/>
      </c>
      <c r="V4154" s="54" t="s">
        <v>2</v>
      </c>
      <c r="W4154" s="54" t="s">
        <v>2</v>
      </c>
      <c r="X4154" s="54" t="s">
        <v>2</v>
      </c>
      <c r="Y4154" s="54" t="s">
        <v>2</v>
      </c>
      <c r="Z4154" s="54" t="s">
        <v>2</v>
      </c>
      <c r="AA4154" s="54" t="s">
        <v>2</v>
      </c>
      <c r="AB4154" s="54" t="s">
        <v>2</v>
      </c>
      <c r="AC4154" s="54" t="s">
        <v>2</v>
      </c>
      <c r="AD4154" s="54" t="s">
        <v>2</v>
      </c>
      <c r="AE4154" s="54" t="s">
        <v>2</v>
      </c>
      <c r="AF4154" s="54" t="s">
        <v>2</v>
      </c>
      <c r="AG4154" s="54" t="s">
        <v>2</v>
      </c>
    </row>
    <row r="4155" ht="15.75" customHeight="1">
      <c r="B4155" s="56"/>
      <c r="U4155" s="46" t="str">
        <f t="array" ref="U4155">IF($D4155="","",IFERROR(_xlfn.XLOOKUP($D4155,'TIR店舗一覧'!$D:$D,'TIR店舗一覧'!$E:$E,""),""))</f>
        <v/>
      </c>
      <c r="V4155" s="54" t="s">
        <v>2</v>
      </c>
      <c r="W4155" s="54" t="s">
        <v>2</v>
      </c>
      <c r="X4155" s="54" t="s">
        <v>2</v>
      </c>
      <c r="Y4155" s="54" t="s">
        <v>2</v>
      </c>
      <c r="Z4155" s="54" t="s">
        <v>2</v>
      </c>
      <c r="AA4155" s="54" t="s">
        <v>2</v>
      </c>
      <c r="AB4155" s="54" t="s">
        <v>2</v>
      </c>
      <c r="AC4155" s="54" t="s">
        <v>2</v>
      </c>
      <c r="AD4155" s="54" t="s">
        <v>2</v>
      </c>
      <c r="AE4155" s="54" t="s">
        <v>2</v>
      </c>
      <c r="AF4155" s="54" t="s">
        <v>2</v>
      </c>
      <c r="AG4155" s="54" t="s">
        <v>2</v>
      </c>
    </row>
    <row r="4156" ht="15.75" customHeight="1">
      <c r="B4156" s="56"/>
      <c r="U4156" s="46" t="str">
        <f t="array" ref="U4156">IF($D4156="","",IFERROR(_xlfn.XLOOKUP($D4156,'TIR店舗一覧'!$D:$D,'TIR店舗一覧'!$E:$E,""),""))</f>
        <v/>
      </c>
      <c r="V4156" s="54" t="s">
        <v>2</v>
      </c>
      <c r="W4156" s="54" t="s">
        <v>2</v>
      </c>
      <c r="X4156" s="54" t="s">
        <v>2</v>
      </c>
      <c r="Y4156" s="54" t="s">
        <v>2</v>
      </c>
      <c r="Z4156" s="54" t="s">
        <v>2</v>
      </c>
      <c r="AA4156" s="54" t="s">
        <v>2</v>
      </c>
      <c r="AB4156" s="54" t="s">
        <v>2</v>
      </c>
      <c r="AC4156" s="54" t="s">
        <v>2</v>
      </c>
      <c r="AD4156" s="54" t="s">
        <v>2</v>
      </c>
      <c r="AE4156" s="54" t="s">
        <v>2</v>
      </c>
      <c r="AF4156" s="54" t="s">
        <v>2</v>
      </c>
      <c r="AG4156" s="54" t="s">
        <v>2</v>
      </c>
    </row>
    <row r="4157" ht="15.75" customHeight="1">
      <c r="B4157" s="56"/>
      <c r="U4157" s="46" t="str">
        <f t="array" ref="U4157">IF($D4157="","",IFERROR(_xlfn.XLOOKUP($D4157,'TIR店舗一覧'!$D:$D,'TIR店舗一覧'!$E:$E,""),""))</f>
        <v/>
      </c>
      <c r="V4157" s="54" t="s">
        <v>2</v>
      </c>
      <c r="W4157" s="54" t="s">
        <v>2</v>
      </c>
      <c r="X4157" s="54" t="s">
        <v>2</v>
      </c>
      <c r="Y4157" s="54" t="s">
        <v>2</v>
      </c>
      <c r="Z4157" s="54" t="s">
        <v>2</v>
      </c>
      <c r="AA4157" s="54" t="s">
        <v>2</v>
      </c>
      <c r="AB4157" s="54" t="s">
        <v>2</v>
      </c>
      <c r="AC4157" s="54" t="s">
        <v>2</v>
      </c>
      <c r="AD4157" s="54" t="s">
        <v>2</v>
      </c>
      <c r="AE4157" s="54" t="s">
        <v>2</v>
      </c>
      <c r="AF4157" s="54" t="s">
        <v>2</v>
      </c>
      <c r="AG4157" s="54" t="s">
        <v>2</v>
      </c>
    </row>
    <row r="4158" ht="15.75" customHeight="1">
      <c r="B4158" s="56"/>
      <c r="U4158" s="46" t="str">
        <f t="array" ref="U4158">IF($D4158="","",IFERROR(_xlfn.XLOOKUP($D4158,'TIR店舗一覧'!$D:$D,'TIR店舗一覧'!$E:$E,""),""))</f>
        <v/>
      </c>
      <c r="V4158" s="54" t="s">
        <v>2</v>
      </c>
      <c r="W4158" s="54" t="s">
        <v>2</v>
      </c>
      <c r="X4158" s="54" t="s">
        <v>2</v>
      </c>
      <c r="Y4158" s="54" t="s">
        <v>2</v>
      </c>
      <c r="Z4158" s="54" t="s">
        <v>2</v>
      </c>
      <c r="AA4158" s="54" t="s">
        <v>2</v>
      </c>
      <c r="AB4158" s="54" t="s">
        <v>2</v>
      </c>
      <c r="AC4158" s="54" t="s">
        <v>2</v>
      </c>
      <c r="AD4158" s="54" t="s">
        <v>2</v>
      </c>
      <c r="AE4158" s="54" t="s">
        <v>2</v>
      </c>
      <c r="AF4158" s="54" t="s">
        <v>2</v>
      </c>
      <c r="AG4158" s="54" t="s">
        <v>2</v>
      </c>
    </row>
    <row r="4159" ht="15.75" customHeight="1">
      <c r="B4159" s="56"/>
      <c r="U4159" s="46" t="str">
        <f t="array" ref="U4159">IF($D4159="","",IFERROR(_xlfn.XLOOKUP($D4159,'TIR店舗一覧'!$D:$D,'TIR店舗一覧'!$E:$E,""),""))</f>
        <v/>
      </c>
      <c r="V4159" s="54" t="s">
        <v>2</v>
      </c>
      <c r="W4159" s="54" t="s">
        <v>2</v>
      </c>
      <c r="X4159" s="54" t="s">
        <v>2</v>
      </c>
      <c r="Y4159" s="54" t="s">
        <v>2</v>
      </c>
      <c r="Z4159" s="54" t="s">
        <v>2</v>
      </c>
      <c r="AA4159" s="54" t="s">
        <v>2</v>
      </c>
      <c r="AB4159" s="54" t="s">
        <v>2</v>
      </c>
      <c r="AC4159" s="54" t="s">
        <v>2</v>
      </c>
      <c r="AD4159" s="54" t="s">
        <v>2</v>
      </c>
      <c r="AE4159" s="54" t="s">
        <v>2</v>
      </c>
      <c r="AF4159" s="54" t="s">
        <v>2</v>
      </c>
      <c r="AG4159" s="54" t="s">
        <v>2</v>
      </c>
    </row>
    <row r="4160" ht="15.75" customHeight="1">
      <c r="B4160" s="56"/>
      <c r="U4160" s="46" t="str">
        <f t="array" ref="U4160">IF($D4160="","",IFERROR(_xlfn.XLOOKUP($D4160,'TIR店舗一覧'!$D:$D,'TIR店舗一覧'!$E:$E,""),""))</f>
        <v/>
      </c>
      <c r="V4160" s="54" t="s">
        <v>2</v>
      </c>
      <c r="W4160" s="54" t="s">
        <v>2</v>
      </c>
      <c r="X4160" s="54" t="s">
        <v>2</v>
      </c>
      <c r="Y4160" s="54" t="s">
        <v>2</v>
      </c>
      <c r="Z4160" s="54" t="s">
        <v>2</v>
      </c>
      <c r="AA4160" s="54" t="s">
        <v>2</v>
      </c>
      <c r="AB4160" s="54" t="s">
        <v>2</v>
      </c>
      <c r="AC4160" s="54" t="s">
        <v>2</v>
      </c>
      <c r="AD4160" s="54" t="s">
        <v>2</v>
      </c>
      <c r="AE4160" s="54" t="s">
        <v>2</v>
      </c>
      <c r="AF4160" s="54" t="s">
        <v>2</v>
      </c>
      <c r="AG4160" s="54" t="s">
        <v>2</v>
      </c>
    </row>
    <row r="4161" ht="15.75" customHeight="1">
      <c r="B4161" s="56"/>
      <c r="U4161" s="46" t="str">
        <f t="array" ref="U4161">IF($D4161="","",IFERROR(_xlfn.XLOOKUP($D4161,'TIR店舗一覧'!$D:$D,'TIR店舗一覧'!$E:$E,""),""))</f>
        <v/>
      </c>
      <c r="V4161" s="54" t="s">
        <v>2</v>
      </c>
      <c r="W4161" s="54" t="s">
        <v>2</v>
      </c>
      <c r="X4161" s="54" t="s">
        <v>2</v>
      </c>
      <c r="Y4161" s="54" t="s">
        <v>2</v>
      </c>
      <c r="Z4161" s="54" t="s">
        <v>2</v>
      </c>
      <c r="AA4161" s="54" t="s">
        <v>2</v>
      </c>
      <c r="AB4161" s="54" t="s">
        <v>2</v>
      </c>
      <c r="AC4161" s="54" t="s">
        <v>2</v>
      </c>
      <c r="AD4161" s="54" t="s">
        <v>2</v>
      </c>
      <c r="AE4161" s="54" t="s">
        <v>2</v>
      </c>
      <c r="AF4161" s="54" t="s">
        <v>2</v>
      </c>
      <c r="AG4161" s="54" t="s">
        <v>2</v>
      </c>
    </row>
    <row r="4162" ht="15.75" customHeight="1">
      <c r="B4162" s="56"/>
      <c r="U4162" s="46" t="str">
        <f t="array" ref="U4162">IF($D4162="","",IFERROR(_xlfn.XLOOKUP($D4162,'TIR店舗一覧'!$D:$D,'TIR店舗一覧'!$E:$E,""),""))</f>
        <v/>
      </c>
      <c r="V4162" s="54" t="s">
        <v>2</v>
      </c>
      <c r="W4162" s="54" t="s">
        <v>2</v>
      </c>
      <c r="X4162" s="54" t="s">
        <v>2</v>
      </c>
      <c r="Y4162" s="54" t="s">
        <v>2</v>
      </c>
      <c r="Z4162" s="54" t="s">
        <v>2</v>
      </c>
      <c r="AA4162" s="54" t="s">
        <v>2</v>
      </c>
      <c r="AB4162" s="54" t="s">
        <v>2</v>
      </c>
      <c r="AC4162" s="54" t="s">
        <v>2</v>
      </c>
      <c r="AD4162" s="54" t="s">
        <v>2</v>
      </c>
      <c r="AE4162" s="54" t="s">
        <v>2</v>
      </c>
      <c r="AF4162" s="54" t="s">
        <v>2</v>
      </c>
      <c r="AG4162" s="54" t="s">
        <v>2</v>
      </c>
    </row>
    <row r="4163" ht="15.75" customHeight="1">
      <c r="B4163" s="56"/>
      <c r="U4163" s="46" t="str">
        <f t="array" ref="U4163">IF($D4163="","",IFERROR(_xlfn.XLOOKUP($D4163,'TIR店舗一覧'!$D:$D,'TIR店舗一覧'!$E:$E,""),""))</f>
        <v/>
      </c>
      <c r="V4163" s="54" t="s">
        <v>2</v>
      </c>
      <c r="W4163" s="54" t="s">
        <v>2</v>
      </c>
      <c r="X4163" s="54" t="s">
        <v>2</v>
      </c>
      <c r="Y4163" s="54" t="s">
        <v>2</v>
      </c>
      <c r="Z4163" s="54" t="s">
        <v>2</v>
      </c>
      <c r="AA4163" s="54" t="s">
        <v>2</v>
      </c>
      <c r="AB4163" s="54" t="s">
        <v>2</v>
      </c>
      <c r="AC4163" s="54" t="s">
        <v>2</v>
      </c>
      <c r="AD4163" s="54" t="s">
        <v>2</v>
      </c>
      <c r="AE4163" s="54" t="s">
        <v>2</v>
      </c>
      <c r="AF4163" s="54" t="s">
        <v>2</v>
      </c>
      <c r="AG4163" s="54" t="s">
        <v>2</v>
      </c>
    </row>
    <row r="4164" ht="15.75" customHeight="1">
      <c r="B4164" s="56"/>
      <c r="U4164" s="46" t="str">
        <f t="array" ref="U4164">IF($D4164="","",IFERROR(_xlfn.XLOOKUP($D4164,'TIR店舗一覧'!$D:$D,'TIR店舗一覧'!$E:$E,""),""))</f>
        <v/>
      </c>
      <c r="V4164" s="54" t="s">
        <v>2</v>
      </c>
      <c r="W4164" s="54" t="s">
        <v>2</v>
      </c>
      <c r="X4164" s="54" t="s">
        <v>2</v>
      </c>
      <c r="Y4164" s="54" t="s">
        <v>2</v>
      </c>
      <c r="Z4164" s="54" t="s">
        <v>2</v>
      </c>
      <c r="AA4164" s="54" t="s">
        <v>2</v>
      </c>
      <c r="AB4164" s="54" t="s">
        <v>2</v>
      </c>
      <c r="AC4164" s="54" t="s">
        <v>2</v>
      </c>
      <c r="AD4164" s="54" t="s">
        <v>2</v>
      </c>
      <c r="AE4164" s="54" t="s">
        <v>2</v>
      </c>
      <c r="AF4164" s="54" t="s">
        <v>2</v>
      </c>
      <c r="AG4164" s="54" t="s">
        <v>2</v>
      </c>
    </row>
    <row r="4165" ht="15.75" customHeight="1">
      <c r="B4165" s="56"/>
      <c r="U4165" s="46" t="str">
        <f t="array" ref="U4165">IF($D4165="","",IFERROR(_xlfn.XLOOKUP($D4165,'TIR店舗一覧'!$D:$D,'TIR店舗一覧'!$E:$E,""),""))</f>
        <v/>
      </c>
      <c r="V4165" s="54" t="s">
        <v>2</v>
      </c>
      <c r="W4165" s="54" t="s">
        <v>2</v>
      </c>
      <c r="X4165" s="54" t="s">
        <v>2</v>
      </c>
      <c r="Y4165" s="54" t="s">
        <v>2</v>
      </c>
      <c r="Z4165" s="54" t="s">
        <v>2</v>
      </c>
      <c r="AA4165" s="54" t="s">
        <v>2</v>
      </c>
      <c r="AB4165" s="54" t="s">
        <v>2</v>
      </c>
      <c r="AC4165" s="54" t="s">
        <v>2</v>
      </c>
      <c r="AD4165" s="54" t="s">
        <v>2</v>
      </c>
      <c r="AE4165" s="54" t="s">
        <v>2</v>
      </c>
      <c r="AF4165" s="54" t="s">
        <v>2</v>
      </c>
      <c r="AG4165" s="54" t="s">
        <v>2</v>
      </c>
    </row>
    <row r="4166" ht="15.75" customHeight="1">
      <c r="B4166" s="56"/>
      <c r="U4166" s="46" t="str">
        <f t="array" ref="U4166">IF($D4166="","",IFERROR(_xlfn.XLOOKUP($D4166,'TIR店舗一覧'!$D:$D,'TIR店舗一覧'!$E:$E,""),""))</f>
        <v/>
      </c>
      <c r="V4166" s="54" t="s">
        <v>2</v>
      </c>
      <c r="W4166" s="54" t="s">
        <v>2</v>
      </c>
      <c r="X4166" s="54" t="s">
        <v>2</v>
      </c>
      <c r="Y4166" s="54" t="s">
        <v>2</v>
      </c>
      <c r="Z4166" s="54" t="s">
        <v>2</v>
      </c>
      <c r="AA4166" s="54" t="s">
        <v>2</v>
      </c>
      <c r="AB4166" s="54" t="s">
        <v>2</v>
      </c>
      <c r="AC4166" s="54" t="s">
        <v>2</v>
      </c>
      <c r="AD4166" s="54" t="s">
        <v>2</v>
      </c>
      <c r="AE4166" s="54" t="s">
        <v>2</v>
      </c>
      <c r="AF4166" s="54" t="s">
        <v>2</v>
      </c>
      <c r="AG4166" s="54" t="s">
        <v>2</v>
      </c>
    </row>
    <row r="4167" ht="15.75" customHeight="1">
      <c r="B4167" s="56"/>
      <c r="U4167" s="46" t="str">
        <f t="array" ref="U4167">IF($D4167="","",IFERROR(_xlfn.XLOOKUP($D4167,'TIR店舗一覧'!$D:$D,'TIR店舗一覧'!$E:$E,""),""))</f>
        <v/>
      </c>
      <c r="V4167" s="54" t="s">
        <v>2</v>
      </c>
      <c r="W4167" s="54" t="s">
        <v>2</v>
      </c>
      <c r="X4167" s="54" t="s">
        <v>2</v>
      </c>
      <c r="Y4167" s="54" t="s">
        <v>2</v>
      </c>
      <c r="Z4167" s="54" t="s">
        <v>2</v>
      </c>
      <c r="AA4167" s="54" t="s">
        <v>2</v>
      </c>
      <c r="AB4167" s="54" t="s">
        <v>2</v>
      </c>
      <c r="AC4167" s="54" t="s">
        <v>2</v>
      </c>
      <c r="AD4167" s="54" t="s">
        <v>2</v>
      </c>
      <c r="AE4167" s="54" t="s">
        <v>2</v>
      </c>
      <c r="AF4167" s="54" t="s">
        <v>2</v>
      </c>
      <c r="AG4167" s="54" t="s">
        <v>2</v>
      </c>
    </row>
    <row r="4168" ht="15.75" customHeight="1">
      <c r="B4168" s="56"/>
      <c r="U4168" s="46" t="str">
        <f t="array" ref="U4168">IF($D4168="","",IFERROR(_xlfn.XLOOKUP($D4168,'TIR店舗一覧'!$D:$D,'TIR店舗一覧'!$E:$E,""),""))</f>
        <v/>
      </c>
      <c r="V4168" s="54" t="s">
        <v>2</v>
      </c>
      <c r="W4168" s="54" t="s">
        <v>2</v>
      </c>
      <c r="X4168" s="54" t="s">
        <v>2</v>
      </c>
      <c r="Y4168" s="54" t="s">
        <v>2</v>
      </c>
      <c r="Z4168" s="54" t="s">
        <v>2</v>
      </c>
      <c r="AA4168" s="54" t="s">
        <v>2</v>
      </c>
      <c r="AB4168" s="54" t="s">
        <v>2</v>
      </c>
      <c r="AC4168" s="54" t="s">
        <v>2</v>
      </c>
      <c r="AD4168" s="54" t="s">
        <v>2</v>
      </c>
      <c r="AE4168" s="54" t="s">
        <v>2</v>
      </c>
      <c r="AF4168" s="54" t="s">
        <v>2</v>
      </c>
      <c r="AG4168" s="54" t="s">
        <v>2</v>
      </c>
    </row>
    <row r="4169" ht="15.75" customHeight="1">
      <c r="B4169" s="56"/>
      <c r="U4169" s="46" t="str">
        <f t="array" ref="U4169">IF($D4169="","",IFERROR(_xlfn.XLOOKUP($D4169,'TIR店舗一覧'!$D:$D,'TIR店舗一覧'!$E:$E,""),""))</f>
        <v/>
      </c>
      <c r="V4169" s="54" t="s">
        <v>2</v>
      </c>
      <c r="W4169" s="54" t="s">
        <v>2</v>
      </c>
      <c r="X4169" s="54" t="s">
        <v>2</v>
      </c>
      <c r="Y4169" s="54" t="s">
        <v>2</v>
      </c>
      <c r="Z4169" s="54" t="s">
        <v>2</v>
      </c>
      <c r="AA4169" s="54" t="s">
        <v>2</v>
      </c>
      <c r="AB4169" s="54" t="s">
        <v>2</v>
      </c>
      <c r="AC4169" s="54" t="s">
        <v>2</v>
      </c>
      <c r="AD4169" s="54" t="s">
        <v>2</v>
      </c>
      <c r="AE4169" s="54" t="s">
        <v>2</v>
      </c>
      <c r="AF4169" s="54" t="s">
        <v>2</v>
      </c>
      <c r="AG4169" s="54" t="s">
        <v>2</v>
      </c>
    </row>
    <row r="4170" ht="15.75" customHeight="1">
      <c r="B4170" s="56"/>
      <c r="U4170" s="46" t="str">
        <f t="array" ref="U4170">IF($D4170="","",IFERROR(_xlfn.XLOOKUP($D4170,'TIR店舗一覧'!$D:$D,'TIR店舗一覧'!$E:$E,""),""))</f>
        <v/>
      </c>
      <c r="V4170" s="54" t="s">
        <v>2</v>
      </c>
      <c r="W4170" s="54" t="s">
        <v>2</v>
      </c>
      <c r="X4170" s="54" t="s">
        <v>2</v>
      </c>
      <c r="Y4170" s="54" t="s">
        <v>2</v>
      </c>
      <c r="Z4170" s="54" t="s">
        <v>2</v>
      </c>
      <c r="AA4170" s="54" t="s">
        <v>2</v>
      </c>
      <c r="AB4170" s="54" t="s">
        <v>2</v>
      </c>
      <c r="AC4170" s="54" t="s">
        <v>2</v>
      </c>
      <c r="AD4170" s="54" t="s">
        <v>2</v>
      </c>
      <c r="AE4170" s="54" t="s">
        <v>2</v>
      </c>
      <c r="AF4170" s="54" t="s">
        <v>2</v>
      </c>
      <c r="AG4170" s="54" t="s">
        <v>2</v>
      </c>
    </row>
    <row r="4171" ht="15.75" customHeight="1">
      <c r="B4171" s="56"/>
      <c r="U4171" s="46" t="str">
        <f t="array" ref="U4171">IF($D4171="","",IFERROR(_xlfn.XLOOKUP($D4171,'TIR店舗一覧'!$D:$D,'TIR店舗一覧'!$E:$E,""),""))</f>
        <v/>
      </c>
      <c r="V4171" s="54" t="s">
        <v>2</v>
      </c>
      <c r="W4171" s="54" t="s">
        <v>2</v>
      </c>
      <c r="X4171" s="54" t="s">
        <v>2</v>
      </c>
      <c r="Y4171" s="54" t="s">
        <v>2</v>
      </c>
      <c r="Z4171" s="54" t="s">
        <v>2</v>
      </c>
      <c r="AA4171" s="54" t="s">
        <v>2</v>
      </c>
      <c r="AB4171" s="54" t="s">
        <v>2</v>
      </c>
      <c r="AC4171" s="54" t="s">
        <v>2</v>
      </c>
      <c r="AD4171" s="54" t="s">
        <v>2</v>
      </c>
      <c r="AE4171" s="54" t="s">
        <v>2</v>
      </c>
      <c r="AF4171" s="54" t="s">
        <v>2</v>
      </c>
      <c r="AG4171" s="54" t="s">
        <v>2</v>
      </c>
    </row>
    <row r="4172" ht="15.75" customHeight="1">
      <c r="B4172" s="56"/>
      <c r="U4172" s="46" t="str">
        <f t="array" ref="U4172">IF($D4172="","",IFERROR(_xlfn.XLOOKUP($D4172,'TIR店舗一覧'!$D:$D,'TIR店舗一覧'!$E:$E,""),""))</f>
        <v/>
      </c>
      <c r="V4172" s="54" t="s">
        <v>2</v>
      </c>
      <c r="W4172" s="54" t="s">
        <v>2</v>
      </c>
      <c r="X4172" s="54" t="s">
        <v>2</v>
      </c>
      <c r="Y4172" s="54" t="s">
        <v>2</v>
      </c>
      <c r="Z4172" s="54" t="s">
        <v>2</v>
      </c>
      <c r="AA4172" s="54" t="s">
        <v>2</v>
      </c>
      <c r="AB4172" s="54" t="s">
        <v>2</v>
      </c>
      <c r="AC4172" s="54" t="s">
        <v>2</v>
      </c>
      <c r="AD4172" s="54" t="s">
        <v>2</v>
      </c>
      <c r="AE4172" s="54" t="s">
        <v>2</v>
      </c>
      <c r="AF4172" s="54" t="s">
        <v>2</v>
      </c>
      <c r="AG4172" s="54" t="s">
        <v>2</v>
      </c>
    </row>
    <row r="4173" ht="15.75" customHeight="1">
      <c r="B4173" s="56"/>
      <c r="U4173" s="46" t="str">
        <f t="array" ref="U4173">IF($D4173="","",IFERROR(_xlfn.XLOOKUP($D4173,'TIR店舗一覧'!$D:$D,'TIR店舗一覧'!$E:$E,""),""))</f>
        <v/>
      </c>
      <c r="V4173" s="54" t="s">
        <v>2</v>
      </c>
      <c r="W4173" s="54" t="s">
        <v>2</v>
      </c>
      <c r="X4173" s="54" t="s">
        <v>2</v>
      </c>
      <c r="Y4173" s="54" t="s">
        <v>2</v>
      </c>
      <c r="Z4173" s="54" t="s">
        <v>2</v>
      </c>
      <c r="AA4173" s="54" t="s">
        <v>2</v>
      </c>
      <c r="AB4173" s="54" t="s">
        <v>2</v>
      </c>
      <c r="AC4173" s="54" t="s">
        <v>2</v>
      </c>
      <c r="AD4173" s="54" t="s">
        <v>2</v>
      </c>
      <c r="AE4173" s="54" t="s">
        <v>2</v>
      </c>
      <c r="AF4173" s="54" t="s">
        <v>2</v>
      </c>
      <c r="AG4173" s="54" t="s">
        <v>2</v>
      </c>
    </row>
    <row r="4174" ht="15.75" customHeight="1">
      <c r="B4174" s="56"/>
      <c r="U4174" s="46" t="str">
        <f t="array" ref="U4174">IF($D4174="","",IFERROR(_xlfn.XLOOKUP($D4174,'TIR店舗一覧'!$D:$D,'TIR店舗一覧'!$E:$E,""),""))</f>
        <v/>
      </c>
      <c r="V4174" s="54" t="s">
        <v>2</v>
      </c>
      <c r="W4174" s="54" t="s">
        <v>2</v>
      </c>
      <c r="X4174" s="54" t="s">
        <v>2</v>
      </c>
      <c r="Y4174" s="54" t="s">
        <v>2</v>
      </c>
      <c r="Z4174" s="54" t="s">
        <v>2</v>
      </c>
      <c r="AA4174" s="54" t="s">
        <v>2</v>
      </c>
      <c r="AB4174" s="54" t="s">
        <v>2</v>
      </c>
      <c r="AC4174" s="54" t="s">
        <v>2</v>
      </c>
      <c r="AD4174" s="54" t="s">
        <v>2</v>
      </c>
      <c r="AE4174" s="54" t="s">
        <v>2</v>
      </c>
      <c r="AF4174" s="54" t="s">
        <v>2</v>
      </c>
      <c r="AG4174" s="54" t="s">
        <v>2</v>
      </c>
    </row>
    <row r="4175" ht="15.75" customHeight="1">
      <c r="B4175" s="56"/>
      <c r="U4175" s="46" t="str">
        <f t="array" ref="U4175">IF($D4175="","",IFERROR(_xlfn.XLOOKUP($D4175,'TIR店舗一覧'!$D:$D,'TIR店舗一覧'!$E:$E,""),""))</f>
        <v/>
      </c>
      <c r="V4175" s="54" t="s">
        <v>2</v>
      </c>
      <c r="W4175" s="54" t="s">
        <v>2</v>
      </c>
      <c r="X4175" s="54" t="s">
        <v>2</v>
      </c>
      <c r="Y4175" s="54" t="s">
        <v>2</v>
      </c>
      <c r="Z4175" s="54" t="s">
        <v>2</v>
      </c>
      <c r="AA4175" s="54" t="s">
        <v>2</v>
      </c>
      <c r="AB4175" s="54" t="s">
        <v>2</v>
      </c>
      <c r="AC4175" s="54" t="s">
        <v>2</v>
      </c>
      <c r="AD4175" s="54" t="s">
        <v>2</v>
      </c>
      <c r="AE4175" s="54" t="s">
        <v>2</v>
      </c>
      <c r="AF4175" s="54" t="s">
        <v>2</v>
      </c>
      <c r="AG4175" s="54" t="s">
        <v>2</v>
      </c>
    </row>
    <row r="4176" ht="15.75" customHeight="1">
      <c r="B4176" s="56"/>
      <c r="U4176" s="46" t="str">
        <f t="array" ref="U4176">IF($D4176="","",IFERROR(_xlfn.XLOOKUP($D4176,'TIR店舗一覧'!$D:$D,'TIR店舗一覧'!$E:$E,""),""))</f>
        <v/>
      </c>
      <c r="V4176" s="54" t="s">
        <v>2</v>
      </c>
      <c r="W4176" s="54" t="s">
        <v>2</v>
      </c>
      <c r="X4176" s="54" t="s">
        <v>2</v>
      </c>
      <c r="Y4176" s="54" t="s">
        <v>2</v>
      </c>
      <c r="Z4176" s="54" t="s">
        <v>2</v>
      </c>
      <c r="AA4176" s="54" t="s">
        <v>2</v>
      </c>
      <c r="AB4176" s="54" t="s">
        <v>2</v>
      </c>
      <c r="AC4176" s="54" t="s">
        <v>2</v>
      </c>
      <c r="AD4176" s="54" t="s">
        <v>2</v>
      </c>
      <c r="AE4176" s="54" t="s">
        <v>2</v>
      </c>
      <c r="AF4176" s="54" t="s">
        <v>2</v>
      </c>
      <c r="AG4176" s="54" t="s">
        <v>2</v>
      </c>
    </row>
    <row r="4177" ht="15.75" customHeight="1">
      <c r="B4177" s="56"/>
      <c r="U4177" s="46" t="str">
        <f t="array" ref="U4177">IF($D4177="","",IFERROR(_xlfn.XLOOKUP($D4177,'TIR店舗一覧'!$D:$D,'TIR店舗一覧'!$E:$E,""),""))</f>
        <v/>
      </c>
      <c r="V4177" s="54" t="s">
        <v>2</v>
      </c>
      <c r="W4177" s="54" t="s">
        <v>2</v>
      </c>
      <c r="X4177" s="54" t="s">
        <v>2</v>
      </c>
      <c r="Y4177" s="54" t="s">
        <v>2</v>
      </c>
      <c r="Z4177" s="54" t="s">
        <v>2</v>
      </c>
      <c r="AA4177" s="54" t="s">
        <v>2</v>
      </c>
      <c r="AB4177" s="54" t="s">
        <v>2</v>
      </c>
      <c r="AC4177" s="54" t="s">
        <v>2</v>
      </c>
      <c r="AD4177" s="54" t="s">
        <v>2</v>
      </c>
      <c r="AE4177" s="54" t="s">
        <v>2</v>
      </c>
      <c r="AF4177" s="54" t="s">
        <v>2</v>
      </c>
      <c r="AG4177" s="54" t="s">
        <v>2</v>
      </c>
    </row>
    <row r="4178" ht="15.75" customHeight="1">
      <c r="B4178" s="56"/>
      <c r="U4178" s="46" t="str">
        <f t="array" ref="U4178">IF($D4178="","",IFERROR(_xlfn.XLOOKUP($D4178,'TIR店舗一覧'!$D:$D,'TIR店舗一覧'!$E:$E,""),""))</f>
        <v/>
      </c>
      <c r="V4178" s="54" t="s">
        <v>2</v>
      </c>
      <c r="W4178" s="54" t="s">
        <v>2</v>
      </c>
      <c r="X4178" s="54" t="s">
        <v>2</v>
      </c>
      <c r="Y4178" s="54" t="s">
        <v>2</v>
      </c>
      <c r="Z4178" s="54" t="s">
        <v>2</v>
      </c>
      <c r="AA4178" s="54" t="s">
        <v>2</v>
      </c>
      <c r="AB4178" s="54" t="s">
        <v>2</v>
      </c>
      <c r="AC4178" s="54" t="s">
        <v>2</v>
      </c>
      <c r="AD4178" s="54" t="s">
        <v>2</v>
      </c>
      <c r="AE4178" s="54" t="s">
        <v>2</v>
      </c>
      <c r="AF4178" s="54" t="s">
        <v>2</v>
      </c>
      <c r="AG4178" s="54" t="s">
        <v>2</v>
      </c>
    </row>
    <row r="4179" ht="15.75" customHeight="1">
      <c r="B4179" s="56"/>
      <c r="U4179" s="46" t="str">
        <f t="array" ref="U4179">IF($D4179="","",IFERROR(_xlfn.XLOOKUP($D4179,'TIR店舗一覧'!$D:$D,'TIR店舗一覧'!$E:$E,""),""))</f>
        <v/>
      </c>
      <c r="V4179" s="54" t="s">
        <v>2</v>
      </c>
      <c r="W4179" s="54" t="s">
        <v>2</v>
      </c>
      <c r="X4179" s="54" t="s">
        <v>2</v>
      </c>
      <c r="Y4179" s="54" t="s">
        <v>2</v>
      </c>
      <c r="Z4179" s="54" t="s">
        <v>2</v>
      </c>
      <c r="AA4179" s="54" t="s">
        <v>2</v>
      </c>
      <c r="AB4179" s="54" t="s">
        <v>2</v>
      </c>
      <c r="AC4179" s="54" t="s">
        <v>2</v>
      </c>
      <c r="AD4179" s="54" t="s">
        <v>2</v>
      </c>
      <c r="AE4179" s="54" t="s">
        <v>2</v>
      </c>
      <c r="AF4179" s="54" t="s">
        <v>2</v>
      </c>
      <c r="AG4179" s="54" t="s">
        <v>2</v>
      </c>
    </row>
    <row r="4180" ht="15.75" customHeight="1">
      <c r="B4180" s="56"/>
      <c r="U4180" s="46" t="str">
        <f t="array" ref="U4180">IF($D4180="","",IFERROR(_xlfn.XLOOKUP($D4180,'TIR店舗一覧'!$D:$D,'TIR店舗一覧'!$E:$E,""),""))</f>
        <v/>
      </c>
      <c r="V4180" s="54" t="s">
        <v>2</v>
      </c>
      <c r="W4180" s="54" t="s">
        <v>2</v>
      </c>
      <c r="X4180" s="54" t="s">
        <v>2</v>
      </c>
      <c r="Y4180" s="54" t="s">
        <v>2</v>
      </c>
      <c r="Z4180" s="54" t="s">
        <v>2</v>
      </c>
      <c r="AA4180" s="54" t="s">
        <v>2</v>
      </c>
      <c r="AB4180" s="54" t="s">
        <v>2</v>
      </c>
      <c r="AC4180" s="54" t="s">
        <v>2</v>
      </c>
      <c r="AD4180" s="54" t="s">
        <v>2</v>
      </c>
      <c r="AE4180" s="54" t="s">
        <v>2</v>
      </c>
      <c r="AF4180" s="54" t="s">
        <v>2</v>
      </c>
      <c r="AG4180" s="54" t="s">
        <v>2</v>
      </c>
    </row>
    <row r="4181" ht="15.75" customHeight="1">
      <c r="B4181" s="56"/>
      <c r="U4181" s="46" t="str">
        <f t="array" ref="U4181">IF($D4181="","",IFERROR(_xlfn.XLOOKUP($D4181,'TIR店舗一覧'!$D:$D,'TIR店舗一覧'!$E:$E,""),""))</f>
        <v/>
      </c>
      <c r="V4181" s="54" t="s">
        <v>2</v>
      </c>
      <c r="W4181" s="54" t="s">
        <v>2</v>
      </c>
      <c r="X4181" s="54" t="s">
        <v>2</v>
      </c>
      <c r="Y4181" s="54" t="s">
        <v>2</v>
      </c>
      <c r="Z4181" s="54" t="s">
        <v>2</v>
      </c>
      <c r="AA4181" s="54" t="s">
        <v>2</v>
      </c>
      <c r="AB4181" s="54" t="s">
        <v>2</v>
      </c>
      <c r="AC4181" s="54" t="s">
        <v>2</v>
      </c>
      <c r="AD4181" s="54" t="s">
        <v>2</v>
      </c>
      <c r="AE4181" s="54" t="s">
        <v>2</v>
      </c>
      <c r="AF4181" s="54" t="s">
        <v>2</v>
      </c>
      <c r="AG4181" s="54" t="s">
        <v>2</v>
      </c>
    </row>
    <row r="4182" ht="15.75" customHeight="1">
      <c r="B4182" s="56"/>
      <c r="U4182" s="46" t="str">
        <f t="array" ref="U4182">IF($D4182="","",IFERROR(_xlfn.XLOOKUP($D4182,'TIR店舗一覧'!$D:$D,'TIR店舗一覧'!$E:$E,""),""))</f>
        <v/>
      </c>
      <c r="V4182" s="54" t="s">
        <v>2</v>
      </c>
      <c r="W4182" s="54" t="s">
        <v>2</v>
      </c>
      <c r="X4182" s="54" t="s">
        <v>2</v>
      </c>
      <c r="Y4182" s="54" t="s">
        <v>2</v>
      </c>
      <c r="Z4182" s="54" t="s">
        <v>2</v>
      </c>
      <c r="AA4182" s="54" t="s">
        <v>2</v>
      </c>
      <c r="AB4182" s="54" t="s">
        <v>2</v>
      </c>
      <c r="AC4182" s="54" t="s">
        <v>2</v>
      </c>
      <c r="AD4182" s="54" t="s">
        <v>2</v>
      </c>
      <c r="AE4182" s="54" t="s">
        <v>2</v>
      </c>
      <c r="AF4182" s="54" t="s">
        <v>2</v>
      </c>
      <c r="AG4182" s="54" t="s">
        <v>2</v>
      </c>
    </row>
    <row r="4183" ht="15.75" customHeight="1">
      <c r="B4183" s="56"/>
      <c r="U4183" s="46" t="str">
        <f t="array" ref="U4183">IF($D4183="","",IFERROR(_xlfn.XLOOKUP($D4183,'TIR店舗一覧'!$D:$D,'TIR店舗一覧'!$E:$E,""),""))</f>
        <v/>
      </c>
      <c r="V4183" s="54" t="s">
        <v>2</v>
      </c>
      <c r="W4183" s="54" t="s">
        <v>2</v>
      </c>
      <c r="X4183" s="54" t="s">
        <v>2</v>
      </c>
      <c r="Y4183" s="54" t="s">
        <v>2</v>
      </c>
      <c r="Z4183" s="54" t="s">
        <v>2</v>
      </c>
      <c r="AA4183" s="54" t="s">
        <v>2</v>
      </c>
      <c r="AB4183" s="54" t="s">
        <v>2</v>
      </c>
      <c r="AC4183" s="54" t="s">
        <v>2</v>
      </c>
      <c r="AD4183" s="54" t="s">
        <v>2</v>
      </c>
      <c r="AE4183" s="54" t="s">
        <v>2</v>
      </c>
      <c r="AF4183" s="54" t="s">
        <v>2</v>
      </c>
      <c r="AG4183" s="54" t="s">
        <v>2</v>
      </c>
    </row>
    <row r="4184" ht="15.75" customHeight="1">
      <c r="B4184" s="56"/>
      <c r="U4184" s="46" t="str">
        <f t="array" ref="U4184">IF($D4184="","",IFERROR(_xlfn.XLOOKUP($D4184,'TIR店舗一覧'!$D:$D,'TIR店舗一覧'!$E:$E,""),""))</f>
        <v/>
      </c>
      <c r="V4184" s="54" t="s">
        <v>2</v>
      </c>
      <c r="W4184" s="54" t="s">
        <v>2</v>
      </c>
      <c r="X4184" s="54" t="s">
        <v>2</v>
      </c>
      <c r="Y4184" s="54" t="s">
        <v>2</v>
      </c>
      <c r="Z4184" s="54" t="s">
        <v>2</v>
      </c>
      <c r="AA4184" s="54" t="s">
        <v>2</v>
      </c>
      <c r="AB4184" s="54" t="s">
        <v>2</v>
      </c>
      <c r="AC4184" s="54" t="s">
        <v>2</v>
      </c>
      <c r="AD4184" s="54" t="s">
        <v>2</v>
      </c>
      <c r="AE4184" s="54" t="s">
        <v>2</v>
      </c>
      <c r="AF4184" s="54" t="s">
        <v>2</v>
      </c>
      <c r="AG4184" s="54" t="s">
        <v>2</v>
      </c>
    </row>
    <row r="4185" ht="15.75" customHeight="1">
      <c r="B4185" s="56"/>
      <c r="U4185" s="46" t="str">
        <f t="array" ref="U4185">IF($D4185="","",IFERROR(_xlfn.XLOOKUP($D4185,'TIR店舗一覧'!$D:$D,'TIR店舗一覧'!$E:$E,""),""))</f>
        <v/>
      </c>
      <c r="V4185" s="54" t="s">
        <v>2</v>
      </c>
      <c r="W4185" s="54" t="s">
        <v>2</v>
      </c>
      <c r="X4185" s="54" t="s">
        <v>2</v>
      </c>
      <c r="Y4185" s="54" t="s">
        <v>2</v>
      </c>
      <c r="Z4185" s="54" t="s">
        <v>2</v>
      </c>
      <c r="AA4185" s="54" t="s">
        <v>2</v>
      </c>
      <c r="AB4185" s="54" t="s">
        <v>2</v>
      </c>
      <c r="AC4185" s="54" t="s">
        <v>2</v>
      </c>
      <c r="AD4185" s="54" t="s">
        <v>2</v>
      </c>
      <c r="AE4185" s="54" t="s">
        <v>2</v>
      </c>
      <c r="AF4185" s="54" t="s">
        <v>2</v>
      </c>
      <c r="AG4185" s="54" t="s">
        <v>2</v>
      </c>
    </row>
    <row r="4186" ht="15.75" customHeight="1">
      <c r="B4186" s="56"/>
      <c r="U4186" s="46" t="str">
        <f t="array" ref="U4186">IF($D4186="","",IFERROR(_xlfn.XLOOKUP($D4186,'TIR店舗一覧'!$D:$D,'TIR店舗一覧'!$E:$E,""),""))</f>
        <v/>
      </c>
      <c r="V4186" s="54" t="s">
        <v>2</v>
      </c>
      <c r="W4186" s="54" t="s">
        <v>2</v>
      </c>
      <c r="X4186" s="54" t="s">
        <v>2</v>
      </c>
      <c r="Y4186" s="54" t="s">
        <v>2</v>
      </c>
      <c r="Z4186" s="54" t="s">
        <v>2</v>
      </c>
      <c r="AA4186" s="54" t="s">
        <v>2</v>
      </c>
      <c r="AB4186" s="54" t="s">
        <v>2</v>
      </c>
      <c r="AC4186" s="54" t="s">
        <v>2</v>
      </c>
      <c r="AD4186" s="54" t="s">
        <v>2</v>
      </c>
      <c r="AE4186" s="54" t="s">
        <v>2</v>
      </c>
      <c r="AF4186" s="54" t="s">
        <v>2</v>
      </c>
      <c r="AG4186" s="54" t="s">
        <v>2</v>
      </c>
    </row>
    <row r="4187" ht="15.75" customHeight="1">
      <c r="B4187" s="56"/>
      <c r="U4187" s="46" t="str">
        <f t="array" ref="U4187">IF($D4187="","",IFERROR(_xlfn.XLOOKUP($D4187,'TIR店舗一覧'!$D:$D,'TIR店舗一覧'!$E:$E,""),""))</f>
        <v/>
      </c>
      <c r="V4187" s="54" t="s">
        <v>2</v>
      </c>
      <c r="W4187" s="54" t="s">
        <v>2</v>
      </c>
      <c r="X4187" s="54" t="s">
        <v>2</v>
      </c>
      <c r="Y4187" s="54" t="s">
        <v>2</v>
      </c>
      <c r="Z4187" s="54" t="s">
        <v>2</v>
      </c>
      <c r="AA4187" s="54" t="s">
        <v>2</v>
      </c>
      <c r="AB4187" s="54" t="s">
        <v>2</v>
      </c>
      <c r="AC4187" s="54" t="s">
        <v>2</v>
      </c>
      <c r="AD4187" s="54" t="s">
        <v>2</v>
      </c>
      <c r="AE4187" s="54" t="s">
        <v>2</v>
      </c>
      <c r="AF4187" s="54" t="s">
        <v>2</v>
      </c>
      <c r="AG4187" s="54" t="s">
        <v>2</v>
      </c>
    </row>
    <row r="4188" ht="15.75" customHeight="1">
      <c r="B4188" s="56"/>
      <c r="U4188" s="46" t="str">
        <f t="array" ref="U4188">IF($D4188="","",IFERROR(_xlfn.XLOOKUP($D4188,'TIR店舗一覧'!$D:$D,'TIR店舗一覧'!$E:$E,""),""))</f>
        <v/>
      </c>
      <c r="V4188" s="54" t="s">
        <v>2</v>
      </c>
      <c r="W4188" s="54" t="s">
        <v>2</v>
      </c>
      <c r="X4188" s="54" t="s">
        <v>2</v>
      </c>
      <c r="Y4188" s="54" t="s">
        <v>2</v>
      </c>
      <c r="Z4188" s="54" t="s">
        <v>2</v>
      </c>
      <c r="AA4188" s="54" t="s">
        <v>2</v>
      </c>
      <c r="AB4188" s="54" t="s">
        <v>2</v>
      </c>
      <c r="AC4188" s="54" t="s">
        <v>2</v>
      </c>
      <c r="AD4188" s="54" t="s">
        <v>2</v>
      </c>
      <c r="AE4188" s="54" t="s">
        <v>2</v>
      </c>
      <c r="AF4188" s="54" t="s">
        <v>2</v>
      </c>
      <c r="AG4188" s="54" t="s">
        <v>2</v>
      </c>
    </row>
    <row r="4189" ht="15.75" customHeight="1">
      <c r="B4189" s="56"/>
      <c r="U4189" s="46" t="str">
        <f t="array" ref="U4189">IF($D4189="","",IFERROR(_xlfn.XLOOKUP($D4189,'TIR店舗一覧'!$D:$D,'TIR店舗一覧'!$E:$E,""),""))</f>
        <v/>
      </c>
      <c r="V4189" s="54" t="s">
        <v>2</v>
      </c>
      <c r="W4189" s="54" t="s">
        <v>2</v>
      </c>
      <c r="X4189" s="54" t="s">
        <v>2</v>
      </c>
      <c r="Y4189" s="54" t="s">
        <v>2</v>
      </c>
      <c r="Z4189" s="54" t="s">
        <v>2</v>
      </c>
      <c r="AA4189" s="54" t="s">
        <v>2</v>
      </c>
      <c r="AB4189" s="54" t="s">
        <v>2</v>
      </c>
      <c r="AC4189" s="54" t="s">
        <v>2</v>
      </c>
      <c r="AD4189" s="54" t="s">
        <v>2</v>
      </c>
      <c r="AE4189" s="54" t="s">
        <v>2</v>
      </c>
      <c r="AF4189" s="54" t="s">
        <v>2</v>
      </c>
      <c r="AG4189" s="54" t="s">
        <v>2</v>
      </c>
    </row>
    <row r="4190" ht="15.75" customHeight="1">
      <c r="B4190" s="56"/>
      <c r="U4190" s="46" t="str">
        <f t="array" ref="U4190">IF($D4190="","",IFERROR(_xlfn.XLOOKUP($D4190,'TIR店舗一覧'!$D:$D,'TIR店舗一覧'!$E:$E,""),""))</f>
        <v/>
      </c>
      <c r="V4190" s="54" t="s">
        <v>2</v>
      </c>
      <c r="W4190" s="54" t="s">
        <v>2</v>
      </c>
      <c r="X4190" s="54" t="s">
        <v>2</v>
      </c>
      <c r="Y4190" s="54" t="s">
        <v>2</v>
      </c>
      <c r="Z4190" s="54" t="s">
        <v>2</v>
      </c>
      <c r="AA4190" s="54" t="s">
        <v>2</v>
      </c>
      <c r="AB4190" s="54" t="s">
        <v>2</v>
      </c>
      <c r="AC4190" s="54" t="s">
        <v>2</v>
      </c>
      <c r="AD4190" s="54" t="s">
        <v>2</v>
      </c>
      <c r="AE4190" s="54" t="s">
        <v>2</v>
      </c>
      <c r="AF4190" s="54" t="s">
        <v>2</v>
      </c>
      <c r="AG4190" s="54" t="s">
        <v>2</v>
      </c>
    </row>
    <row r="4191" ht="15.75" customHeight="1">
      <c r="B4191" s="56"/>
      <c r="U4191" s="46" t="str">
        <f t="array" ref="U4191">IF($D4191="","",IFERROR(_xlfn.XLOOKUP($D4191,'TIR店舗一覧'!$D:$D,'TIR店舗一覧'!$E:$E,""),""))</f>
        <v/>
      </c>
      <c r="V4191" s="54" t="s">
        <v>2</v>
      </c>
      <c r="W4191" s="54" t="s">
        <v>2</v>
      </c>
      <c r="X4191" s="54" t="s">
        <v>2</v>
      </c>
      <c r="Y4191" s="54" t="s">
        <v>2</v>
      </c>
      <c r="Z4191" s="54" t="s">
        <v>2</v>
      </c>
      <c r="AA4191" s="54" t="s">
        <v>2</v>
      </c>
      <c r="AB4191" s="54" t="s">
        <v>2</v>
      </c>
      <c r="AC4191" s="54" t="s">
        <v>2</v>
      </c>
      <c r="AD4191" s="54" t="s">
        <v>2</v>
      </c>
      <c r="AE4191" s="54" t="s">
        <v>2</v>
      </c>
      <c r="AF4191" s="54" t="s">
        <v>2</v>
      </c>
      <c r="AG4191" s="54" t="s">
        <v>2</v>
      </c>
    </row>
    <row r="4192" ht="15.75" customHeight="1">
      <c r="B4192" s="56"/>
      <c r="U4192" s="46" t="str">
        <f t="array" ref="U4192">IF($D4192="","",IFERROR(_xlfn.XLOOKUP($D4192,'TIR店舗一覧'!$D:$D,'TIR店舗一覧'!$E:$E,""),""))</f>
        <v/>
      </c>
      <c r="V4192" s="54" t="s">
        <v>2</v>
      </c>
      <c r="W4192" s="54" t="s">
        <v>2</v>
      </c>
      <c r="X4192" s="54" t="s">
        <v>2</v>
      </c>
      <c r="Y4192" s="54" t="s">
        <v>2</v>
      </c>
      <c r="Z4192" s="54" t="s">
        <v>2</v>
      </c>
      <c r="AA4192" s="54" t="s">
        <v>2</v>
      </c>
      <c r="AB4192" s="54" t="s">
        <v>2</v>
      </c>
      <c r="AC4192" s="54" t="s">
        <v>2</v>
      </c>
      <c r="AD4192" s="54" t="s">
        <v>2</v>
      </c>
      <c r="AE4192" s="54" t="s">
        <v>2</v>
      </c>
      <c r="AF4192" s="54" t="s">
        <v>2</v>
      </c>
      <c r="AG4192" s="54" t="s">
        <v>2</v>
      </c>
    </row>
    <row r="4193" ht="15.75" customHeight="1">
      <c r="B4193" s="56"/>
      <c r="U4193" s="46" t="str">
        <f t="array" ref="U4193">IF($D4193="","",IFERROR(_xlfn.XLOOKUP($D4193,'TIR店舗一覧'!$D:$D,'TIR店舗一覧'!$E:$E,""),""))</f>
        <v/>
      </c>
      <c r="V4193" s="54" t="s">
        <v>2</v>
      </c>
      <c r="W4193" s="54" t="s">
        <v>2</v>
      </c>
      <c r="X4193" s="54" t="s">
        <v>2</v>
      </c>
      <c r="Y4193" s="54" t="s">
        <v>2</v>
      </c>
      <c r="Z4193" s="54" t="s">
        <v>2</v>
      </c>
      <c r="AA4193" s="54" t="s">
        <v>2</v>
      </c>
      <c r="AB4193" s="54" t="s">
        <v>2</v>
      </c>
      <c r="AC4193" s="54" t="s">
        <v>2</v>
      </c>
      <c r="AD4193" s="54" t="s">
        <v>2</v>
      </c>
      <c r="AE4193" s="54" t="s">
        <v>2</v>
      </c>
      <c r="AF4193" s="54" t="s">
        <v>2</v>
      </c>
      <c r="AG4193" s="54" t="s">
        <v>2</v>
      </c>
    </row>
    <row r="4194" ht="15.75" customHeight="1">
      <c r="B4194" s="56"/>
      <c r="U4194" s="46" t="str">
        <f t="array" ref="U4194">IF($D4194="","",IFERROR(_xlfn.XLOOKUP($D4194,'TIR店舗一覧'!$D:$D,'TIR店舗一覧'!$E:$E,""),""))</f>
        <v/>
      </c>
      <c r="V4194" s="54" t="s">
        <v>2</v>
      </c>
      <c r="W4194" s="54" t="s">
        <v>2</v>
      </c>
      <c r="X4194" s="54" t="s">
        <v>2</v>
      </c>
      <c r="Y4194" s="54" t="s">
        <v>2</v>
      </c>
      <c r="Z4194" s="54" t="s">
        <v>2</v>
      </c>
      <c r="AA4194" s="54" t="s">
        <v>2</v>
      </c>
      <c r="AB4194" s="54" t="s">
        <v>2</v>
      </c>
      <c r="AC4194" s="54" t="s">
        <v>2</v>
      </c>
      <c r="AD4194" s="54" t="s">
        <v>2</v>
      </c>
      <c r="AE4194" s="54" t="s">
        <v>2</v>
      </c>
      <c r="AF4194" s="54" t="s">
        <v>2</v>
      </c>
      <c r="AG4194" s="54" t="s">
        <v>2</v>
      </c>
    </row>
    <row r="4195" ht="15.75" customHeight="1">
      <c r="B4195" s="56"/>
      <c r="U4195" s="46" t="str">
        <f t="array" ref="U4195">IF($D4195="","",IFERROR(_xlfn.XLOOKUP($D4195,'TIR店舗一覧'!$D:$D,'TIR店舗一覧'!$E:$E,""),""))</f>
        <v/>
      </c>
      <c r="V4195" s="54" t="s">
        <v>2</v>
      </c>
      <c r="W4195" s="54" t="s">
        <v>2</v>
      </c>
      <c r="X4195" s="54" t="s">
        <v>2</v>
      </c>
      <c r="Y4195" s="54" t="s">
        <v>2</v>
      </c>
      <c r="Z4195" s="54" t="s">
        <v>2</v>
      </c>
      <c r="AA4195" s="54" t="s">
        <v>2</v>
      </c>
      <c r="AB4195" s="54" t="s">
        <v>2</v>
      </c>
      <c r="AC4195" s="54" t="s">
        <v>2</v>
      </c>
      <c r="AD4195" s="54" t="s">
        <v>2</v>
      </c>
      <c r="AE4195" s="54" t="s">
        <v>2</v>
      </c>
      <c r="AF4195" s="54" t="s">
        <v>2</v>
      </c>
      <c r="AG4195" s="54" t="s">
        <v>2</v>
      </c>
    </row>
    <row r="4196" ht="15.75" customHeight="1">
      <c r="B4196" s="56"/>
      <c r="U4196" s="46" t="str">
        <f t="array" ref="U4196">IF($D4196="","",IFERROR(_xlfn.XLOOKUP($D4196,'TIR店舗一覧'!$D:$D,'TIR店舗一覧'!$E:$E,""),""))</f>
        <v/>
      </c>
      <c r="V4196" s="54" t="s">
        <v>2</v>
      </c>
      <c r="W4196" s="54" t="s">
        <v>2</v>
      </c>
      <c r="X4196" s="54" t="s">
        <v>2</v>
      </c>
      <c r="Y4196" s="54" t="s">
        <v>2</v>
      </c>
      <c r="Z4196" s="54" t="s">
        <v>2</v>
      </c>
      <c r="AA4196" s="54" t="s">
        <v>2</v>
      </c>
      <c r="AB4196" s="54" t="s">
        <v>2</v>
      </c>
      <c r="AC4196" s="54" t="s">
        <v>2</v>
      </c>
      <c r="AD4196" s="54" t="s">
        <v>2</v>
      </c>
      <c r="AE4196" s="54" t="s">
        <v>2</v>
      </c>
      <c r="AF4196" s="54" t="s">
        <v>2</v>
      </c>
      <c r="AG4196" s="54" t="s">
        <v>2</v>
      </c>
    </row>
    <row r="4197" ht="15.75" customHeight="1">
      <c r="B4197" s="56"/>
      <c r="U4197" s="46" t="str">
        <f t="array" ref="U4197">IF($D4197="","",IFERROR(_xlfn.XLOOKUP($D4197,'TIR店舗一覧'!$D:$D,'TIR店舗一覧'!$E:$E,""),""))</f>
        <v/>
      </c>
      <c r="V4197" s="54" t="s">
        <v>2</v>
      </c>
      <c r="W4197" s="54" t="s">
        <v>2</v>
      </c>
      <c r="X4197" s="54" t="s">
        <v>2</v>
      </c>
      <c r="Y4197" s="54" t="s">
        <v>2</v>
      </c>
      <c r="Z4197" s="54" t="s">
        <v>2</v>
      </c>
      <c r="AA4197" s="54" t="s">
        <v>2</v>
      </c>
      <c r="AB4197" s="54" t="s">
        <v>2</v>
      </c>
      <c r="AC4197" s="54" t="s">
        <v>2</v>
      </c>
      <c r="AD4197" s="54" t="s">
        <v>2</v>
      </c>
      <c r="AE4197" s="54" t="s">
        <v>2</v>
      </c>
      <c r="AF4197" s="54" t="s">
        <v>2</v>
      </c>
      <c r="AG4197" s="54" t="s">
        <v>2</v>
      </c>
    </row>
    <row r="4198" ht="15.75" customHeight="1">
      <c r="B4198" s="56"/>
      <c r="U4198" s="46" t="str">
        <f t="array" ref="U4198">IF($D4198="","",IFERROR(_xlfn.XLOOKUP($D4198,'TIR店舗一覧'!$D:$D,'TIR店舗一覧'!$E:$E,""),""))</f>
        <v/>
      </c>
      <c r="V4198" s="54" t="s">
        <v>2</v>
      </c>
      <c r="W4198" s="54" t="s">
        <v>2</v>
      </c>
      <c r="X4198" s="54" t="s">
        <v>2</v>
      </c>
      <c r="Y4198" s="54" t="s">
        <v>2</v>
      </c>
      <c r="Z4198" s="54" t="s">
        <v>2</v>
      </c>
      <c r="AA4198" s="54" t="s">
        <v>2</v>
      </c>
      <c r="AB4198" s="54" t="s">
        <v>2</v>
      </c>
      <c r="AC4198" s="54" t="s">
        <v>2</v>
      </c>
      <c r="AD4198" s="54" t="s">
        <v>2</v>
      </c>
      <c r="AE4198" s="54" t="s">
        <v>2</v>
      </c>
      <c r="AF4198" s="54" t="s">
        <v>2</v>
      </c>
      <c r="AG4198" s="54" t="s">
        <v>2</v>
      </c>
    </row>
    <row r="4199" ht="15.75" customHeight="1">
      <c r="B4199" s="56"/>
      <c r="U4199" s="46" t="str">
        <f t="array" ref="U4199">IF($D4199="","",IFERROR(_xlfn.XLOOKUP($D4199,'TIR店舗一覧'!$D:$D,'TIR店舗一覧'!$E:$E,""),""))</f>
        <v/>
      </c>
      <c r="V4199" s="54" t="s">
        <v>2</v>
      </c>
      <c r="W4199" s="54" t="s">
        <v>2</v>
      </c>
      <c r="X4199" s="54" t="s">
        <v>2</v>
      </c>
      <c r="Y4199" s="54" t="s">
        <v>2</v>
      </c>
      <c r="Z4199" s="54" t="s">
        <v>2</v>
      </c>
      <c r="AA4199" s="54" t="s">
        <v>2</v>
      </c>
      <c r="AB4199" s="54" t="s">
        <v>2</v>
      </c>
      <c r="AC4199" s="54" t="s">
        <v>2</v>
      </c>
      <c r="AD4199" s="54" t="s">
        <v>2</v>
      </c>
      <c r="AE4199" s="54" t="s">
        <v>2</v>
      </c>
      <c r="AF4199" s="54" t="s">
        <v>2</v>
      </c>
      <c r="AG4199" s="54" t="s">
        <v>2</v>
      </c>
    </row>
    <row r="4200" ht="15.75" customHeight="1">
      <c r="B4200" s="56"/>
      <c r="U4200" s="46" t="str">
        <f t="array" ref="U4200">IF($D4200="","",IFERROR(_xlfn.XLOOKUP($D4200,'TIR店舗一覧'!$D:$D,'TIR店舗一覧'!$E:$E,""),""))</f>
        <v/>
      </c>
      <c r="V4200" s="54" t="s">
        <v>2</v>
      </c>
      <c r="W4200" s="54" t="s">
        <v>2</v>
      </c>
      <c r="X4200" s="54" t="s">
        <v>2</v>
      </c>
      <c r="Y4200" s="54" t="s">
        <v>2</v>
      </c>
      <c r="Z4200" s="54" t="s">
        <v>2</v>
      </c>
      <c r="AA4200" s="54" t="s">
        <v>2</v>
      </c>
      <c r="AB4200" s="54" t="s">
        <v>2</v>
      </c>
      <c r="AC4200" s="54" t="s">
        <v>2</v>
      </c>
      <c r="AD4200" s="54" t="s">
        <v>2</v>
      </c>
      <c r="AE4200" s="54" t="s">
        <v>2</v>
      </c>
      <c r="AF4200" s="54" t="s">
        <v>2</v>
      </c>
      <c r="AG4200" s="54" t="s">
        <v>2</v>
      </c>
    </row>
    <row r="4201" ht="15.75" customHeight="1">
      <c r="B4201" s="56"/>
      <c r="U4201" s="46" t="str">
        <f t="array" ref="U4201">IF($D4201="","",IFERROR(_xlfn.XLOOKUP($D4201,'TIR店舗一覧'!$D:$D,'TIR店舗一覧'!$E:$E,""),""))</f>
        <v/>
      </c>
      <c r="V4201" s="54" t="s">
        <v>2</v>
      </c>
      <c r="W4201" s="54" t="s">
        <v>2</v>
      </c>
      <c r="X4201" s="54" t="s">
        <v>2</v>
      </c>
      <c r="Y4201" s="54" t="s">
        <v>2</v>
      </c>
      <c r="Z4201" s="54" t="s">
        <v>2</v>
      </c>
      <c r="AA4201" s="54" t="s">
        <v>2</v>
      </c>
      <c r="AB4201" s="54" t="s">
        <v>2</v>
      </c>
      <c r="AC4201" s="54" t="s">
        <v>2</v>
      </c>
      <c r="AD4201" s="54" t="s">
        <v>2</v>
      </c>
      <c r="AE4201" s="54" t="s">
        <v>2</v>
      </c>
      <c r="AF4201" s="54" t="s">
        <v>2</v>
      </c>
      <c r="AG4201" s="54" t="s">
        <v>2</v>
      </c>
    </row>
    <row r="4202" ht="15.75" customHeight="1">
      <c r="B4202" s="56"/>
      <c r="U4202" s="46" t="str">
        <f t="array" ref="U4202">IF($D4202="","",IFERROR(_xlfn.XLOOKUP($D4202,'TIR店舗一覧'!$D:$D,'TIR店舗一覧'!$E:$E,""),""))</f>
        <v/>
      </c>
      <c r="V4202" s="54" t="s">
        <v>2</v>
      </c>
      <c r="W4202" s="54" t="s">
        <v>2</v>
      </c>
      <c r="X4202" s="54" t="s">
        <v>2</v>
      </c>
      <c r="Y4202" s="54" t="s">
        <v>2</v>
      </c>
      <c r="Z4202" s="54" t="s">
        <v>2</v>
      </c>
      <c r="AA4202" s="54" t="s">
        <v>2</v>
      </c>
      <c r="AB4202" s="54" t="s">
        <v>2</v>
      </c>
      <c r="AC4202" s="54" t="s">
        <v>2</v>
      </c>
      <c r="AD4202" s="54" t="s">
        <v>2</v>
      </c>
      <c r="AE4202" s="54" t="s">
        <v>2</v>
      </c>
      <c r="AF4202" s="54" t="s">
        <v>2</v>
      </c>
      <c r="AG4202" s="54" t="s">
        <v>2</v>
      </c>
    </row>
    <row r="4203" ht="15.75" customHeight="1">
      <c r="B4203" s="56"/>
      <c r="U4203" s="46" t="str">
        <f t="array" ref="U4203">IF($D4203="","",IFERROR(_xlfn.XLOOKUP($D4203,'TIR店舗一覧'!$D:$D,'TIR店舗一覧'!$E:$E,""),""))</f>
        <v/>
      </c>
      <c r="V4203" s="54" t="s">
        <v>2</v>
      </c>
      <c r="W4203" s="54" t="s">
        <v>2</v>
      </c>
      <c r="X4203" s="54" t="s">
        <v>2</v>
      </c>
      <c r="Y4203" s="54" t="s">
        <v>2</v>
      </c>
      <c r="Z4203" s="54" t="s">
        <v>2</v>
      </c>
      <c r="AA4203" s="54" t="s">
        <v>2</v>
      </c>
      <c r="AB4203" s="54" t="s">
        <v>2</v>
      </c>
      <c r="AC4203" s="54" t="s">
        <v>2</v>
      </c>
      <c r="AD4203" s="54" t="s">
        <v>2</v>
      </c>
      <c r="AE4203" s="54" t="s">
        <v>2</v>
      </c>
      <c r="AF4203" s="54" t="s">
        <v>2</v>
      </c>
      <c r="AG4203" s="54" t="s">
        <v>2</v>
      </c>
    </row>
    <row r="4204" ht="15.75" customHeight="1">
      <c r="B4204" s="56"/>
      <c r="U4204" s="46" t="str">
        <f t="array" ref="U4204">IF($D4204="","",IFERROR(_xlfn.XLOOKUP($D4204,'TIR店舗一覧'!$D:$D,'TIR店舗一覧'!$E:$E,""),""))</f>
        <v/>
      </c>
      <c r="V4204" s="54" t="s">
        <v>2</v>
      </c>
      <c r="W4204" s="54" t="s">
        <v>2</v>
      </c>
      <c r="X4204" s="54" t="s">
        <v>2</v>
      </c>
      <c r="Y4204" s="54" t="s">
        <v>2</v>
      </c>
      <c r="Z4204" s="54" t="s">
        <v>2</v>
      </c>
      <c r="AA4204" s="54" t="s">
        <v>2</v>
      </c>
      <c r="AB4204" s="54" t="s">
        <v>2</v>
      </c>
      <c r="AC4204" s="54" t="s">
        <v>2</v>
      </c>
      <c r="AD4204" s="54" t="s">
        <v>2</v>
      </c>
      <c r="AE4204" s="54" t="s">
        <v>2</v>
      </c>
      <c r="AF4204" s="54" t="s">
        <v>2</v>
      </c>
      <c r="AG4204" s="54" t="s">
        <v>2</v>
      </c>
    </row>
    <row r="4205" ht="15.75" customHeight="1">
      <c r="B4205" s="56"/>
      <c r="U4205" s="46" t="str">
        <f t="array" ref="U4205">IF($D4205="","",IFERROR(_xlfn.XLOOKUP($D4205,'TIR店舗一覧'!$D:$D,'TIR店舗一覧'!$E:$E,""),""))</f>
        <v/>
      </c>
      <c r="V4205" s="54" t="s">
        <v>2</v>
      </c>
      <c r="W4205" s="54" t="s">
        <v>2</v>
      </c>
      <c r="X4205" s="54" t="s">
        <v>2</v>
      </c>
      <c r="Y4205" s="54" t="s">
        <v>2</v>
      </c>
      <c r="Z4205" s="54" t="s">
        <v>2</v>
      </c>
      <c r="AA4205" s="54" t="s">
        <v>2</v>
      </c>
      <c r="AB4205" s="54" t="s">
        <v>2</v>
      </c>
      <c r="AC4205" s="54" t="s">
        <v>2</v>
      </c>
      <c r="AD4205" s="54" t="s">
        <v>2</v>
      </c>
      <c r="AE4205" s="54" t="s">
        <v>2</v>
      </c>
      <c r="AF4205" s="54" t="s">
        <v>2</v>
      </c>
      <c r="AG4205" s="54" t="s">
        <v>2</v>
      </c>
    </row>
    <row r="4206" ht="15.75" customHeight="1">
      <c r="B4206" s="56"/>
      <c r="U4206" s="46" t="str">
        <f t="array" ref="U4206">IF($D4206="","",IFERROR(_xlfn.XLOOKUP($D4206,'TIR店舗一覧'!$D:$D,'TIR店舗一覧'!$E:$E,""),""))</f>
        <v/>
      </c>
      <c r="V4206" s="54" t="s">
        <v>2</v>
      </c>
      <c r="W4206" s="54" t="s">
        <v>2</v>
      </c>
      <c r="X4206" s="54" t="s">
        <v>2</v>
      </c>
      <c r="Y4206" s="54" t="s">
        <v>2</v>
      </c>
      <c r="Z4206" s="54" t="s">
        <v>2</v>
      </c>
      <c r="AA4206" s="54" t="s">
        <v>2</v>
      </c>
      <c r="AB4206" s="54" t="s">
        <v>2</v>
      </c>
      <c r="AC4206" s="54" t="s">
        <v>2</v>
      </c>
      <c r="AD4206" s="54" t="s">
        <v>2</v>
      </c>
      <c r="AE4206" s="54" t="s">
        <v>2</v>
      </c>
      <c r="AF4206" s="54" t="s">
        <v>2</v>
      </c>
      <c r="AG4206" s="54" t="s">
        <v>2</v>
      </c>
    </row>
    <row r="4207" ht="15.75" customHeight="1">
      <c r="B4207" s="56"/>
      <c r="U4207" s="46" t="str">
        <f t="array" ref="U4207">IF($D4207="","",IFERROR(_xlfn.XLOOKUP($D4207,'TIR店舗一覧'!$D:$D,'TIR店舗一覧'!$E:$E,""),""))</f>
        <v/>
      </c>
      <c r="V4207" s="54" t="s">
        <v>2</v>
      </c>
      <c r="W4207" s="54" t="s">
        <v>2</v>
      </c>
      <c r="X4207" s="54" t="s">
        <v>2</v>
      </c>
      <c r="Y4207" s="54" t="s">
        <v>2</v>
      </c>
      <c r="Z4207" s="54" t="s">
        <v>2</v>
      </c>
      <c r="AA4207" s="54" t="s">
        <v>2</v>
      </c>
      <c r="AB4207" s="54" t="s">
        <v>2</v>
      </c>
      <c r="AC4207" s="54" t="s">
        <v>2</v>
      </c>
      <c r="AD4207" s="54" t="s">
        <v>2</v>
      </c>
      <c r="AE4207" s="54" t="s">
        <v>2</v>
      </c>
      <c r="AF4207" s="54" t="s">
        <v>2</v>
      </c>
      <c r="AG4207" s="54" t="s">
        <v>2</v>
      </c>
    </row>
    <row r="4208" ht="15.75" customHeight="1">
      <c r="B4208" s="56"/>
      <c r="U4208" s="46" t="str">
        <f t="array" ref="U4208">IF($D4208="","",IFERROR(_xlfn.XLOOKUP($D4208,'TIR店舗一覧'!$D:$D,'TIR店舗一覧'!$E:$E,""),""))</f>
        <v/>
      </c>
      <c r="V4208" s="54" t="s">
        <v>2</v>
      </c>
      <c r="W4208" s="54" t="s">
        <v>2</v>
      </c>
      <c r="X4208" s="54" t="s">
        <v>2</v>
      </c>
      <c r="Y4208" s="54" t="s">
        <v>2</v>
      </c>
      <c r="Z4208" s="54" t="s">
        <v>2</v>
      </c>
      <c r="AA4208" s="54" t="s">
        <v>2</v>
      </c>
      <c r="AB4208" s="54" t="s">
        <v>2</v>
      </c>
      <c r="AC4208" s="54" t="s">
        <v>2</v>
      </c>
      <c r="AD4208" s="54" t="s">
        <v>2</v>
      </c>
      <c r="AE4208" s="54" t="s">
        <v>2</v>
      </c>
      <c r="AF4208" s="54" t="s">
        <v>2</v>
      </c>
      <c r="AG4208" s="54" t="s">
        <v>2</v>
      </c>
    </row>
    <row r="4209" ht="15.75" customHeight="1">
      <c r="B4209" s="56"/>
      <c r="U4209" s="46" t="str">
        <f t="array" ref="U4209">IF($D4209="","",IFERROR(_xlfn.XLOOKUP($D4209,'TIR店舗一覧'!$D:$D,'TIR店舗一覧'!$E:$E,""),""))</f>
        <v/>
      </c>
      <c r="V4209" s="54" t="s">
        <v>2</v>
      </c>
      <c r="W4209" s="54" t="s">
        <v>2</v>
      </c>
      <c r="X4209" s="54" t="s">
        <v>2</v>
      </c>
      <c r="Y4209" s="54" t="s">
        <v>2</v>
      </c>
      <c r="Z4209" s="54" t="s">
        <v>2</v>
      </c>
      <c r="AA4209" s="54" t="s">
        <v>2</v>
      </c>
      <c r="AB4209" s="54" t="s">
        <v>2</v>
      </c>
      <c r="AC4209" s="54" t="s">
        <v>2</v>
      </c>
      <c r="AD4209" s="54" t="s">
        <v>2</v>
      </c>
      <c r="AE4209" s="54" t="s">
        <v>2</v>
      </c>
      <c r="AF4209" s="54" t="s">
        <v>2</v>
      </c>
      <c r="AG4209" s="54" t="s">
        <v>2</v>
      </c>
    </row>
    <row r="4210" ht="15.75" customHeight="1">
      <c r="B4210" s="56"/>
      <c r="U4210" s="46" t="str">
        <f t="array" ref="U4210">IF($D4210="","",IFERROR(_xlfn.XLOOKUP($D4210,'TIR店舗一覧'!$D:$D,'TIR店舗一覧'!$E:$E,""),""))</f>
        <v/>
      </c>
      <c r="V4210" s="54" t="s">
        <v>2</v>
      </c>
      <c r="W4210" s="54" t="s">
        <v>2</v>
      </c>
      <c r="X4210" s="54" t="s">
        <v>2</v>
      </c>
      <c r="Y4210" s="54" t="s">
        <v>2</v>
      </c>
      <c r="Z4210" s="54" t="s">
        <v>2</v>
      </c>
      <c r="AA4210" s="54" t="s">
        <v>2</v>
      </c>
      <c r="AB4210" s="54" t="s">
        <v>2</v>
      </c>
      <c r="AC4210" s="54" t="s">
        <v>2</v>
      </c>
      <c r="AD4210" s="54" t="s">
        <v>2</v>
      </c>
      <c r="AE4210" s="54" t="s">
        <v>2</v>
      </c>
      <c r="AF4210" s="54" t="s">
        <v>2</v>
      </c>
      <c r="AG4210" s="54" t="s">
        <v>2</v>
      </c>
    </row>
    <row r="4211" ht="15.75" customHeight="1">
      <c r="B4211" s="56"/>
      <c r="U4211" s="46" t="str">
        <f t="array" ref="U4211">IF($D4211="","",IFERROR(_xlfn.XLOOKUP($D4211,'TIR店舗一覧'!$D:$D,'TIR店舗一覧'!$E:$E,""),""))</f>
        <v/>
      </c>
      <c r="V4211" s="54" t="s">
        <v>2</v>
      </c>
      <c r="W4211" s="54" t="s">
        <v>2</v>
      </c>
      <c r="X4211" s="54" t="s">
        <v>2</v>
      </c>
      <c r="Y4211" s="54" t="s">
        <v>2</v>
      </c>
      <c r="Z4211" s="54" t="s">
        <v>2</v>
      </c>
      <c r="AA4211" s="54" t="s">
        <v>2</v>
      </c>
      <c r="AB4211" s="54" t="s">
        <v>2</v>
      </c>
      <c r="AC4211" s="54" t="s">
        <v>2</v>
      </c>
      <c r="AD4211" s="54" t="s">
        <v>2</v>
      </c>
      <c r="AE4211" s="54" t="s">
        <v>2</v>
      </c>
      <c r="AF4211" s="54" t="s">
        <v>2</v>
      </c>
      <c r="AG4211" s="54" t="s">
        <v>2</v>
      </c>
    </row>
    <row r="4212" ht="15.75" customHeight="1">
      <c r="B4212" s="56"/>
      <c r="U4212" s="46" t="str">
        <f t="array" ref="U4212">IF($D4212="","",IFERROR(_xlfn.XLOOKUP($D4212,'TIR店舗一覧'!$D:$D,'TIR店舗一覧'!$E:$E,""),""))</f>
        <v/>
      </c>
      <c r="V4212" s="54" t="s">
        <v>2</v>
      </c>
      <c r="W4212" s="54" t="s">
        <v>2</v>
      </c>
      <c r="X4212" s="54" t="s">
        <v>2</v>
      </c>
      <c r="Y4212" s="54" t="s">
        <v>2</v>
      </c>
      <c r="Z4212" s="54" t="s">
        <v>2</v>
      </c>
      <c r="AA4212" s="54" t="s">
        <v>2</v>
      </c>
      <c r="AB4212" s="54" t="s">
        <v>2</v>
      </c>
      <c r="AC4212" s="54" t="s">
        <v>2</v>
      </c>
      <c r="AD4212" s="54" t="s">
        <v>2</v>
      </c>
      <c r="AE4212" s="54" t="s">
        <v>2</v>
      </c>
      <c r="AF4212" s="54" t="s">
        <v>2</v>
      </c>
      <c r="AG4212" s="54" t="s">
        <v>2</v>
      </c>
    </row>
    <row r="4213" ht="15.75" customHeight="1">
      <c r="B4213" s="56"/>
      <c r="U4213" s="46" t="str">
        <f t="array" ref="U4213">IF($D4213="","",IFERROR(_xlfn.XLOOKUP($D4213,'TIR店舗一覧'!$D:$D,'TIR店舗一覧'!$E:$E,""),""))</f>
        <v/>
      </c>
      <c r="V4213" s="54" t="s">
        <v>2</v>
      </c>
      <c r="W4213" s="54" t="s">
        <v>2</v>
      </c>
      <c r="X4213" s="54" t="s">
        <v>2</v>
      </c>
      <c r="Y4213" s="54" t="s">
        <v>2</v>
      </c>
      <c r="Z4213" s="54" t="s">
        <v>2</v>
      </c>
      <c r="AA4213" s="54" t="s">
        <v>2</v>
      </c>
      <c r="AB4213" s="54" t="s">
        <v>2</v>
      </c>
      <c r="AC4213" s="54" t="s">
        <v>2</v>
      </c>
      <c r="AD4213" s="54" t="s">
        <v>2</v>
      </c>
      <c r="AE4213" s="54" t="s">
        <v>2</v>
      </c>
      <c r="AF4213" s="54" t="s">
        <v>2</v>
      </c>
      <c r="AG4213" s="54" t="s">
        <v>2</v>
      </c>
    </row>
    <row r="4214" ht="15.75" customHeight="1">
      <c r="B4214" s="56"/>
      <c r="U4214" s="46" t="str">
        <f t="array" ref="U4214">IF($D4214="","",IFERROR(_xlfn.XLOOKUP($D4214,'TIR店舗一覧'!$D:$D,'TIR店舗一覧'!$E:$E,""),""))</f>
        <v/>
      </c>
      <c r="V4214" s="54" t="s">
        <v>2</v>
      </c>
      <c r="W4214" s="54" t="s">
        <v>2</v>
      </c>
      <c r="X4214" s="54" t="s">
        <v>2</v>
      </c>
      <c r="Y4214" s="54" t="s">
        <v>2</v>
      </c>
      <c r="Z4214" s="54" t="s">
        <v>2</v>
      </c>
      <c r="AA4214" s="54" t="s">
        <v>2</v>
      </c>
      <c r="AB4214" s="54" t="s">
        <v>2</v>
      </c>
      <c r="AC4214" s="54" t="s">
        <v>2</v>
      </c>
      <c r="AD4214" s="54" t="s">
        <v>2</v>
      </c>
      <c r="AE4214" s="54" t="s">
        <v>2</v>
      </c>
      <c r="AF4214" s="54" t="s">
        <v>2</v>
      </c>
      <c r="AG4214" s="54" t="s">
        <v>2</v>
      </c>
    </row>
    <row r="4215" ht="15.75" customHeight="1">
      <c r="B4215" s="56"/>
      <c r="U4215" s="46" t="str">
        <f t="array" ref="U4215">IF($D4215="","",IFERROR(_xlfn.XLOOKUP($D4215,'TIR店舗一覧'!$D:$D,'TIR店舗一覧'!$E:$E,""),""))</f>
        <v/>
      </c>
      <c r="V4215" s="54" t="s">
        <v>2</v>
      </c>
      <c r="W4215" s="54" t="s">
        <v>2</v>
      </c>
      <c r="X4215" s="54" t="s">
        <v>2</v>
      </c>
      <c r="Y4215" s="54" t="s">
        <v>2</v>
      </c>
      <c r="Z4215" s="54" t="s">
        <v>2</v>
      </c>
      <c r="AA4215" s="54" t="s">
        <v>2</v>
      </c>
      <c r="AB4215" s="54" t="s">
        <v>2</v>
      </c>
      <c r="AC4215" s="54" t="s">
        <v>2</v>
      </c>
      <c r="AD4215" s="54" t="s">
        <v>2</v>
      </c>
      <c r="AE4215" s="54" t="s">
        <v>2</v>
      </c>
      <c r="AF4215" s="54" t="s">
        <v>2</v>
      </c>
      <c r="AG4215" s="54" t="s">
        <v>2</v>
      </c>
    </row>
    <row r="4216" ht="15.75" customHeight="1">
      <c r="B4216" s="56"/>
      <c r="U4216" s="46" t="str">
        <f t="array" ref="U4216">IF($D4216="","",IFERROR(_xlfn.XLOOKUP($D4216,'TIR店舗一覧'!$D:$D,'TIR店舗一覧'!$E:$E,""),""))</f>
        <v/>
      </c>
      <c r="V4216" s="54" t="s">
        <v>2</v>
      </c>
      <c r="W4216" s="54" t="s">
        <v>2</v>
      </c>
      <c r="X4216" s="54" t="s">
        <v>2</v>
      </c>
      <c r="Y4216" s="54" t="s">
        <v>2</v>
      </c>
      <c r="Z4216" s="54" t="s">
        <v>2</v>
      </c>
      <c r="AA4216" s="54" t="s">
        <v>2</v>
      </c>
      <c r="AB4216" s="54" t="s">
        <v>2</v>
      </c>
      <c r="AC4216" s="54" t="s">
        <v>2</v>
      </c>
      <c r="AD4216" s="54" t="s">
        <v>2</v>
      </c>
      <c r="AE4216" s="54" t="s">
        <v>2</v>
      </c>
      <c r="AF4216" s="54" t="s">
        <v>2</v>
      </c>
      <c r="AG4216" s="54" t="s">
        <v>2</v>
      </c>
    </row>
    <row r="4217" ht="15.75" customHeight="1">
      <c r="B4217" s="56"/>
      <c r="U4217" s="46" t="str">
        <f t="array" ref="U4217">IF($D4217="","",IFERROR(_xlfn.XLOOKUP($D4217,'TIR店舗一覧'!$D:$D,'TIR店舗一覧'!$E:$E,""),""))</f>
        <v/>
      </c>
      <c r="V4217" s="54" t="s">
        <v>2</v>
      </c>
      <c r="W4217" s="54" t="s">
        <v>2</v>
      </c>
      <c r="X4217" s="54" t="s">
        <v>2</v>
      </c>
      <c r="Y4217" s="54" t="s">
        <v>2</v>
      </c>
      <c r="Z4217" s="54" t="s">
        <v>2</v>
      </c>
      <c r="AA4217" s="54" t="s">
        <v>2</v>
      </c>
      <c r="AB4217" s="54" t="s">
        <v>2</v>
      </c>
      <c r="AC4217" s="54" t="s">
        <v>2</v>
      </c>
      <c r="AD4217" s="54" t="s">
        <v>2</v>
      </c>
      <c r="AE4217" s="54" t="s">
        <v>2</v>
      </c>
      <c r="AF4217" s="54" t="s">
        <v>2</v>
      </c>
      <c r="AG4217" s="54" t="s">
        <v>2</v>
      </c>
    </row>
    <row r="4218" ht="15.75" customHeight="1">
      <c r="B4218" s="56"/>
      <c r="U4218" s="46" t="str">
        <f t="array" ref="U4218">IF($D4218="","",IFERROR(_xlfn.XLOOKUP($D4218,'TIR店舗一覧'!$D:$D,'TIR店舗一覧'!$E:$E,""),""))</f>
        <v/>
      </c>
      <c r="V4218" s="54" t="s">
        <v>2</v>
      </c>
      <c r="W4218" s="54" t="s">
        <v>2</v>
      </c>
      <c r="X4218" s="54" t="s">
        <v>2</v>
      </c>
      <c r="Y4218" s="54" t="s">
        <v>2</v>
      </c>
      <c r="Z4218" s="54" t="s">
        <v>2</v>
      </c>
      <c r="AA4218" s="54" t="s">
        <v>2</v>
      </c>
      <c r="AB4218" s="54" t="s">
        <v>2</v>
      </c>
      <c r="AC4218" s="54" t="s">
        <v>2</v>
      </c>
      <c r="AD4218" s="54" t="s">
        <v>2</v>
      </c>
      <c r="AE4218" s="54" t="s">
        <v>2</v>
      </c>
      <c r="AF4218" s="54" t="s">
        <v>2</v>
      </c>
      <c r="AG4218" s="54" t="s">
        <v>2</v>
      </c>
    </row>
    <row r="4219" ht="15.75" customHeight="1">
      <c r="B4219" s="56"/>
      <c r="U4219" s="46" t="str">
        <f t="array" ref="U4219">IF($D4219="","",IFERROR(_xlfn.XLOOKUP($D4219,'TIR店舗一覧'!$D:$D,'TIR店舗一覧'!$E:$E,""),""))</f>
        <v/>
      </c>
      <c r="V4219" s="54" t="s">
        <v>2</v>
      </c>
      <c r="W4219" s="54" t="s">
        <v>2</v>
      </c>
      <c r="X4219" s="54" t="s">
        <v>2</v>
      </c>
      <c r="Y4219" s="54" t="s">
        <v>2</v>
      </c>
      <c r="Z4219" s="54" t="s">
        <v>2</v>
      </c>
      <c r="AA4219" s="54" t="s">
        <v>2</v>
      </c>
      <c r="AB4219" s="54" t="s">
        <v>2</v>
      </c>
      <c r="AC4219" s="54" t="s">
        <v>2</v>
      </c>
      <c r="AD4219" s="54" t="s">
        <v>2</v>
      </c>
      <c r="AE4219" s="54" t="s">
        <v>2</v>
      </c>
      <c r="AF4219" s="54" t="s">
        <v>2</v>
      </c>
      <c r="AG4219" s="54" t="s">
        <v>2</v>
      </c>
    </row>
    <row r="4220" ht="15.75" customHeight="1">
      <c r="B4220" s="56"/>
      <c r="U4220" s="46" t="str">
        <f t="array" ref="U4220">IF($D4220="","",IFERROR(_xlfn.XLOOKUP($D4220,'TIR店舗一覧'!$D:$D,'TIR店舗一覧'!$E:$E,""),""))</f>
        <v/>
      </c>
      <c r="V4220" s="54" t="s">
        <v>2</v>
      </c>
      <c r="W4220" s="54" t="s">
        <v>2</v>
      </c>
      <c r="X4220" s="54" t="s">
        <v>2</v>
      </c>
      <c r="Y4220" s="54" t="s">
        <v>2</v>
      </c>
      <c r="Z4220" s="54" t="s">
        <v>2</v>
      </c>
      <c r="AA4220" s="54" t="s">
        <v>2</v>
      </c>
      <c r="AB4220" s="54" t="s">
        <v>2</v>
      </c>
      <c r="AC4220" s="54" t="s">
        <v>2</v>
      </c>
      <c r="AD4220" s="54" t="s">
        <v>2</v>
      </c>
      <c r="AE4220" s="54" t="s">
        <v>2</v>
      </c>
      <c r="AF4220" s="54" t="s">
        <v>2</v>
      </c>
      <c r="AG4220" s="54" t="s">
        <v>2</v>
      </c>
    </row>
    <row r="4221" ht="15.75" customHeight="1">
      <c r="B4221" s="56"/>
      <c r="U4221" s="46" t="str">
        <f t="array" ref="U4221">IF($D4221="","",IFERROR(_xlfn.XLOOKUP($D4221,'TIR店舗一覧'!$D:$D,'TIR店舗一覧'!$E:$E,""),""))</f>
        <v/>
      </c>
      <c r="V4221" s="54" t="s">
        <v>2</v>
      </c>
      <c r="W4221" s="54" t="s">
        <v>2</v>
      </c>
      <c r="X4221" s="54" t="s">
        <v>2</v>
      </c>
      <c r="Y4221" s="54" t="s">
        <v>2</v>
      </c>
      <c r="Z4221" s="54" t="s">
        <v>2</v>
      </c>
      <c r="AA4221" s="54" t="s">
        <v>2</v>
      </c>
      <c r="AB4221" s="54" t="s">
        <v>2</v>
      </c>
      <c r="AC4221" s="54" t="s">
        <v>2</v>
      </c>
      <c r="AD4221" s="54" t="s">
        <v>2</v>
      </c>
      <c r="AE4221" s="54" t="s">
        <v>2</v>
      </c>
      <c r="AF4221" s="54" t="s">
        <v>2</v>
      </c>
      <c r="AG4221" s="54" t="s">
        <v>2</v>
      </c>
    </row>
    <row r="4222" ht="15.75" customHeight="1">
      <c r="B4222" s="56"/>
      <c r="U4222" s="46" t="str">
        <f t="array" ref="U4222">IF($D4222="","",IFERROR(_xlfn.XLOOKUP($D4222,'TIR店舗一覧'!$D:$D,'TIR店舗一覧'!$E:$E,""),""))</f>
        <v/>
      </c>
      <c r="V4222" s="54" t="s">
        <v>2</v>
      </c>
      <c r="W4222" s="54" t="s">
        <v>2</v>
      </c>
      <c r="X4222" s="54" t="s">
        <v>2</v>
      </c>
      <c r="Y4222" s="54" t="s">
        <v>2</v>
      </c>
      <c r="Z4222" s="54" t="s">
        <v>2</v>
      </c>
      <c r="AA4222" s="54" t="s">
        <v>2</v>
      </c>
      <c r="AB4222" s="54" t="s">
        <v>2</v>
      </c>
      <c r="AC4222" s="54" t="s">
        <v>2</v>
      </c>
      <c r="AD4222" s="54" t="s">
        <v>2</v>
      </c>
      <c r="AE4222" s="54" t="s">
        <v>2</v>
      </c>
      <c r="AF4222" s="54" t="s">
        <v>2</v>
      </c>
      <c r="AG4222" s="54" t="s">
        <v>2</v>
      </c>
    </row>
    <row r="4223" ht="15.75" customHeight="1">
      <c r="B4223" s="56"/>
      <c r="U4223" s="46" t="str">
        <f t="array" ref="U4223">IF($D4223="","",IFERROR(_xlfn.XLOOKUP($D4223,'TIR店舗一覧'!$D:$D,'TIR店舗一覧'!$E:$E,""),""))</f>
        <v/>
      </c>
      <c r="V4223" s="54" t="s">
        <v>2</v>
      </c>
      <c r="W4223" s="54" t="s">
        <v>2</v>
      </c>
      <c r="X4223" s="54" t="s">
        <v>2</v>
      </c>
      <c r="Y4223" s="54" t="s">
        <v>2</v>
      </c>
      <c r="Z4223" s="54" t="s">
        <v>2</v>
      </c>
      <c r="AA4223" s="54" t="s">
        <v>2</v>
      </c>
      <c r="AB4223" s="54" t="s">
        <v>2</v>
      </c>
      <c r="AC4223" s="54" t="s">
        <v>2</v>
      </c>
      <c r="AD4223" s="54" t="s">
        <v>2</v>
      </c>
      <c r="AE4223" s="54" t="s">
        <v>2</v>
      </c>
      <c r="AF4223" s="54" t="s">
        <v>2</v>
      </c>
      <c r="AG4223" s="54" t="s">
        <v>2</v>
      </c>
    </row>
    <row r="4224" ht="15.75" customHeight="1">
      <c r="B4224" s="56"/>
      <c r="U4224" s="46" t="str">
        <f t="array" ref="U4224">IF($D4224="","",IFERROR(_xlfn.XLOOKUP($D4224,'TIR店舗一覧'!$D:$D,'TIR店舗一覧'!$E:$E,""),""))</f>
        <v/>
      </c>
      <c r="V4224" s="54" t="s">
        <v>2</v>
      </c>
      <c r="W4224" s="54" t="s">
        <v>2</v>
      </c>
      <c r="X4224" s="54" t="s">
        <v>2</v>
      </c>
      <c r="Y4224" s="54" t="s">
        <v>2</v>
      </c>
      <c r="Z4224" s="54" t="s">
        <v>2</v>
      </c>
      <c r="AA4224" s="54" t="s">
        <v>2</v>
      </c>
      <c r="AB4224" s="54" t="s">
        <v>2</v>
      </c>
      <c r="AC4224" s="54" t="s">
        <v>2</v>
      </c>
      <c r="AD4224" s="54" t="s">
        <v>2</v>
      </c>
      <c r="AE4224" s="54" t="s">
        <v>2</v>
      </c>
      <c r="AF4224" s="54" t="s">
        <v>2</v>
      </c>
      <c r="AG4224" s="54" t="s">
        <v>2</v>
      </c>
    </row>
    <row r="4225" ht="15.75" customHeight="1">
      <c r="B4225" s="56"/>
      <c r="U4225" s="46" t="str">
        <f t="array" ref="U4225">IF($D4225="","",IFERROR(_xlfn.XLOOKUP($D4225,'TIR店舗一覧'!$D:$D,'TIR店舗一覧'!$E:$E,""),""))</f>
        <v/>
      </c>
      <c r="V4225" s="54" t="s">
        <v>2</v>
      </c>
      <c r="W4225" s="54" t="s">
        <v>2</v>
      </c>
      <c r="X4225" s="54" t="s">
        <v>2</v>
      </c>
      <c r="Y4225" s="54" t="s">
        <v>2</v>
      </c>
      <c r="Z4225" s="54" t="s">
        <v>2</v>
      </c>
      <c r="AA4225" s="54" t="s">
        <v>2</v>
      </c>
      <c r="AB4225" s="54" t="s">
        <v>2</v>
      </c>
      <c r="AC4225" s="54" t="s">
        <v>2</v>
      </c>
      <c r="AD4225" s="54" t="s">
        <v>2</v>
      </c>
      <c r="AE4225" s="54" t="s">
        <v>2</v>
      </c>
      <c r="AF4225" s="54" t="s">
        <v>2</v>
      </c>
      <c r="AG4225" s="54" t="s">
        <v>2</v>
      </c>
    </row>
    <row r="4226" ht="15.75" customHeight="1">
      <c r="B4226" s="56"/>
      <c r="U4226" s="46" t="str">
        <f t="array" ref="U4226">IF($D4226="","",IFERROR(_xlfn.XLOOKUP($D4226,'TIR店舗一覧'!$D:$D,'TIR店舗一覧'!$E:$E,""),""))</f>
        <v/>
      </c>
      <c r="V4226" s="54" t="s">
        <v>2</v>
      </c>
      <c r="W4226" s="54" t="s">
        <v>2</v>
      </c>
      <c r="X4226" s="54" t="s">
        <v>2</v>
      </c>
      <c r="Y4226" s="54" t="s">
        <v>2</v>
      </c>
      <c r="Z4226" s="54" t="s">
        <v>2</v>
      </c>
      <c r="AA4226" s="54" t="s">
        <v>2</v>
      </c>
      <c r="AB4226" s="54" t="s">
        <v>2</v>
      </c>
      <c r="AC4226" s="54" t="s">
        <v>2</v>
      </c>
      <c r="AD4226" s="54" t="s">
        <v>2</v>
      </c>
      <c r="AE4226" s="54" t="s">
        <v>2</v>
      </c>
      <c r="AF4226" s="54" t="s">
        <v>2</v>
      </c>
      <c r="AG4226" s="54" t="s">
        <v>2</v>
      </c>
    </row>
    <row r="4227" ht="15.75" customHeight="1">
      <c r="B4227" s="56"/>
      <c r="U4227" s="46" t="str">
        <f t="array" ref="U4227">IF($D4227="","",IFERROR(_xlfn.XLOOKUP($D4227,'TIR店舗一覧'!$D:$D,'TIR店舗一覧'!$E:$E,""),""))</f>
        <v/>
      </c>
      <c r="V4227" s="54" t="s">
        <v>2</v>
      </c>
      <c r="W4227" s="54" t="s">
        <v>2</v>
      </c>
      <c r="X4227" s="54" t="s">
        <v>2</v>
      </c>
      <c r="Y4227" s="54" t="s">
        <v>2</v>
      </c>
      <c r="Z4227" s="54" t="s">
        <v>2</v>
      </c>
      <c r="AA4227" s="54" t="s">
        <v>2</v>
      </c>
      <c r="AB4227" s="54" t="s">
        <v>2</v>
      </c>
      <c r="AC4227" s="54" t="s">
        <v>2</v>
      </c>
      <c r="AD4227" s="54" t="s">
        <v>2</v>
      </c>
      <c r="AE4227" s="54" t="s">
        <v>2</v>
      </c>
      <c r="AF4227" s="54" t="s">
        <v>2</v>
      </c>
      <c r="AG4227" s="54" t="s">
        <v>2</v>
      </c>
    </row>
    <row r="4228" ht="15.75" customHeight="1">
      <c r="B4228" s="56"/>
      <c r="U4228" s="46" t="str">
        <f t="array" ref="U4228">IF($D4228="","",IFERROR(_xlfn.XLOOKUP($D4228,'TIR店舗一覧'!$D:$D,'TIR店舗一覧'!$E:$E,""),""))</f>
        <v/>
      </c>
      <c r="V4228" s="54" t="s">
        <v>2</v>
      </c>
      <c r="W4228" s="54" t="s">
        <v>2</v>
      </c>
      <c r="X4228" s="54" t="s">
        <v>2</v>
      </c>
      <c r="Y4228" s="54" t="s">
        <v>2</v>
      </c>
      <c r="Z4228" s="54" t="s">
        <v>2</v>
      </c>
      <c r="AA4228" s="54" t="s">
        <v>2</v>
      </c>
      <c r="AB4228" s="54" t="s">
        <v>2</v>
      </c>
      <c r="AC4228" s="54" t="s">
        <v>2</v>
      </c>
      <c r="AD4228" s="54" t="s">
        <v>2</v>
      </c>
      <c r="AE4228" s="54" t="s">
        <v>2</v>
      </c>
      <c r="AF4228" s="54" t="s">
        <v>2</v>
      </c>
      <c r="AG4228" s="54" t="s">
        <v>2</v>
      </c>
    </row>
    <row r="4229" ht="15.75" customHeight="1">
      <c r="B4229" s="56"/>
      <c r="U4229" s="46" t="str">
        <f t="array" ref="U4229">IF($D4229="","",IFERROR(_xlfn.XLOOKUP($D4229,'TIR店舗一覧'!$D:$D,'TIR店舗一覧'!$E:$E,""),""))</f>
        <v/>
      </c>
      <c r="V4229" s="54" t="s">
        <v>2</v>
      </c>
      <c r="W4229" s="54" t="s">
        <v>2</v>
      </c>
      <c r="X4229" s="54" t="s">
        <v>2</v>
      </c>
      <c r="Y4229" s="54" t="s">
        <v>2</v>
      </c>
      <c r="Z4229" s="54" t="s">
        <v>2</v>
      </c>
      <c r="AA4229" s="54" t="s">
        <v>2</v>
      </c>
      <c r="AB4229" s="54" t="s">
        <v>2</v>
      </c>
      <c r="AC4229" s="54" t="s">
        <v>2</v>
      </c>
      <c r="AD4229" s="54" t="s">
        <v>2</v>
      </c>
      <c r="AE4229" s="54" t="s">
        <v>2</v>
      </c>
      <c r="AF4229" s="54" t="s">
        <v>2</v>
      </c>
      <c r="AG4229" s="54" t="s">
        <v>2</v>
      </c>
    </row>
    <row r="4230" ht="15.75" customHeight="1">
      <c r="B4230" s="56"/>
      <c r="U4230" s="46" t="str">
        <f t="array" ref="U4230">IF($D4230="","",IFERROR(_xlfn.XLOOKUP($D4230,'TIR店舗一覧'!$D:$D,'TIR店舗一覧'!$E:$E,""),""))</f>
        <v/>
      </c>
      <c r="V4230" s="54" t="s">
        <v>2</v>
      </c>
      <c r="W4230" s="54" t="s">
        <v>2</v>
      </c>
      <c r="X4230" s="54" t="s">
        <v>2</v>
      </c>
      <c r="Y4230" s="54" t="s">
        <v>2</v>
      </c>
      <c r="Z4230" s="54" t="s">
        <v>2</v>
      </c>
      <c r="AA4230" s="54" t="s">
        <v>2</v>
      </c>
      <c r="AB4230" s="54" t="s">
        <v>2</v>
      </c>
      <c r="AC4230" s="54" t="s">
        <v>2</v>
      </c>
      <c r="AD4230" s="54" t="s">
        <v>2</v>
      </c>
      <c r="AE4230" s="54" t="s">
        <v>2</v>
      </c>
      <c r="AF4230" s="54" t="s">
        <v>2</v>
      </c>
      <c r="AG4230" s="54" t="s">
        <v>2</v>
      </c>
    </row>
    <row r="4231" ht="15.75" customHeight="1">
      <c r="B4231" s="56"/>
      <c r="U4231" s="46" t="str">
        <f t="array" ref="U4231">IF($D4231="","",IFERROR(_xlfn.XLOOKUP($D4231,'TIR店舗一覧'!$D:$D,'TIR店舗一覧'!$E:$E,""),""))</f>
        <v/>
      </c>
      <c r="V4231" s="54" t="s">
        <v>2</v>
      </c>
      <c r="W4231" s="54" t="s">
        <v>2</v>
      </c>
      <c r="X4231" s="54" t="s">
        <v>2</v>
      </c>
      <c r="Y4231" s="54" t="s">
        <v>2</v>
      </c>
      <c r="Z4231" s="54" t="s">
        <v>2</v>
      </c>
      <c r="AA4231" s="54" t="s">
        <v>2</v>
      </c>
      <c r="AB4231" s="54" t="s">
        <v>2</v>
      </c>
      <c r="AC4231" s="54" t="s">
        <v>2</v>
      </c>
      <c r="AD4231" s="54" t="s">
        <v>2</v>
      </c>
      <c r="AE4231" s="54" t="s">
        <v>2</v>
      </c>
      <c r="AF4231" s="54" t="s">
        <v>2</v>
      </c>
      <c r="AG4231" s="54" t="s">
        <v>2</v>
      </c>
    </row>
    <row r="4232" ht="15.75" customHeight="1">
      <c r="B4232" s="56"/>
      <c r="U4232" s="46" t="str">
        <f t="array" ref="U4232">IF($D4232="","",IFERROR(_xlfn.XLOOKUP($D4232,'TIR店舗一覧'!$D:$D,'TIR店舗一覧'!$E:$E,""),""))</f>
        <v/>
      </c>
      <c r="V4232" s="54" t="s">
        <v>2</v>
      </c>
      <c r="W4232" s="54" t="s">
        <v>2</v>
      </c>
      <c r="X4232" s="54" t="s">
        <v>2</v>
      </c>
      <c r="Y4232" s="54" t="s">
        <v>2</v>
      </c>
      <c r="Z4232" s="54" t="s">
        <v>2</v>
      </c>
      <c r="AA4232" s="54" t="s">
        <v>2</v>
      </c>
      <c r="AB4232" s="54" t="s">
        <v>2</v>
      </c>
      <c r="AC4232" s="54" t="s">
        <v>2</v>
      </c>
      <c r="AD4232" s="54" t="s">
        <v>2</v>
      </c>
      <c r="AE4232" s="54" t="s">
        <v>2</v>
      </c>
      <c r="AF4232" s="54" t="s">
        <v>2</v>
      </c>
      <c r="AG4232" s="54" t="s">
        <v>2</v>
      </c>
    </row>
    <row r="4233" ht="15.75" customHeight="1">
      <c r="B4233" s="56"/>
      <c r="U4233" s="46" t="str">
        <f t="array" ref="U4233">IF($D4233="","",IFERROR(_xlfn.XLOOKUP($D4233,'TIR店舗一覧'!$D:$D,'TIR店舗一覧'!$E:$E,""),""))</f>
        <v/>
      </c>
      <c r="V4233" s="54" t="s">
        <v>2</v>
      </c>
      <c r="W4233" s="54" t="s">
        <v>2</v>
      </c>
      <c r="X4233" s="54" t="s">
        <v>2</v>
      </c>
      <c r="Y4233" s="54" t="s">
        <v>2</v>
      </c>
      <c r="Z4233" s="54" t="s">
        <v>2</v>
      </c>
      <c r="AA4233" s="54" t="s">
        <v>2</v>
      </c>
      <c r="AB4233" s="54" t="s">
        <v>2</v>
      </c>
      <c r="AC4233" s="54" t="s">
        <v>2</v>
      </c>
      <c r="AD4233" s="54" t="s">
        <v>2</v>
      </c>
      <c r="AE4233" s="54" t="s">
        <v>2</v>
      </c>
      <c r="AF4233" s="54" t="s">
        <v>2</v>
      </c>
      <c r="AG4233" s="54" t="s">
        <v>2</v>
      </c>
    </row>
    <row r="4234" ht="15.75" customHeight="1">
      <c r="B4234" s="56"/>
      <c r="U4234" s="46" t="str">
        <f t="array" ref="U4234">IF($D4234="","",IFERROR(_xlfn.XLOOKUP($D4234,'TIR店舗一覧'!$D:$D,'TIR店舗一覧'!$E:$E,""),""))</f>
        <v/>
      </c>
      <c r="V4234" s="54" t="s">
        <v>2</v>
      </c>
      <c r="W4234" s="54" t="s">
        <v>2</v>
      </c>
      <c r="X4234" s="54" t="s">
        <v>2</v>
      </c>
      <c r="Y4234" s="54" t="s">
        <v>2</v>
      </c>
      <c r="Z4234" s="54" t="s">
        <v>2</v>
      </c>
      <c r="AA4234" s="54" t="s">
        <v>2</v>
      </c>
      <c r="AB4234" s="54" t="s">
        <v>2</v>
      </c>
      <c r="AC4234" s="54" t="s">
        <v>2</v>
      </c>
      <c r="AD4234" s="54" t="s">
        <v>2</v>
      </c>
      <c r="AE4234" s="54" t="s">
        <v>2</v>
      </c>
      <c r="AF4234" s="54" t="s">
        <v>2</v>
      </c>
      <c r="AG4234" s="54" t="s">
        <v>2</v>
      </c>
    </row>
    <row r="4235" ht="15.75" customHeight="1">
      <c r="B4235" s="56"/>
      <c r="U4235" s="46" t="str">
        <f t="array" ref="U4235">IF($D4235="","",IFERROR(_xlfn.XLOOKUP($D4235,'TIR店舗一覧'!$D:$D,'TIR店舗一覧'!$E:$E,""),""))</f>
        <v/>
      </c>
      <c r="V4235" s="54" t="s">
        <v>2</v>
      </c>
      <c r="W4235" s="54" t="s">
        <v>2</v>
      </c>
      <c r="X4235" s="54" t="s">
        <v>2</v>
      </c>
      <c r="Y4235" s="54" t="s">
        <v>2</v>
      </c>
      <c r="Z4235" s="54" t="s">
        <v>2</v>
      </c>
      <c r="AA4235" s="54" t="s">
        <v>2</v>
      </c>
      <c r="AB4235" s="54" t="s">
        <v>2</v>
      </c>
      <c r="AC4235" s="54" t="s">
        <v>2</v>
      </c>
      <c r="AD4235" s="54" t="s">
        <v>2</v>
      </c>
      <c r="AE4235" s="54" t="s">
        <v>2</v>
      </c>
      <c r="AF4235" s="54" t="s">
        <v>2</v>
      </c>
      <c r="AG4235" s="54" t="s">
        <v>2</v>
      </c>
    </row>
    <row r="4236" ht="15.75" customHeight="1">
      <c r="B4236" s="56"/>
      <c r="U4236" s="46" t="str">
        <f t="array" ref="U4236">IF($D4236="","",IFERROR(_xlfn.XLOOKUP($D4236,'TIR店舗一覧'!$D:$D,'TIR店舗一覧'!$E:$E,""),""))</f>
        <v/>
      </c>
      <c r="V4236" s="54" t="s">
        <v>2</v>
      </c>
      <c r="W4236" s="54" t="s">
        <v>2</v>
      </c>
      <c r="X4236" s="54" t="s">
        <v>2</v>
      </c>
      <c r="Y4236" s="54" t="s">
        <v>2</v>
      </c>
      <c r="Z4236" s="54" t="s">
        <v>2</v>
      </c>
      <c r="AA4236" s="54" t="s">
        <v>2</v>
      </c>
      <c r="AB4236" s="54" t="s">
        <v>2</v>
      </c>
      <c r="AC4236" s="54" t="s">
        <v>2</v>
      </c>
      <c r="AD4236" s="54" t="s">
        <v>2</v>
      </c>
      <c r="AE4236" s="54" t="s">
        <v>2</v>
      </c>
      <c r="AF4236" s="54" t="s">
        <v>2</v>
      </c>
      <c r="AG4236" s="54" t="s">
        <v>2</v>
      </c>
    </row>
    <row r="4237" ht="15.75" customHeight="1">
      <c r="B4237" s="56"/>
      <c r="U4237" s="46" t="str">
        <f t="array" ref="U4237">IF($D4237="","",IFERROR(_xlfn.XLOOKUP($D4237,'TIR店舗一覧'!$D:$D,'TIR店舗一覧'!$E:$E,""),""))</f>
        <v/>
      </c>
      <c r="V4237" s="54" t="s">
        <v>2</v>
      </c>
      <c r="W4237" s="54" t="s">
        <v>2</v>
      </c>
      <c r="X4237" s="54" t="s">
        <v>2</v>
      </c>
      <c r="Y4237" s="54" t="s">
        <v>2</v>
      </c>
      <c r="Z4237" s="54" t="s">
        <v>2</v>
      </c>
      <c r="AA4237" s="54" t="s">
        <v>2</v>
      </c>
      <c r="AB4237" s="54" t="s">
        <v>2</v>
      </c>
      <c r="AC4237" s="54" t="s">
        <v>2</v>
      </c>
      <c r="AD4237" s="54" t="s">
        <v>2</v>
      </c>
      <c r="AE4237" s="54" t="s">
        <v>2</v>
      </c>
      <c r="AF4237" s="54" t="s">
        <v>2</v>
      </c>
      <c r="AG4237" s="54" t="s">
        <v>2</v>
      </c>
    </row>
    <row r="4238" ht="15.75" customHeight="1">
      <c r="B4238" s="56"/>
      <c r="U4238" s="46" t="str">
        <f t="array" ref="U4238">IF($D4238="","",IFERROR(_xlfn.XLOOKUP($D4238,'TIR店舗一覧'!$D:$D,'TIR店舗一覧'!$E:$E,""),""))</f>
        <v/>
      </c>
      <c r="V4238" s="54" t="s">
        <v>2</v>
      </c>
      <c r="W4238" s="54" t="s">
        <v>2</v>
      </c>
      <c r="X4238" s="54" t="s">
        <v>2</v>
      </c>
      <c r="Y4238" s="54" t="s">
        <v>2</v>
      </c>
      <c r="Z4238" s="54" t="s">
        <v>2</v>
      </c>
      <c r="AA4238" s="54" t="s">
        <v>2</v>
      </c>
      <c r="AB4238" s="54" t="s">
        <v>2</v>
      </c>
      <c r="AC4238" s="54" t="s">
        <v>2</v>
      </c>
      <c r="AD4238" s="54" t="s">
        <v>2</v>
      </c>
      <c r="AE4238" s="54" t="s">
        <v>2</v>
      </c>
      <c r="AF4238" s="54" t="s">
        <v>2</v>
      </c>
      <c r="AG4238" s="54" t="s">
        <v>2</v>
      </c>
    </row>
    <row r="4239" ht="15.75" customHeight="1">
      <c r="B4239" s="56"/>
      <c r="U4239" s="46" t="str">
        <f t="array" ref="U4239">IF($D4239="","",IFERROR(_xlfn.XLOOKUP($D4239,'TIR店舗一覧'!$D:$D,'TIR店舗一覧'!$E:$E,""),""))</f>
        <v/>
      </c>
      <c r="V4239" s="54" t="s">
        <v>2</v>
      </c>
      <c r="W4239" s="54" t="s">
        <v>2</v>
      </c>
      <c r="X4239" s="54" t="s">
        <v>2</v>
      </c>
      <c r="Y4239" s="54" t="s">
        <v>2</v>
      </c>
      <c r="Z4239" s="54" t="s">
        <v>2</v>
      </c>
      <c r="AA4239" s="54" t="s">
        <v>2</v>
      </c>
      <c r="AB4239" s="54" t="s">
        <v>2</v>
      </c>
      <c r="AC4239" s="54" t="s">
        <v>2</v>
      </c>
      <c r="AD4239" s="54" t="s">
        <v>2</v>
      </c>
      <c r="AE4239" s="54" t="s">
        <v>2</v>
      </c>
      <c r="AF4239" s="54" t="s">
        <v>2</v>
      </c>
      <c r="AG4239" s="54" t="s">
        <v>2</v>
      </c>
    </row>
    <row r="4240" ht="15.75" customHeight="1">
      <c r="B4240" s="56"/>
      <c r="U4240" s="46" t="str">
        <f t="array" ref="U4240">IF($D4240="","",IFERROR(_xlfn.XLOOKUP($D4240,'TIR店舗一覧'!$D:$D,'TIR店舗一覧'!$E:$E,""),""))</f>
        <v/>
      </c>
      <c r="V4240" s="54" t="s">
        <v>2</v>
      </c>
      <c r="W4240" s="54" t="s">
        <v>2</v>
      </c>
      <c r="X4240" s="54" t="s">
        <v>2</v>
      </c>
      <c r="Y4240" s="54" t="s">
        <v>2</v>
      </c>
      <c r="Z4240" s="54" t="s">
        <v>2</v>
      </c>
      <c r="AA4240" s="54" t="s">
        <v>2</v>
      </c>
      <c r="AB4240" s="54" t="s">
        <v>2</v>
      </c>
      <c r="AC4240" s="54" t="s">
        <v>2</v>
      </c>
      <c r="AD4240" s="54" t="s">
        <v>2</v>
      </c>
      <c r="AE4240" s="54" t="s">
        <v>2</v>
      </c>
      <c r="AF4240" s="54" t="s">
        <v>2</v>
      </c>
      <c r="AG4240" s="54" t="s">
        <v>2</v>
      </c>
    </row>
    <row r="4241" ht="15.75" customHeight="1">
      <c r="B4241" s="56"/>
      <c r="U4241" s="46" t="str">
        <f t="array" ref="U4241">IF($D4241="","",IFERROR(_xlfn.XLOOKUP($D4241,'TIR店舗一覧'!$D:$D,'TIR店舗一覧'!$E:$E,""),""))</f>
        <v/>
      </c>
      <c r="V4241" s="54" t="s">
        <v>2</v>
      </c>
      <c r="W4241" s="54" t="s">
        <v>2</v>
      </c>
      <c r="X4241" s="54" t="s">
        <v>2</v>
      </c>
      <c r="Y4241" s="54" t="s">
        <v>2</v>
      </c>
      <c r="Z4241" s="54" t="s">
        <v>2</v>
      </c>
      <c r="AA4241" s="54" t="s">
        <v>2</v>
      </c>
      <c r="AB4241" s="54" t="s">
        <v>2</v>
      </c>
      <c r="AC4241" s="54" t="s">
        <v>2</v>
      </c>
      <c r="AD4241" s="54" t="s">
        <v>2</v>
      </c>
      <c r="AE4241" s="54" t="s">
        <v>2</v>
      </c>
      <c r="AF4241" s="54" t="s">
        <v>2</v>
      </c>
      <c r="AG4241" s="54" t="s">
        <v>2</v>
      </c>
    </row>
    <row r="4242" ht="15.75" customHeight="1">
      <c r="B4242" s="56"/>
      <c r="U4242" s="46" t="str">
        <f t="array" ref="U4242">IF($D4242="","",IFERROR(_xlfn.XLOOKUP($D4242,'TIR店舗一覧'!$D:$D,'TIR店舗一覧'!$E:$E,""),""))</f>
        <v/>
      </c>
      <c r="V4242" s="54" t="s">
        <v>2</v>
      </c>
      <c r="W4242" s="54" t="s">
        <v>2</v>
      </c>
      <c r="X4242" s="54" t="s">
        <v>2</v>
      </c>
      <c r="Y4242" s="54" t="s">
        <v>2</v>
      </c>
      <c r="Z4242" s="54" t="s">
        <v>2</v>
      </c>
      <c r="AA4242" s="54" t="s">
        <v>2</v>
      </c>
      <c r="AB4242" s="54" t="s">
        <v>2</v>
      </c>
      <c r="AC4242" s="54" t="s">
        <v>2</v>
      </c>
      <c r="AD4242" s="54" t="s">
        <v>2</v>
      </c>
      <c r="AE4242" s="54" t="s">
        <v>2</v>
      </c>
      <c r="AF4242" s="54" t="s">
        <v>2</v>
      </c>
      <c r="AG4242" s="54" t="s">
        <v>2</v>
      </c>
    </row>
    <row r="4243" ht="15.75" customHeight="1">
      <c r="B4243" s="56"/>
      <c r="U4243" s="46" t="str">
        <f t="array" ref="U4243">IF($D4243="","",IFERROR(_xlfn.XLOOKUP($D4243,'TIR店舗一覧'!$D:$D,'TIR店舗一覧'!$E:$E,""),""))</f>
        <v/>
      </c>
      <c r="V4243" s="54" t="s">
        <v>2</v>
      </c>
      <c r="W4243" s="54" t="s">
        <v>2</v>
      </c>
      <c r="X4243" s="54" t="s">
        <v>2</v>
      </c>
      <c r="Y4243" s="54" t="s">
        <v>2</v>
      </c>
      <c r="Z4243" s="54" t="s">
        <v>2</v>
      </c>
      <c r="AA4243" s="54" t="s">
        <v>2</v>
      </c>
      <c r="AB4243" s="54" t="s">
        <v>2</v>
      </c>
      <c r="AC4243" s="54" t="s">
        <v>2</v>
      </c>
      <c r="AD4243" s="54" t="s">
        <v>2</v>
      </c>
      <c r="AE4243" s="54" t="s">
        <v>2</v>
      </c>
      <c r="AF4243" s="54" t="s">
        <v>2</v>
      </c>
      <c r="AG4243" s="54" t="s">
        <v>2</v>
      </c>
    </row>
    <row r="4244" ht="15.75" customHeight="1">
      <c r="B4244" s="56"/>
      <c r="U4244" s="46" t="str">
        <f t="array" ref="U4244">IF($D4244="","",IFERROR(_xlfn.XLOOKUP($D4244,'TIR店舗一覧'!$D:$D,'TIR店舗一覧'!$E:$E,""),""))</f>
        <v/>
      </c>
      <c r="V4244" s="54" t="s">
        <v>2</v>
      </c>
      <c r="W4244" s="54" t="s">
        <v>2</v>
      </c>
      <c r="X4244" s="54" t="s">
        <v>2</v>
      </c>
      <c r="Y4244" s="54" t="s">
        <v>2</v>
      </c>
      <c r="Z4244" s="54" t="s">
        <v>2</v>
      </c>
      <c r="AA4244" s="54" t="s">
        <v>2</v>
      </c>
      <c r="AB4244" s="54" t="s">
        <v>2</v>
      </c>
      <c r="AC4244" s="54" t="s">
        <v>2</v>
      </c>
      <c r="AD4244" s="54" t="s">
        <v>2</v>
      </c>
      <c r="AE4244" s="54" t="s">
        <v>2</v>
      </c>
      <c r="AF4244" s="54" t="s">
        <v>2</v>
      </c>
      <c r="AG4244" s="54" t="s">
        <v>2</v>
      </c>
    </row>
    <row r="4245" ht="15.75" customHeight="1">
      <c r="B4245" s="56"/>
      <c r="U4245" s="46" t="str">
        <f t="array" ref="U4245">IF($D4245="","",IFERROR(_xlfn.XLOOKUP($D4245,'TIR店舗一覧'!$D:$D,'TIR店舗一覧'!$E:$E,""),""))</f>
        <v/>
      </c>
      <c r="V4245" s="54" t="s">
        <v>2</v>
      </c>
      <c r="W4245" s="54" t="s">
        <v>2</v>
      </c>
      <c r="X4245" s="54" t="s">
        <v>2</v>
      </c>
      <c r="Y4245" s="54" t="s">
        <v>2</v>
      </c>
      <c r="Z4245" s="54" t="s">
        <v>2</v>
      </c>
      <c r="AA4245" s="54" t="s">
        <v>2</v>
      </c>
      <c r="AB4245" s="54" t="s">
        <v>2</v>
      </c>
      <c r="AC4245" s="54" t="s">
        <v>2</v>
      </c>
      <c r="AD4245" s="54" t="s">
        <v>2</v>
      </c>
      <c r="AE4245" s="54" t="s">
        <v>2</v>
      </c>
      <c r="AF4245" s="54" t="s">
        <v>2</v>
      </c>
      <c r="AG4245" s="54" t="s">
        <v>2</v>
      </c>
    </row>
    <row r="4246" ht="15.75" customHeight="1">
      <c r="B4246" s="56"/>
      <c r="U4246" s="46" t="str">
        <f t="array" ref="U4246">IF($D4246="","",IFERROR(_xlfn.XLOOKUP($D4246,'TIR店舗一覧'!$D:$D,'TIR店舗一覧'!$E:$E,""),""))</f>
        <v/>
      </c>
      <c r="V4246" s="54" t="s">
        <v>2</v>
      </c>
      <c r="W4246" s="54" t="s">
        <v>2</v>
      </c>
      <c r="X4246" s="54" t="s">
        <v>2</v>
      </c>
      <c r="Y4246" s="54" t="s">
        <v>2</v>
      </c>
      <c r="Z4246" s="54" t="s">
        <v>2</v>
      </c>
      <c r="AA4246" s="54" t="s">
        <v>2</v>
      </c>
      <c r="AB4246" s="54" t="s">
        <v>2</v>
      </c>
      <c r="AC4246" s="54" t="s">
        <v>2</v>
      </c>
      <c r="AD4246" s="54" t="s">
        <v>2</v>
      </c>
      <c r="AE4246" s="54" t="s">
        <v>2</v>
      </c>
      <c r="AF4246" s="54" t="s">
        <v>2</v>
      </c>
      <c r="AG4246" s="54" t="s">
        <v>2</v>
      </c>
    </row>
    <row r="4247" ht="15.75" customHeight="1">
      <c r="B4247" s="56"/>
      <c r="U4247" s="46" t="str">
        <f t="array" ref="U4247">IF($D4247="","",IFERROR(_xlfn.XLOOKUP($D4247,'TIR店舗一覧'!$D:$D,'TIR店舗一覧'!$E:$E,""),""))</f>
        <v/>
      </c>
      <c r="V4247" s="54" t="s">
        <v>2</v>
      </c>
      <c r="W4247" s="54" t="s">
        <v>2</v>
      </c>
      <c r="X4247" s="54" t="s">
        <v>2</v>
      </c>
      <c r="Y4247" s="54" t="s">
        <v>2</v>
      </c>
      <c r="Z4247" s="54" t="s">
        <v>2</v>
      </c>
      <c r="AA4247" s="54" t="s">
        <v>2</v>
      </c>
      <c r="AB4247" s="54" t="s">
        <v>2</v>
      </c>
      <c r="AC4247" s="54" t="s">
        <v>2</v>
      </c>
      <c r="AD4247" s="54" t="s">
        <v>2</v>
      </c>
      <c r="AE4247" s="54" t="s">
        <v>2</v>
      </c>
      <c r="AF4247" s="54" t="s">
        <v>2</v>
      </c>
      <c r="AG4247" s="54" t="s">
        <v>2</v>
      </c>
    </row>
    <row r="4248" ht="15.75" customHeight="1">
      <c r="B4248" s="56"/>
      <c r="U4248" s="46" t="str">
        <f t="array" ref="U4248">IF($D4248="","",IFERROR(_xlfn.XLOOKUP($D4248,'TIR店舗一覧'!$D:$D,'TIR店舗一覧'!$E:$E,""),""))</f>
        <v/>
      </c>
      <c r="V4248" s="54" t="s">
        <v>2</v>
      </c>
      <c r="W4248" s="54" t="s">
        <v>2</v>
      </c>
      <c r="X4248" s="54" t="s">
        <v>2</v>
      </c>
      <c r="Y4248" s="54" t="s">
        <v>2</v>
      </c>
      <c r="Z4248" s="54" t="s">
        <v>2</v>
      </c>
      <c r="AA4248" s="54" t="s">
        <v>2</v>
      </c>
      <c r="AB4248" s="54" t="s">
        <v>2</v>
      </c>
      <c r="AC4248" s="54" t="s">
        <v>2</v>
      </c>
      <c r="AD4248" s="54" t="s">
        <v>2</v>
      </c>
      <c r="AE4248" s="54" t="s">
        <v>2</v>
      </c>
      <c r="AF4248" s="54" t="s">
        <v>2</v>
      </c>
      <c r="AG4248" s="54" t="s">
        <v>2</v>
      </c>
    </row>
    <row r="4249" ht="15.75" customHeight="1">
      <c r="B4249" s="56"/>
      <c r="U4249" s="46" t="str">
        <f t="array" ref="U4249">IF($D4249="","",IFERROR(_xlfn.XLOOKUP($D4249,'TIR店舗一覧'!$D:$D,'TIR店舗一覧'!$E:$E,""),""))</f>
        <v/>
      </c>
      <c r="V4249" s="54" t="s">
        <v>2</v>
      </c>
      <c r="W4249" s="54" t="s">
        <v>2</v>
      </c>
      <c r="X4249" s="54" t="s">
        <v>2</v>
      </c>
      <c r="Y4249" s="54" t="s">
        <v>2</v>
      </c>
      <c r="Z4249" s="54" t="s">
        <v>2</v>
      </c>
      <c r="AA4249" s="54" t="s">
        <v>2</v>
      </c>
      <c r="AB4249" s="54" t="s">
        <v>2</v>
      </c>
      <c r="AC4249" s="54" t="s">
        <v>2</v>
      </c>
      <c r="AD4249" s="54" t="s">
        <v>2</v>
      </c>
      <c r="AE4249" s="54" t="s">
        <v>2</v>
      </c>
      <c r="AF4249" s="54" t="s">
        <v>2</v>
      </c>
      <c r="AG4249" s="54" t="s">
        <v>2</v>
      </c>
    </row>
    <row r="4250" ht="15.75" customHeight="1">
      <c r="B4250" s="56"/>
      <c r="U4250" s="46" t="str">
        <f t="array" ref="U4250">IF($D4250="","",IFERROR(_xlfn.XLOOKUP($D4250,'TIR店舗一覧'!$D:$D,'TIR店舗一覧'!$E:$E,""),""))</f>
        <v/>
      </c>
      <c r="V4250" s="54" t="s">
        <v>2</v>
      </c>
      <c r="W4250" s="54" t="s">
        <v>2</v>
      </c>
      <c r="X4250" s="54" t="s">
        <v>2</v>
      </c>
      <c r="Y4250" s="54" t="s">
        <v>2</v>
      </c>
      <c r="Z4250" s="54" t="s">
        <v>2</v>
      </c>
      <c r="AA4250" s="54" t="s">
        <v>2</v>
      </c>
      <c r="AB4250" s="54" t="s">
        <v>2</v>
      </c>
      <c r="AC4250" s="54" t="s">
        <v>2</v>
      </c>
      <c r="AD4250" s="54" t="s">
        <v>2</v>
      </c>
      <c r="AE4250" s="54" t="s">
        <v>2</v>
      </c>
      <c r="AF4250" s="54" t="s">
        <v>2</v>
      </c>
      <c r="AG4250" s="54" t="s">
        <v>2</v>
      </c>
    </row>
    <row r="4251" ht="15.75" customHeight="1">
      <c r="B4251" s="56"/>
      <c r="U4251" s="46" t="str">
        <f t="array" ref="U4251">IF($D4251="","",IFERROR(_xlfn.XLOOKUP($D4251,'TIR店舗一覧'!$D:$D,'TIR店舗一覧'!$E:$E,""),""))</f>
        <v/>
      </c>
      <c r="V4251" s="54" t="s">
        <v>2</v>
      </c>
      <c r="W4251" s="54" t="s">
        <v>2</v>
      </c>
      <c r="X4251" s="54" t="s">
        <v>2</v>
      </c>
      <c r="Y4251" s="54" t="s">
        <v>2</v>
      </c>
      <c r="Z4251" s="54" t="s">
        <v>2</v>
      </c>
      <c r="AA4251" s="54" t="s">
        <v>2</v>
      </c>
      <c r="AB4251" s="54" t="s">
        <v>2</v>
      </c>
      <c r="AC4251" s="54" t="s">
        <v>2</v>
      </c>
      <c r="AD4251" s="54" t="s">
        <v>2</v>
      </c>
      <c r="AE4251" s="54" t="s">
        <v>2</v>
      </c>
      <c r="AF4251" s="54" t="s">
        <v>2</v>
      </c>
      <c r="AG4251" s="54" t="s">
        <v>2</v>
      </c>
    </row>
    <row r="4252" ht="15.75" customHeight="1">
      <c r="B4252" s="56"/>
      <c r="U4252" s="46" t="str">
        <f t="array" ref="U4252">IF($D4252="","",IFERROR(_xlfn.XLOOKUP($D4252,'TIR店舗一覧'!$D:$D,'TIR店舗一覧'!$E:$E,""),""))</f>
        <v/>
      </c>
      <c r="V4252" s="54" t="s">
        <v>2</v>
      </c>
      <c r="W4252" s="54" t="s">
        <v>2</v>
      </c>
      <c r="X4252" s="54" t="s">
        <v>2</v>
      </c>
      <c r="Y4252" s="54" t="s">
        <v>2</v>
      </c>
      <c r="Z4252" s="54" t="s">
        <v>2</v>
      </c>
      <c r="AA4252" s="54" t="s">
        <v>2</v>
      </c>
      <c r="AB4252" s="54" t="s">
        <v>2</v>
      </c>
      <c r="AC4252" s="54" t="s">
        <v>2</v>
      </c>
      <c r="AD4252" s="54" t="s">
        <v>2</v>
      </c>
      <c r="AE4252" s="54" t="s">
        <v>2</v>
      </c>
      <c r="AF4252" s="54" t="s">
        <v>2</v>
      </c>
      <c r="AG4252" s="54" t="s">
        <v>2</v>
      </c>
    </row>
    <row r="4253" ht="15.75" customHeight="1">
      <c r="B4253" s="56"/>
      <c r="U4253" s="46" t="str">
        <f t="array" ref="U4253">IF($D4253="","",IFERROR(_xlfn.XLOOKUP($D4253,'TIR店舗一覧'!$D:$D,'TIR店舗一覧'!$E:$E,""),""))</f>
        <v/>
      </c>
      <c r="V4253" s="54" t="s">
        <v>2</v>
      </c>
      <c r="W4253" s="54" t="s">
        <v>2</v>
      </c>
      <c r="X4253" s="54" t="s">
        <v>2</v>
      </c>
      <c r="Y4253" s="54" t="s">
        <v>2</v>
      </c>
      <c r="Z4253" s="54" t="s">
        <v>2</v>
      </c>
      <c r="AA4253" s="54" t="s">
        <v>2</v>
      </c>
      <c r="AB4253" s="54" t="s">
        <v>2</v>
      </c>
      <c r="AC4253" s="54" t="s">
        <v>2</v>
      </c>
      <c r="AD4253" s="54" t="s">
        <v>2</v>
      </c>
      <c r="AE4253" s="54" t="s">
        <v>2</v>
      </c>
      <c r="AF4253" s="54" t="s">
        <v>2</v>
      </c>
      <c r="AG4253" s="54" t="s">
        <v>2</v>
      </c>
    </row>
    <row r="4254" ht="15.75" customHeight="1">
      <c r="B4254" s="56"/>
      <c r="U4254" s="46" t="str">
        <f t="array" ref="U4254">IF($D4254="","",IFERROR(_xlfn.XLOOKUP($D4254,'TIR店舗一覧'!$D:$D,'TIR店舗一覧'!$E:$E,""),""))</f>
        <v/>
      </c>
      <c r="V4254" s="54" t="s">
        <v>2</v>
      </c>
      <c r="W4254" s="54" t="s">
        <v>2</v>
      </c>
      <c r="X4254" s="54" t="s">
        <v>2</v>
      </c>
      <c r="Y4254" s="54" t="s">
        <v>2</v>
      </c>
      <c r="Z4254" s="54" t="s">
        <v>2</v>
      </c>
      <c r="AA4254" s="54" t="s">
        <v>2</v>
      </c>
      <c r="AB4254" s="54" t="s">
        <v>2</v>
      </c>
      <c r="AC4254" s="54" t="s">
        <v>2</v>
      </c>
      <c r="AD4254" s="54" t="s">
        <v>2</v>
      </c>
      <c r="AE4254" s="54" t="s">
        <v>2</v>
      </c>
      <c r="AF4254" s="54" t="s">
        <v>2</v>
      </c>
      <c r="AG4254" s="54" t="s">
        <v>2</v>
      </c>
    </row>
    <row r="4255" ht="15.75" customHeight="1">
      <c r="B4255" s="56"/>
      <c r="U4255" s="46" t="str">
        <f t="array" ref="U4255">IF($D4255="","",IFERROR(_xlfn.XLOOKUP($D4255,'TIR店舗一覧'!$D:$D,'TIR店舗一覧'!$E:$E,""),""))</f>
        <v/>
      </c>
      <c r="V4255" s="54" t="s">
        <v>2</v>
      </c>
      <c r="W4255" s="54" t="s">
        <v>2</v>
      </c>
      <c r="X4255" s="54" t="s">
        <v>2</v>
      </c>
      <c r="Y4255" s="54" t="s">
        <v>2</v>
      </c>
      <c r="Z4255" s="54" t="s">
        <v>2</v>
      </c>
      <c r="AA4255" s="54" t="s">
        <v>2</v>
      </c>
      <c r="AB4255" s="54" t="s">
        <v>2</v>
      </c>
      <c r="AC4255" s="54" t="s">
        <v>2</v>
      </c>
      <c r="AD4255" s="54" t="s">
        <v>2</v>
      </c>
      <c r="AE4255" s="54" t="s">
        <v>2</v>
      </c>
      <c r="AF4255" s="54" t="s">
        <v>2</v>
      </c>
      <c r="AG4255" s="54" t="s">
        <v>2</v>
      </c>
    </row>
    <row r="4256" ht="15.75" customHeight="1">
      <c r="B4256" s="56"/>
      <c r="U4256" s="46" t="str">
        <f t="array" ref="U4256">IF($D4256="","",IFERROR(_xlfn.XLOOKUP($D4256,'TIR店舗一覧'!$D:$D,'TIR店舗一覧'!$E:$E,""),""))</f>
        <v/>
      </c>
      <c r="V4256" s="54" t="s">
        <v>2</v>
      </c>
      <c r="W4256" s="54" t="s">
        <v>2</v>
      </c>
      <c r="X4256" s="54" t="s">
        <v>2</v>
      </c>
      <c r="Y4256" s="54" t="s">
        <v>2</v>
      </c>
      <c r="Z4256" s="54" t="s">
        <v>2</v>
      </c>
      <c r="AA4256" s="54" t="s">
        <v>2</v>
      </c>
      <c r="AB4256" s="54" t="s">
        <v>2</v>
      </c>
      <c r="AC4256" s="54" t="s">
        <v>2</v>
      </c>
      <c r="AD4256" s="54" t="s">
        <v>2</v>
      </c>
      <c r="AE4256" s="54" t="s">
        <v>2</v>
      </c>
      <c r="AF4256" s="54" t="s">
        <v>2</v>
      </c>
      <c r="AG4256" s="54" t="s">
        <v>2</v>
      </c>
    </row>
    <row r="4257" ht="15.75" customHeight="1">
      <c r="B4257" s="56"/>
      <c r="U4257" s="46" t="str">
        <f t="array" ref="U4257">IF($D4257="","",IFERROR(_xlfn.XLOOKUP($D4257,'TIR店舗一覧'!$D:$D,'TIR店舗一覧'!$E:$E,""),""))</f>
        <v/>
      </c>
      <c r="V4257" s="54" t="s">
        <v>2</v>
      </c>
      <c r="W4257" s="54" t="s">
        <v>2</v>
      </c>
      <c r="X4257" s="54" t="s">
        <v>2</v>
      </c>
      <c r="Y4257" s="54" t="s">
        <v>2</v>
      </c>
      <c r="Z4257" s="54" t="s">
        <v>2</v>
      </c>
      <c r="AA4257" s="54" t="s">
        <v>2</v>
      </c>
      <c r="AB4257" s="54" t="s">
        <v>2</v>
      </c>
      <c r="AC4257" s="54" t="s">
        <v>2</v>
      </c>
      <c r="AD4257" s="54" t="s">
        <v>2</v>
      </c>
      <c r="AE4257" s="54" t="s">
        <v>2</v>
      </c>
      <c r="AF4257" s="54" t="s">
        <v>2</v>
      </c>
      <c r="AG4257" s="54" t="s">
        <v>2</v>
      </c>
    </row>
    <row r="4258" ht="15.75" customHeight="1">
      <c r="B4258" s="56"/>
      <c r="U4258" s="46" t="str">
        <f t="array" ref="U4258">IF($D4258="","",IFERROR(_xlfn.XLOOKUP($D4258,'TIR店舗一覧'!$D:$D,'TIR店舗一覧'!$E:$E,""),""))</f>
        <v/>
      </c>
      <c r="V4258" s="54" t="s">
        <v>2</v>
      </c>
      <c r="W4258" s="54" t="s">
        <v>2</v>
      </c>
      <c r="X4258" s="54" t="s">
        <v>2</v>
      </c>
      <c r="Y4258" s="54" t="s">
        <v>2</v>
      </c>
      <c r="Z4258" s="54" t="s">
        <v>2</v>
      </c>
      <c r="AA4258" s="54" t="s">
        <v>2</v>
      </c>
      <c r="AB4258" s="54" t="s">
        <v>2</v>
      </c>
      <c r="AC4258" s="54" t="s">
        <v>2</v>
      </c>
      <c r="AD4258" s="54" t="s">
        <v>2</v>
      </c>
      <c r="AE4258" s="54" t="s">
        <v>2</v>
      </c>
      <c r="AF4258" s="54" t="s">
        <v>2</v>
      </c>
      <c r="AG4258" s="54" t="s">
        <v>2</v>
      </c>
    </row>
    <row r="4259" ht="15.75" customHeight="1">
      <c r="B4259" s="56"/>
      <c r="U4259" s="46" t="str">
        <f t="array" ref="U4259">IF($D4259="","",IFERROR(_xlfn.XLOOKUP($D4259,'TIR店舗一覧'!$D:$D,'TIR店舗一覧'!$E:$E,""),""))</f>
        <v/>
      </c>
      <c r="V4259" s="54" t="s">
        <v>2</v>
      </c>
      <c r="W4259" s="54" t="s">
        <v>2</v>
      </c>
      <c r="X4259" s="54" t="s">
        <v>2</v>
      </c>
      <c r="Y4259" s="54" t="s">
        <v>2</v>
      </c>
      <c r="Z4259" s="54" t="s">
        <v>2</v>
      </c>
      <c r="AA4259" s="54" t="s">
        <v>2</v>
      </c>
      <c r="AB4259" s="54" t="s">
        <v>2</v>
      </c>
      <c r="AC4259" s="54" t="s">
        <v>2</v>
      </c>
      <c r="AD4259" s="54" t="s">
        <v>2</v>
      </c>
      <c r="AE4259" s="54" t="s">
        <v>2</v>
      </c>
      <c r="AF4259" s="54" t="s">
        <v>2</v>
      </c>
      <c r="AG4259" s="54" t="s">
        <v>2</v>
      </c>
    </row>
    <row r="4260" ht="15.75" customHeight="1">
      <c r="B4260" s="56"/>
      <c r="U4260" s="46" t="str">
        <f t="array" ref="U4260">IF($D4260="","",IFERROR(_xlfn.XLOOKUP($D4260,'TIR店舗一覧'!$D:$D,'TIR店舗一覧'!$E:$E,""),""))</f>
        <v/>
      </c>
      <c r="V4260" s="54" t="s">
        <v>2</v>
      </c>
      <c r="W4260" s="54" t="s">
        <v>2</v>
      </c>
      <c r="X4260" s="54" t="s">
        <v>2</v>
      </c>
      <c r="Y4260" s="54" t="s">
        <v>2</v>
      </c>
      <c r="Z4260" s="54" t="s">
        <v>2</v>
      </c>
      <c r="AA4260" s="54" t="s">
        <v>2</v>
      </c>
      <c r="AB4260" s="54" t="s">
        <v>2</v>
      </c>
      <c r="AC4260" s="54" t="s">
        <v>2</v>
      </c>
      <c r="AD4260" s="54" t="s">
        <v>2</v>
      </c>
      <c r="AE4260" s="54" t="s">
        <v>2</v>
      </c>
      <c r="AF4260" s="54" t="s">
        <v>2</v>
      </c>
      <c r="AG4260" s="54" t="s">
        <v>2</v>
      </c>
    </row>
    <row r="4261" ht="15.75" customHeight="1">
      <c r="B4261" s="56"/>
      <c r="U4261" s="46" t="str">
        <f t="array" ref="U4261">IF($D4261="","",IFERROR(_xlfn.XLOOKUP($D4261,'TIR店舗一覧'!$D:$D,'TIR店舗一覧'!$E:$E,""),""))</f>
        <v/>
      </c>
      <c r="V4261" s="54" t="s">
        <v>2</v>
      </c>
      <c r="W4261" s="54" t="s">
        <v>2</v>
      </c>
      <c r="X4261" s="54" t="s">
        <v>2</v>
      </c>
      <c r="Y4261" s="54" t="s">
        <v>2</v>
      </c>
      <c r="Z4261" s="54" t="s">
        <v>2</v>
      </c>
      <c r="AA4261" s="54" t="s">
        <v>2</v>
      </c>
      <c r="AB4261" s="54" t="s">
        <v>2</v>
      </c>
      <c r="AC4261" s="54" t="s">
        <v>2</v>
      </c>
      <c r="AD4261" s="54" t="s">
        <v>2</v>
      </c>
      <c r="AE4261" s="54" t="s">
        <v>2</v>
      </c>
      <c r="AF4261" s="54" t="s">
        <v>2</v>
      </c>
      <c r="AG4261" s="54" t="s">
        <v>2</v>
      </c>
    </row>
    <row r="4262" ht="15.75" customHeight="1">
      <c r="B4262" s="56"/>
      <c r="U4262" s="46" t="str">
        <f t="array" ref="U4262">IF($D4262="","",IFERROR(_xlfn.XLOOKUP($D4262,'TIR店舗一覧'!$D:$D,'TIR店舗一覧'!$E:$E,""),""))</f>
        <v/>
      </c>
      <c r="V4262" s="54" t="s">
        <v>2</v>
      </c>
      <c r="W4262" s="54" t="s">
        <v>2</v>
      </c>
      <c r="X4262" s="54" t="s">
        <v>2</v>
      </c>
      <c r="Y4262" s="54" t="s">
        <v>2</v>
      </c>
      <c r="Z4262" s="54" t="s">
        <v>2</v>
      </c>
      <c r="AA4262" s="54" t="s">
        <v>2</v>
      </c>
      <c r="AB4262" s="54" t="s">
        <v>2</v>
      </c>
      <c r="AC4262" s="54" t="s">
        <v>2</v>
      </c>
      <c r="AD4262" s="54" t="s">
        <v>2</v>
      </c>
      <c r="AE4262" s="54" t="s">
        <v>2</v>
      </c>
      <c r="AF4262" s="54" t="s">
        <v>2</v>
      </c>
      <c r="AG4262" s="54" t="s">
        <v>2</v>
      </c>
    </row>
    <row r="4263" ht="15.75" customHeight="1">
      <c r="B4263" s="56"/>
      <c r="U4263" s="46" t="str">
        <f t="array" ref="U4263">IF($D4263="","",IFERROR(_xlfn.XLOOKUP($D4263,'TIR店舗一覧'!$D:$D,'TIR店舗一覧'!$E:$E,""),""))</f>
        <v/>
      </c>
      <c r="V4263" s="54" t="s">
        <v>2</v>
      </c>
      <c r="W4263" s="54" t="s">
        <v>2</v>
      </c>
      <c r="X4263" s="54" t="s">
        <v>2</v>
      </c>
      <c r="Y4263" s="54" t="s">
        <v>2</v>
      </c>
      <c r="Z4263" s="54" t="s">
        <v>2</v>
      </c>
      <c r="AA4263" s="54" t="s">
        <v>2</v>
      </c>
      <c r="AB4263" s="54" t="s">
        <v>2</v>
      </c>
      <c r="AC4263" s="54" t="s">
        <v>2</v>
      </c>
      <c r="AD4263" s="54" t="s">
        <v>2</v>
      </c>
      <c r="AE4263" s="54" t="s">
        <v>2</v>
      </c>
      <c r="AF4263" s="54" t="s">
        <v>2</v>
      </c>
      <c r="AG4263" s="54" t="s">
        <v>2</v>
      </c>
    </row>
    <row r="4264" ht="15.75" customHeight="1">
      <c r="B4264" s="56"/>
      <c r="U4264" s="46" t="str">
        <f t="array" ref="U4264">IF($D4264="","",IFERROR(_xlfn.XLOOKUP($D4264,'TIR店舗一覧'!$D:$D,'TIR店舗一覧'!$E:$E,""),""))</f>
        <v/>
      </c>
      <c r="V4264" s="54" t="s">
        <v>2</v>
      </c>
      <c r="W4264" s="54" t="s">
        <v>2</v>
      </c>
      <c r="X4264" s="54" t="s">
        <v>2</v>
      </c>
      <c r="Y4264" s="54" t="s">
        <v>2</v>
      </c>
      <c r="Z4264" s="54" t="s">
        <v>2</v>
      </c>
      <c r="AA4264" s="54" t="s">
        <v>2</v>
      </c>
      <c r="AB4264" s="54" t="s">
        <v>2</v>
      </c>
      <c r="AC4264" s="54" t="s">
        <v>2</v>
      </c>
      <c r="AD4264" s="54" t="s">
        <v>2</v>
      </c>
      <c r="AE4264" s="54" t="s">
        <v>2</v>
      </c>
      <c r="AF4264" s="54" t="s">
        <v>2</v>
      </c>
      <c r="AG4264" s="54" t="s">
        <v>2</v>
      </c>
    </row>
    <row r="4265" ht="15.75" customHeight="1">
      <c r="B4265" s="56"/>
      <c r="U4265" s="46" t="str">
        <f t="array" ref="U4265">IF($D4265="","",IFERROR(_xlfn.XLOOKUP($D4265,'TIR店舗一覧'!$D:$D,'TIR店舗一覧'!$E:$E,""),""))</f>
        <v/>
      </c>
      <c r="V4265" s="54" t="s">
        <v>2</v>
      </c>
      <c r="W4265" s="54" t="s">
        <v>2</v>
      </c>
      <c r="X4265" s="54" t="s">
        <v>2</v>
      </c>
      <c r="Y4265" s="54" t="s">
        <v>2</v>
      </c>
      <c r="Z4265" s="54" t="s">
        <v>2</v>
      </c>
      <c r="AA4265" s="54" t="s">
        <v>2</v>
      </c>
      <c r="AB4265" s="54" t="s">
        <v>2</v>
      </c>
      <c r="AC4265" s="54" t="s">
        <v>2</v>
      </c>
      <c r="AD4265" s="54" t="s">
        <v>2</v>
      </c>
      <c r="AE4265" s="54" t="s">
        <v>2</v>
      </c>
      <c r="AF4265" s="54" t="s">
        <v>2</v>
      </c>
      <c r="AG4265" s="54" t="s">
        <v>2</v>
      </c>
    </row>
    <row r="4266" ht="15.75" customHeight="1">
      <c r="B4266" s="56"/>
      <c r="U4266" s="46" t="str">
        <f t="array" ref="U4266">IF($D4266="","",IFERROR(_xlfn.XLOOKUP($D4266,'TIR店舗一覧'!$D:$D,'TIR店舗一覧'!$E:$E,""),""))</f>
        <v/>
      </c>
      <c r="V4266" s="54" t="s">
        <v>2</v>
      </c>
      <c r="W4266" s="54" t="s">
        <v>2</v>
      </c>
      <c r="X4266" s="54" t="s">
        <v>2</v>
      </c>
      <c r="Y4266" s="54" t="s">
        <v>2</v>
      </c>
      <c r="Z4266" s="54" t="s">
        <v>2</v>
      </c>
      <c r="AA4266" s="54" t="s">
        <v>2</v>
      </c>
      <c r="AB4266" s="54" t="s">
        <v>2</v>
      </c>
      <c r="AC4266" s="54" t="s">
        <v>2</v>
      </c>
      <c r="AD4266" s="54" t="s">
        <v>2</v>
      </c>
      <c r="AE4266" s="54" t="s">
        <v>2</v>
      </c>
      <c r="AF4266" s="54" t="s">
        <v>2</v>
      </c>
      <c r="AG4266" s="54" t="s">
        <v>2</v>
      </c>
    </row>
    <row r="4267" ht="15.75" customHeight="1">
      <c r="B4267" s="56"/>
      <c r="U4267" s="46" t="str">
        <f t="array" ref="U4267">IF($D4267="","",IFERROR(_xlfn.XLOOKUP($D4267,'TIR店舗一覧'!$D:$D,'TIR店舗一覧'!$E:$E,""),""))</f>
        <v/>
      </c>
      <c r="V4267" s="54" t="s">
        <v>2</v>
      </c>
      <c r="W4267" s="54" t="s">
        <v>2</v>
      </c>
      <c r="X4267" s="54" t="s">
        <v>2</v>
      </c>
      <c r="Y4267" s="54" t="s">
        <v>2</v>
      </c>
      <c r="Z4267" s="54" t="s">
        <v>2</v>
      </c>
      <c r="AA4267" s="54" t="s">
        <v>2</v>
      </c>
      <c r="AB4267" s="54" t="s">
        <v>2</v>
      </c>
      <c r="AC4267" s="54" t="s">
        <v>2</v>
      </c>
      <c r="AD4267" s="54" t="s">
        <v>2</v>
      </c>
      <c r="AE4267" s="54" t="s">
        <v>2</v>
      </c>
      <c r="AF4267" s="54" t="s">
        <v>2</v>
      </c>
      <c r="AG4267" s="54" t="s">
        <v>2</v>
      </c>
    </row>
    <row r="4268" ht="15.75" customHeight="1">
      <c r="B4268" s="56"/>
      <c r="U4268" s="46" t="str">
        <f t="array" ref="U4268">IF($D4268="","",IFERROR(_xlfn.XLOOKUP($D4268,'TIR店舗一覧'!$D:$D,'TIR店舗一覧'!$E:$E,""),""))</f>
        <v/>
      </c>
      <c r="V4268" s="54" t="s">
        <v>2</v>
      </c>
      <c r="W4268" s="54" t="s">
        <v>2</v>
      </c>
      <c r="X4268" s="54" t="s">
        <v>2</v>
      </c>
      <c r="Y4268" s="54" t="s">
        <v>2</v>
      </c>
      <c r="Z4268" s="54" t="s">
        <v>2</v>
      </c>
      <c r="AA4268" s="54" t="s">
        <v>2</v>
      </c>
      <c r="AB4268" s="54" t="s">
        <v>2</v>
      </c>
      <c r="AC4268" s="54" t="s">
        <v>2</v>
      </c>
      <c r="AD4268" s="54" t="s">
        <v>2</v>
      </c>
      <c r="AE4268" s="54" t="s">
        <v>2</v>
      </c>
      <c r="AF4268" s="54" t="s">
        <v>2</v>
      </c>
      <c r="AG4268" s="54" t="s">
        <v>2</v>
      </c>
    </row>
    <row r="4269" ht="15.75" customHeight="1">
      <c r="B4269" s="56"/>
      <c r="U4269" s="46" t="str">
        <f t="array" ref="U4269">IF($D4269="","",IFERROR(_xlfn.XLOOKUP($D4269,'TIR店舗一覧'!$D:$D,'TIR店舗一覧'!$E:$E,""),""))</f>
        <v/>
      </c>
      <c r="V4269" s="54" t="s">
        <v>2</v>
      </c>
      <c r="W4269" s="54" t="s">
        <v>2</v>
      </c>
      <c r="X4269" s="54" t="s">
        <v>2</v>
      </c>
      <c r="Y4269" s="54" t="s">
        <v>2</v>
      </c>
      <c r="Z4269" s="54" t="s">
        <v>2</v>
      </c>
      <c r="AA4269" s="54" t="s">
        <v>2</v>
      </c>
      <c r="AB4269" s="54" t="s">
        <v>2</v>
      </c>
      <c r="AC4269" s="54" t="s">
        <v>2</v>
      </c>
      <c r="AD4269" s="54" t="s">
        <v>2</v>
      </c>
      <c r="AE4269" s="54" t="s">
        <v>2</v>
      </c>
      <c r="AF4269" s="54" t="s">
        <v>2</v>
      </c>
      <c r="AG4269" s="54" t="s">
        <v>2</v>
      </c>
    </row>
    <row r="4270" ht="15.75" customHeight="1">
      <c r="B4270" s="56"/>
      <c r="U4270" s="46" t="str">
        <f t="array" ref="U4270">IF($D4270="","",IFERROR(_xlfn.XLOOKUP($D4270,'TIR店舗一覧'!$D:$D,'TIR店舗一覧'!$E:$E,""),""))</f>
        <v/>
      </c>
      <c r="V4270" s="54" t="s">
        <v>2</v>
      </c>
      <c r="W4270" s="54" t="s">
        <v>2</v>
      </c>
      <c r="X4270" s="54" t="s">
        <v>2</v>
      </c>
      <c r="Y4270" s="54" t="s">
        <v>2</v>
      </c>
      <c r="Z4270" s="54" t="s">
        <v>2</v>
      </c>
      <c r="AA4270" s="54" t="s">
        <v>2</v>
      </c>
      <c r="AB4270" s="54" t="s">
        <v>2</v>
      </c>
      <c r="AC4270" s="54" t="s">
        <v>2</v>
      </c>
      <c r="AD4270" s="54" t="s">
        <v>2</v>
      </c>
      <c r="AE4270" s="54" t="s">
        <v>2</v>
      </c>
      <c r="AF4270" s="54" t="s">
        <v>2</v>
      </c>
      <c r="AG4270" s="54" t="s">
        <v>2</v>
      </c>
    </row>
    <row r="4271" ht="15.75" customHeight="1">
      <c r="B4271" s="56"/>
      <c r="U4271" s="46" t="str">
        <f t="array" ref="U4271">IF($D4271="","",IFERROR(_xlfn.XLOOKUP($D4271,'TIR店舗一覧'!$D:$D,'TIR店舗一覧'!$E:$E,""),""))</f>
        <v/>
      </c>
      <c r="V4271" s="54" t="s">
        <v>2</v>
      </c>
      <c r="W4271" s="54" t="s">
        <v>2</v>
      </c>
      <c r="X4271" s="54" t="s">
        <v>2</v>
      </c>
      <c r="Y4271" s="54" t="s">
        <v>2</v>
      </c>
      <c r="Z4271" s="54" t="s">
        <v>2</v>
      </c>
      <c r="AA4271" s="54" t="s">
        <v>2</v>
      </c>
      <c r="AB4271" s="54" t="s">
        <v>2</v>
      </c>
      <c r="AC4271" s="54" t="s">
        <v>2</v>
      </c>
      <c r="AD4271" s="54" t="s">
        <v>2</v>
      </c>
      <c r="AE4271" s="54" t="s">
        <v>2</v>
      </c>
      <c r="AF4271" s="54" t="s">
        <v>2</v>
      </c>
      <c r="AG4271" s="54" t="s">
        <v>2</v>
      </c>
    </row>
    <row r="4272" ht="15.75" customHeight="1">
      <c r="B4272" s="56"/>
      <c r="U4272" s="46" t="str">
        <f t="array" ref="U4272">IF($D4272="","",IFERROR(_xlfn.XLOOKUP($D4272,'TIR店舗一覧'!$D:$D,'TIR店舗一覧'!$E:$E,""),""))</f>
        <v/>
      </c>
      <c r="V4272" s="54" t="s">
        <v>2</v>
      </c>
      <c r="W4272" s="54" t="s">
        <v>2</v>
      </c>
      <c r="X4272" s="54" t="s">
        <v>2</v>
      </c>
      <c r="Y4272" s="54" t="s">
        <v>2</v>
      </c>
      <c r="Z4272" s="54" t="s">
        <v>2</v>
      </c>
      <c r="AA4272" s="54" t="s">
        <v>2</v>
      </c>
      <c r="AB4272" s="54" t="s">
        <v>2</v>
      </c>
      <c r="AC4272" s="54" t="s">
        <v>2</v>
      </c>
      <c r="AD4272" s="54" t="s">
        <v>2</v>
      </c>
      <c r="AE4272" s="54" t="s">
        <v>2</v>
      </c>
      <c r="AF4272" s="54" t="s">
        <v>2</v>
      </c>
      <c r="AG4272" s="54" t="s">
        <v>2</v>
      </c>
    </row>
    <row r="4273" ht="15.75" customHeight="1">
      <c r="B4273" s="56"/>
      <c r="U4273" s="46" t="str">
        <f t="array" ref="U4273">IF($D4273="","",IFERROR(_xlfn.XLOOKUP($D4273,'TIR店舗一覧'!$D:$D,'TIR店舗一覧'!$E:$E,""),""))</f>
        <v/>
      </c>
      <c r="V4273" s="54" t="s">
        <v>2</v>
      </c>
      <c r="W4273" s="54" t="s">
        <v>2</v>
      </c>
      <c r="X4273" s="54" t="s">
        <v>2</v>
      </c>
      <c r="Y4273" s="54" t="s">
        <v>2</v>
      </c>
      <c r="Z4273" s="54" t="s">
        <v>2</v>
      </c>
      <c r="AA4273" s="54" t="s">
        <v>2</v>
      </c>
      <c r="AB4273" s="54" t="s">
        <v>2</v>
      </c>
      <c r="AC4273" s="54" t="s">
        <v>2</v>
      </c>
      <c r="AD4273" s="54" t="s">
        <v>2</v>
      </c>
      <c r="AE4273" s="54" t="s">
        <v>2</v>
      </c>
      <c r="AF4273" s="54" t="s">
        <v>2</v>
      </c>
      <c r="AG4273" s="54" t="s">
        <v>2</v>
      </c>
    </row>
    <row r="4274" ht="15.75" customHeight="1">
      <c r="B4274" s="56"/>
      <c r="U4274" s="46" t="str">
        <f t="array" ref="U4274">IF($D4274="","",IFERROR(_xlfn.XLOOKUP($D4274,'TIR店舗一覧'!$D:$D,'TIR店舗一覧'!$E:$E,""),""))</f>
        <v/>
      </c>
      <c r="V4274" s="54" t="s">
        <v>2</v>
      </c>
      <c r="W4274" s="54" t="s">
        <v>2</v>
      </c>
      <c r="X4274" s="54" t="s">
        <v>2</v>
      </c>
      <c r="Y4274" s="54" t="s">
        <v>2</v>
      </c>
      <c r="Z4274" s="54" t="s">
        <v>2</v>
      </c>
      <c r="AA4274" s="54" t="s">
        <v>2</v>
      </c>
      <c r="AB4274" s="54" t="s">
        <v>2</v>
      </c>
      <c r="AC4274" s="54" t="s">
        <v>2</v>
      </c>
      <c r="AD4274" s="54" t="s">
        <v>2</v>
      </c>
      <c r="AE4274" s="54" t="s">
        <v>2</v>
      </c>
      <c r="AF4274" s="54" t="s">
        <v>2</v>
      </c>
      <c r="AG4274" s="54" t="s">
        <v>2</v>
      </c>
    </row>
    <row r="4275" ht="15.75" customHeight="1">
      <c r="B4275" s="56"/>
      <c r="U4275" s="46" t="str">
        <f t="array" ref="U4275">IF($D4275="","",IFERROR(_xlfn.XLOOKUP($D4275,'TIR店舗一覧'!$D:$D,'TIR店舗一覧'!$E:$E,""),""))</f>
        <v/>
      </c>
      <c r="V4275" s="54" t="s">
        <v>2</v>
      </c>
      <c r="W4275" s="54" t="s">
        <v>2</v>
      </c>
      <c r="X4275" s="54" t="s">
        <v>2</v>
      </c>
      <c r="Y4275" s="54" t="s">
        <v>2</v>
      </c>
      <c r="Z4275" s="54" t="s">
        <v>2</v>
      </c>
      <c r="AA4275" s="54" t="s">
        <v>2</v>
      </c>
      <c r="AB4275" s="54" t="s">
        <v>2</v>
      </c>
      <c r="AC4275" s="54" t="s">
        <v>2</v>
      </c>
      <c r="AD4275" s="54" t="s">
        <v>2</v>
      </c>
      <c r="AE4275" s="54" t="s">
        <v>2</v>
      </c>
      <c r="AF4275" s="54" t="s">
        <v>2</v>
      </c>
      <c r="AG4275" s="54" t="s">
        <v>2</v>
      </c>
    </row>
    <row r="4276" ht="15.75" customHeight="1">
      <c r="B4276" s="56"/>
      <c r="U4276" s="46" t="str">
        <f t="array" ref="U4276">IF($D4276="","",IFERROR(_xlfn.XLOOKUP($D4276,'TIR店舗一覧'!$D:$D,'TIR店舗一覧'!$E:$E,""),""))</f>
        <v/>
      </c>
      <c r="V4276" s="54" t="s">
        <v>2</v>
      </c>
      <c r="W4276" s="54" t="s">
        <v>2</v>
      </c>
      <c r="X4276" s="54" t="s">
        <v>2</v>
      </c>
      <c r="Y4276" s="54" t="s">
        <v>2</v>
      </c>
      <c r="Z4276" s="54" t="s">
        <v>2</v>
      </c>
      <c r="AA4276" s="54" t="s">
        <v>2</v>
      </c>
      <c r="AB4276" s="54" t="s">
        <v>2</v>
      </c>
      <c r="AC4276" s="54" t="s">
        <v>2</v>
      </c>
      <c r="AD4276" s="54" t="s">
        <v>2</v>
      </c>
      <c r="AE4276" s="54" t="s">
        <v>2</v>
      </c>
      <c r="AF4276" s="54" t="s">
        <v>2</v>
      </c>
      <c r="AG4276" s="54" t="s">
        <v>2</v>
      </c>
    </row>
    <row r="4277" ht="15.75" customHeight="1">
      <c r="B4277" s="56"/>
      <c r="U4277" s="46" t="str">
        <f t="array" ref="U4277">IF($D4277="","",IFERROR(_xlfn.XLOOKUP($D4277,'TIR店舗一覧'!$D:$D,'TIR店舗一覧'!$E:$E,""),""))</f>
        <v/>
      </c>
      <c r="V4277" s="54" t="s">
        <v>2</v>
      </c>
      <c r="W4277" s="54" t="s">
        <v>2</v>
      </c>
      <c r="X4277" s="54" t="s">
        <v>2</v>
      </c>
      <c r="Y4277" s="54" t="s">
        <v>2</v>
      </c>
      <c r="Z4277" s="54" t="s">
        <v>2</v>
      </c>
      <c r="AA4277" s="54" t="s">
        <v>2</v>
      </c>
      <c r="AB4277" s="54" t="s">
        <v>2</v>
      </c>
      <c r="AC4277" s="54" t="s">
        <v>2</v>
      </c>
      <c r="AD4277" s="54" t="s">
        <v>2</v>
      </c>
      <c r="AE4277" s="54" t="s">
        <v>2</v>
      </c>
      <c r="AF4277" s="54" t="s">
        <v>2</v>
      </c>
      <c r="AG4277" s="54" t="s">
        <v>2</v>
      </c>
    </row>
    <row r="4278" ht="15.75" customHeight="1">
      <c r="B4278" s="56"/>
      <c r="U4278" s="46" t="str">
        <f t="array" ref="U4278">IF($D4278="","",IFERROR(_xlfn.XLOOKUP($D4278,'TIR店舗一覧'!$D:$D,'TIR店舗一覧'!$E:$E,""),""))</f>
        <v/>
      </c>
      <c r="V4278" s="54" t="s">
        <v>2</v>
      </c>
      <c r="W4278" s="54" t="s">
        <v>2</v>
      </c>
      <c r="X4278" s="54" t="s">
        <v>2</v>
      </c>
      <c r="Y4278" s="54" t="s">
        <v>2</v>
      </c>
      <c r="Z4278" s="54" t="s">
        <v>2</v>
      </c>
      <c r="AA4278" s="54" t="s">
        <v>2</v>
      </c>
      <c r="AB4278" s="54" t="s">
        <v>2</v>
      </c>
      <c r="AC4278" s="54" t="s">
        <v>2</v>
      </c>
      <c r="AD4278" s="54" t="s">
        <v>2</v>
      </c>
      <c r="AE4278" s="54" t="s">
        <v>2</v>
      </c>
      <c r="AF4278" s="54" t="s">
        <v>2</v>
      </c>
      <c r="AG4278" s="54" t="s">
        <v>2</v>
      </c>
    </row>
    <row r="4279" ht="15.75" customHeight="1">
      <c r="B4279" s="56"/>
      <c r="U4279" s="46" t="str">
        <f t="array" ref="U4279">IF($D4279="","",IFERROR(_xlfn.XLOOKUP($D4279,'TIR店舗一覧'!$D:$D,'TIR店舗一覧'!$E:$E,""),""))</f>
        <v/>
      </c>
      <c r="V4279" s="54" t="s">
        <v>2</v>
      </c>
      <c r="W4279" s="54" t="s">
        <v>2</v>
      </c>
      <c r="X4279" s="54" t="s">
        <v>2</v>
      </c>
      <c r="Y4279" s="54" t="s">
        <v>2</v>
      </c>
      <c r="Z4279" s="54" t="s">
        <v>2</v>
      </c>
      <c r="AA4279" s="54" t="s">
        <v>2</v>
      </c>
      <c r="AB4279" s="54" t="s">
        <v>2</v>
      </c>
      <c r="AC4279" s="54" t="s">
        <v>2</v>
      </c>
      <c r="AD4279" s="54" t="s">
        <v>2</v>
      </c>
      <c r="AE4279" s="54" t="s">
        <v>2</v>
      </c>
      <c r="AF4279" s="54" t="s">
        <v>2</v>
      </c>
      <c r="AG4279" s="54" t="s">
        <v>2</v>
      </c>
    </row>
    <row r="4280" ht="15.75" customHeight="1">
      <c r="B4280" s="56"/>
      <c r="U4280" s="46" t="str">
        <f t="array" ref="U4280">IF($D4280="","",IFERROR(_xlfn.XLOOKUP($D4280,'TIR店舗一覧'!$D:$D,'TIR店舗一覧'!$E:$E,""),""))</f>
        <v/>
      </c>
      <c r="V4280" s="54" t="s">
        <v>2</v>
      </c>
      <c r="W4280" s="54" t="s">
        <v>2</v>
      </c>
      <c r="X4280" s="54" t="s">
        <v>2</v>
      </c>
      <c r="Y4280" s="54" t="s">
        <v>2</v>
      </c>
      <c r="Z4280" s="54" t="s">
        <v>2</v>
      </c>
      <c r="AA4280" s="54" t="s">
        <v>2</v>
      </c>
      <c r="AB4280" s="54" t="s">
        <v>2</v>
      </c>
      <c r="AC4280" s="54" t="s">
        <v>2</v>
      </c>
      <c r="AD4280" s="54" t="s">
        <v>2</v>
      </c>
      <c r="AE4280" s="54" t="s">
        <v>2</v>
      </c>
      <c r="AF4280" s="54" t="s">
        <v>2</v>
      </c>
      <c r="AG4280" s="54" t="s">
        <v>2</v>
      </c>
    </row>
    <row r="4281" ht="15.75" customHeight="1">
      <c r="B4281" s="56"/>
      <c r="U4281" s="46" t="str">
        <f t="array" ref="U4281">IF($D4281="","",IFERROR(_xlfn.XLOOKUP($D4281,'TIR店舗一覧'!$D:$D,'TIR店舗一覧'!$E:$E,""),""))</f>
        <v/>
      </c>
      <c r="V4281" s="54" t="s">
        <v>2</v>
      </c>
      <c r="W4281" s="54" t="s">
        <v>2</v>
      </c>
      <c r="X4281" s="54" t="s">
        <v>2</v>
      </c>
      <c r="Y4281" s="54" t="s">
        <v>2</v>
      </c>
      <c r="Z4281" s="54" t="s">
        <v>2</v>
      </c>
      <c r="AA4281" s="54" t="s">
        <v>2</v>
      </c>
      <c r="AB4281" s="54" t="s">
        <v>2</v>
      </c>
      <c r="AC4281" s="54" t="s">
        <v>2</v>
      </c>
      <c r="AD4281" s="54" t="s">
        <v>2</v>
      </c>
      <c r="AE4281" s="54" t="s">
        <v>2</v>
      </c>
      <c r="AF4281" s="54" t="s">
        <v>2</v>
      </c>
      <c r="AG4281" s="54" t="s">
        <v>2</v>
      </c>
    </row>
    <row r="4282" ht="15.75" customHeight="1">
      <c r="B4282" s="56"/>
      <c r="U4282" s="46" t="str">
        <f t="array" ref="U4282">IF($D4282="","",IFERROR(_xlfn.XLOOKUP($D4282,'TIR店舗一覧'!$D:$D,'TIR店舗一覧'!$E:$E,""),""))</f>
        <v/>
      </c>
      <c r="V4282" s="54" t="s">
        <v>2</v>
      </c>
      <c r="W4282" s="54" t="s">
        <v>2</v>
      </c>
      <c r="X4282" s="54" t="s">
        <v>2</v>
      </c>
      <c r="Y4282" s="54" t="s">
        <v>2</v>
      </c>
      <c r="Z4282" s="54" t="s">
        <v>2</v>
      </c>
      <c r="AA4282" s="54" t="s">
        <v>2</v>
      </c>
      <c r="AB4282" s="54" t="s">
        <v>2</v>
      </c>
      <c r="AC4282" s="54" t="s">
        <v>2</v>
      </c>
      <c r="AD4282" s="54" t="s">
        <v>2</v>
      </c>
      <c r="AE4282" s="54" t="s">
        <v>2</v>
      </c>
      <c r="AF4282" s="54" t="s">
        <v>2</v>
      </c>
      <c r="AG4282" s="54" t="s">
        <v>2</v>
      </c>
    </row>
    <row r="4283" ht="15.75" customHeight="1">
      <c r="B4283" s="56"/>
      <c r="U4283" s="46" t="str">
        <f t="array" ref="U4283">IF($D4283="","",IFERROR(_xlfn.XLOOKUP($D4283,'TIR店舗一覧'!$D:$D,'TIR店舗一覧'!$E:$E,""),""))</f>
        <v/>
      </c>
      <c r="V4283" s="54" t="s">
        <v>2</v>
      </c>
      <c r="W4283" s="54" t="s">
        <v>2</v>
      </c>
      <c r="X4283" s="54" t="s">
        <v>2</v>
      </c>
      <c r="Y4283" s="54" t="s">
        <v>2</v>
      </c>
      <c r="Z4283" s="54" t="s">
        <v>2</v>
      </c>
      <c r="AA4283" s="54" t="s">
        <v>2</v>
      </c>
      <c r="AB4283" s="54" t="s">
        <v>2</v>
      </c>
      <c r="AC4283" s="54" t="s">
        <v>2</v>
      </c>
      <c r="AD4283" s="54" t="s">
        <v>2</v>
      </c>
      <c r="AE4283" s="54" t="s">
        <v>2</v>
      </c>
      <c r="AF4283" s="54" t="s">
        <v>2</v>
      </c>
      <c r="AG4283" s="54" t="s">
        <v>2</v>
      </c>
    </row>
    <row r="4284" ht="15.75" customHeight="1">
      <c r="B4284" s="56"/>
      <c r="U4284" s="46" t="str">
        <f t="array" ref="U4284">IF($D4284="","",IFERROR(_xlfn.XLOOKUP($D4284,'TIR店舗一覧'!$D:$D,'TIR店舗一覧'!$E:$E,""),""))</f>
        <v/>
      </c>
      <c r="V4284" s="54" t="s">
        <v>2</v>
      </c>
      <c r="W4284" s="54" t="s">
        <v>2</v>
      </c>
      <c r="X4284" s="54" t="s">
        <v>2</v>
      </c>
      <c r="Y4284" s="54" t="s">
        <v>2</v>
      </c>
      <c r="Z4284" s="54" t="s">
        <v>2</v>
      </c>
      <c r="AA4284" s="54" t="s">
        <v>2</v>
      </c>
      <c r="AB4284" s="54" t="s">
        <v>2</v>
      </c>
      <c r="AC4284" s="54" t="s">
        <v>2</v>
      </c>
      <c r="AD4284" s="54" t="s">
        <v>2</v>
      </c>
      <c r="AE4284" s="54" t="s">
        <v>2</v>
      </c>
      <c r="AF4284" s="54" t="s">
        <v>2</v>
      </c>
      <c r="AG4284" s="54" t="s">
        <v>2</v>
      </c>
    </row>
    <row r="4285" ht="15.75" customHeight="1">
      <c r="B4285" s="56"/>
      <c r="U4285" s="46" t="str">
        <f t="array" ref="U4285">IF($D4285="","",IFERROR(_xlfn.XLOOKUP($D4285,'TIR店舗一覧'!$D:$D,'TIR店舗一覧'!$E:$E,""),""))</f>
        <v/>
      </c>
      <c r="V4285" s="54" t="s">
        <v>2</v>
      </c>
      <c r="W4285" s="54" t="s">
        <v>2</v>
      </c>
      <c r="X4285" s="54" t="s">
        <v>2</v>
      </c>
      <c r="Y4285" s="54" t="s">
        <v>2</v>
      </c>
      <c r="Z4285" s="54" t="s">
        <v>2</v>
      </c>
      <c r="AA4285" s="54" t="s">
        <v>2</v>
      </c>
      <c r="AB4285" s="54" t="s">
        <v>2</v>
      </c>
      <c r="AC4285" s="54" t="s">
        <v>2</v>
      </c>
      <c r="AD4285" s="54" t="s">
        <v>2</v>
      </c>
      <c r="AE4285" s="54" t="s">
        <v>2</v>
      </c>
      <c r="AF4285" s="54" t="s">
        <v>2</v>
      </c>
      <c r="AG4285" s="54" t="s">
        <v>2</v>
      </c>
    </row>
    <row r="4286" ht="15.75" customHeight="1">
      <c r="B4286" s="56"/>
      <c r="U4286" s="46" t="str">
        <f t="array" ref="U4286">IF($D4286="","",IFERROR(_xlfn.XLOOKUP($D4286,'TIR店舗一覧'!$D:$D,'TIR店舗一覧'!$E:$E,""),""))</f>
        <v/>
      </c>
      <c r="V4286" s="54" t="s">
        <v>2</v>
      </c>
      <c r="W4286" s="54" t="s">
        <v>2</v>
      </c>
      <c r="X4286" s="54" t="s">
        <v>2</v>
      </c>
      <c r="Y4286" s="54" t="s">
        <v>2</v>
      </c>
      <c r="Z4286" s="54" t="s">
        <v>2</v>
      </c>
      <c r="AA4286" s="54" t="s">
        <v>2</v>
      </c>
      <c r="AB4286" s="54" t="s">
        <v>2</v>
      </c>
      <c r="AC4286" s="54" t="s">
        <v>2</v>
      </c>
      <c r="AD4286" s="54" t="s">
        <v>2</v>
      </c>
      <c r="AE4286" s="54" t="s">
        <v>2</v>
      </c>
      <c r="AF4286" s="54" t="s">
        <v>2</v>
      </c>
      <c r="AG4286" s="54" t="s">
        <v>2</v>
      </c>
    </row>
    <row r="4287" ht="15.75" customHeight="1">
      <c r="B4287" s="56"/>
      <c r="U4287" s="46" t="str">
        <f t="array" ref="U4287">IF($D4287="","",IFERROR(_xlfn.XLOOKUP($D4287,'TIR店舗一覧'!$D:$D,'TIR店舗一覧'!$E:$E,""),""))</f>
        <v/>
      </c>
      <c r="V4287" s="54" t="s">
        <v>2</v>
      </c>
      <c r="W4287" s="54" t="s">
        <v>2</v>
      </c>
      <c r="X4287" s="54" t="s">
        <v>2</v>
      </c>
      <c r="Y4287" s="54" t="s">
        <v>2</v>
      </c>
      <c r="Z4287" s="54" t="s">
        <v>2</v>
      </c>
      <c r="AA4287" s="54" t="s">
        <v>2</v>
      </c>
      <c r="AB4287" s="54" t="s">
        <v>2</v>
      </c>
      <c r="AC4287" s="54" t="s">
        <v>2</v>
      </c>
      <c r="AD4287" s="54" t="s">
        <v>2</v>
      </c>
      <c r="AE4287" s="54" t="s">
        <v>2</v>
      </c>
      <c r="AF4287" s="54" t="s">
        <v>2</v>
      </c>
      <c r="AG4287" s="54" t="s">
        <v>2</v>
      </c>
    </row>
    <row r="4288" ht="15.75" customHeight="1">
      <c r="B4288" s="56"/>
      <c r="U4288" s="46" t="str">
        <f t="array" ref="U4288">IF($D4288="","",IFERROR(_xlfn.XLOOKUP($D4288,'TIR店舗一覧'!$D:$D,'TIR店舗一覧'!$E:$E,""),""))</f>
        <v/>
      </c>
      <c r="V4288" s="54" t="s">
        <v>2</v>
      </c>
      <c r="W4288" s="54" t="s">
        <v>2</v>
      </c>
      <c r="X4288" s="54" t="s">
        <v>2</v>
      </c>
      <c r="Y4288" s="54" t="s">
        <v>2</v>
      </c>
      <c r="Z4288" s="54" t="s">
        <v>2</v>
      </c>
      <c r="AA4288" s="54" t="s">
        <v>2</v>
      </c>
      <c r="AB4288" s="54" t="s">
        <v>2</v>
      </c>
      <c r="AC4288" s="54" t="s">
        <v>2</v>
      </c>
      <c r="AD4288" s="54" t="s">
        <v>2</v>
      </c>
      <c r="AE4288" s="54" t="s">
        <v>2</v>
      </c>
      <c r="AF4288" s="54" t="s">
        <v>2</v>
      </c>
      <c r="AG4288" s="54" t="s">
        <v>2</v>
      </c>
    </row>
    <row r="4289" ht="15.75" customHeight="1">
      <c r="B4289" s="56"/>
      <c r="U4289" s="46" t="str">
        <f t="array" ref="U4289">IF($D4289="","",IFERROR(_xlfn.XLOOKUP($D4289,'TIR店舗一覧'!$D:$D,'TIR店舗一覧'!$E:$E,""),""))</f>
        <v/>
      </c>
      <c r="V4289" s="54" t="s">
        <v>2</v>
      </c>
      <c r="W4289" s="54" t="s">
        <v>2</v>
      </c>
      <c r="X4289" s="54" t="s">
        <v>2</v>
      </c>
      <c r="Y4289" s="54" t="s">
        <v>2</v>
      </c>
      <c r="Z4289" s="54" t="s">
        <v>2</v>
      </c>
      <c r="AA4289" s="54" t="s">
        <v>2</v>
      </c>
      <c r="AB4289" s="54" t="s">
        <v>2</v>
      </c>
      <c r="AC4289" s="54" t="s">
        <v>2</v>
      </c>
      <c r="AD4289" s="54" t="s">
        <v>2</v>
      </c>
      <c r="AE4289" s="54" t="s">
        <v>2</v>
      </c>
      <c r="AF4289" s="54" t="s">
        <v>2</v>
      </c>
      <c r="AG4289" s="54" t="s">
        <v>2</v>
      </c>
    </row>
    <row r="4290" ht="15.75" customHeight="1">
      <c r="B4290" s="56"/>
      <c r="U4290" s="46" t="str">
        <f t="array" ref="U4290">IF($D4290="","",IFERROR(_xlfn.XLOOKUP($D4290,'TIR店舗一覧'!$D:$D,'TIR店舗一覧'!$E:$E,""),""))</f>
        <v/>
      </c>
      <c r="V4290" s="54" t="s">
        <v>2</v>
      </c>
      <c r="W4290" s="54" t="s">
        <v>2</v>
      </c>
      <c r="X4290" s="54" t="s">
        <v>2</v>
      </c>
      <c r="Y4290" s="54" t="s">
        <v>2</v>
      </c>
      <c r="Z4290" s="54" t="s">
        <v>2</v>
      </c>
      <c r="AA4290" s="54" t="s">
        <v>2</v>
      </c>
      <c r="AB4290" s="54" t="s">
        <v>2</v>
      </c>
      <c r="AC4290" s="54" t="s">
        <v>2</v>
      </c>
      <c r="AD4290" s="54" t="s">
        <v>2</v>
      </c>
      <c r="AE4290" s="54" t="s">
        <v>2</v>
      </c>
      <c r="AF4290" s="54" t="s">
        <v>2</v>
      </c>
      <c r="AG4290" s="54" t="s">
        <v>2</v>
      </c>
    </row>
    <row r="4291" ht="15.75" customHeight="1">
      <c r="B4291" s="56"/>
      <c r="U4291" s="46" t="str">
        <f t="array" ref="U4291">IF($D4291="","",IFERROR(_xlfn.XLOOKUP($D4291,'TIR店舗一覧'!$D:$D,'TIR店舗一覧'!$E:$E,""),""))</f>
        <v/>
      </c>
      <c r="V4291" s="54" t="s">
        <v>2</v>
      </c>
      <c r="W4291" s="54" t="s">
        <v>2</v>
      </c>
      <c r="X4291" s="54" t="s">
        <v>2</v>
      </c>
      <c r="Y4291" s="54" t="s">
        <v>2</v>
      </c>
      <c r="Z4291" s="54" t="s">
        <v>2</v>
      </c>
      <c r="AA4291" s="54" t="s">
        <v>2</v>
      </c>
      <c r="AB4291" s="54" t="s">
        <v>2</v>
      </c>
      <c r="AC4291" s="54" t="s">
        <v>2</v>
      </c>
      <c r="AD4291" s="54" t="s">
        <v>2</v>
      </c>
      <c r="AE4291" s="54" t="s">
        <v>2</v>
      </c>
      <c r="AF4291" s="54" t="s">
        <v>2</v>
      </c>
      <c r="AG4291" s="54" t="s">
        <v>2</v>
      </c>
    </row>
    <row r="4292" ht="15.75" customHeight="1">
      <c r="B4292" s="56"/>
      <c r="U4292" s="46" t="str">
        <f t="array" ref="U4292">IF($D4292="","",IFERROR(_xlfn.XLOOKUP($D4292,'TIR店舗一覧'!$D:$D,'TIR店舗一覧'!$E:$E,""),""))</f>
        <v/>
      </c>
      <c r="V4292" s="54" t="s">
        <v>2</v>
      </c>
      <c r="W4292" s="54" t="s">
        <v>2</v>
      </c>
      <c r="X4292" s="54" t="s">
        <v>2</v>
      </c>
      <c r="Y4292" s="54" t="s">
        <v>2</v>
      </c>
      <c r="Z4292" s="54" t="s">
        <v>2</v>
      </c>
      <c r="AA4292" s="54" t="s">
        <v>2</v>
      </c>
      <c r="AB4292" s="54" t="s">
        <v>2</v>
      </c>
      <c r="AC4292" s="54" t="s">
        <v>2</v>
      </c>
      <c r="AD4292" s="54" t="s">
        <v>2</v>
      </c>
      <c r="AE4292" s="54" t="s">
        <v>2</v>
      </c>
      <c r="AF4292" s="54" t="s">
        <v>2</v>
      </c>
      <c r="AG4292" s="54" t="s">
        <v>2</v>
      </c>
    </row>
    <row r="4293" ht="15.75" customHeight="1">
      <c r="B4293" s="56"/>
      <c r="U4293" s="46" t="str">
        <f t="array" ref="U4293">IF($D4293="","",IFERROR(_xlfn.XLOOKUP($D4293,'TIR店舗一覧'!$D:$D,'TIR店舗一覧'!$E:$E,""),""))</f>
        <v/>
      </c>
      <c r="V4293" s="54" t="s">
        <v>2</v>
      </c>
      <c r="W4293" s="54" t="s">
        <v>2</v>
      </c>
      <c r="X4293" s="54" t="s">
        <v>2</v>
      </c>
      <c r="Y4293" s="54" t="s">
        <v>2</v>
      </c>
      <c r="Z4293" s="54" t="s">
        <v>2</v>
      </c>
      <c r="AA4293" s="54" t="s">
        <v>2</v>
      </c>
      <c r="AB4293" s="54" t="s">
        <v>2</v>
      </c>
      <c r="AC4293" s="54" t="s">
        <v>2</v>
      </c>
      <c r="AD4293" s="54" t="s">
        <v>2</v>
      </c>
      <c r="AE4293" s="54" t="s">
        <v>2</v>
      </c>
      <c r="AF4293" s="54" t="s">
        <v>2</v>
      </c>
      <c r="AG4293" s="54" t="s">
        <v>2</v>
      </c>
    </row>
    <row r="4294" ht="15.75" customHeight="1">
      <c r="B4294" s="56"/>
      <c r="U4294" s="46" t="str">
        <f t="array" ref="U4294">IF($D4294="","",IFERROR(_xlfn.XLOOKUP($D4294,'TIR店舗一覧'!$D:$D,'TIR店舗一覧'!$E:$E,""),""))</f>
        <v/>
      </c>
      <c r="V4294" s="54" t="s">
        <v>2</v>
      </c>
      <c r="W4294" s="54" t="s">
        <v>2</v>
      </c>
      <c r="X4294" s="54" t="s">
        <v>2</v>
      </c>
      <c r="Y4294" s="54" t="s">
        <v>2</v>
      </c>
      <c r="Z4294" s="54" t="s">
        <v>2</v>
      </c>
      <c r="AA4294" s="54" t="s">
        <v>2</v>
      </c>
      <c r="AB4294" s="54" t="s">
        <v>2</v>
      </c>
      <c r="AC4294" s="54" t="s">
        <v>2</v>
      </c>
      <c r="AD4294" s="54" t="s">
        <v>2</v>
      </c>
      <c r="AE4294" s="54" t="s">
        <v>2</v>
      </c>
      <c r="AF4294" s="54" t="s">
        <v>2</v>
      </c>
      <c r="AG4294" s="54" t="s">
        <v>2</v>
      </c>
    </row>
    <row r="4295" ht="15.75" customHeight="1">
      <c r="B4295" s="56"/>
      <c r="U4295" s="46" t="str">
        <f t="array" ref="U4295">IF($D4295="","",IFERROR(_xlfn.XLOOKUP($D4295,'TIR店舗一覧'!$D:$D,'TIR店舗一覧'!$E:$E,""),""))</f>
        <v/>
      </c>
      <c r="V4295" s="54" t="s">
        <v>2</v>
      </c>
      <c r="W4295" s="54" t="s">
        <v>2</v>
      </c>
      <c r="X4295" s="54" t="s">
        <v>2</v>
      </c>
      <c r="Y4295" s="54" t="s">
        <v>2</v>
      </c>
      <c r="Z4295" s="54" t="s">
        <v>2</v>
      </c>
      <c r="AA4295" s="54" t="s">
        <v>2</v>
      </c>
      <c r="AB4295" s="54" t="s">
        <v>2</v>
      </c>
      <c r="AC4295" s="54" t="s">
        <v>2</v>
      </c>
      <c r="AD4295" s="54" t="s">
        <v>2</v>
      </c>
      <c r="AE4295" s="54" t="s">
        <v>2</v>
      </c>
      <c r="AF4295" s="54" t="s">
        <v>2</v>
      </c>
      <c r="AG4295" s="54" t="s">
        <v>2</v>
      </c>
    </row>
    <row r="4296" ht="15.75" customHeight="1">
      <c r="B4296" s="56"/>
      <c r="U4296" s="46" t="str">
        <f t="array" ref="U4296">IF($D4296="","",IFERROR(_xlfn.XLOOKUP($D4296,'TIR店舗一覧'!$D:$D,'TIR店舗一覧'!$E:$E,""),""))</f>
        <v/>
      </c>
      <c r="V4296" s="54" t="s">
        <v>2</v>
      </c>
      <c r="W4296" s="54" t="s">
        <v>2</v>
      </c>
      <c r="X4296" s="54" t="s">
        <v>2</v>
      </c>
      <c r="Y4296" s="54" t="s">
        <v>2</v>
      </c>
      <c r="Z4296" s="54" t="s">
        <v>2</v>
      </c>
      <c r="AA4296" s="54" t="s">
        <v>2</v>
      </c>
      <c r="AB4296" s="54" t="s">
        <v>2</v>
      </c>
      <c r="AC4296" s="54" t="s">
        <v>2</v>
      </c>
      <c r="AD4296" s="54" t="s">
        <v>2</v>
      </c>
      <c r="AE4296" s="54" t="s">
        <v>2</v>
      </c>
      <c r="AF4296" s="54" t="s">
        <v>2</v>
      </c>
      <c r="AG4296" s="54" t="s">
        <v>2</v>
      </c>
    </row>
    <row r="4297" ht="15.75" customHeight="1">
      <c r="B4297" s="56"/>
      <c r="U4297" s="46" t="str">
        <f t="array" ref="U4297">IF($D4297="","",IFERROR(_xlfn.XLOOKUP($D4297,'TIR店舗一覧'!$D:$D,'TIR店舗一覧'!$E:$E,""),""))</f>
        <v/>
      </c>
      <c r="V4297" s="54" t="s">
        <v>2</v>
      </c>
      <c r="W4297" s="54" t="s">
        <v>2</v>
      </c>
      <c r="X4297" s="54" t="s">
        <v>2</v>
      </c>
      <c r="Y4297" s="54" t="s">
        <v>2</v>
      </c>
      <c r="Z4297" s="54" t="s">
        <v>2</v>
      </c>
      <c r="AA4297" s="54" t="s">
        <v>2</v>
      </c>
      <c r="AB4297" s="54" t="s">
        <v>2</v>
      </c>
      <c r="AC4297" s="54" t="s">
        <v>2</v>
      </c>
      <c r="AD4297" s="54" t="s">
        <v>2</v>
      </c>
      <c r="AE4297" s="54" t="s">
        <v>2</v>
      </c>
      <c r="AF4297" s="54" t="s">
        <v>2</v>
      </c>
      <c r="AG4297" s="54" t="s">
        <v>2</v>
      </c>
    </row>
    <row r="4298" ht="15.75" customHeight="1">
      <c r="B4298" s="56"/>
      <c r="U4298" s="46" t="str">
        <f t="array" ref="U4298">IF($D4298="","",IFERROR(_xlfn.XLOOKUP($D4298,'TIR店舗一覧'!$D:$D,'TIR店舗一覧'!$E:$E,""),""))</f>
        <v/>
      </c>
      <c r="V4298" s="54" t="s">
        <v>2</v>
      </c>
      <c r="W4298" s="54" t="s">
        <v>2</v>
      </c>
      <c r="X4298" s="54" t="s">
        <v>2</v>
      </c>
      <c r="Y4298" s="54" t="s">
        <v>2</v>
      </c>
      <c r="Z4298" s="54" t="s">
        <v>2</v>
      </c>
      <c r="AA4298" s="54" t="s">
        <v>2</v>
      </c>
      <c r="AB4298" s="54" t="s">
        <v>2</v>
      </c>
      <c r="AC4298" s="54" t="s">
        <v>2</v>
      </c>
      <c r="AD4298" s="54" t="s">
        <v>2</v>
      </c>
      <c r="AE4298" s="54" t="s">
        <v>2</v>
      </c>
      <c r="AF4298" s="54" t="s">
        <v>2</v>
      </c>
      <c r="AG4298" s="54" t="s">
        <v>2</v>
      </c>
    </row>
    <row r="4299" ht="15.75" customHeight="1">
      <c r="B4299" s="56"/>
      <c r="U4299" s="46" t="str">
        <f t="array" ref="U4299">IF($D4299="","",IFERROR(_xlfn.XLOOKUP($D4299,'TIR店舗一覧'!$D:$D,'TIR店舗一覧'!$E:$E,""),""))</f>
        <v/>
      </c>
      <c r="V4299" s="54" t="s">
        <v>2</v>
      </c>
      <c r="W4299" s="54" t="s">
        <v>2</v>
      </c>
      <c r="X4299" s="54" t="s">
        <v>2</v>
      </c>
      <c r="Y4299" s="54" t="s">
        <v>2</v>
      </c>
      <c r="Z4299" s="54" t="s">
        <v>2</v>
      </c>
      <c r="AA4299" s="54" t="s">
        <v>2</v>
      </c>
      <c r="AB4299" s="54" t="s">
        <v>2</v>
      </c>
      <c r="AC4299" s="54" t="s">
        <v>2</v>
      </c>
      <c r="AD4299" s="54" t="s">
        <v>2</v>
      </c>
      <c r="AE4299" s="54" t="s">
        <v>2</v>
      </c>
      <c r="AF4299" s="54" t="s">
        <v>2</v>
      </c>
      <c r="AG4299" s="54" t="s">
        <v>2</v>
      </c>
    </row>
    <row r="4300" ht="15.75" customHeight="1">
      <c r="B4300" s="56"/>
      <c r="U4300" s="46" t="str">
        <f t="array" ref="U4300">IF($D4300="","",IFERROR(_xlfn.XLOOKUP($D4300,'TIR店舗一覧'!$D:$D,'TIR店舗一覧'!$E:$E,""),""))</f>
        <v/>
      </c>
      <c r="V4300" s="54" t="s">
        <v>2</v>
      </c>
      <c r="W4300" s="54" t="s">
        <v>2</v>
      </c>
      <c r="X4300" s="54" t="s">
        <v>2</v>
      </c>
      <c r="Y4300" s="54" t="s">
        <v>2</v>
      </c>
      <c r="Z4300" s="54" t="s">
        <v>2</v>
      </c>
      <c r="AA4300" s="54" t="s">
        <v>2</v>
      </c>
      <c r="AB4300" s="54" t="s">
        <v>2</v>
      </c>
      <c r="AC4300" s="54" t="s">
        <v>2</v>
      </c>
      <c r="AD4300" s="54" t="s">
        <v>2</v>
      </c>
      <c r="AE4300" s="54" t="s">
        <v>2</v>
      </c>
      <c r="AF4300" s="54" t="s">
        <v>2</v>
      </c>
      <c r="AG4300" s="54" t="s">
        <v>2</v>
      </c>
    </row>
    <row r="4301" ht="15.75" customHeight="1">
      <c r="B4301" s="56"/>
      <c r="U4301" s="46" t="str">
        <f t="array" ref="U4301">IF($D4301="","",IFERROR(_xlfn.XLOOKUP($D4301,'TIR店舗一覧'!$D:$D,'TIR店舗一覧'!$E:$E,""),""))</f>
        <v/>
      </c>
      <c r="V4301" s="54" t="s">
        <v>2</v>
      </c>
      <c r="W4301" s="54" t="s">
        <v>2</v>
      </c>
      <c r="X4301" s="54" t="s">
        <v>2</v>
      </c>
      <c r="Y4301" s="54" t="s">
        <v>2</v>
      </c>
      <c r="Z4301" s="54" t="s">
        <v>2</v>
      </c>
      <c r="AA4301" s="54" t="s">
        <v>2</v>
      </c>
      <c r="AB4301" s="54" t="s">
        <v>2</v>
      </c>
      <c r="AC4301" s="54" t="s">
        <v>2</v>
      </c>
      <c r="AD4301" s="54" t="s">
        <v>2</v>
      </c>
      <c r="AE4301" s="54" t="s">
        <v>2</v>
      </c>
      <c r="AF4301" s="54" t="s">
        <v>2</v>
      </c>
      <c r="AG4301" s="54" t="s">
        <v>2</v>
      </c>
    </row>
    <row r="4302" ht="15.75" customHeight="1">
      <c r="B4302" s="56"/>
      <c r="U4302" s="46" t="str">
        <f t="array" ref="U4302">IF($D4302="","",IFERROR(_xlfn.XLOOKUP($D4302,'TIR店舗一覧'!$D:$D,'TIR店舗一覧'!$E:$E,""),""))</f>
        <v/>
      </c>
      <c r="V4302" s="54" t="s">
        <v>2</v>
      </c>
      <c r="W4302" s="54" t="s">
        <v>2</v>
      </c>
      <c r="X4302" s="54" t="s">
        <v>2</v>
      </c>
      <c r="Y4302" s="54" t="s">
        <v>2</v>
      </c>
      <c r="Z4302" s="54" t="s">
        <v>2</v>
      </c>
      <c r="AA4302" s="54" t="s">
        <v>2</v>
      </c>
      <c r="AB4302" s="54" t="s">
        <v>2</v>
      </c>
      <c r="AC4302" s="54" t="s">
        <v>2</v>
      </c>
      <c r="AD4302" s="54" t="s">
        <v>2</v>
      </c>
      <c r="AE4302" s="54" t="s">
        <v>2</v>
      </c>
      <c r="AF4302" s="54" t="s">
        <v>2</v>
      </c>
      <c r="AG4302" s="54" t="s">
        <v>2</v>
      </c>
    </row>
    <row r="4303" ht="15.75" customHeight="1">
      <c r="B4303" s="56"/>
      <c r="U4303" s="46" t="str">
        <f t="array" ref="U4303">IF($D4303="","",IFERROR(_xlfn.XLOOKUP($D4303,'TIR店舗一覧'!$D:$D,'TIR店舗一覧'!$E:$E,""),""))</f>
        <v/>
      </c>
      <c r="V4303" s="54" t="s">
        <v>2</v>
      </c>
      <c r="W4303" s="54" t="s">
        <v>2</v>
      </c>
      <c r="X4303" s="54" t="s">
        <v>2</v>
      </c>
      <c r="Y4303" s="54" t="s">
        <v>2</v>
      </c>
      <c r="Z4303" s="54" t="s">
        <v>2</v>
      </c>
      <c r="AA4303" s="54" t="s">
        <v>2</v>
      </c>
      <c r="AB4303" s="54" t="s">
        <v>2</v>
      </c>
      <c r="AC4303" s="54" t="s">
        <v>2</v>
      </c>
      <c r="AD4303" s="54" t="s">
        <v>2</v>
      </c>
      <c r="AE4303" s="54" t="s">
        <v>2</v>
      </c>
      <c r="AF4303" s="54" t="s">
        <v>2</v>
      </c>
      <c r="AG4303" s="54" t="s">
        <v>2</v>
      </c>
    </row>
    <row r="4304" ht="15.75" customHeight="1">
      <c r="B4304" s="56"/>
      <c r="U4304" s="46" t="str">
        <f t="array" ref="U4304">IF($D4304="","",IFERROR(_xlfn.XLOOKUP($D4304,'TIR店舗一覧'!$D:$D,'TIR店舗一覧'!$E:$E,""),""))</f>
        <v/>
      </c>
      <c r="V4304" s="54" t="s">
        <v>2</v>
      </c>
      <c r="W4304" s="54" t="s">
        <v>2</v>
      </c>
      <c r="X4304" s="54" t="s">
        <v>2</v>
      </c>
      <c r="Y4304" s="54" t="s">
        <v>2</v>
      </c>
      <c r="Z4304" s="54" t="s">
        <v>2</v>
      </c>
      <c r="AA4304" s="54" t="s">
        <v>2</v>
      </c>
      <c r="AB4304" s="54" t="s">
        <v>2</v>
      </c>
      <c r="AC4304" s="54" t="s">
        <v>2</v>
      </c>
      <c r="AD4304" s="54" t="s">
        <v>2</v>
      </c>
      <c r="AE4304" s="54" t="s">
        <v>2</v>
      </c>
      <c r="AF4304" s="54" t="s">
        <v>2</v>
      </c>
      <c r="AG4304" s="54" t="s">
        <v>2</v>
      </c>
    </row>
    <row r="4305" ht="15.75" customHeight="1">
      <c r="B4305" s="56"/>
      <c r="U4305" s="46" t="str">
        <f t="array" ref="U4305">IF($D4305="","",IFERROR(_xlfn.XLOOKUP($D4305,'TIR店舗一覧'!$D:$D,'TIR店舗一覧'!$E:$E,""),""))</f>
        <v/>
      </c>
      <c r="V4305" s="54" t="s">
        <v>2</v>
      </c>
      <c r="W4305" s="54" t="s">
        <v>2</v>
      </c>
      <c r="X4305" s="54" t="s">
        <v>2</v>
      </c>
      <c r="Y4305" s="54" t="s">
        <v>2</v>
      </c>
      <c r="Z4305" s="54" t="s">
        <v>2</v>
      </c>
      <c r="AA4305" s="54" t="s">
        <v>2</v>
      </c>
      <c r="AB4305" s="54" t="s">
        <v>2</v>
      </c>
      <c r="AC4305" s="54" t="s">
        <v>2</v>
      </c>
      <c r="AD4305" s="54" t="s">
        <v>2</v>
      </c>
      <c r="AE4305" s="54" t="s">
        <v>2</v>
      </c>
      <c r="AF4305" s="54" t="s">
        <v>2</v>
      </c>
      <c r="AG4305" s="54" t="s">
        <v>2</v>
      </c>
    </row>
    <row r="4306" ht="15.75" customHeight="1">
      <c r="B4306" s="56"/>
      <c r="U4306" s="46" t="str">
        <f t="array" ref="U4306">IF($D4306="","",IFERROR(_xlfn.XLOOKUP($D4306,'TIR店舗一覧'!$D:$D,'TIR店舗一覧'!$E:$E,""),""))</f>
        <v/>
      </c>
      <c r="V4306" s="54" t="s">
        <v>2</v>
      </c>
      <c r="W4306" s="54" t="s">
        <v>2</v>
      </c>
      <c r="X4306" s="54" t="s">
        <v>2</v>
      </c>
      <c r="Y4306" s="54" t="s">
        <v>2</v>
      </c>
      <c r="Z4306" s="54" t="s">
        <v>2</v>
      </c>
      <c r="AA4306" s="54" t="s">
        <v>2</v>
      </c>
      <c r="AB4306" s="54" t="s">
        <v>2</v>
      </c>
      <c r="AC4306" s="54" t="s">
        <v>2</v>
      </c>
      <c r="AD4306" s="54" t="s">
        <v>2</v>
      </c>
      <c r="AE4306" s="54" t="s">
        <v>2</v>
      </c>
      <c r="AF4306" s="54" t="s">
        <v>2</v>
      </c>
      <c r="AG4306" s="54" t="s">
        <v>2</v>
      </c>
    </row>
    <row r="4307" ht="15.75" customHeight="1">
      <c r="B4307" s="56"/>
      <c r="U4307" s="46" t="str">
        <f t="array" ref="U4307">IF($D4307="","",IFERROR(_xlfn.XLOOKUP($D4307,'TIR店舗一覧'!$D:$D,'TIR店舗一覧'!$E:$E,""),""))</f>
        <v/>
      </c>
      <c r="V4307" s="54" t="s">
        <v>2</v>
      </c>
      <c r="W4307" s="54" t="s">
        <v>2</v>
      </c>
      <c r="X4307" s="54" t="s">
        <v>2</v>
      </c>
      <c r="Y4307" s="54" t="s">
        <v>2</v>
      </c>
      <c r="Z4307" s="54" t="s">
        <v>2</v>
      </c>
      <c r="AA4307" s="54" t="s">
        <v>2</v>
      </c>
      <c r="AB4307" s="54" t="s">
        <v>2</v>
      </c>
      <c r="AC4307" s="54" t="s">
        <v>2</v>
      </c>
      <c r="AD4307" s="54" t="s">
        <v>2</v>
      </c>
      <c r="AE4307" s="54" t="s">
        <v>2</v>
      </c>
      <c r="AF4307" s="54" t="s">
        <v>2</v>
      </c>
      <c r="AG4307" s="54" t="s">
        <v>2</v>
      </c>
    </row>
    <row r="4308" ht="15.75" customHeight="1">
      <c r="B4308" s="56"/>
      <c r="U4308" s="46" t="str">
        <f t="array" ref="U4308">IF($D4308="","",IFERROR(_xlfn.XLOOKUP($D4308,'TIR店舗一覧'!$D:$D,'TIR店舗一覧'!$E:$E,""),""))</f>
        <v/>
      </c>
      <c r="V4308" s="54" t="s">
        <v>2</v>
      </c>
      <c r="W4308" s="54" t="s">
        <v>2</v>
      </c>
      <c r="X4308" s="54" t="s">
        <v>2</v>
      </c>
      <c r="Y4308" s="54" t="s">
        <v>2</v>
      </c>
      <c r="Z4308" s="54" t="s">
        <v>2</v>
      </c>
      <c r="AA4308" s="54" t="s">
        <v>2</v>
      </c>
      <c r="AB4308" s="54" t="s">
        <v>2</v>
      </c>
      <c r="AC4308" s="54" t="s">
        <v>2</v>
      </c>
      <c r="AD4308" s="54" t="s">
        <v>2</v>
      </c>
      <c r="AE4308" s="54" t="s">
        <v>2</v>
      </c>
      <c r="AF4308" s="54" t="s">
        <v>2</v>
      </c>
      <c r="AG4308" s="54" t="s">
        <v>2</v>
      </c>
    </row>
    <row r="4309" ht="15.75" customHeight="1">
      <c r="B4309" s="56"/>
      <c r="U4309" s="46" t="str">
        <f t="array" ref="U4309">IF($D4309="","",IFERROR(_xlfn.XLOOKUP($D4309,'TIR店舗一覧'!$D:$D,'TIR店舗一覧'!$E:$E,""),""))</f>
        <v/>
      </c>
      <c r="V4309" s="54" t="s">
        <v>2</v>
      </c>
      <c r="W4309" s="54" t="s">
        <v>2</v>
      </c>
      <c r="X4309" s="54" t="s">
        <v>2</v>
      </c>
      <c r="Y4309" s="54" t="s">
        <v>2</v>
      </c>
      <c r="Z4309" s="54" t="s">
        <v>2</v>
      </c>
      <c r="AA4309" s="54" t="s">
        <v>2</v>
      </c>
      <c r="AB4309" s="54" t="s">
        <v>2</v>
      </c>
      <c r="AC4309" s="54" t="s">
        <v>2</v>
      </c>
      <c r="AD4309" s="54" t="s">
        <v>2</v>
      </c>
      <c r="AE4309" s="54" t="s">
        <v>2</v>
      </c>
      <c r="AF4309" s="54" t="s">
        <v>2</v>
      </c>
      <c r="AG4309" s="54" t="s">
        <v>2</v>
      </c>
    </row>
    <row r="4310" ht="15.75" customHeight="1">
      <c r="B4310" s="56"/>
      <c r="U4310" s="46" t="str">
        <f t="array" ref="U4310">IF($D4310="","",IFERROR(_xlfn.XLOOKUP($D4310,'TIR店舗一覧'!$D:$D,'TIR店舗一覧'!$E:$E,""),""))</f>
        <v/>
      </c>
      <c r="V4310" s="54" t="s">
        <v>2</v>
      </c>
      <c r="W4310" s="54" t="s">
        <v>2</v>
      </c>
      <c r="X4310" s="54" t="s">
        <v>2</v>
      </c>
      <c r="Y4310" s="54" t="s">
        <v>2</v>
      </c>
      <c r="Z4310" s="54" t="s">
        <v>2</v>
      </c>
      <c r="AA4310" s="54" t="s">
        <v>2</v>
      </c>
      <c r="AB4310" s="54" t="s">
        <v>2</v>
      </c>
      <c r="AC4310" s="54" t="s">
        <v>2</v>
      </c>
      <c r="AD4310" s="54" t="s">
        <v>2</v>
      </c>
      <c r="AE4310" s="54" t="s">
        <v>2</v>
      </c>
      <c r="AF4310" s="54" t="s">
        <v>2</v>
      </c>
      <c r="AG4310" s="54" t="s">
        <v>2</v>
      </c>
    </row>
    <row r="4311" ht="15.75" customHeight="1">
      <c r="B4311" s="56"/>
      <c r="U4311" s="46" t="str">
        <f t="array" ref="U4311">IF($D4311="","",IFERROR(_xlfn.XLOOKUP($D4311,'TIR店舗一覧'!$D:$D,'TIR店舗一覧'!$E:$E,""),""))</f>
        <v/>
      </c>
      <c r="V4311" s="54" t="s">
        <v>2</v>
      </c>
      <c r="W4311" s="54" t="s">
        <v>2</v>
      </c>
      <c r="X4311" s="54" t="s">
        <v>2</v>
      </c>
      <c r="Y4311" s="54" t="s">
        <v>2</v>
      </c>
      <c r="Z4311" s="54" t="s">
        <v>2</v>
      </c>
      <c r="AA4311" s="54" t="s">
        <v>2</v>
      </c>
      <c r="AB4311" s="54" t="s">
        <v>2</v>
      </c>
      <c r="AC4311" s="54" t="s">
        <v>2</v>
      </c>
      <c r="AD4311" s="54" t="s">
        <v>2</v>
      </c>
      <c r="AE4311" s="54" t="s">
        <v>2</v>
      </c>
      <c r="AF4311" s="54" t="s">
        <v>2</v>
      </c>
      <c r="AG4311" s="54" t="s">
        <v>2</v>
      </c>
    </row>
    <row r="4312" ht="15.75" customHeight="1">
      <c r="B4312" s="56"/>
      <c r="U4312" s="46" t="str">
        <f t="array" ref="U4312">IF($D4312="","",IFERROR(_xlfn.XLOOKUP($D4312,'TIR店舗一覧'!$D:$D,'TIR店舗一覧'!$E:$E,""),""))</f>
        <v/>
      </c>
      <c r="V4312" s="54" t="s">
        <v>2</v>
      </c>
      <c r="W4312" s="54" t="s">
        <v>2</v>
      </c>
      <c r="X4312" s="54" t="s">
        <v>2</v>
      </c>
      <c r="Y4312" s="54" t="s">
        <v>2</v>
      </c>
      <c r="Z4312" s="54" t="s">
        <v>2</v>
      </c>
      <c r="AA4312" s="54" t="s">
        <v>2</v>
      </c>
      <c r="AB4312" s="54" t="s">
        <v>2</v>
      </c>
      <c r="AC4312" s="54" t="s">
        <v>2</v>
      </c>
      <c r="AD4312" s="54" t="s">
        <v>2</v>
      </c>
      <c r="AE4312" s="54" t="s">
        <v>2</v>
      </c>
      <c r="AF4312" s="54" t="s">
        <v>2</v>
      </c>
      <c r="AG4312" s="54" t="s">
        <v>2</v>
      </c>
    </row>
    <row r="4313" ht="15.75" customHeight="1">
      <c r="B4313" s="56"/>
      <c r="U4313" s="46" t="str">
        <f t="array" ref="U4313">IF($D4313="","",IFERROR(_xlfn.XLOOKUP($D4313,'TIR店舗一覧'!$D:$D,'TIR店舗一覧'!$E:$E,""),""))</f>
        <v/>
      </c>
      <c r="V4313" s="54" t="s">
        <v>2</v>
      </c>
      <c r="W4313" s="54" t="s">
        <v>2</v>
      </c>
      <c r="X4313" s="54" t="s">
        <v>2</v>
      </c>
      <c r="Y4313" s="54" t="s">
        <v>2</v>
      </c>
      <c r="Z4313" s="54" t="s">
        <v>2</v>
      </c>
      <c r="AA4313" s="54" t="s">
        <v>2</v>
      </c>
      <c r="AB4313" s="54" t="s">
        <v>2</v>
      </c>
      <c r="AC4313" s="54" t="s">
        <v>2</v>
      </c>
      <c r="AD4313" s="54" t="s">
        <v>2</v>
      </c>
      <c r="AE4313" s="54" t="s">
        <v>2</v>
      </c>
      <c r="AF4313" s="54" t="s">
        <v>2</v>
      </c>
      <c r="AG4313" s="54" t="s">
        <v>2</v>
      </c>
    </row>
    <row r="4314" ht="15.75" customHeight="1">
      <c r="B4314" s="56"/>
      <c r="U4314" s="46" t="str">
        <f t="array" ref="U4314">IF($D4314="","",IFERROR(_xlfn.XLOOKUP($D4314,'TIR店舗一覧'!$D:$D,'TIR店舗一覧'!$E:$E,""),""))</f>
        <v/>
      </c>
      <c r="V4314" s="54" t="s">
        <v>2</v>
      </c>
      <c r="W4314" s="54" t="s">
        <v>2</v>
      </c>
      <c r="X4314" s="54" t="s">
        <v>2</v>
      </c>
      <c r="Y4314" s="54" t="s">
        <v>2</v>
      </c>
      <c r="Z4314" s="54" t="s">
        <v>2</v>
      </c>
      <c r="AA4314" s="54" t="s">
        <v>2</v>
      </c>
      <c r="AB4314" s="54" t="s">
        <v>2</v>
      </c>
      <c r="AC4314" s="54" t="s">
        <v>2</v>
      </c>
      <c r="AD4314" s="54" t="s">
        <v>2</v>
      </c>
      <c r="AE4314" s="54" t="s">
        <v>2</v>
      </c>
      <c r="AF4314" s="54" t="s">
        <v>2</v>
      </c>
      <c r="AG4314" s="54" t="s">
        <v>2</v>
      </c>
    </row>
    <row r="4315" ht="15.75" customHeight="1">
      <c r="B4315" s="56"/>
      <c r="U4315" s="46" t="str">
        <f t="array" ref="U4315">IF($D4315="","",IFERROR(_xlfn.XLOOKUP($D4315,'TIR店舗一覧'!$D:$D,'TIR店舗一覧'!$E:$E,""),""))</f>
        <v/>
      </c>
      <c r="V4315" s="54" t="s">
        <v>2</v>
      </c>
      <c r="W4315" s="54" t="s">
        <v>2</v>
      </c>
      <c r="X4315" s="54" t="s">
        <v>2</v>
      </c>
      <c r="Y4315" s="54" t="s">
        <v>2</v>
      </c>
      <c r="Z4315" s="54" t="s">
        <v>2</v>
      </c>
      <c r="AA4315" s="54" t="s">
        <v>2</v>
      </c>
      <c r="AB4315" s="54" t="s">
        <v>2</v>
      </c>
      <c r="AC4315" s="54" t="s">
        <v>2</v>
      </c>
      <c r="AD4315" s="54" t="s">
        <v>2</v>
      </c>
      <c r="AE4315" s="54" t="s">
        <v>2</v>
      </c>
      <c r="AF4315" s="54" t="s">
        <v>2</v>
      </c>
      <c r="AG4315" s="54" t="s">
        <v>2</v>
      </c>
    </row>
    <row r="4316" ht="15.75" customHeight="1">
      <c r="B4316" s="56"/>
      <c r="U4316" s="46" t="str">
        <f t="array" ref="U4316">IF($D4316="","",IFERROR(_xlfn.XLOOKUP($D4316,'TIR店舗一覧'!$D:$D,'TIR店舗一覧'!$E:$E,""),""))</f>
        <v/>
      </c>
      <c r="V4316" s="54" t="s">
        <v>2</v>
      </c>
      <c r="W4316" s="54" t="s">
        <v>2</v>
      </c>
      <c r="X4316" s="54" t="s">
        <v>2</v>
      </c>
      <c r="Y4316" s="54" t="s">
        <v>2</v>
      </c>
      <c r="Z4316" s="54" t="s">
        <v>2</v>
      </c>
      <c r="AA4316" s="54" t="s">
        <v>2</v>
      </c>
      <c r="AB4316" s="54" t="s">
        <v>2</v>
      </c>
      <c r="AC4316" s="54" t="s">
        <v>2</v>
      </c>
      <c r="AD4316" s="54" t="s">
        <v>2</v>
      </c>
      <c r="AE4316" s="54" t="s">
        <v>2</v>
      </c>
      <c r="AF4316" s="54" t="s">
        <v>2</v>
      </c>
      <c r="AG4316" s="54" t="s">
        <v>2</v>
      </c>
    </row>
    <row r="4317" ht="15.75" customHeight="1">
      <c r="B4317" s="56"/>
      <c r="U4317" s="46" t="str">
        <f t="array" ref="U4317">IF($D4317="","",IFERROR(_xlfn.XLOOKUP($D4317,'TIR店舗一覧'!$D:$D,'TIR店舗一覧'!$E:$E,""),""))</f>
        <v/>
      </c>
      <c r="V4317" s="54" t="s">
        <v>2</v>
      </c>
      <c r="W4317" s="54" t="s">
        <v>2</v>
      </c>
      <c r="X4317" s="54" t="s">
        <v>2</v>
      </c>
      <c r="Y4317" s="54" t="s">
        <v>2</v>
      </c>
      <c r="Z4317" s="54" t="s">
        <v>2</v>
      </c>
      <c r="AA4317" s="54" t="s">
        <v>2</v>
      </c>
      <c r="AB4317" s="54" t="s">
        <v>2</v>
      </c>
      <c r="AC4317" s="54" t="s">
        <v>2</v>
      </c>
      <c r="AD4317" s="54" t="s">
        <v>2</v>
      </c>
      <c r="AE4317" s="54" t="s">
        <v>2</v>
      </c>
      <c r="AF4317" s="54" t="s">
        <v>2</v>
      </c>
      <c r="AG4317" s="54" t="s">
        <v>2</v>
      </c>
    </row>
    <row r="4318" ht="15.75" customHeight="1">
      <c r="B4318" s="56"/>
      <c r="U4318" s="46" t="str">
        <f t="array" ref="U4318">IF($D4318="","",IFERROR(_xlfn.XLOOKUP($D4318,'TIR店舗一覧'!$D:$D,'TIR店舗一覧'!$E:$E,""),""))</f>
        <v/>
      </c>
      <c r="V4318" s="54" t="s">
        <v>2</v>
      </c>
      <c r="W4318" s="54" t="s">
        <v>2</v>
      </c>
      <c r="X4318" s="54" t="s">
        <v>2</v>
      </c>
      <c r="Y4318" s="54" t="s">
        <v>2</v>
      </c>
      <c r="Z4318" s="54" t="s">
        <v>2</v>
      </c>
      <c r="AA4318" s="54" t="s">
        <v>2</v>
      </c>
      <c r="AB4318" s="54" t="s">
        <v>2</v>
      </c>
      <c r="AC4318" s="54" t="s">
        <v>2</v>
      </c>
      <c r="AD4318" s="54" t="s">
        <v>2</v>
      </c>
      <c r="AE4318" s="54" t="s">
        <v>2</v>
      </c>
      <c r="AF4318" s="54" t="s">
        <v>2</v>
      </c>
      <c r="AG4318" s="54" t="s">
        <v>2</v>
      </c>
    </row>
    <row r="4319" ht="15.75" customHeight="1">
      <c r="B4319" s="56"/>
      <c r="U4319" s="46" t="str">
        <f t="array" ref="U4319">IF($D4319="","",IFERROR(_xlfn.XLOOKUP($D4319,'TIR店舗一覧'!$D:$D,'TIR店舗一覧'!$E:$E,""),""))</f>
        <v/>
      </c>
      <c r="V4319" s="54" t="s">
        <v>2</v>
      </c>
      <c r="W4319" s="54" t="s">
        <v>2</v>
      </c>
      <c r="X4319" s="54" t="s">
        <v>2</v>
      </c>
      <c r="Y4319" s="54" t="s">
        <v>2</v>
      </c>
      <c r="Z4319" s="54" t="s">
        <v>2</v>
      </c>
      <c r="AA4319" s="54" t="s">
        <v>2</v>
      </c>
      <c r="AB4319" s="54" t="s">
        <v>2</v>
      </c>
      <c r="AC4319" s="54" t="s">
        <v>2</v>
      </c>
      <c r="AD4319" s="54" t="s">
        <v>2</v>
      </c>
      <c r="AE4319" s="54" t="s">
        <v>2</v>
      </c>
      <c r="AF4319" s="54" t="s">
        <v>2</v>
      </c>
      <c r="AG4319" s="54" t="s">
        <v>2</v>
      </c>
    </row>
    <row r="4320" ht="15.75" customHeight="1">
      <c r="B4320" s="56"/>
      <c r="U4320" s="46" t="str">
        <f t="array" ref="U4320">IF($D4320="","",IFERROR(_xlfn.XLOOKUP($D4320,'TIR店舗一覧'!$D:$D,'TIR店舗一覧'!$E:$E,""),""))</f>
        <v/>
      </c>
      <c r="V4320" s="54" t="s">
        <v>2</v>
      </c>
      <c r="W4320" s="54" t="s">
        <v>2</v>
      </c>
      <c r="X4320" s="54" t="s">
        <v>2</v>
      </c>
      <c r="Y4320" s="54" t="s">
        <v>2</v>
      </c>
      <c r="Z4320" s="54" t="s">
        <v>2</v>
      </c>
      <c r="AA4320" s="54" t="s">
        <v>2</v>
      </c>
      <c r="AB4320" s="54" t="s">
        <v>2</v>
      </c>
      <c r="AC4320" s="54" t="s">
        <v>2</v>
      </c>
      <c r="AD4320" s="54" t="s">
        <v>2</v>
      </c>
      <c r="AE4320" s="54" t="s">
        <v>2</v>
      </c>
      <c r="AF4320" s="54" t="s">
        <v>2</v>
      </c>
      <c r="AG4320" s="54" t="s">
        <v>2</v>
      </c>
    </row>
    <row r="4321" ht="15.75" customHeight="1">
      <c r="B4321" s="56"/>
      <c r="U4321" s="46" t="str">
        <f t="array" ref="U4321">IF($D4321="","",IFERROR(_xlfn.XLOOKUP($D4321,'TIR店舗一覧'!$D:$D,'TIR店舗一覧'!$E:$E,""),""))</f>
        <v/>
      </c>
      <c r="V4321" s="54" t="s">
        <v>2</v>
      </c>
      <c r="W4321" s="54" t="s">
        <v>2</v>
      </c>
      <c r="X4321" s="54" t="s">
        <v>2</v>
      </c>
      <c r="Y4321" s="54" t="s">
        <v>2</v>
      </c>
      <c r="Z4321" s="54" t="s">
        <v>2</v>
      </c>
      <c r="AA4321" s="54" t="s">
        <v>2</v>
      </c>
      <c r="AB4321" s="54" t="s">
        <v>2</v>
      </c>
      <c r="AC4321" s="54" t="s">
        <v>2</v>
      </c>
      <c r="AD4321" s="54" t="s">
        <v>2</v>
      </c>
      <c r="AE4321" s="54" t="s">
        <v>2</v>
      </c>
      <c r="AF4321" s="54" t="s">
        <v>2</v>
      </c>
      <c r="AG4321" s="54" t="s">
        <v>2</v>
      </c>
    </row>
    <row r="4322" ht="15.75" customHeight="1">
      <c r="B4322" s="56"/>
      <c r="U4322" s="46" t="str">
        <f t="array" ref="U4322">IF($D4322="","",IFERROR(_xlfn.XLOOKUP($D4322,'TIR店舗一覧'!$D:$D,'TIR店舗一覧'!$E:$E,""),""))</f>
        <v/>
      </c>
      <c r="V4322" s="54" t="s">
        <v>2</v>
      </c>
      <c r="W4322" s="54" t="s">
        <v>2</v>
      </c>
      <c r="X4322" s="54" t="s">
        <v>2</v>
      </c>
      <c r="Y4322" s="54" t="s">
        <v>2</v>
      </c>
      <c r="Z4322" s="54" t="s">
        <v>2</v>
      </c>
      <c r="AA4322" s="54" t="s">
        <v>2</v>
      </c>
      <c r="AB4322" s="54" t="s">
        <v>2</v>
      </c>
      <c r="AC4322" s="54" t="s">
        <v>2</v>
      </c>
      <c r="AD4322" s="54" t="s">
        <v>2</v>
      </c>
      <c r="AE4322" s="54" t="s">
        <v>2</v>
      </c>
      <c r="AF4322" s="54" t="s">
        <v>2</v>
      </c>
      <c r="AG4322" s="54" t="s">
        <v>2</v>
      </c>
    </row>
    <row r="4323" ht="15.75" customHeight="1">
      <c r="B4323" s="56"/>
      <c r="U4323" s="46" t="str">
        <f t="array" ref="U4323">IF($D4323="","",IFERROR(_xlfn.XLOOKUP($D4323,'TIR店舗一覧'!$D:$D,'TIR店舗一覧'!$E:$E,""),""))</f>
        <v/>
      </c>
      <c r="V4323" s="54" t="s">
        <v>2</v>
      </c>
      <c r="W4323" s="54" t="s">
        <v>2</v>
      </c>
      <c r="X4323" s="54" t="s">
        <v>2</v>
      </c>
      <c r="Y4323" s="54" t="s">
        <v>2</v>
      </c>
      <c r="Z4323" s="54" t="s">
        <v>2</v>
      </c>
      <c r="AA4323" s="54" t="s">
        <v>2</v>
      </c>
      <c r="AB4323" s="54" t="s">
        <v>2</v>
      </c>
      <c r="AC4323" s="54" t="s">
        <v>2</v>
      </c>
      <c r="AD4323" s="54" t="s">
        <v>2</v>
      </c>
      <c r="AE4323" s="54" t="s">
        <v>2</v>
      </c>
      <c r="AF4323" s="54" t="s">
        <v>2</v>
      </c>
      <c r="AG4323" s="54" t="s">
        <v>2</v>
      </c>
    </row>
    <row r="4324" ht="15.75" customHeight="1">
      <c r="B4324" s="56"/>
      <c r="U4324" s="46" t="str">
        <f t="array" ref="U4324">IF($D4324="","",IFERROR(_xlfn.XLOOKUP($D4324,'TIR店舗一覧'!$D:$D,'TIR店舗一覧'!$E:$E,""),""))</f>
        <v/>
      </c>
      <c r="V4324" s="54" t="s">
        <v>2</v>
      </c>
      <c r="W4324" s="54" t="s">
        <v>2</v>
      </c>
      <c r="X4324" s="54" t="s">
        <v>2</v>
      </c>
      <c r="Y4324" s="54" t="s">
        <v>2</v>
      </c>
      <c r="Z4324" s="54" t="s">
        <v>2</v>
      </c>
      <c r="AA4324" s="54" t="s">
        <v>2</v>
      </c>
      <c r="AB4324" s="54" t="s">
        <v>2</v>
      </c>
      <c r="AC4324" s="54" t="s">
        <v>2</v>
      </c>
      <c r="AD4324" s="54" t="s">
        <v>2</v>
      </c>
      <c r="AE4324" s="54" t="s">
        <v>2</v>
      </c>
      <c r="AF4324" s="54" t="s">
        <v>2</v>
      </c>
      <c r="AG4324" s="54" t="s">
        <v>2</v>
      </c>
    </row>
    <row r="4325" ht="15.75" customHeight="1">
      <c r="B4325" s="56"/>
      <c r="U4325" s="46" t="str">
        <f t="array" ref="U4325">IF($D4325="","",IFERROR(_xlfn.XLOOKUP($D4325,'TIR店舗一覧'!$D:$D,'TIR店舗一覧'!$E:$E,""),""))</f>
        <v/>
      </c>
      <c r="V4325" s="54" t="s">
        <v>2</v>
      </c>
      <c r="W4325" s="54" t="s">
        <v>2</v>
      </c>
      <c r="X4325" s="54" t="s">
        <v>2</v>
      </c>
      <c r="Y4325" s="54" t="s">
        <v>2</v>
      </c>
      <c r="Z4325" s="54" t="s">
        <v>2</v>
      </c>
      <c r="AA4325" s="54" t="s">
        <v>2</v>
      </c>
      <c r="AB4325" s="54" t="s">
        <v>2</v>
      </c>
      <c r="AC4325" s="54" t="s">
        <v>2</v>
      </c>
      <c r="AD4325" s="54" t="s">
        <v>2</v>
      </c>
      <c r="AE4325" s="54" t="s">
        <v>2</v>
      </c>
      <c r="AF4325" s="54" t="s">
        <v>2</v>
      </c>
      <c r="AG4325" s="54" t="s">
        <v>2</v>
      </c>
    </row>
    <row r="4326" ht="15.75" customHeight="1">
      <c r="B4326" s="56"/>
      <c r="U4326" s="46" t="str">
        <f t="array" ref="U4326">IF($D4326="","",IFERROR(_xlfn.XLOOKUP($D4326,'TIR店舗一覧'!$D:$D,'TIR店舗一覧'!$E:$E,""),""))</f>
        <v/>
      </c>
      <c r="V4326" s="54" t="s">
        <v>2</v>
      </c>
      <c r="W4326" s="54" t="s">
        <v>2</v>
      </c>
      <c r="X4326" s="54" t="s">
        <v>2</v>
      </c>
      <c r="Y4326" s="54" t="s">
        <v>2</v>
      </c>
      <c r="Z4326" s="54" t="s">
        <v>2</v>
      </c>
      <c r="AA4326" s="54" t="s">
        <v>2</v>
      </c>
      <c r="AB4326" s="54" t="s">
        <v>2</v>
      </c>
      <c r="AC4326" s="54" t="s">
        <v>2</v>
      </c>
      <c r="AD4326" s="54" t="s">
        <v>2</v>
      </c>
      <c r="AE4326" s="54" t="s">
        <v>2</v>
      </c>
      <c r="AF4326" s="54" t="s">
        <v>2</v>
      </c>
      <c r="AG4326" s="54" t="s">
        <v>2</v>
      </c>
    </row>
    <row r="4327" ht="15.75" customHeight="1">
      <c r="B4327" s="56"/>
      <c r="U4327" s="46" t="str">
        <f t="array" ref="U4327">IF($D4327="","",IFERROR(_xlfn.XLOOKUP($D4327,'TIR店舗一覧'!$D:$D,'TIR店舗一覧'!$E:$E,""),""))</f>
        <v/>
      </c>
      <c r="V4327" s="54" t="s">
        <v>2</v>
      </c>
      <c r="W4327" s="54" t="s">
        <v>2</v>
      </c>
      <c r="X4327" s="54" t="s">
        <v>2</v>
      </c>
      <c r="Y4327" s="54" t="s">
        <v>2</v>
      </c>
      <c r="Z4327" s="54" t="s">
        <v>2</v>
      </c>
      <c r="AA4327" s="54" t="s">
        <v>2</v>
      </c>
      <c r="AB4327" s="54" t="s">
        <v>2</v>
      </c>
      <c r="AC4327" s="54" t="s">
        <v>2</v>
      </c>
      <c r="AD4327" s="54" t="s">
        <v>2</v>
      </c>
      <c r="AE4327" s="54" t="s">
        <v>2</v>
      </c>
      <c r="AF4327" s="54" t="s">
        <v>2</v>
      </c>
      <c r="AG4327" s="54" t="s">
        <v>2</v>
      </c>
    </row>
    <row r="4328" ht="15.75" customHeight="1">
      <c r="B4328" s="56"/>
      <c r="U4328" s="46" t="str">
        <f t="array" ref="U4328">IF($D4328="","",IFERROR(_xlfn.XLOOKUP($D4328,'TIR店舗一覧'!$D:$D,'TIR店舗一覧'!$E:$E,""),""))</f>
        <v/>
      </c>
      <c r="V4328" s="54" t="s">
        <v>2</v>
      </c>
      <c r="W4328" s="54" t="s">
        <v>2</v>
      </c>
      <c r="X4328" s="54" t="s">
        <v>2</v>
      </c>
      <c r="Y4328" s="54" t="s">
        <v>2</v>
      </c>
      <c r="Z4328" s="54" t="s">
        <v>2</v>
      </c>
      <c r="AA4328" s="54" t="s">
        <v>2</v>
      </c>
      <c r="AB4328" s="54" t="s">
        <v>2</v>
      </c>
      <c r="AC4328" s="54" t="s">
        <v>2</v>
      </c>
      <c r="AD4328" s="54" t="s">
        <v>2</v>
      </c>
      <c r="AE4328" s="54" t="s">
        <v>2</v>
      </c>
      <c r="AF4328" s="54" t="s">
        <v>2</v>
      </c>
      <c r="AG4328" s="54" t="s">
        <v>2</v>
      </c>
    </row>
    <row r="4329" ht="15.75" customHeight="1">
      <c r="B4329" s="56"/>
      <c r="U4329" s="46" t="str">
        <f t="array" ref="U4329">IF($D4329="","",IFERROR(_xlfn.XLOOKUP($D4329,'TIR店舗一覧'!$D:$D,'TIR店舗一覧'!$E:$E,""),""))</f>
        <v/>
      </c>
      <c r="V4329" s="54" t="s">
        <v>2</v>
      </c>
      <c r="W4329" s="54" t="s">
        <v>2</v>
      </c>
      <c r="X4329" s="54" t="s">
        <v>2</v>
      </c>
      <c r="Y4329" s="54" t="s">
        <v>2</v>
      </c>
      <c r="Z4329" s="54" t="s">
        <v>2</v>
      </c>
      <c r="AA4329" s="54" t="s">
        <v>2</v>
      </c>
      <c r="AB4329" s="54" t="s">
        <v>2</v>
      </c>
      <c r="AC4329" s="54" t="s">
        <v>2</v>
      </c>
      <c r="AD4329" s="54" t="s">
        <v>2</v>
      </c>
      <c r="AE4329" s="54" t="s">
        <v>2</v>
      </c>
      <c r="AF4329" s="54" t="s">
        <v>2</v>
      </c>
      <c r="AG4329" s="54" t="s">
        <v>2</v>
      </c>
    </row>
    <row r="4330" ht="15.75" customHeight="1">
      <c r="B4330" s="56"/>
      <c r="U4330" s="46" t="str">
        <f t="array" ref="U4330">IF($D4330="","",IFERROR(_xlfn.XLOOKUP($D4330,'TIR店舗一覧'!$D:$D,'TIR店舗一覧'!$E:$E,""),""))</f>
        <v/>
      </c>
      <c r="V4330" s="54" t="s">
        <v>2</v>
      </c>
      <c r="W4330" s="54" t="s">
        <v>2</v>
      </c>
      <c r="X4330" s="54" t="s">
        <v>2</v>
      </c>
      <c r="Y4330" s="54" t="s">
        <v>2</v>
      </c>
      <c r="Z4330" s="54" t="s">
        <v>2</v>
      </c>
      <c r="AA4330" s="54" t="s">
        <v>2</v>
      </c>
      <c r="AB4330" s="54" t="s">
        <v>2</v>
      </c>
      <c r="AC4330" s="54" t="s">
        <v>2</v>
      </c>
      <c r="AD4330" s="54" t="s">
        <v>2</v>
      </c>
      <c r="AE4330" s="54" t="s">
        <v>2</v>
      </c>
      <c r="AF4330" s="54" t="s">
        <v>2</v>
      </c>
      <c r="AG4330" s="54" t="s">
        <v>2</v>
      </c>
    </row>
    <row r="4331" ht="15.75" customHeight="1">
      <c r="B4331" s="56"/>
      <c r="U4331" s="46" t="str">
        <f t="array" ref="U4331">IF($D4331="","",IFERROR(_xlfn.XLOOKUP($D4331,'TIR店舗一覧'!$D:$D,'TIR店舗一覧'!$E:$E,""),""))</f>
        <v/>
      </c>
      <c r="V4331" s="54" t="s">
        <v>2</v>
      </c>
      <c r="W4331" s="54" t="s">
        <v>2</v>
      </c>
      <c r="X4331" s="54" t="s">
        <v>2</v>
      </c>
      <c r="Y4331" s="54" t="s">
        <v>2</v>
      </c>
      <c r="Z4331" s="54" t="s">
        <v>2</v>
      </c>
      <c r="AA4331" s="54" t="s">
        <v>2</v>
      </c>
      <c r="AB4331" s="54" t="s">
        <v>2</v>
      </c>
      <c r="AC4331" s="54" t="s">
        <v>2</v>
      </c>
      <c r="AD4331" s="54" t="s">
        <v>2</v>
      </c>
      <c r="AE4331" s="54" t="s">
        <v>2</v>
      </c>
      <c r="AF4331" s="54" t="s">
        <v>2</v>
      </c>
      <c r="AG4331" s="54" t="s">
        <v>2</v>
      </c>
    </row>
    <row r="4332" ht="15.75" customHeight="1">
      <c r="B4332" s="56"/>
      <c r="U4332" s="46" t="str">
        <f t="array" ref="U4332">IF($D4332="","",IFERROR(_xlfn.XLOOKUP($D4332,'TIR店舗一覧'!$D:$D,'TIR店舗一覧'!$E:$E,""),""))</f>
        <v/>
      </c>
      <c r="V4332" s="54" t="s">
        <v>2</v>
      </c>
      <c r="W4332" s="54" t="s">
        <v>2</v>
      </c>
      <c r="X4332" s="54" t="s">
        <v>2</v>
      </c>
      <c r="Y4332" s="54" t="s">
        <v>2</v>
      </c>
      <c r="Z4332" s="54" t="s">
        <v>2</v>
      </c>
      <c r="AA4332" s="54" t="s">
        <v>2</v>
      </c>
      <c r="AB4332" s="54" t="s">
        <v>2</v>
      </c>
      <c r="AC4332" s="54" t="s">
        <v>2</v>
      </c>
      <c r="AD4332" s="54" t="s">
        <v>2</v>
      </c>
      <c r="AE4332" s="54" t="s">
        <v>2</v>
      </c>
      <c r="AF4332" s="54" t="s">
        <v>2</v>
      </c>
      <c r="AG4332" s="54" t="s">
        <v>2</v>
      </c>
    </row>
    <row r="4333" ht="15.75" customHeight="1">
      <c r="B4333" s="56"/>
      <c r="U4333" s="46" t="str">
        <f t="array" ref="U4333">IF($D4333="","",IFERROR(_xlfn.XLOOKUP($D4333,'TIR店舗一覧'!$D:$D,'TIR店舗一覧'!$E:$E,""),""))</f>
        <v/>
      </c>
      <c r="V4333" s="54" t="s">
        <v>2</v>
      </c>
      <c r="W4333" s="54" t="s">
        <v>2</v>
      </c>
      <c r="X4333" s="54" t="s">
        <v>2</v>
      </c>
      <c r="Y4333" s="54" t="s">
        <v>2</v>
      </c>
      <c r="Z4333" s="54" t="s">
        <v>2</v>
      </c>
      <c r="AA4333" s="54" t="s">
        <v>2</v>
      </c>
      <c r="AB4333" s="54" t="s">
        <v>2</v>
      </c>
      <c r="AC4333" s="54" t="s">
        <v>2</v>
      </c>
      <c r="AD4333" s="54" t="s">
        <v>2</v>
      </c>
      <c r="AE4333" s="54" t="s">
        <v>2</v>
      </c>
      <c r="AF4333" s="54" t="s">
        <v>2</v>
      </c>
      <c r="AG4333" s="54" t="s">
        <v>2</v>
      </c>
    </row>
    <row r="4334" ht="15.75" customHeight="1">
      <c r="B4334" s="56"/>
      <c r="U4334" s="46" t="str">
        <f t="array" ref="U4334">IF($D4334="","",IFERROR(_xlfn.XLOOKUP($D4334,'TIR店舗一覧'!$D:$D,'TIR店舗一覧'!$E:$E,""),""))</f>
        <v/>
      </c>
      <c r="V4334" s="54" t="s">
        <v>2</v>
      </c>
      <c r="W4334" s="54" t="s">
        <v>2</v>
      </c>
      <c r="X4334" s="54" t="s">
        <v>2</v>
      </c>
      <c r="Y4334" s="54" t="s">
        <v>2</v>
      </c>
      <c r="Z4334" s="54" t="s">
        <v>2</v>
      </c>
      <c r="AA4334" s="54" t="s">
        <v>2</v>
      </c>
      <c r="AB4334" s="54" t="s">
        <v>2</v>
      </c>
      <c r="AC4334" s="54" t="s">
        <v>2</v>
      </c>
      <c r="AD4334" s="54" t="s">
        <v>2</v>
      </c>
      <c r="AE4334" s="54" t="s">
        <v>2</v>
      </c>
      <c r="AF4334" s="54" t="s">
        <v>2</v>
      </c>
      <c r="AG4334" s="54" t="s">
        <v>2</v>
      </c>
    </row>
    <row r="4335" ht="15.75" customHeight="1">
      <c r="B4335" s="56"/>
      <c r="U4335" s="46" t="str">
        <f t="array" ref="U4335">IF($D4335="","",IFERROR(_xlfn.XLOOKUP($D4335,'TIR店舗一覧'!$D:$D,'TIR店舗一覧'!$E:$E,""),""))</f>
        <v/>
      </c>
      <c r="V4335" s="54" t="s">
        <v>2</v>
      </c>
      <c r="W4335" s="54" t="s">
        <v>2</v>
      </c>
      <c r="X4335" s="54" t="s">
        <v>2</v>
      </c>
      <c r="Y4335" s="54" t="s">
        <v>2</v>
      </c>
      <c r="Z4335" s="54" t="s">
        <v>2</v>
      </c>
      <c r="AA4335" s="54" t="s">
        <v>2</v>
      </c>
      <c r="AB4335" s="54" t="s">
        <v>2</v>
      </c>
      <c r="AC4335" s="54" t="s">
        <v>2</v>
      </c>
      <c r="AD4335" s="54" t="s">
        <v>2</v>
      </c>
      <c r="AE4335" s="54" t="s">
        <v>2</v>
      </c>
      <c r="AF4335" s="54" t="s">
        <v>2</v>
      </c>
      <c r="AG4335" s="54" t="s">
        <v>2</v>
      </c>
    </row>
    <row r="4336" ht="15.75" customHeight="1">
      <c r="B4336" s="56"/>
      <c r="U4336" s="46" t="str">
        <f t="array" ref="U4336">IF($D4336="","",IFERROR(_xlfn.XLOOKUP($D4336,'TIR店舗一覧'!$D:$D,'TIR店舗一覧'!$E:$E,""),""))</f>
        <v/>
      </c>
      <c r="V4336" s="54" t="s">
        <v>2</v>
      </c>
      <c r="W4336" s="54" t="s">
        <v>2</v>
      </c>
      <c r="X4336" s="54" t="s">
        <v>2</v>
      </c>
      <c r="Y4336" s="54" t="s">
        <v>2</v>
      </c>
      <c r="Z4336" s="54" t="s">
        <v>2</v>
      </c>
      <c r="AA4336" s="54" t="s">
        <v>2</v>
      </c>
      <c r="AB4336" s="54" t="s">
        <v>2</v>
      </c>
      <c r="AC4336" s="54" t="s">
        <v>2</v>
      </c>
      <c r="AD4336" s="54" t="s">
        <v>2</v>
      </c>
      <c r="AE4336" s="54" t="s">
        <v>2</v>
      </c>
      <c r="AF4336" s="54" t="s">
        <v>2</v>
      </c>
      <c r="AG4336" s="54" t="s">
        <v>2</v>
      </c>
    </row>
    <row r="4337" ht="15.75" customHeight="1">
      <c r="B4337" s="56"/>
      <c r="U4337" s="46" t="str">
        <f t="array" ref="U4337">IF($D4337="","",IFERROR(_xlfn.XLOOKUP($D4337,'TIR店舗一覧'!$D:$D,'TIR店舗一覧'!$E:$E,""),""))</f>
        <v/>
      </c>
      <c r="V4337" s="54" t="s">
        <v>2</v>
      </c>
      <c r="W4337" s="54" t="s">
        <v>2</v>
      </c>
      <c r="X4337" s="54" t="s">
        <v>2</v>
      </c>
      <c r="Y4337" s="54" t="s">
        <v>2</v>
      </c>
      <c r="Z4337" s="54" t="s">
        <v>2</v>
      </c>
      <c r="AA4337" s="54" t="s">
        <v>2</v>
      </c>
      <c r="AB4337" s="54" t="s">
        <v>2</v>
      </c>
      <c r="AC4337" s="54" t="s">
        <v>2</v>
      </c>
      <c r="AD4337" s="54" t="s">
        <v>2</v>
      </c>
      <c r="AE4337" s="54" t="s">
        <v>2</v>
      </c>
      <c r="AF4337" s="54" t="s">
        <v>2</v>
      </c>
      <c r="AG4337" s="54" t="s">
        <v>2</v>
      </c>
    </row>
    <row r="4338" ht="15.75" customHeight="1">
      <c r="B4338" s="56"/>
      <c r="U4338" s="46" t="str">
        <f t="array" ref="U4338">IF($D4338="","",IFERROR(_xlfn.XLOOKUP($D4338,'TIR店舗一覧'!$D:$D,'TIR店舗一覧'!$E:$E,""),""))</f>
        <v/>
      </c>
      <c r="V4338" s="54" t="s">
        <v>2</v>
      </c>
      <c r="W4338" s="54" t="s">
        <v>2</v>
      </c>
      <c r="X4338" s="54" t="s">
        <v>2</v>
      </c>
      <c r="Y4338" s="54" t="s">
        <v>2</v>
      </c>
      <c r="Z4338" s="54" t="s">
        <v>2</v>
      </c>
      <c r="AA4338" s="54" t="s">
        <v>2</v>
      </c>
      <c r="AB4338" s="54" t="s">
        <v>2</v>
      </c>
      <c r="AC4338" s="54" t="s">
        <v>2</v>
      </c>
      <c r="AD4338" s="54" t="s">
        <v>2</v>
      </c>
      <c r="AE4338" s="54" t="s">
        <v>2</v>
      </c>
      <c r="AF4338" s="54" t="s">
        <v>2</v>
      </c>
      <c r="AG4338" s="54" t="s">
        <v>2</v>
      </c>
    </row>
    <row r="4339" ht="15.75" customHeight="1">
      <c r="B4339" s="56"/>
      <c r="U4339" s="46" t="str">
        <f t="array" ref="U4339">IF($D4339="","",IFERROR(_xlfn.XLOOKUP($D4339,'TIR店舗一覧'!$D:$D,'TIR店舗一覧'!$E:$E,""),""))</f>
        <v/>
      </c>
      <c r="V4339" s="54" t="s">
        <v>2</v>
      </c>
      <c r="W4339" s="54" t="s">
        <v>2</v>
      </c>
      <c r="X4339" s="54" t="s">
        <v>2</v>
      </c>
      <c r="Y4339" s="54" t="s">
        <v>2</v>
      </c>
      <c r="Z4339" s="54" t="s">
        <v>2</v>
      </c>
      <c r="AA4339" s="54" t="s">
        <v>2</v>
      </c>
      <c r="AB4339" s="54" t="s">
        <v>2</v>
      </c>
      <c r="AC4339" s="54" t="s">
        <v>2</v>
      </c>
      <c r="AD4339" s="54" t="s">
        <v>2</v>
      </c>
      <c r="AE4339" s="54" t="s">
        <v>2</v>
      </c>
      <c r="AF4339" s="54" t="s">
        <v>2</v>
      </c>
      <c r="AG4339" s="54" t="s">
        <v>2</v>
      </c>
    </row>
    <row r="4340" ht="15.75" customHeight="1">
      <c r="B4340" s="56"/>
      <c r="U4340" s="46" t="str">
        <f t="array" ref="U4340">IF($D4340="","",IFERROR(_xlfn.XLOOKUP($D4340,'TIR店舗一覧'!$D:$D,'TIR店舗一覧'!$E:$E,""),""))</f>
        <v/>
      </c>
      <c r="V4340" s="54" t="s">
        <v>2</v>
      </c>
      <c r="W4340" s="54" t="s">
        <v>2</v>
      </c>
      <c r="X4340" s="54" t="s">
        <v>2</v>
      </c>
      <c r="Y4340" s="54" t="s">
        <v>2</v>
      </c>
      <c r="Z4340" s="54" t="s">
        <v>2</v>
      </c>
      <c r="AA4340" s="54" t="s">
        <v>2</v>
      </c>
      <c r="AB4340" s="54" t="s">
        <v>2</v>
      </c>
      <c r="AC4340" s="54" t="s">
        <v>2</v>
      </c>
      <c r="AD4340" s="54" t="s">
        <v>2</v>
      </c>
      <c r="AE4340" s="54" t="s">
        <v>2</v>
      </c>
      <c r="AF4340" s="54" t="s">
        <v>2</v>
      </c>
      <c r="AG4340" s="54" t="s">
        <v>2</v>
      </c>
    </row>
    <row r="4341" ht="15.75" customHeight="1">
      <c r="B4341" s="56"/>
      <c r="U4341" s="46" t="str">
        <f t="array" ref="U4341">IF($D4341="","",IFERROR(_xlfn.XLOOKUP($D4341,'TIR店舗一覧'!$D:$D,'TIR店舗一覧'!$E:$E,""),""))</f>
        <v/>
      </c>
      <c r="V4341" s="54" t="s">
        <v>2</v>
      </c>
      <c r="W4341" s="54" t="s">
        <v>2</v>
      </c>
      <c r="X4341" s="54" t="s">
        <v>2</v>
      </c>
      <c r="Y4341" s="54" t="s">
        <v>2</v>
      </c>
      <c r="Z4341" s="54" t="s">
        <v>2</v>
      </c>
      <c r="AA4341" s="54" t="s">
        <v>2</v>
      </c>
      <c r="AB4341" s="54" t="s">
        <v>2</v>
      </c>
      <c r="AC4341" s="54" t="s">
        <v>2</v>
      </c>
      <c r="AD4341" s="54" t="s">
        <v>2</v>
      </c>
      <c r="AE4341" s="54" t="s">
        <v>2</v>
      </c>
      <c r="AF4341" s="54" t="s">
        <v>2</v>
      </c>
      <c r="AG4341" s="54" t="s">
        <v>2</v>
      </c>
    </row>
    <row r="4342" ht="15.75" customHeight="1">
      <c r="B4342" s="56"/>
      <c r="U4342" s="46" t="str">
        <f t="array" ref="U4342">IF($D4342="","",IFERROR(_xlfn.XLOOKUP($D4342,'TIR店舗一覧'!$D:$D,'TIR店舗一覧'!$E:$E,""),""))</f>
        <v/>
      </c>
      <c r="V4342" s="54" t="s">
        <v>2</v>
      </c>
      <c r="W4342" s="54" t="s">
        <v>2</v>
      </c>
      <c r="X4342" s="54" t="s">
        <v>2</v>
      </c>
      <c r="Y4342" s="54" t="s">
        <v>2</v>
      </c>
      <c r="Z4342" s="54" t="s">
        <v>2</v>
      </c>
      <c r="AA4342" s="54" t="s">
        <v>2</v>
      </c>
      <c r="AB4342" s="54" t="s">
        <v>2</v>
      </c>
      <c r="AC4342" s="54" t="s">
        <v>2</v>
      </c>
      <c r="AD4342" s="54" t="s">
        <v>2</v>
      </c>
      <c r="AE4342" s="54" t="s">
        <v>2</v>
      </c>
      <c r="AF4342" s="54" t="s">
        <v>2</v>
      </c>
      <c r="AG4342" s="54" t="s">
        <v>2</v>
      </c>
    </row>
    <row r="4343" ht="15.75" customHeight="1">
      <c r="B4343" s="56"/>
      <c r="U4343" s="46" t="str">
        <f t="array" ref="U4343">IF($D4343="","",IFERROR(_xlfn.XLOOKUP($D4343,'TIR店舗一覧'!$D:$D,'TIR店舗一覧'!$E:$E,""),""))</f>
        <v/>
      </c>
      <c r="V4343" s="54" t="s">
        <v>2</v>
      </c>
      <c r="W4343" s="54" t="s">
        <v>2</v>
      </c>
      <c r="X4343" s="54" t="s">
        <v>2</v>
      </c>
      <c r="Y4343" s="54" t="s">
        <v>2</v>
      </c>
      <c r="Z4343" s="54" t="s">
        <v>2</v>
      </c>
      <c r="AA4343" s="54" t="s">
        <v>2</v>
      </c>
      <c r="AB4343" s="54" t="s">
        <v>2</v>
      </c>
      <c r="AC4343" s="54" t="s">
        <v>2</v>
      </c>
      <c r="AD4343" s="54" t="s">
        <v>2</v>
      </c>
      <c r="AE4343" s="54" t="s">
        <v>2</v>
      </c>
      <c r="AF4343" s="54" t="s">
        <v>2</v>
      </c>
      <c r="AG4343" s="54" t="s">
        <v>2</v>
      </c>
    </row>
    <row r="4344" ht="15.75" customHeight="1">
      <c r="B4344" s="56"/>
      <c r="U4344" s="46" t="str">
        <f t="array" ref="U4344">IF($D4344="","",IFERROR(_xlfn.XLOOKUP($D4344,'TIR店舗一覧'!$D:$D,'TIR店舗一覧'!$E:$E,""),""))</f>
        <v/>
      </c>
      <c r="V4344" s="54" t="s">
        <v>2</v>
      </c>
      <c r="W4344" s="54" t="s">
        <v>2</v>
      </c>
      <c r="X4344" s="54" t="s">
        <v>2</v>
      </c>
      <c r="Y4344" s="54" t="s">
        <v>2</v>
      </c>
      <c r="Z4344" s="54" t="s">
        <v>2</v>
      </c>
      <c r="AA4344" s="54" t="s">
        <v>2</v>
      </c>
      <c r="AB4344" s="54" t="s">
        <v>2</v>
      </c>
      <c r="AC4344" s="54" t="s">
        <v>2</v>
      </c>
      <c r="AD4344" s="54" t="s">
        <v>2</v>
      </c>
      <c r="AE4344" s="54" t="s">
        <v>2</v>
      </c>
      <c r="AF4344" s="54" t="s">
        <v>2</v>
      </c>
      <c r="AG4344" s="54" t="s">
        <v>2</v>
      </c>
    </row>
    <row r="4345" ht="15.75" customHeight="1">
      <c r="B4345" s="56"/>
      <c r="U4345" s="46" t="str">
        <f t="array" ref="U4345">IF($D4345="","",IFERROR(_xlfn.XLOOKUP($D4345,'TIR店舗一覧'!$D:$D,'TIR店舗一覧'!$E:$E,""),""))</f>
        <v/>
      </c>
      <c r="V4345" s="54" t="s">
        <v>2</v>
      </c>
      <c r="W4345" s="54" t="s">
        <v>2</v>
      </c>
      <c r="X4345" s="54" t="s">
        <v>2</v>
      </c>
      <c r="Y4345" s="54" t="s">
        <v>2</v>
      </c>
      <c r="Z4345" s="54" t="s">
        <v>2</v>
      </c>
      <c r="AA4345" s="54" t="s">
        <v>2</v>
      </c>
      <c r="AB4345" s="54" t="s">
        <v>2</v>
      </c>
      <c r="AC4345" s="54" t="s">
        <v>2</v>
      </c>
      <c r="AD4345" s="54" t="s">
        <v>2</v>
      </c>
      <c r="AE4345" s="54" t="s">
        <v>2</v>
      </c>
      <c r="AF4345" s="54" t="s">
        <v>2</v>
      </c>
      <c r="AG4345" s="54" t="s">
        <v>2</v>
      </c>
    </row>
    <row r="4346" ht="15.75" customHeight="1">
      <c r="B4346" s="56"/>
      <c r="U4346" s="46" t="str">
        <f t="array" ref="U4346">IF($D4346="","",IFERROR(_xlfn.XLOOKUP($D4346,'TIR店舗一覧'!$D:$D,'TIR店舗一覧'!$E:$E,""),""))</f>
        <v/>
      </c>
      <c r="V4346" s="54" t="s">
        <v>2</v>
      </c>
      <c r="W4346" s="54" t="s">
        <v>2</v>
      </c>
      <c r="X4346" s="54" t="s">
        <v>2</v>
      </c>
      <c r="Y4346" s="54" t="s">
        <v>2</v>
      </c>
      <c r="Z4346" s="54" t="s">
        <v>2</v>
      </c>
      <c r="AA4346" s="54" t="s">
        <v>2</v>
      </c>
      <c r="AB4346" s="54" t="s">
        <v>2</v>
      </c>
      <c r="AC4346" s="54" t="s">
        <v>2</v>
      </c>
      <c r="AD4346" s="54" t="s">
        <v>2</v>
      </c>
      <c r="AE4346" s="54" t="s">
        <v>2</v>
      </c>
      <c r="AF4346" s="54" t="s">
        <v>2</v>
      </c>
      <c r="AG4346" s="54" t="s">
        <v>2</v>
      </c>
    </row>
    <row r="4347" ht="15.75" customHeight="1">
      <c r="B4347" s="56"/>
      <c r="U4347" s="46" t="str">
        <f t="array" ref="U4347">IF($D4347="","",IFERROR(_xlfn.XLOOKUP($D4347,'TIR店舗一覧'!$D:$D,'TIR店舗一覧'!$E:$E,""),""))</f>
        <v/>
      </c>
      <c r="V4347" s="54" t="s">
        <v>2</v>
      </c>
      <c r="W4347" s="54" t="s">
        <v>2</v>
      </c>
      <c r="X4347" s="54" t="s">
        <v>2</v>
      </c>
      <c r="Y4347" s="54" t="s">
        <v>2</v>
      </c>
      <c r="Z4347" s="54" t="s">
        <v>2</v>
      </c>
      <c r="AA4347" s="54" t="s">
        <v>2</v>
      </c>
      <c r="AB4347" s="54" t="s">
        <v>2</v>
      </c>
      <c r="AC4347" s="54" t="s">
        <v>2</v>
      </c>
      <c r="AD4347" s="54" t="s">
        <v>2</v>
      </c>
      <c r="AE4347" s="54" t="s">
        <v>2</v>
      </c>
      <c r="AF4347" s="54" t="s">
        <v>2</v>
      </c>
      <c r="AG4347" s="54" t="s">
        <v>2</v>
      </c>
    </row>
    <row r="4348" ht="15.75" customHeight="1">
      <c r="B4348" s="56"/>
      <c r="U4348" s="46" t="str">
        <f t="array" ref="U4348">IF($D4348="","",IFERROR(_xlfn.XLOOKUP($D4348,'TIR店舗一覧'!$D:$D,'TIR店舗一覧'!$E:$E,""),""))</f>
        <v/>
      </c>
      <c r="V4348" s="54" t="s">
        <v>2</v>
      </c>
      <c r="W4348" s="54" t="s">
        <v>2</v>
      </c>
      <c r="X4348" s="54" t="s">
        <v>2</v>
      </c>
      <c r="Y4348" s="54" t="s">
        <v>2</v>
      </c>
      <c r="Z4348" s="54" t="s">
        <v>2</v>
      </c>
      <c r="AA4348" s="54" t="s">
        <v>2</v>
      </c>
      <c r="AB4348" s="54" t="s">
        <v>2</v>
      </c>
      <c r="AC4348" s="54" t="s">
        <v>2</v>
      </c>
      <c r="AD4348" s="54" t="s">
        <v>2</v>
      </c>
      <c r="AE4348" s="54" t="s">
        <v>2</v>
      </c>
      <c r="AF4348" s="54" t="s">
        <v>2</v>
      </c>
      <c r="AG4348" s="54" t="s">
        <v>2</v>
      </c>
    </row>
    <row r="4349" ht="15.75" customHeight="1">
      <c r="B4349" s="56"/>
      <c r="U4349" s="46" t="str">
        <f t="array" ref="U4349">IF($D4349="","",IFERROR(_xlfn.XLOOKUP($D4349,'TIR店舗一覧'!$D:$D,'TIR店舗一覧'!$E:$E,""),""))</f>
        <v/>
      </c>
      <c r="V4349" s="54" t="s">
        <v>2</v>
      </c>
      <c r="W4349" s="54" t="s">
        <v>2</v>
      </c>
      <c r="X4349" s="54" t="s">
        <v>2</v>
      </c>
      <c r="Y4349" s="54" t="s">
        <v>2</v>
      </c>
      <c r="Z4349" s="54" t="s">
        <v>2</v>
      </c>
      <c r="AA4349" s="54" t="s">
        <v>2</v>
      </c>
      <c r="AB4349" s="54" t="s">
        <v>2</v>
      </c>
      <c r="AC4349" s="54" t="s">
        <v>2</v>
      </c>
      <c r="AD4349" s="54" t="s">
        <v>2</v>
      </c>
      <c r="AE4349" s="54" t="s">
        <v>2</v>
      </c>
      <c r="AF4349" s="54" t="s">
        <v>2</v>
      </c>
      <c r="AG4349" s="54" t="s">
        <v>2</v>
      </c>
    </row>
    <row r="4350" ht="15.75" customHeight="1">
      <c r="B4350" s="56"/>
      <c r="U4350" s="46" t="str">
        <f t="array" ref="U4350">IF($D4350="","",IFERROR(_xlfn.XLOOKUP($D4350,'TIR店舗一覧'!$D:$D,'TIR店舗一覧'!$E:$E,""),""))</f>
        <v/>
      </c>
      <c r="V4350" s="54" t="s">
        <v>2</v>
      </c>
      <c r="W4350" s="54" t="s">
        <v>2</v>
      </c>
      <c r="X4350" s="54" t="s">
        <v>2</v>
      </c>
      <c r="Y4350" s="54" t="s">
        <v>2</v>
      </c>
      <c r="Z4350" s="54" t="s">
        <v>2</v>
      </c>
      <c r="AA4350" s="54" t="s">
        <v>2</v>
      </c>
      <c r="AB4350" s="54" t="s">
        <v>2</v>
      </c>
      <c r="AC4350" s="54" t="s">
        <v>2</v>
      </c>
      <c r="AD4350" s="54" t="s">
        <v>2</v>
      </c>
      <c r="AE4350" s="54" t="s">
        <v>2</v>
      </c>
      <c r="AF4350" s="54" t="s">
        <v>2</v>
      </c>
      <c r="AG4350" s="54" t="s">
        <v>2</v>
      </c>
    </row>
    <row r="4351" ht="15.75" customHeight="1">
      <c r="B4351" s="56"/>
      <c r="U4351" s="46" t="str">
        <f t="array" ref="U4351">IF($D4351="","",IFERROR(_xlfn.XLOOKUP($D4351,'TIR店舗一覧'!$D:$D,'TIR店舗一覧'!$E:$E,""),""))</f>
        <v/>
      </c>
      <c r="V4351" s="54" t="s">
        <v>2</v>
      </c>
      <c r="W4351" s="54" t="s">
        <v>2</v>
      </c>
      <c r="X4351" s="54" t="s">
        <v>2</v>
      </c>
      <c r="Y4351" s="54" t="s">
        <v>2</v>
      </c>
      <c r="Z4351" s="54" t="s">
        <v>2</v>
      </c>
      <c r="AA4351" s="54" t="s">
        <v>2</v>
      </c>
      <c r="AB4351" s="54" t="s">
        <v>2</v>
      </c>
      <c r="AC4351" s="54" t="s">
        <v>2</v>
      </c>
      <c r="AD4351" s="54" t="s">
        <v>2</v>
      </c>
      <c r="AE4351" s="54" t="s">
        <v>2</v>
      </c>
      <c r="AF4351" s="54" t="s">
        <v>2</v>
      </c>
      <c r="AG4351" s="54" t="s">
        <v>2</v>
      </c>
    </row>
    <row r="4352" ht="15.75" customHeight="1">
      <c r="B4352" s="56"/>
      <c r="U4352" s="46" t="str">
        <f t="array" ref="U4352">IF($D4352="","",IFERROR(_xlfn.XLOOKUP($D4352,'TIR店舗一覧'!$D:$D,'TIR店舗一覧'!$E:$E,""),""))</f>
        <v/>
      </c>
      <c r="V4352" s="54" t="s">
        <v>2</v>
      </c>
      <c r="W4352" s="54" t="s">
        <v>2</v>
      </c>
      <c r="X4352" s="54" t="s">
        <v>2</v>
      </c>
      <c r="Y4352" s="54" t="s">
        <v>2</v>
      </c>
      <c r="Z4352" s="54" t="s">
        <v>2</v>
      </c>
      <c r="AA4352" s="54" t="s">
        <v>2</v>
      </c>
      <c r="AB4352" s="54" t="s">
        <v>2</v>
      </c>
      <c r="AC4352" s="54" t="s">
        <v>2</v>
      </c>
      <c r="AD4352" s="54" t="s">
        <v>2</v>
      </c>
      <c r="AE4352" s="54" t="s">
        <v>2</v>
      </c>
      <c r="AF4352" s="54" t="s">
        <v>2</v>
      </c>
      <c r="AG4352" s="54" t="s">
        <v>2</v>
      </c>
    </row>
    <row r="4353" ht="15.75" customHeight="1">
      <c r="B4353" s="56"/>
      <c r="U4353" s="46" t="str">
        <f t="array" ref="U4353">IF($D4353="","",IFERROR(_xlfn.XLOOKUP($D4353,'TIR店舗一覧'!$D:$D,'TIR店舗一覧'!$E:$E,""),""))</f>
        <v/>
      </c>
      <c r="V4353" s="54" t="s">
        <v>2</v>
      </c>
      <c r="W4353" s="54" t="s">
        <v>2</v>
      </c>
      <c r="X4353" s="54" t="s">
        <v>2</v>
      </c>
      <c r="Y4353" s="54" t="s">
        <v>2</v>
      </c>
      <c r="Z4353" s="54" t="s">
        <v>2</v>
      </c>
      <c r="AA4353" s="54" t="s">
        <v>2</v>
      </c>
      <c r="AB4353" s="54" t="s">
        <v>2</v>
      </c>
      <c r="AC4353" s="54" t="s">
        <v>2</v>
      </c>
      <c r="AD4353" s="54" t="s">
        <v>2</v>
      </c>
      <c r="AE4353" s="54" t="s">
        <v>2</v>
      </c>
      <c r="AF4353" s="54" t="s">
        <v>2</v>
      </c>
      <c r="AG4353" s="54" t="s">
        <v>2</v>
      </c>
    </row>
    <row r="4354" ht="15.75" customHeight="1">
      <c r="B4354" s="56"/>
      <c r="U4354" s="46" t="str">
        <f t="array" ref="U4354">IF($D4354="","",IFERROR(_xlfn.XLOOKUP($D4354,'TIR店舗一覧'!$D:$D,'TIR店舗一覧'!$E:$E,""),""))</f>
        <v/>
      </c>
      <c r="V4354" s="54" t="s">
        <v>2</v>
      </c>
      <c r="W4354" s="54" t="s">
        <v>2</v>
      </c>
      <c r="X4354" s="54" t="s">
        <v>2</v>
      </c>
      <c r="Y4354" s="54" t="s">
        <v>2</v>
      </c>
      <c r="Z4354" s="54" t="s">
        <v>2</v>
      </c>
      <c r="AA4354" s="54" t="s">
        <v>2</v>
      </c>
      <c r="AB4354" s="54" t="s">
        <v>2</v>
      </c>
      <c r="AC4354" s="54" t="s">
        <v>2</v>
      </c>
      <c r="AD4354" s="54" t="s">
        <v>2</v>
      </c>
      <c r="AE4354" s="54" t="s">
        <v>2</v>
      </c>
      <c r="AF4354" s="54" t="s">
        <v>2</v>
      </c>
      <c r="AG4354" s="54" t="s">
        <v>2</v>
      </c>
    </row>
    <row r="4355" ht="15.75" customHeight="1">
      <c r="B4355" s="56"/>
      <c r="U4355" s="46" t="str">
        <f t="array" ref="U4355">IF($D4355="","",IFERROR(_xlfn.XLOOKUP($D4355,'TIR店舗一覧'!$D:$D,'TIR店舗一覧'!$E:$E,""),""))</f>
        <v/>
      </c>
      <c r="V4355" s="54" t="s">
        <v>2</v>
      </c>
      <c r="W4355" s="54" t="s">
        <v>2</v>
      </c>
      <c r="X4355" s="54" t="s">
        <v>2</v>
      </c>
      <c r="Y4355" s="54" t="s">
        <v>2</v>
      </c>
      <c r="Z4355" s="54" t="s">
        <v>2</v>
      </c>
      <c r="AA4355" s="54" t="s">
        <v>2</v>
      </c>
      <c r="AB4355" s="54" t="s">
        <v>2</v>
      </c>
      <c r="AC4355" s="54" t="s">
        <v>2</v>
      </c>
      <c r="AD4355" s="54" t="s">
        <v>2</v>
      </c>
      <c r="AE4355" s="54" t="s">
        <v>2</v>
      </c>
      <c r="AF4355" s="54" t="s">
        <v>2</v>
      </c>
      <c r="AG4355" s="54" t="s">
        <v>2</v>
      </c>
    </row>
    <row r="4356" ht="15.75" customHeight="1">
      <c r="B4356" s="56"/>
      <c r="U4356" s="46" t="str">
        <f t="array" ref="U4356">IF($D4356="","",IFERROR(_xlfn.XLOOKUP($D4356,'TIR店舗一覧'!$D:$D,'TIR店舗一覧'!$E:$E,""),""))</f>
        <v/>
      </c>
      <c r="V4356" s="54" t="s">
        <v>2</v>
      </c>
      <c r="W4356" s="54" t="s">
        <v>2</v>
      </c>
      <c r="X4356" s="54" t="s">
        <v>2</v>
      </c>
      <c r="Y4356" s="54" t="s">
        <v>2</v>
      </c>
      <c r="Z4356" s="54" t="s">
        <v>2</v>
      </c>
      <c r="AA4356" s="54" t="s">
        <v>2</v>
      </c>
      <c r="AB4356" s="54" t="s">
        <v>2</v>
      </c>
      <c r="AC4356" s="54" t="s">
        <v>2</v>
      </c>
      <c r="AD4356" s="54" t="s">
        <v>2</v>
      </c>
      <c r="AE4356" s="54" t="s">
        <v>2</v>
      </c>
      <c r="AF4356" s="54" t="s">
        <v>2</v>
      </c>
      <c r="AG4356" s="54" t="s">
        <v>2</v>
      </c>
    </row>
    <row r="4357" ht="15.75" customHeight="1">
      <c r="B4357" s="56"/>
      <c r="U4357" s="46" t="str">
        <f t="array" ref="U4357">IF($D4357="","",IFERROR(_xlfn.XLOOKUP($D4357,'TIR店舗一覧'!$D:$D,'TIR店舗一覧'!$E:$E,""),""))</f>
        <v/>
      </c>
      <c r="V4357" s="54" t="s">
        <v>2</v>
      </c>
      <c r="W4357" s="54" t="s">
        <v>2</v>
      </c>
      <c r="X4357" s="54" t="s">
        <v>2</v>
      </c>
      <c r="Y4357" s="54" t="s">
        <v>2</v>
      </c>
      <c r="Z4357" s="54" t="s">
        <v>2</v>
      </c>
      <c r="AA4357" s="54" t="s">
        <v>2</v>
      </c>
      <c r="AB4357" s="54" t="s">
        <v>2</v>
      </c>
      <c r="AC4357" s="54" t="s">
        <v>2</v>
      </c>
      <c r="AD4357" s="54" t="s">
        <v>2</v>
      </c>
      <c r="AE4357" s="54" t="s">
        <v>2</v>
      </c>
      <c r="AF4357" s="54" t="s">
        <v>2</v>
      </c>
      <c r="AG4357" s="54" t="s">
        <v>2</v>
      </c>
    </row>
    <row r="4358" ht="15.75" customHeight="1">
      <c r="B4358" s="56"/>
      <c r="U4358" s="46" t="str">
        <f t="array" ref="U4358">IF($D4358="","",IFERROR(_xlfn.XLOOKUP($D4358,'TIR店舗一覧'!$D:$D,'TIR店舗一覧'!$E:$E,""),""))</f>
        <v/>
      </c>
      <c r="V4358" s="54" t="s">
        <v>2</v>
      </c>
      <c r="W4358" s="54" t="s">
        <v>2</v>
      </c>
      <c r="X4358" s="54" t="s">
        <v>2</v>
      </c>
      <c r="Y4358" s="54" t="s">
        <v>2</v>
      </c>
      <c r="Z4358" s="54" t="s">
        <v>2</v>
      </c>
      <c r="AA4358" s="54" t="s">
        <v>2</v>
      </c>
      <c r="AB4358" s="54" t="s">
        <v>2</v>
      </c>
      <c r="AC4358" s="54" t="s">
        <v>2</v>
      </c>
      <c r="AD4358" s="54" t="s">
        <v>2</v>
      </c>
      <c r="AE4358" s="54" t="s">
        <v>2</v>
      </c>
      <c r="AF4358" s="54" t="s">
        <v>2</v>
      </c>
      <c r="AG4358" s="54" t="s">
        <v>2</v>
      </c>
    </row>
    <row r="4359" ht="15.75" customHeight="1">
      <c r="B4359" s="56"/>
      <c r="U4359" s="46" t="str">
        <f t="array" ref="U4359">IF($D4359="","",IFERROR(_xlfn.XLOOKUP($D4359,'TIR店舗一覧'!$D:$D,'TIR店舗一覧'!$E:$E,""),""))</f>
        <v/>
      </c>
      <c r="V4359" s="54" t="s">
        <v>2</v>
      </c>
      <c r="W4359" s="54" t="s">
        <v>2</v>
      </c>
      <c r="X4359" s="54" t="s">
        <v>2</v>
      </c>
      <c r="Y4359" s="54" t="s">
        <v>2</v>
      </c>
      <c r="Z4359" s="54" t="s">
        <v>2</v>
      </c>
      <c r="AA4359" s="54" t="s">
        <v>2</v>
      </c>
      <c r="AB4359" s="54" t="s">
        <v>2</v>
      </c>
      <c r="AC4359" s="54" t="s">
        <v>2</v>
      </c>
      <c r="AD4359" s="54" t="s">
        <v>2</v>
      </c>
      <c r="AE4359" s="54" t="s">
        <v>2</v>
      </c>
      <c r="AF4359" s="54" t="s">
        <v>2</v>
      </c>
      <c r="AG4359" s="54" t="s">
        <v>2</v>
      </c>
    </row>
    <row r="4360" ht="15.75" customHeight="1">
      <c r="B4360" s="56"/>
      <c r="U4360" s="46" t="str">
        <f t="array" ref="U4360">IF($D4360="","",IFERROR(_xlfn.XLOOKUP($D4360,'TIR店舗一覧'!$D:$D,'TIR店舗一覧'!$E:$E,""),""))</f>
        <v/>
      </c>
      <c r="V4360" s="54" t="s">
        <v>2</v>
      </c>
      <c r="W4360" s="54" t="s">
        <v>2</v>
      </c>
      <c r="X4360" s="54" t="s">
        <v>2</v>
      </c>
      <c r="Y4360" s="54" t="s">
        <v>2</v>
      </c>
      <c r="Z4360" s="54" t="s">
        <v>2</v>
      </c>
      <c r="AA4360" s="54" t="s">
        <v>2</v>
      </c>
      <c r="AB4360" s="54" t="s">
        <v>2</v>
      </c>
      <c r="AC4360" s="54" t="s">
        <v>2</v>
      </c>
      <c r="AD4360" s="54" t="s">
        <v>2</v>
      </c>
      <c r="AE4360" s="54" t="s">
        <v>2</v>
      </c>
      <c r="AF4360" s="54" t="s">
        <v>2</v>
      </c>
      <c r="AG4360" s="54" t="s">
        <v>2</v>
      </c>
    </row>
    <row r="4361" ht="15.75" customHeight="1">
      <c r="B4361" s="56"/>
      <c r="U4361" s="46" t="str">
        <f t="array" ref="U4361">IF($D4361="","",IFERROR(_xlfn.XLOOKUP($D4361,'TIR店舗一覧'!$D:$D,'TIR店舗一覧'!$E:$E,""),""))</f>
        <v/>
      </c>
      <c r="V4361" s="54" t="s">
        <v>2</v>
      </c>
      <c r="W4361" s="54" t="s">
        <v>2</v>
      </c>
      <c r="X4361" s="54" t="s">
        <v>2</v>
      </c>
      <c r="Y4361" s="54" t="s">
        <v>2</v>
      </c>
      <c r="Z4361" s="54" t="s">
        <v>2</v>
      </c>
      <c r="AA4361" s="54" t="s">
        <v>2</v>
      </c>
      <c r="AB4361" s="54" t="s">
        <v>2</v>
      </c>
      <c r="AC4361" s="54" t="s">
        <v>2</v>
      </c>
      <c r="AD4361" s="54" t="s">
        <v>2</v>
      </c>
      <c r="AE4361" s="54" t="s">
        <v>2</v>
      </c>
      <c r="AF4361" s="54" t="s">
        <v>2</v>
      </c>
      <c r="AG4361" s="54" t="s">
        <v>2</v>
      </c>
    </row>
    <row r="4362" ht="15.75" customHeight="1">
      <c r="B4362" s="56"/>
      <c r="U4362" s="46" t="str">
        <f t="array" ref="U4362">IF($D4362="","",IFERROR(_xlfn.XLOOKUP($D4362,'TIR店舗一覧'!$D:$D,'TIR店舗一覧'!$E:$E,""),""))</f>
        <v/>
      </c>
      <c r="V4362" s="54" t="s">
        <v>2</v>
      </c>
      <c r="W4362" s="54" t="s">
        <v>2</v>
      </c>
      <c r="X4362" s="54" t="s">
        <v>2</v>
      </c>
      <c r="Y4362" s="54" t="s">
        <v>2</v>
      </c>
      <c r="Z4362" s="54" t="s">
        <v>2</v>
      </c>
      <c r="AA4362" s="54" t="s">
        <v>2</v>
      </c>
      <c r="AB4362" s="54" t="s">
        <v>2</v>
      </c>
      <c r="AC4362" s="54" t="s">
        <v>2</v>
      </c>
      <c r="AD4362" s="54" t="s">
        <v>2</v>
      </c>
      <c r="AE4362" s="54" t="s">
        <v>2</v>
      </c>
      <c r="AF4362" s="54" t="s">
        <v>2</v>
      </c>
      <c r="AG4362" s="54" t="s">
        <v>2</v>
      </c>
    </row>
    <row r="4363" ht="15.75" customHeight="1">
      <c r="B4363" s="56"/>
      <c r="U4363" s="46" t="str">
        <f t="array" ref="U4363">IF($D4363="","",IFERROR(_xlfn.XLOOKUP($D4363,'TIR店舗一覧'!$D:$D,'TIR店舗一覧'!$E:$E,""),""))</f>
        <v/>
      </c>
      <c r="V4363" s="54" t="s">
        <v>2</v>
      </c>
      <c r="W4363" s="54" t="s">
        <v>2</v>
      </c>
      <c r="X4363" s="54" t="s">
        <v>2</v>
      </c>
      <c r="Y4363" s="54" t="s">
        <v>2</v>
      </c>
      <c r="Z4363" s="54" t="s">
        <v>2</v>
      </c>
      <c r="AA4363" s="54" t="s">
        <v>2</v>
      </c>
      <c r="AB4363" s="54" t="s">
        <v>2</v>
      </c>
      <c r="AC4363" s="54" t="s">
        <v>2</v>
      </c>
      <c r="AD4363" s="54" t="s">
        <v>2</v>
      </c>
      <c r="AE4363" s="54" t="s">
        <v>2</v>
      </c>
      <c r="AF4363" s="54" t="s">
        <v>2</v>
      </c>
      <c r="AG4363" s="54" t="s">
        <v>2</v>
      </c>
    </row>
    <row r="4364" ht="15.75" customHeight="1">
      <c r="B4364" s="56"/>
      <c r="U4364" s="46" t="str">
        <f t="array" ref="U4364">IF($D4364="","",IFERROR(_xlfn.XLOOKUP($D4364,'TIR店舗一覧'!$D:$D,'TIR店舗一覧'!$E:$E,""),""))</f>
        <v/>
      </c>
      <c r="V4364" s="54" t="s">
        <v>2</v>
      </c>
      <c r="W4364" s="54" t="s">
        <v>2</v>
      </c>
      <c r="X4364" s="54" t="s">
        <v>2</v>
      </c>
      <c r="Y4364" s="54" t="s">
        <v>2</v>
      </c>
      <c r="Z4364" s="54" t="s">
        <v>2</v>
      </c>
      <c r="AA4364" s="54" t="s">
        <v>2</v>
      </c>
      <c r="AB4364" s="54" t="s">
        <v>2</v>
      </c>
      <c r="AC4364" s="54" t="s">
        <v>2</v>
      </c>
      <c r="AD4364" s="54" t="s">
        <v>2</v>
      </c>
      <c r="AE4364" s="54" t="s">
        <v>2</v>
      </c>
      <c r="AF4364" s="54" t="s">
        <v>2</v>
      </c>
      <c r="AG4364" s="54" t="s">
        <v>2</v>
      </c>
    </row>
    <row r="4365" ht="15.75" customHeight="1">
      <c r="B4365" s="56"/>
      <c r="U4365" s="46" t="str">
        <f t="array" ref="U4365">IF($D4365="","",IFERROR(_xlfn.XLOOKUP($D4365,'TIR店舗一覧'!$D:$D,'TIR店舗一覧'!$E:$E,""),""))</f>
        <v/>
      </c>
      <c r="V4365" s="54" t="s">
        <v>2</v>
      </c>
      <c r="W4365" s="54" t="s">
        <v>2</v>
      </c>
      <c r="X4365" s="54" t="s">
        <v>2</v>
      </c>
      <c r="Y4365" s="54" t="s">
        <v>2</v>
      </c>
      <c r="Z4365" s="54" t="s">
        <v>2</v>
      </c>
      <c r="AA4365" s="54" t="s">
        <v>2</v>
      </c>
      <c r="AB4365" s="54" t="s">
        <v>2</v>
      </c>
      <c r="AC4365" s="54" t="s">
        <v>2</v>
      </c>
      <c r="AD4365" s="54" t="s">
        <v>2</v>
      </c>
      <c r="AE4365" s="54" t="s">
        <v>2</v>
      </c>
      <c r="AF4365" s="54" t="s">
        <v>2</v>
      </c>
      <c r="AG4365" s="54" t="s">
        <v>2</v>
      </c>
    </row>
    <row r="4366" ht="15.75" customHeight="1">
      <c r="B4366" s="56"/>
      <c r="U4366" s="46" t="str">
        <f t="array" ref="U4366">IF($D4366="","",IFERROR(_xlfn.XLOOKUP($D4366,'TIR店舗一覧'!$D:$D,'TIR店舗一覧'!$E:$E,""),""))</f>
        <v/>
      </c>
      <c r="V4366" s="54" t="s">
        <v>2</v>
      </c>
      <c r="W4366" s="54" t="s">
        <v>2</v>
      </c>
      <c r="X4366" s="54" t="s">
        <v>2</v>
      </c>
      <c r="Y4366" s="54" t="s">
        <v>2</v>
      </c>
      <c r="Z4366" s="54" t="s">
        <v>2</v>
      </c>
      <c r="AA4366" s="54" t="s">
        <v>2</v>
      </c>
      <c r="AB4366" s="54" t="s">
        <v>2</v>
      </c>
      <c r="AC4366" s="54" t="s">
        <v>2</v>
      </c>
      <c r="AD4366" s="54" t="s">
        <v>2</v>
      </c>
      <c r="AE4366" s="54" t="s">
        <v>2</v>
      </c>
      <c r="AF4366" s="54" t="s">
        <v>2</v>
      </c>
      <c r="AG4366" s="54" t="s">
        <v>2</v>
      </c>
    </row>
    <row r="4367" ht="15.75" customHeight="1">
      <c r="B4367" s="56"/>
      <c r="U4367" s="46" t="str">
        <f t="array" ref="U4367">IF($D4367="","",IFERROR(_xlfn.XLOOKUP($D4367,'TIR店舗一覧'!$D:$D,'TIR店舗一覧'!$E:$E,""),""))</f>
        <v/>
      </c>
      <c r="V4367" s="54" t="s">
        <v>2</v>
      </c>
      <c r="W4367" s="54" t="s">
        <v>2</v>
      </c>
      <c r="X4367" s="54" t="s">
        <v>2</v>
      </c>
      <c r="Y4367" s="54" t="s">
        <v>2</v>
      </c>
      <c r="Z4367" s="54" t="s">
        <v>2</v>
      </c>
      <c r="AA4367" s="54" t="s">
        <v>2</v>
      </c>
      <c r="AB4367" s="54" t="s">
        <v>2</v>
      </c>
      <c r="AC4367" s="54" t="s">
        <v>2</v>
      </c>
      <c r="AD4367" s="54" t="s">
        <v>2</v>
      </c>
      <c r="AE4367" s="54" t="s">
        <v>2</v>
      </c>
      <c r="AF4367" s="54" t="s">
        <v>2</v>
      </c>
      <c r="AG4367" s="54" t="s">
        <v>2</v>
      </c>
    </row>
    <row r="4368" ht="15.75" customHeight="1">
      <c r="B4368" s="56"/>
      <c r="U4368" s="46" t="str">
        <f t="array" ref="U4368">IF($D4368="","",IFERROR(_xlfn.XLOOKUP($D4368,'TIR店舗一覧'!$D:$D,'TIR店舗一覧'!$E:$E,""),""))</f>
        <v/>
      </c>
      <c r="V4368" s="54" t="s">
        <v>2</v>
      </c>
      <c r="W4368" s="54" t="s">
        <v>2</v>
      </c>
      <c r="X4368" s="54" t="s">
        <v>2</v>
      </c>
      <c r="Y4368" s="54" t="s">
        <v>2</v>
      </c>
      <c r="Z4368" s="54" t="s">
        <v>2</v>
      </c>
      <c r="AA4368" s="54" t="s">
        <v>2</v>
      </c>
      <c r="AB4368" s="54" t="s">
        <v>2</v>
      </c>
      <c r="AC4368" s="54" t="s">
        <v>2</v>
      </c>
      <c r="AD4368" s="54" t="s">
        <v>2</v>
      </c>
      <c r="AE4368" s="54" t="s">
        <v>2</v>
      </c>
      <c r="AF4368" s="54" t="s">
        <v>2</v>
      </c>
      <c r="AG4368" s="54" t="s">
        <v>2</v>
      </c>
    </row>
    <row r="4369" ht="15.75" customHeight="1">
      <c r="B4369" s="56"/>
      <c r="U4369" s="46" t="str">
        <f t="array" ref="U4369">IF($D4369="","",IFERROR(_xlfn.XLOOKUP($D4369,'TIR店舗一覧'!$D:$D,'TIR店舗一覧'!$E:$E,""),""))</f>
        <v/>
      </c>
      <c r="V4369" s="54" t="s">
        <v>2</v>
      </c>
      <c r="W4369" s="54" t="s">
        <v>2</v>
      </c>
      <c r="X4369" s="54" t="s">
        <v>2</v>
      </c>
      <c r="Y4369" s="54" t="s">
        <v>2</v>
      </c>
      <c r="Z4369" s="54" t="s">
        <v>2</v>
      </c>
      <c r="AA4369" s="54" t="s">
        <v>2</v>
      </c>
      <c r="AB4369" s="54" t="s">
        <v>2</v>
      </c>
      <c r="AC4369" s="54" t="s">
        <v>2</v>
      </c>
      <c r="AD4369" s="54" t="s">
        <v>2</v>
      </c>
      <c r="AE4369" s="54" t="s">
        <v>2</v>
      </c>
      <c r="AF4369" s="54" t="s">
        <v>2</v>
      </c>
      <c r="AG4369" s="54" t="s">
        <v>2</v>
      </c>
    </row>
    <row r="4370" ht="15.75" customHeight="1">
      <c r="B4370" s="56"/>
      <c r="U4370" s="46" t="str">
        <f t="array" ref="U4370">IF($D4370="","",IFERROR(_xlfn.XLOOKUP($D4370,'TIR店舗一覧'!$D:$D,'TIR店舗一覧'!$E:$E,""),""))</f>
        <v/>
      </c>
      <c r="V4370" s="54" t="s">
        <v>2</v>
      </c>
      <c r="W4370" s="54" t="s">
        <v>2</v>
      </c>
      <c r="X4370" s="54" t="s">
        <v>2</v>
      </c>
      <c r="Y4370" s="54" t="s">
        <v>2</v>
      </c>
      <c r="Z4370" s="54" t="s">
        <v>2</v>
      </c>
      <c r="AA4370" s="54" t="s">
        <v>2</v>
      </c>
      <c r="AB4370" s="54" t="s">
        <v>2</v>
      </c>
      <c r="AC4370" s="54" t="s">
        <v>2</v>
      </c>
      <c r="AD4370" s="54" t="s">
        <v>2</v>
      </c>
      <c r="AE4370" s="54" t="s">
        <v>2</v>
      </c>
      <c r="AF4370" s="54" t="s">
        <v>2</v>
      </c>
      <c r="AG4370" s="54" t="s">
        <v>2</v>
      </c>
    </row>
    <row r="4371" ht="15.75" customHeight="1">
      <c r="B4371" s="56"/>
      <c r="U4371" s="46" t="str">
        <f t="array" ref="U4371">IF($D4371="","",IFERROR(_xlfn.XLOOKUP($D4371,'TIR店舗一覧'!$D:$D,'TIR店舗一覧'!$E:$E,""),""))</f>
        <v/>
      </c>
      <c r="V4371" s="54" t="s">
        <v>2</v>
      </c>
      <c r="W4371" s="54" t="s">
        <v>2</v>
      </c>
      <c r="X4371" s="54" t="s">
        <v>2</v>
      </c>
      <c r="Y4371" s="54" t="s">
        <v>2</v>
      </c>
      <c r="Z4371" s="54" t="s">
        <v>2</v>
      </c>
      <c r="AA4371" s="54" t="s">
        <v>2</v>
      </c>
      <c r="AB4371" s="54" t="s">
        <v>2</v>
      </c>
      <c r="AC4371" s="54" t="s">
        <v>2</v>
      </c>
      <c r="AD4371" s="54" t="s">
        <v>2</v>
      </c>
      <c r="AE4371" s="54" t="s">
        <v>2</v>
      </c>
      <c r="AF4371" s="54" t="s">
        <v>2</v>
      </c>
      <c r="AG4371" s="54" t="s">
        <v>2</v>
      </c>
    </row>
    <row r="4372" ht="15.75" customHeight="1">
      <c r="B4372" s="56"/>
      <c r="U4372" s="46" t="str">
        <f t="array" ref="U4372">IF($D4372="","",IFERROR(_xlfn.XLOOKUP($D4372,'TIR店舗一覧'!$D:$D,'TIR店舗一覧'!$E:$E,""),""))</f>
        <v/>
      </c>
      <c r="V4372" s="54" t="s">
        <v>2</v>
      </c>
      <c r="W4372" s="54" t="s">
        <v>2</v>
      </c>
      <c r="X4372" s="54" t="s">
        <v>2</v>
      </c>
      <c r="Y4372" s="54" t="s">
        <v>2</v>
      </c>
      <c r="Z4372" s="54" t="s">
        <v>2</v>
      </c>
      <c r="AA4372" s="54" t="s">
        <v>2</v>
      </c>
      <c r="AB4372" s="54" t="s">
        <v>2</v>
      </c>
      <c r="AC4372" s="54" t="s">
        <v>2</v>
      </c>
      <c r="AD4372" s="54" t="s">
        <v>2</v>
      </c>
      <c r="AE4372" s="54" t="s">
        <v>2</v>
      </c>
      <c r="AF4372" s="54" t="s">
        <v>2</v>
      </c>
      <c r="AG4372" s="54" t="s">
        <v>2</v>
      </c>
    </row>
    <row r="4373" ht="15.75" customHeight="1">
      <c r="B4373" s="56"/>
      <c r="U4373" s="46" t="str">
        <f t="array" ref="U4373">IF($D4373="","",IFERROR(_xlfn.XLOOKUP($D4373,'TIR店舗一覧'!$D:$D,'TIR店舗一覧'!$E:$E,""),""))</f>
        <v/>
      </c>
      <c r="V4373" s="54" t="s">
        <v>2</v>
      </c>
      <c r="W4373" s="54" t="s">
        <v>2</v>
      </c>
      <c r="X4373" s="54" t="s">
        <v>2</v>
      </c>
      <c r="Y4373" s="54" t="s">
        <v>2</v>
      </c>
      <c r="Z4373" s="54" t="s">
        <v>2</v>
      </c>
      <c r="AA4373" s="54" t="s">
        <v>2</v>
      </c>
      <c r="AB4373" s="54" t="s">
        <v>2</v>
      </c>
      <c r="AC4373" s="54" t="s">
        <v>2</v>
      </c>
      <c r="AD4373" s="54" t="s">
        <v>2</v>
      </c>
      <c r="AE4373" s="54" t="s">
        <v>2</v>
      </c>
      <c r="AF4373" s="54" t="s">
        <v>2</v>
      </c>
      <c r="AG4373" s="54" t="s">
        <v>2</v>
      </c>
    </row>
    <row r="4374" ht="15.75" customHeight="1">
      <c r="B4374" s="56"/>
      <c r="U4374" s="46" t="str">
        <f t="array" ref="U4374">IF($D4374="","",IFERROR(_xlfn.XLOOKUP($D4374,'TIR店舗一覧'!$D:$D,'TIR店舗一覧'!$E:$E,""),""))</f>
        <v/>
      </c>
      <c r="V4374" s="54" t="s">
        <v>2</v>
      </c>
      <c r="W4374" s="54" t="s">
        <v>2</v>
      </c>
      <c r="X4374" s="54" t="s">
        <v>2</v>
      </c>
      <c r="Y4374" s="54" t="s">
        <v>2</v>
      </c>
      <c r="Z4374" s="54" t="s">
        <v>2</v>
      </c>
      <c r="AA4374" s="54" t="s">
        <v>2</v>
      </c>
      <c r="AB4374" s="54" t="s">
        <v>2</v>
      </c>
      <c r="AC4374" s="54" t="s">
        <v>2</v>
      </c>
      <c r="AD4374" s="54" t="s">
        <v>2</v>
      </c>
      <c r="AE4374" s="54" t="s">
        <v>2</v>
      </c>
      <c r="AF4374" s="54" t="s">
        <v>2</v>
      </c>
      <c r="AG4374" s="54" t="s">
        <v>2</v>
      </c>
    </row>
    <row r="4375" ht="15.75" customHeight="1">
      <c r="B4375" s="56"/>
      <c r="U4375" s="46" t="str">
        <f t="array" ref="U4375">IF($D4375="","",IFERROR(_xlfn.XLOOKUP($D4375,'TIR店舗一覧'!$D:$D,'TIR店舗一覧'!$E:$E,""),""))</f>
        <v/>
      </c>
      <c r="V4375" s="54" t="s">
        <v>2</v>
      </c>
      <c r="W4375" s="54" t="s">
        <v>2</v>
      </c>
      <c r="X4375" s="54" t="s">
        <v>2</v>
      </c>
      <c r="Y4375" s="54" t="s">
        <v>2</v>
      </c>
      <c r="Z4375" s="54" t="s">
        <v>2</v>
      </c>
      <c r="AA4375" s="54" t="s">
        <v>2</v>
      </c>
      <c r="AB4375" s="54" t="s">
        <v>2</v>
      </c>
      <c r="AC4375" s="54" t="s">
        <v>2</v>
      </c>
      <c r="AD4375" s="54" t="s">
        <v>2</v>
      </c>
      <c r="AE4375" s="54" t="s">
        <v>2</v>
      </c>
      <c r="AF4375" s="54" t="s">
        <v>2</v>
      </c>
      <c r="AG4375" s="54" t="s">
        <v>2</v>
      </c>
    </row>
    <row r="4376" ht="15.75" customHeight="1">
      <c r="B4376" s="56"/>
      <c r="U4376" s="46" t="str">
        <f t="array" ref="U4376">IF($D4376="","",IFERROR(_xlfn.XLOOKUP($D4376,'TIR店舗一覧'!$D:$D,'TIR店舗一覧'!$E:$E,""),""))</f>
        <v/>
      </c>
      <c r="V4376" s="54" t="s">
        <v>2</v>
      </c>
      <c r="W4376" s="54" t="s">
        <v>2</v>
      </c>
      <c r="X4376" s="54" t="s">
        <v>2</v>
      </c>
      <c r="Y4376" s="54" t="s">
        <v>2</v>
      </c>
      <c r="Z4376" s="54" t="s">
        <v>2</v>
      </c>
      <c r="AA4376" s="54" t="s">
        <v>2</v>
      </c>
      <c r="AB4376" s="54" t="s">
        <v>2</v>
      </c>
      <c r="AC4376" s="54" t="s">
        <v>2</v>
      </c>
      <c r="AD4376" s="54" t="s">
        <v>2</v>
      </c>
      <c r="AE4376" s="54" t="s">
        <v>2</v>
      </c>
      <c r="AF4376" s="54" t="s">
        <v>2</v>
      </c>
      <c r="AG4376" s="54" t="s">
        <v>2</v>
      </c>
    </row>
    <row r="4377" ht="15.75" customHeight="1">
      <c r="B4377" s="56"/>
      <c r="U4377" s="46" t="str">
        <f t="array" ref="U4377">IF($D4377="","",IFERROR(_xlfn.XLOOKUP($D4377,'TIR店舗一覧'!$D:$D,'TIR店舗一覧'!$E:$E,""),""))</f>
        <v/>
      </c>
      <c r="V4377" s="54" t="s">
        <v>2</v>
      </c>
      <c r="W4377" s="54" t="s">
        <v>2</v>
      </c>
      <c r="X4377" s="54" t="s">
        <v>2</v>
      </c>
      <c r="Y4377" s="54" t="s">
        <v>2</v>
      </c>
      <c r="Z4377" s="54" t="s">
        <v>2</v>
      </c>
      <c r="AA4377" s="54" t="s">
        <v>2</v>
      </c>
      <c r="AB4377" s="54" t="s">
        <v>2</v>
      </c>
      <c r="AC4377" s="54" t="s">
        <v>2</v>
      </c>
      <c r="AD4377" s="54" t="s">
        <v>2</v>
      </c>
      <c r="AE4377" s="54" t="s">
        <v>2</v>
      </c>
      <c r="AF4377" s="54" t="s">
        <v>2</v>
      </c>
      <c r="AG4377" s="54" t="s">
        <v>2</v>
      </c>
    </row>
    <row r="4378" ht="15.75" customHeight="1">
      <c r="B4378" s="56"/>
      <c r="U4378" s="46" t="str">
        <f t="array" ref="U4378">IF($D4378="","",IFERROR(_xlfn.XLOOKUP($D4378,'TIR店舗一覧'!$D:$D,'TIR店舗一覧'!$E:$E,""),""))</f>
        <v/>
      </c>
      <c r="V4378" s="54" t="s">
        <v>2</v>
      </c>
      <c r="W4378" s="54" t="s">
        <v>2</v>
      </c>
      <c r="X4378" s="54" t="s">
        <v>2</v>
      </c>
      <c r="Y4378" s="54" t="s">
        <v>2</v>
      </c>
      <c r="Z4378" s="54" t="s">
        <v>2</v>
      </c>
      <c r="AA4378" s="54" t="s">
        <v>2</v>
      </c>
      <c r="AB4378" s="54" t="s">
        <v>2</v>
      </c>
      <c r="AC4378" s="54" t="s">
        <v>2</v>
      </c>
      <c r="AD4378" s="54" t="s">
        <v>2</v>
      </c>
      <c r="AE4378" s="54" t="s">
        <v>2</v>
      </c>
      <c r="AF4378" s="54" t="s">
        <v>2</v>
      </c>
      <c r="AG4378" s="54" t="s">
        <v>2</v>
      </c>
    </row>
    <row r="4379" ht="15.75" customHeight="1">
      <c r="B4379" s="56"/>
      <c r="U4379" s="46" t="str">
        <f t="array" ref="U4379">IF($D4379="","",IFERROR(_xlfn.XLOOKUP($D4379,'TIR店舗一覧'!$D:$D,'TIR店舗一覧'!$E:$E,""),""))</f>
        <v/>
      </c>
      <c r="V4379" s="54" t="s">
        <v>2</v>
      </c>
      <c r="W4379" s="54" t="s">
        <v>2</v>
      </c>
      <c r="X4379" s="54" t="s">
        <v>2</v>
      </c>
      <c r="Y4379" s="54" t="s">
        <v>2</v>
      </c>
      <c r="Z4379" s="54" t="s">
        <v>2</v>
      </c>
      <c r="AA4379" s="54" t="s">
        <v>2</v>
      </c>
      <c r="AB4379" s="54" t="s">
        <v>2</v>
      </c>
      <c r="AC4379" s="54" t="s">
        <v>2</v>
      </c>
      <c r="AD4379" s="54" t="s">
        <v>2</v>
      </c>
      <c r="AE4379" s="54" t="s">
        <v>2</v>
      </c>
      <c r="AF4379" s="54" t="s">
        <v>2</v>
      </c>
      <c r="AG4379" s="54" t="s">
        <v>2</v>
      </c>
    </row>
    <row r="4380" ht="15.75" customHeight="1">
      <c r="B4380" s="56"/>
      <c r="U4380" s="46" t="str">
        <f t="array" ref="U4380">IF($D4380="","",IFERROR(_xlfn.XLOOKUP($D4380,'TIR店舗一覧'!$D:$D,'TIR店舗一覧'!$E:$E,""),""))</f>
        <v/>
      </c>
      <c r="V4380" s="54" t="s">
        <v>2</v>
      </c>
      <c r="W4380" s="54" t="s">
        <v>2</v>
      </c>
      <c r="X4380" s="54" t="s">
        <v>2</v>
      </c>
      <c r="Y4380" s="54" t="s">
        <v>2</v>
      </c>
      <c r="Z4380" s="54" t="s">
        <v>2</v>
      </c>
      <c r="AA4380" s="54" t="s">
        <v>2</v>
      </c>
      <c r="AB4380" s="54" t="s">
        <v>2</v>
      </c>
      <c r="AC4380" s="54" t="s">
        <v>2</v>
      </c>
      <c r="AD4380" s="54" t="s">
        <v>2</v>
      </c>
      <c r="AE4380" s="54" t="s">
        <v>2</v>
      </c>
      <c r="AF4380" s="54" t="s">
        <v>2</v>
      </c>
      <c r="AG4380" s="54" t="s">
        <v>2</v>
      </c>
    </row>
    <row r="4381" ht="15.75" customHeight="1">
      <c r="B4381" s="56"/>
      <c r="U4381" s="46" t="str">
        <f t="array" ref="U4381">IF($D4381="","",IFERROR(_xlfn.XLOOKUP($D4381,'TIR店舗一覧'!$D:$D,'TIR店舗一覧'!$E:$E,""),""))</f>
        <v/>
      </c>
      <c r="V4381" s="54" t="s">
        <v>2</v>
      </c>
      <c r="W4381" s="54" t="s">
        <v>2</v>
      </c>
      <c r="X4381" s="54" t="s">
        <v>2</v>
      </c>
      <c r="Y4381" s="54" t="s">
        <v>2</v>
      </c>
      <c r="Z4381" s="54" t="s">
        <v>2</v>
      </c>
      <c r="AA4381" s="54" t="s">
        <v>2</v>
      </c>
      <c r="AB4381" s="54" t="s">
        <v>2</v>
      </c>
      <c r="AC4381" s="54" t="s">
        <v>2</v>
      </c>
      <c r="AD4381" s="54" t="s">
        <v>2</v>
      </c>
      <c r="AE4381" s="54" t="s">
        <v>2</v>
      </c>
      <c r="AF4381" s="54" t="s">
        <v>2</v>
      </c>
      <c r="AG4381" s="54" t="s">
        <v>2</v>
      </c>
    </row>
    <row r="4382" ht="15.75" customHeight="1">
      <c r="B4382" s="56"/>
      <c r="U4382" s="46" t="str">
        <f t="array" ref="U4382">IF($D4382="","",IFERROR(_xlfn.XLOOKUP($D4382,'TIR店舗一覧'!$D:$D,'TIR店舗一覧'!$E:$E,""),""))</f>
        <v/>
      </c>
      <c r="V4382" s="54" t="s">
        <v>2</v>
      </c>
      <c r="W4382" s="54" t="s">
        <v>2</v>
      </c>
      <c r="X4382" s="54" t="s">
        <v>2</v>
      </c>
      <c r="Y4382" s="54" t="s">
        <v>2</v>
      </c>
      <c r="Z4382" s="54" t="s">
        <v>2</v>
      </c>
      <c r="AA4382" s="54" t="s">
        <v>2</v>
      </c>
      <c r="AB4382" s="54" t="s">
        <v>2</v>
      </c>
      <c r="AC4382" s="54" t="s">
        <v>2</v>
      </c>
      <c r="AD4382" s="54" t="s">
        <v>2</v>
      </c>
      <c r="AE4382" s="54" t="s">
        <v>2</v>
      </c>
      <c r="AF4382" s="54" t="s">
        <v>2</v>
      </c>
      <c r="AG4382" s="54" t="s">
        <v>2</v>
      </c>
    </row>
    <row r="4383" ht="15.75" customHeight="1">
      <c r="B4383" s="56"/>
      <c r="U4383" s="46" t="str">
        <f t="array" ref="U4383">IF($D4383="","",IFERROR(_xlfn.XLOOKUP($D4383,'TIR店舗一覧'!$D:$D,'TIR店舗一覧'!$E:$E,""),""))</f>
        <v/>
      </c>
      <c r="V4383" s="54" t="s">
        <v>2</v>
      </c>
      <c r="W4383" s="54" t="s">
        <v>2</v>
      </c>
      <c r="X4383" s="54" t="s">
        <v>2</v>
      </c>
      <c r="Y4383" s="54" t="s">
        <v>2</v>
      </c>
      <c r="Z4383" s="54" t="s">
        <v>2</v>
      </c>
      <c r="AA4383" s="54" t="s">
        <v>2</v>
      </c>
      <c r="AB4383" s="54" t="s">
        <v>2</v>
      </c>
      <c r="AC4383" s="54" t="s">
        <v>2</v>
      </c>
      <c r="AD4383" s="54" t="s">
        <v>2</v>
      </c>
      <c r="AE4383" s="54" t="s">
        <v>2</v>
      </c>
      <c r="AF4383" s="54" t="s">
        <v>2</v>
      </c>
      <c r="AG4383" s="54" t="s">
        <v>2</v>
      </c>
    </row>
    <row r="4384" ht="15.75" customHeight="1">
      <c r="B4384" s="56"/>
      <c r="U4384" s="46" t="str">
        <f t="array" ref="U4384">IF($D4384="","",IFERROR(_xlfn.XLOOKUP($D4384,'TIR店舗一覧'!$D:$D,'TIR店舗一覧'!$E:$E,""),""))</f>
        <v/>
      </c>
      <c r="V4384" s="54" t="s">
        <v>2</v>
      </c>
      <c r="W4384" s="54" t="s">
        <v>2</v>
      </c>
      <c r="X4384" s="54" t="s">
        <v>2</v>
      </c>
      <c r="Y4384" s="54" t="s">
        <v>2</v>
      </c>
      <c r="Z4384" s="54" t="s">
        <v>2</v>
      </c>
      <c r="AA4384" s="54" t="s">
        <v>2</v>
      </c>
      <c r="AB4384" s="54" t="s">
        <v>2</v>
      </c>
      <c r="AC4384" s="54" t="s">
        <v>2</v>
      </c>
      <c r="AD4384" s="54" t="s">
        <v>2</v>
      </c>
      <c r="AE4384" s="54" t="s">
        <v>2</v>
      </c>
      <c r="AF4384" s="54" t="s">
        <v>2</v>
      </c>
      <c r="AG4384" s="54" t="s">
        <v>2</v>
      </c>
    </row>
    <row r="4385" ht="15.75" customHeight="1">
      <c r="B4385" s="56"/>
      <c r="U4385" s="46" t="str">
        <f t="array" ref="U4385">IF($D4385="","",IFERROR(_xlfn.XLOOKUP($D4385,'TIR店舗一覧'!$D:$D,'TIR店舗一覧'!$E:$E,""),""))</f>
        <v/>
      </c>
      <c r="V4385" s="54" t="s">
        <v>2</v>
      </c>
      <c r="W4385" s="54" t="s">
        <v>2</v>
      </c>
      <c r="X4385" s="54" t="s">
        <v>2</v>
      </c>
      <c r="Y4385" s="54" t="s">
        <v>2</v>
      </c>
      <c r="Z4385" s="54" t="s">
        <v>2</v>
      </c>
      <c r="AA4385" s="54" t="s">
        <v>2</v>
      </c>
      <c r="AB4385" s="54" t="s">
        <v>2</v>
      </c>
      <c r="AC4385" s="54" t="s">
        <v>2</v>
      </c>
      <c r="AD4385" s="54" t="s">
        <v>2</v>
      </c>
      <c r="AE4385" s="54" t="s">
        <v>2</v>
      </c>
      <c r="AF4385" s="54" t="s">
        <v>2</v>
      </c>
      <c r="AG4385" s="54" t="s">
        <v>2</v>
      </c>
    </row>
    <row r="4386" ht="15.75" customHeight="1">
      <c r="B4386" s="56"/>
      <c r="U4386" s="46" t="str">
        <f t="array" ref="U4386">IF($D4386="","",IFERROR(_xlfn.XLOOKUP($D4386,'TIR店舗一覧'!$D:$D,'TIR店舗一覧'!$E:$E,""),""))</f>
        <v/>
      </c>
      <c r="V4386" s="54" t="s">
        <v>2</v>
      </c>
      <c r="W4386" s="54" t="s">
        <v>2</v>
      </c>
      <c r="X4386" s="54" t="s">
        <v>2</v>
      </c>
      <c r="Y4386" s="54" t="s">
        <v>2</v>
      </c>
      <c r="Z4386" s="54" t="s">
        <v>2</v>
      </c>
      <c r="AA4386" s="54" t="s">
        <v>2</v>
      </c>
      <c r="AB4386" s="54" t="s">
        <v>2</v>
      </c>
      <c r="AC4386" s="54" t="s">
        <v>2</v>
      </c>
      <c r="AD4386" s="54" t="s">
        <v>2</v>
      </c>
      <c r="AE4386" s="54" t="s">
        <v>2</v>
      </c>
      <c r="AF4386" s="54" t="s">
        <v>2</v>
      </c>
      <c r="AG4386" s="54" t="s">
        <v>2</v>
      </c>
    </row>
    <row r="4387" ht="15.75" customHeight="1">
      <c r="B4387" s="56"/>
      <c r="U4387" s="46" t="str">
        <f t="array" ref="U4387">IF($D4387="","",IFERROR(_xlfn.XLOOKUP($D4387,'TIR店舗一覧'!$D:$D,'TIR店舗一覧'!$E:$E,""),""))</f>
        <v/>
      </c>
      <c r="V4387" s="54" t="s">
        <v>2</v>
      </c>
      <c r="W4387" s="54" t="s">
        <v>2</v>
      </c>
      <c r="X4387" s="54" t="s">
        <v>2</v>
      </c>
      <c r="Y4387" s="54" t="s">
        <v>2</v>
      </c>
      <c r="Z4387" s="54" t="s">
        <v>2</v>
      </c>
      <c r="AA4387" s="54" t="s">
        <v>2</v>
      </c>
      <c r="AB4387" s="54" t="s">
        <v>2</v>
      </c>
      <c r="AC4387" s="54" t="s">
        <v>2</v>
      </c>
      <c r="AD4387" s="54" t="s">
        <v>2</v>
      </c>
      <c r="AE4387" s="54" t="s">
        <v>2</v>
      </c>
      <c r="AF4387" s="54" t="s">
        <v>2</v>
      </c>
      <c r="AG4387" s="54" t="s">
        <v>2</v>
      </c>
    </row>
    <row r="4388" ht="15.75" customHeight="1">
      <c r="B4388" s="56"/>
      <c r="U4388" s="46" t="str">
        <f t="array" ref="U4388">IF($D4388="","",IFERROR(_xlfn.XLOOKUP($D4388,'TIR店舗一覧'!$D:$D,'TIR店舗一覧'!$E:$E,""),""))</f>
        <v/>
      </c>
      <c r="V4388" s="54" t="s">
        <v>2</v>
      </c>
      <c r="W4388" s="54" t="s">
        <v>2</v>
      </c>
      <c r="X4388" s="54" t="s">
        <v>2</v>
      </c>
      <c r="Y4388" s="54" t="s">
        <v>2</v>
      </c>
      <c r="Z4388" s="54" t="s">
        <v>2</v>
      </c>
      <c r="AA4388" s="54" t="s">
        <v>2</v>
      </c>
      <c r="AB4388" s="54" t="s">
        <v>2</v>
      </c>
      <c r="AC4388" s="54" t="s">
        <v>2</v>
      </c>
      <c r="AD4388" s="54" t="s">
        <v>2</v>
      </c>
      <c r="AE4388" s="54" t="s">
        <v>2</v>
      </c>
      <c r="AF4388" s="54" t="s">
        <v>2</v>
      </c>
      <c r="AG4388" s="54" t="s">
        <v>2</v>
      </c>
    </row>
    <row r="4389" ht="15.75" customHeight="1">
      <c r="B4389" s="56"/>
      <c r="U4389" s="46" t="str">
        <f t="array" ref="U4389">IF($D4389="","",IFERROR(_xlfn.XLOOKUP($D4389,'TIR店舗一覧'!$D:$D,'TIR店舗一覧'!$E:$E,""),""))</f>
        <v/>
      </c>
      <c r="V4389" s="54" t="s">
        <v>2</v>
      </c>
      <c r="W4389" s="54" t="s">
        <v>2</v>
      </c>
      <c r="X4389" s="54" t="s">
        <v>2</v>
      </c>
      <c r="Y4389" s="54" t="s">
        <v>2</v>
      </c>
      <c r="Z4389" s="54" t="s">
        <v>2</v>
      </c>
      <c r="AA4389" s="54" t="s">
        <v>2</v>
      </c>
      <c r="AB4389" s="54" t="s">
        <v>2</v>
      </c>
      <c r="AC4389" s="54" t="s">
        <v>2</v>
      </c>
      <c r="AD4389" s="54" t="s">
        <v>2</v>
      </c>
      <c r="AE4389" s="54" t="s">
        <v>2</v>
      </c>
      <c r="AF4389" s="54" t="s">
        <v>2</v>
      </c>
      <c r="AG4389" s="54" t="s">
        <v>2</v>
      </c>
    </row>
    <row r="4390" ht="15.75" customHeight="1">
      <c r="B4390" s="56"/>
      <c r="U4390" s="46" t="str">
        <f t="array" ref="U4390">IF($D4390="","",IFERROR(_xlfn.XLOOKUP($D4390,'TIR店舗一覧'!$D:$D,'TIR店舗一覧'!$E:$E,""),""))</f>
        <v/>
      </c>
      <c r="V4390" s="54" t="s">
        <v>2</v>
      </c>
      <c r="W4390" s="54" t="s">
        <v>2</v>
      </c>
      <c r="X4390" s="54" t="s">
        <v>2</v>
      </c>
      <c r="Y4390" s="54" t="s">
        <v>2</v>
      </c>
      <c r="Z4390" s="54" t="s">
        <v>2</v>
      </c>
      <c r="AA4390" s="54" t="s">
        <v>2</v>
      </c>
      <c r="AB4390" s="54" t="s">
        <v>2</v>
      </c>
      <c r="AC4390" s="54" t="s">
        <v>2</v>
      </c>
      <c r="AD4390" s="54" t="s">
        <v>2</v>
      </c>
      <c r="AE4390" s="54" t="s">
        <v>2</v>
      </c>
      <c r="AF4390" s="54" t="s">
        <v>2</v>
      </c>
      <c r="AG4390" s="54" t="s">
        <v>2</v>
      </c>
    </row>
    <row r="4391" ht="15.75" customHeight="1">
      <c r="B4391" s="56"/>
      <c r="U4391" s="46" t="str">
        <f t="array" ref="U4391">IF($D4391="","",IFERROR(_xlfn.XLOOKUP($D4391,'TIR店舗一覧'!$D:$D,'TIR店舗一覧'!$E:$E,""),""))</f>
        <v/>
      </c>
      <c r="V4391" s="54" t="s">
        <v>2</v>
      </c>
      <c r="W4391" s="54" t="s">
        <v>2</v>
      </c>
      <c r="X4391" s="54" t="s">
        <v>2</v>
      </c>
      <c r="Y4391" s="54" t="s">
        <v>2</v>
      </c>
      <c r="Z4391" s="54" t="s">
        <v>2</v>
      </c>
      <c r="AA4391" s="54" t="s">
        <v>2</v>
      </c>
      <c r="AB4391" s="54" t="s">
        <v>2</v>
      </c>
      <c r="AC4391" s="54" t="s">
        <v>2</v>
      </c>
      <c r="AD4391" s="54" t="s">
        <v>2</v>
      </c>
      <c r="AE4391" s="54" t="s">
        <v>2</v>
      </c>
      <c r="AF4391" s="54" t="s">
        <v>2</v>
      </c>
      <c r="AG4391" s="54" t="s">
        <v>2</v>
      </c>
    </row>
    <row r="4392" ht="15.75" customHeight="1">
      <c r="B4392" s="56"/>
      <c r="U4392" s="46" t="str">
        <f t="array" ref="U4392">IF($D4392="","",IFERROR(_xlfn.XLOOKUP($D4392,'TIR店舗一覧'!$D:$D,'TIR店舗一覧'!$E:$E,""),""))</f>
        <v/>
      </c>
      <c r="V4392" s="54" t="s">
        <v>2</v>
      </c>
      <c r="W4392" s="54" t="s">
        <v>2</v>
      </c>
      <c r="X4392" s="54" t="s">
        <v>2</v>
      </c>
      <c r="Y4392" s="54" t="s">
        <v>2</v>
      </c>
      <c r="Z4392" s="54" t="s">
        <v>2</v>
      </c>
      <c r="AA4392" s="54" t="s">
        <v>2</v>
      </c>
      <c r="AB4392" s="54" t="s">
        <v>2</v>
      </c>
      <c r="AC4392" s="54" t="s">
        <v>2</v>
      </c>
      <c r="AD4392" s="54" t="s">
        <v>2</v>
      </c>
      <c r="AE4392" s="54" t="s">
        <v>2</v>
      </c>
      <c r="AF4392" s="54" t="s">
        <v>2</v>
      </c>
      <c r="AG4392" s="54" t="s">
        <v>2</v>
      </c>
    </row>
    <row r="4393" ht="15.75" customHeight="1">
      <c r="B4393" s="56"/>
      <c r="U4393" s="46" t="str">
        <f t="array" ref="U4393">IF($D4393="","",IFERROR(_xlfn.XLOOKUP($D4393,'TIR店舗一覧'!$D:$D,'TIR店舗一覧'!$E:$E,""),""))</f>
        <v/>
      </c>
      <c r="V4393" s="54" t="s">
        <v>2</v>
      </c>
      <c r="W4393" s="54" t="s">
        <v>2</v>
      </c>
      <c r="X4393" s="54" t="s">
        <v>2</v>
      </c>
      <c r="Y4393" s="54" t="s">
        <v>2</v>
      </c>
      <c r="Z4393" s="54" t="s">
        <v>2</v>
      </c>
      <c r="AA4393" s="54" t="s">
        <v>2</v>
      </c>
      <c r="AB4393" s="54" t="s">
        <v>2</v>
      </c>
      <c r="AC4393" s="54" t="s">
        <v>2</v>
      </c>
      <c r="AD4393" s="54" t="s">
        <v>2</v>
      </c>
      <c r="AE4393" s="54" t="s">
        <v>2</v>
      </c>
      <c r="AF4393" s="54" t="s">
        <v>2</v>
      </c>
      <c r="AG4393" s="54" t="s">
        <v>2</v>
      </c>
    </row>
    <row r="4394" ht="15.75" customHeight="1">
      <c r="B4394" s="56"/>
      <c r="U4394" s="46" t="str">
        <f t="array" ref="U4394">IF($D4394="","",IFERROR(_xlfn.XLOOKUP($D4394,'TIR店舗一覧'!$D:$D,'TIR店舗一覧'!$E:$E,""),""))</f>
        <v/>
      </c>
      <c r="V4394" s="54" t="s">
        <v>2</v>
      </c>
      <c r="W4394" s="54" t="s">
        <v>2</v>
      </c>
      <c r="X4394" s="54" t="s">
        <v>2</v>
      </c>
      <c r="Y4394" s="54" t="s">
        <v>2</v>
      </c>
      <c r="Z4394" s="54" t="s">
        <v>2</v>
      </c>
      <c r="AA4394" s="54" t="s">
        <v>2</v>
      </c>
      <c r="AB4394" s="54" t="s">
        <v>2</v>
      </c>
      <c r="AC4394" s="54" t="s">
        <v>2</v>
      </c>
      <c r="AD4394" s="54" t="s">
        <v>2</v>
      </c>
      <c r="AE4394" s="54" t="s">
        <v>2</v>
      </c>
      <c r="AF4394" s="54" t="s">
        <v>2</v>
      </c>
      <c r="AG4394" s="54" t="s">
        <v>2</v>
      </c>
    </row>
    <row r="4395" ht="15.75" customHeight="1">
      <c r="B4395" s="56"/>
      <c r="U4395" s="46" t="str">
        <f t="array" ref="U4395">IF($D4395="","",IFERROR(_xlfn.XLOOKUP($D4395,'TIR店舗一覧'!$D:$D,'TIR店舗一覧'!$E:$E,""),""))</f>
        <v/>
      </c>
      <c r="V4395" s="54" t="s">
        <v>2</v>
      </c>
      <c r="W4395" s="54" t="s">
        <v>2</v>
      </c>
      <c r="X4395" s="54" t="s">
        <v>2</v>
      </c>
      <c r="Y4395" s="54" t="s">
        <v>2</v>
      </c>
      <c r="Z4395" s="54" t="s">
        <v>2</v>
      </c>
      <c r="AA4395" s="54" t="s">
        <v>2</v>
      </c>
      <c r="AB4395" s="54" t="s">
        <v>2</v>
      </c>
      <c r="AC4395" s="54" t="s">
        <v>2</v>
      </c>
      <c r="AD4395" s="54" t="s">
        <v>2</v>
      </c>
      <c r="AE4395" s="54" t="s">
        <v>2</v>
      </c>
      <c r="AF4395" s="54" t="s">
        <v>2</v>
      </c>
      <c r="AG4395" s="54" t="s">
        <v>2</v>
      </c>
    </row>
    <row r="4396" ht="15.75" customHeight="1">
      <c r="B4396" s="56"/>
      <c r="U4396" s="46" t="str">
        <f t="array" ref="U4396">IF($D4396="","",IFERROR(_xlfn.XLOOKUP($D4396,'TIR店舗一覧'!$D:$D,'TIR店舗一覧'!$E:$E,""),""))</f>
        <v/>
      </c>
      <c r="V4396" s="54" t="s">
        <v>2</v>
      </c>
      <c r="W4396" s="54" t="s">
        <v>2</v>
      </c>
      <c r="X4396" s="54" t="s">
        <v>2</v>
      </c>
      <c r="Y4396" s="54" t="s">
        <v>2</v>
      </c>
      <c r="Z4396" s="54" t="s">
        <v>2</v>
      </c>
      <c r="AA4396" s="54" t="s">
        <v>2</v>
      </c>
      <c r="AB4396" s="54" t="s">
        <v>2</v>
      </c>
      <c r="AC4396" s="54" t="s">
        <v>2</v>
      </c>
      <c r="AD4396" s="54" t="s">
        <v>2</v>
      </c>
      <c r="AE4396" s="54" t="s">
        <v>2</v>
      </c>
      <c r="AF4396" s="54" t="s">
        <v>2</v>
      </c>
      <c r="AG4396" s="54" t="s">
        <v>2</v>
      </c>
    </row>
    <row r="4397" ht="15.75" customHeight="1">
      <c r="B4397" s="56"/>
      <c r="U4397" s="46" t="str">
        <f t="array" ref="U4397">IF($D4397="","",IFERROR(_xlfn.XLOOKUP($D4397,'TIR店舗一覧'!$D:$D,'TIR店舗一覧'!$E:$E,""),""))</f>
        <v/>
      </c>
      <c r="V4397" s="54" t="s">
        <v>2</v>
      </c>
      <c r="W4397" s="54" t="s">
        <v>2</v>
      </c>
      <c r="X4397" s="54" t="s">
        <v>2</v>
      </c>
      <c r="Y4397" s="54" t="s">
        <v>2</v>
      </c>
      <c r="Z4397" s="54" t="s">
        <v>2</v>
      </c>
      <c r="AA4397" s="54" t="s">
        <v>2</v>
      </c>
      <c r="AB4397" s="54" t="s">
        <v>2</v>
      </c>
      <c r="AC4397" s="54" t="s">
        <v>2</v>
      </c>
      <c r="AD4397" s="54" t="s">
        <v>2</v>
      </c>
      <c r="AE4397" s="54" t="s">
        <v>2</v>
      </c>
      <c r="AF4397" s="54" t="s">
        <v>2</v>
      </c>
      <c r="AG4397" s="54" t="s">
        <v>2</v>
      </c>
    </row>
    <row r="4398" ht="15.75" customHeight="1">
      <c r="B4398" s="56"/>
      <c r="U4398" s="46" t="str">
        <f t="array" ref="U4398">IF($D4398="","",IFERROR(_xlfn.XLOOKUP($D4398,'TIR店舗一覧'!$D:$D,'TIR店舗一覧'!$E:$E,""),""))</f>
        <v/>
      </c>
      <c r="V4398" s="54" t="s">
        <v>2</v>
      </c>
      <c r="W4398" s="54" t="s">
        <v>2</v>
      </c>
      <c r="X4398" s="54" t="s">
        <v>2</v>
      </c>
      <c r="Y4398" s="54" t="s">
        <v>2</v>
      </c>
      <c r="Z4398" s="54" t="s">
        <v>2</v>
      </c>
      <c r="AA4398" s="54" t="s">
        <v>2</v>
      </c>
      <c r="AB4398" s="54" t="s">
        <v>2</v>
      </c>
      <c r="AC4398" s="54" t="s">
        <v>2</v>
      </c>
      <c r="AD4398" s="54" t="s">
        <v>2</v>
      </c>
      <c r="AE4398" s="54" t="s">
        <v>2</v>
      </c>
      <c r="AF4398" s="54" t="s">
        <v>2</v>
      </c>
      <c r="AG4398" s="54" t="s">
        <v>2</v>
      </c>
    </row>
    <row r="4399" ht="15.75" customHeight="1">
      <c r="B4399" s="56"/>
      <c r="U4399" s="46" t="str">
        <f t="array" ref="U4399">IF($D4399="","",IFERROR(_xlfn.XLOOKUP($D4399,'TIR店舗一覧'!$D:$D,'TIR店舗一覧'!$E:$E,""),""))</f>
        <v/>
      </c>
      <c r="V4399" s="54" t="s">
        <v>2</v>
      </c>
      <c r="W4399" s="54" t="s">
        <v>2</v>
      </c>
      <c r="X4399" s="54" t="s">
        <v>2</v>
      </c>
      <c r="Y4399" s="54" t="s">
        <v>2</v>
      </c>
      <c r="Z4399" s="54" t="s">
        <v>2</v>
      </c>
      <c r="AA4399" s="54" t="s">
        <v>2</v>
      </c>
      <c r="AB4399" s="54" t="s">
        <v>2</v>
      </c>
      <c r="AC4399" s="54" t="s">
        <v>2</v>
      </c>
      <c r="AD4399" s="54" t="s">
        <v>2</v>
      </c>
      <c r="AE4399" s="54" t="s">
        <v>2</v>
      </c>
      <c r="AF4399" s="54" t="s">
        <v>2</v>
      </c>
      <c r="AG4399" s="54" t="s">
        <v>2</v>
      </c>
    </row>
    <row r="4400" ht="15.75" customHeight="1">
      <c r="B4400" s="56"/>
      <c r="U4400" s="46" t="str">
        <f t="array" ref="U4400">IF($D4400="","",IFERROR(_xlfn.XLOOKUP($D4400,'TIR店舗一覧'!$D:$D,'TIR店舗一覧'!$E:$E,""),""))</f>
        <v/>
      </c>
      <c r="V4400" s="54" t="s">
        <v>2</v>
      </c>
      <c r="W4400" s="54" t="s">
        <v>2</v>
      </c>
      <c r="X4400" s="54" t="s">
        <v>2</v>
      </c>
      <c r="Y4400" s="54" t="s">
        <v>2</v>
      </c>
      <c r="Z4400" s="54" t="s">
        <v>2</v>
      </c>
      <c r="AA4400" s="54" t="s">
        <v>2</v>
      </c>
      <c r="AB4400" s="54" t="s">
        <v>2</v>
      </c>
      <c r="AC4400" s="54" t="s">
        <v>2</v>
      </c>
      <c r="AD4400" s="54" t="s">
        <v>2</v>
      </c>
      <c r="AE4400" s="54" t="s">
        <v>2</v>
      </c>
      <c r="AF4400" s="54" t="s">
        <v>2</v>
      </c>
      <c r="AG4400" s="54" t="s">
        <v>2</v>
      </c>
    </row>
    <row r="4401" ht="15.75" customHeight="1">
      <c r="B4401" s="56"/>
      <c r="U4401" s="46" t="str">
        <f t="array" ref="U4401">IF($D4401="","",IFERROR(_xlfn.XLOOKUP($D4401,'TIR店舗一覧'!$D:$D,'TIR店舗一覧'!$E:$E,""),""))</f>
        <v/>
      </c>
      <c r="V4401" s="54" t="s">
        <v>2</v>
      </c>
      <c r="W4401" s="54" t="s">
        <v>2</v>
      </c>
      <c r="X4401" s="54" t="s">
        <v>2</v>
      </c>
      <c r="Y4401" s="54" t="s">
        <v>2</v>
      </c>
      <c r="Z4401" s="54" t="s">
        <v>2</v>
      </c>
      <c r="AA4401" s="54" t="s">
        <v>2</v>
      </c>
      <c r="AB4401" s="54" t="s">
        <v>2</v>
      </c>
      <c r="AC4401" s="54" t="s">
        <v>2</v>
      </c>
      <c r="AD4401" s="54" t="s">
        <v>2</v>
      </c>
      <c r="AE4401" s="54" t="s">
        <v>2</v>
      </c>
      <c r="AF4401" s="54" t="s">
        <v>2</v>
      </c>
      <c r="AG4401" s="54" t="s">
        <v>2</v>
      </c>
    </row>
    <row r="4402" ht="15.75" customHeight="1">
      <c r="B4402" s="56"/>
      <c r="U4402" s="46" t="str">
        <f t="array" ref="U4402">IF($D4402="","",IFERROR(_xlfn.XLOOKUP($D4402,'TIR店舗一覧'!$D:$D,'TIR店舗一覧'!$E:$E,""),""))</f>
        <v/>
      </c>
      <c r="V4402" s="54" t="s">
        <v>2</v>
      </c>
      <c r="W4402" s="54" t="s">
        <v>2</v>
      </c>
      <c r="X4402" s="54" t="s">
        <v>2</v>
      </c>
      <c r="Y4402" s="54" t="s">
        <v>2</v>
      </c>
      <c r="Z4402" s="54" t="s">
        <v>2</v>
      </c>
      <c r="AA4402" s="54" t="s">
        <v>2</v>
      </c>
      <c r="AB4402" s="54" t="s">
        <v>2</v>
      </c>
      <c r="AC4402" s="54" t="s">
        <v>2</v>
      </c>
      <c r="AD4402" s="54" t="s">
        <v>2</v>
      </c>
      <c r="AE4402" s="54" t="s">
        <v>2</v>
      </c>
      <c r="AF4402" s="54" t="s">
        <v>2</v>
      </c>
      <c r="AG4402" s="54" t="s">
        <v>2</v>
      </c>
    </row>
    <row r="4403" ht="15.75" customHeight="1">
      <c r="B4403" s="56"/>
      <c r="U4403" s="46" t="str">
        <f t="array" ref="U4403">IF($D4403="","",IFERROR(_xlfn.XLOOKUP($D4403,'TIR店舗一覧'!$D:$D,'TIR店舗一覧'!$E:$E,""),""))</f>
        <v/>
      </c>
      <c r="V4403" s="54" t="s">
        <v>2</v>
      </c>
      <c r="W4403" s="54" t="s">
        <v>2</v>
      </c>
      <c r="X4403" s="54" t="s">
        <v>2</v>
      </c>
      <c r="Y4403" s="54" t="s">
        <v>2</v>
      </c>
      <c r="Z4403" s="54" t="s">
        <v>2</v>
      </c>
      <c r="AA4403" s="54" t="s">
        <v>2</v>
      </c>
      <c r="AB4403" s="54" t="s">
        <v>2</v>
      </c>
      <c r="AC4403" s="54" t="s">
        <v>2</v>
      </c>
      <c r="AD4403" s="54" t="s">
        <v>2</v>
      </c>
      <c r="AE4403" s="54" t="s">
        <v>2</v>
      </c>
      <c r="AF4403" s="54" t="s">
        <v>2</v>
      </c>
      <c r="AG4403" s="54" t="s">
        <v>2</v>
      </c>
    </row>
    <row r="4404" ht="15.75" customHeight="1">
      <c r="B4404" s="56"/>
      <c r="U4404" s="46" t="str">
        <f t="array" ref="U4404">IF($D4404="","",IFERROR(_xlfn.XLOOKUP($D4404,'TIR店舗一覧'!$D:$D,'TIR店舗一覧'!$E:$E,""),""))</f>
        <v/>
      </c>
      <c r="V4404" s="54" t="s">
        <v>2</v>
      </c>
      <c r="W4404" s="54" t="s">
        <v>2</v>
      </c>
      <c r="X4404" s="54" t="s">
        <v>2</v>
      </c>
      <c r="Y4404" s="54" t="s">
        <v>2</v>
      </c>
      <c r="Z4404" s="54" t="s">
        <v>2</v>
      </c>
      <c r="AA4404" s="54" t="s">
        <v>2</v>
      </c>
      <c r="AB4404" s="54" t="s">
        <v>2</v>
      </c>
      <c r="AC4404" s="54" t="s">
        <v>2</v>
      </c>
      <c r="AD4404" s="54" t="s">
        <v>2</v>
      </c>
      <c r="AE4404" s="54" t="s">
        <v>2</v>
      </c>
      <c r="AF4404" s="54" t="s">
        <v>2</v>
      </c>
      <c r="AG4404" s="54" t="s">
        <v>2</v>
      </c>
    </row>
    <row r="4405" ht="15.75" customHeight="1">
      <c r="B4405" s="56"/>
      <c r="U4405" s="46" t="str">
        <f t="array" ref="U4405">IF($D4405="","",IFERROR(_xlfn.XLOOKUP($D4405,'TIR店舗一覧'!$D:$D,'TIR店舗一覧'!$E:$E,""),""))</f>
        <v/>
      </c>
      <c r="V4405" s="54" t="s">
        <v>2</v>
      </c>
      <c r="W4405" s="54" t="s">
        <v>2</v>
      </c>
      <c r="X4405" s="54" t="s">
        <v>2</v>
      </c>
      <c r="Y4405" s="54" t="s">
        <v>2</v>
      </c>
      <c r="Z4405" s="54" t="s">
        <v>2</v>
      </c>
      <c r="AA4405" s="54" t="s">
        <v>2</v>
      </c>
      <c r="AB4405" s="54" t="s">
        <v>2</v>
      </c>
      <c r="AC4405" s="54" t="s">
        <v>2</v>
      </c>
      <c r="AD4405" s="54" t="s">
        <v>2</v>
      </c>
      <c r="AE4405" s="54" t="s">
        <v>2</v>
      </c>
      <c r="AF4405" s="54" t="s">
        <v>2</v>
      </c>
      <c r="AG4405" s="54" t="s">
        <v>2</v>
      </c>
    </row>
    <row r="4406" ht="15.75" customHeight="1">
      <c r="B4406" s="56"/>
      <c r="U4406" s="46" t="str">
        <f t="array" ref="U4406">IF($D4406="","",IFERROR(_xlfn.XLOOKUP($D4406,'TIR店舗一覧'!$D:$D,'TIR店舗一覧'!$E:$E,""),""))</f>
        <v/>
      </c>
      <c r="V4406" s="54" t="s">
        <v>2</v>
      </c>
      <c r="W4406" s="54" t="s">
        <v>2</v>
      </c>
      <c r="X4406" s="54" t="s">
        <v>2</v>
      </c>
      <c r="Y4406" s="54" t="s">
        <v>2</v>
      </c>
      <c r="Z4406" s="54" t="s">
        <v>2</v>
      </c>
      <c r="AA4406" s="54" t="s">
        <v>2</v>
      </c>
      <c r="AB4406" s="54" t="s">
        <v>2</v>
      </c>
      <c r="AC4406" s="54" t="s">
        <v>2</v>
      </c>
      <c r="AD4406" s="54" t="s">
        <v>2</v>
      </c>
      <c r="AE4406" s="54" t="s">
        <v>2</v>
      </c>
      <c r="AF4406" s="54" t="s">
        <v>2</v>
      </c>
      <c r="AG4406" s="54" t="s">
        <v>2</v>
      </c>
    </row>
    <row r="4407" ht="15.75" customHeight="1">
      <c r="B4407" s="56"/>
      <c r="U4407" s="46" t="str">
        <f t="array" ref="U4407">IF($D4407="","",IFERROR(_xlfn.XLOOKUP($D4407,'TIR店舗一覧'!$D:$D,'TIR店舗一覧'!$E:$E,""),""))</f>
        <v/>
      </c>
      <c r="V4407" s="54" t="s">
        <v>2</v>
      </c>
      <c r="W4407" s="54" t="s">
        <v>2</v>
      </c>
      <c r="X4407" s="54" t="s">
        <v>2</v>
      </c>
      <c r="Y4407" s="54" t="s">
        <v>2</v>
      </c>
      <c r="Z4407" s="54" t="s">
        <v>2</v>
      </c>
      <c r="AA4407" s="54" t="s">
        <v>2</v>
      </c>
      <c r="AB4407" s="54" t="s">
        <v>2</v>
      </c>
      <c r="AC4407" s="54" t="s">
        <v>2</v>
      </c>
      <c r="AD4407" s="54" t="s">
        <v>2</v>
      </c>
      <c r="AE4407" s="54" t="s">
        <v>2</v>
      </c>
      <c r="AF4407" s="54" t="s">
        <v>2</v>
      </c>
      <c r="AG4407" s="54" t="s">
        <v>2</v>
      </c>
    </row>
    <row r="4408" ht="15.75" customHeight="1">
      <c r="B4408" s="56"/>
      <c r="U4408" s="46" t="str">
        <f t="array" ref="U4408">IF($D4408="","",IFERROR(_xlfn.XLOOKUP($D4408,'TIR店舗一覧'!$D:$D,'TIR店舗一覧'!$E:$E,""),""))</f>
        <v/>
      </c>
      <c r="V4408" s="54" t="s">
        <v>2</v>
      </c>
      <c r="W4408" s="54" t="s">
        <v>2</v>
      </c>
      <c r="X4408" s="54" t="s">
        <v>2</v>
      </c>
      <c r="Y4408" s="54" t="s">
        <v>2</v>
      </c>
      <c r="Z4408" s="54" t="s">
        <v>2</v>
      </c>
      <c r="AA4408" s="54" t="s">
        <v>2</v>
      </c>
      <c r="AB4408" s="54" t="s">
        <v>2</v>
      </c>
      <c r="AC4408" s="54" t="s">
        <v>2</v>
      </c>
      <c r="AD4408" s="54" t="s">
        <v>2</v>
      </c>
      <c r="AE4408" s="54" t="s">
        <v>2</v>
      </c>
      <c r="AF4408" s="54" t="s">
        <v>2</v>
      </c>
      <c r="AG4408" s="54" t="s">
        <v>2</v>
      </c>
    </row>
    <row r="4409" ht="15.75" customHeight="1">
      <c r="B4409" s="56"/>
      <c r="U4409" s="46" t="str">
        <f t="array" ref="U4409">IF($D4409="","",IFERROR(_xlfn.XLOOKUP($D4409,'TIR店舗一覧'!$D:$D,'TIR店舗一覧'!$E:$E,""),""))</f>
        <v/>
      </c>
      <c r="V4409" s="54" t="s">
        <v>2</v>
      </c>
      <c r="W4409" s="54" t="s">
        <v>2</v>
      </c>
      <c r="X4409" s="54" t="s">
        <v>2</v>
      </c>
      <c r="Y4409" s="54" t="s">
        <v>2</v>
      </c>
      <c r="Z4409" s="54" t="s">
        <v>2</v>
      </c>
      <c r="AA4409" s="54" t="s">
        <v>2</v>
      </c>
      <c r="AB4409" s="54" t="s">
        <v>2</v>
      </c>
      <c r="AC4409" s="54" t="s">
        <v>2</v>
      </c>
      <c r="AD4409" s="54" t="s">
        <v>2</v>
      </c>
      <c r="AE4409" s="54" t="s">
        <v>2</v>
      </c>
      <c r="AF4409" s="54" t="s">
        <v>2</v>
      </c>
      <c r="AG4409" s="54" t="s">
        <v>2</v>
      </c>
    </row>
    <row r="4410" ht="15.75" customHeight="1">
      <c r="B4410" s="56"/>
      <c r="U4410" s="46" t="str">
        <f t="array" ref="U4410">IF($D4410="","",IFERROR(_xlfn.XLOOKUP($D4410,'TIR店舗一覧'!$D:$D,'TIR店舗一覧'!$E:$E,""),""))</f>
        <v/>
      </c>
      <c r="V4410" s="54" t="s">
        <v>2</v>
      </c>
      <c r="W4410" s="54" t="s">
        <v>2</v>
      </c>
      <c r="X4410" s="54" t="s">
        <v>2</v>
      </c>
      <c r="Y4410" s="54" t="s">
        <v>2</v>
      </c>
      <c r="Z4410" s="54" t="s">
        <v>2</v>
      </c>
      <c r="AA4410" s="54" t="s">
        <v>2</v>
      </c>
      <c r="AB4410" s="54" t="s">
        <v>2</v>
      </c>
      <c r="AC4410" s="54" t="s">
        <v>2</v>
      </c>
      <c r="AD4410" s="54" t="s">
        <v>2</v>
      </c>
      <c r="AE4410" s="54" t="s">
        <v>2</v>
      </c>
      <c r="AF4410" s="54" t="s">
        <v>2</v>
      </c>
      <c r="AG4410" s="54" t="s">
        <v>2</v>
      </c>
    </row>
    <row r="4411" ht="15.75" customHeight="1">
      <c r="B4411" s="56"/>
      <c r="U4411" s="46" t="str">
        <f t="array" ref="U4411">IF($D4411="","",IFERROR(_xlfn.XLOOKUP($D4411,'TIR店舗一覧'!$D:$D,'TIR店舗一覧'!$E:$E,""),""))</f>
        <v/>
      </c>
      <c r="V4411" s="54" t="s">
        <v>2</v>
      </c>
      <c r="W4411" s="54" t="s">
        <v>2</v>
      </c>
      <c r="X4411" s="54" t="s">
        <v>2</v>
      </c>
      <c r="Y4411" s="54" t="s">
        <v>2</v>
      </c>
      <c r="Z4411" s="54" t="s">
        <v>2</v>
      </c>
      <c r="AA4411" s="54" t="s">
        <v>2</v>
      </c>
      <c r="AB4411" s="54" t="s">
        <v>2</v>
      </c>
      <c r="AC4411" s="54" t="s">
        <v>2</v>
      </c>
      <c r="AD4411" s="54" t="s">
        <v>2</v>
      </c>
      <c r="AE4411" s="54" t="s">
        <v>2</v>
      </c>
      <c r="AF4411" s="54" t="s">
        <v>2</v>
      </c>
      <c r="AG4411" s="54" t="s">
        <v>2</v>
      </c>
    </row>
    <row r="4412" ht="15.75" customHeight="1">
      <c r="B4412" s="56"/>
      <c r="U4412" s="46" t="str">
        <f t="array" ref="U4412">IF($D4412="","",IFERROR(_xlfn.XLOOKUP($D4412,'TIR店舗一覧'!$D:$D,'TIR店舗一覧'!$E:$E,""),""))</f>
        <v/>
      </c>
      <c r="V4412" s="54" t="s">
        <v>2</v>
      </c>
      <c r="W4412" s="54" t="s">
        <v>2</v>
      </c>
      <c r="X4412" s="54" t="s">
        <v>2</v>
      </c>
      <c r="Y4412" s="54" t="s">
        <v>2</v>
      </c>
      <c r="Z4412" s="54" t="s">
        <v>2</v>
      </c>
      <c r="AA4412" s="54" t="s">
        <v>2</v>
      </c>
      <c r="AB4412" s="54" t="s">
        <v>2</v>
      </c>
      <c r="AC4412" s="54" t="s">
        <v>2</v>
      </c>
      <c r="AD4412" s="54" t="s">
        <v>2</v>
      </c>
      <c r="AE4412" s="54" t="s">
        <v>2</v>
      </c>
      <c r="AF4412" s="54" t="s">
        <v>2</v>
      </c>
      <c r="AG4412" s="54" t="s">
        <v>2</v>
      </c>
    </row>
    <row r="4413" ht="15.75" customHeight="1">
      <c r="B4413" s="56"/>
      <c r="U4413" s="46" t="str">
        <f t="array" ref="U4413">IF($D4413="","",IFERROR(_xlfn.XLOOKUP($D4413,'TIR店舗一覧'!$D:$D,'TIR店舗一覧'!$E:$E,""),""))</f>
        <v/>
      </c>
      <c r="V4413" s="54" t="s">
        <v>2</v>
      </c>
      <c r="W4413" s="54" t="s">
        <v>2</v>
      </c>
      <c r="X4413" s="54" t="s">
        <v>2</v>
      </c>
      <c r="Y4413" s="54" t="s">
        <v>2</v>
      </c>
      <c r="Z4413" s="54" t="s">
        <v>2</v>
      </c>
      <c r="AA4413" s="54" t="s">
        <v>2</v>
      </c>
      <c r="AB4413" s="54" t="s">
        <v>2</v>
      </c>
      <c r="AC4413" s="54" t="s">
        <v>2</v>
      </c>
      <c r="AD4413" s="54" t="s">
        <v>2</v>
      </c>
      <c r="AE4413" s="54" t="s">
        <v>2</v>
      </c>
      <c r="AF4413" s="54" t="s">
        <v>2</v>
      </c>
      <c r="AG4413" s="54" t="s">
        <v>2</v>
      </c>
    </row>
    <row r="4414" ht="15.75" customHeight="1">
      <c r="B4414" s="56"/>
      <c r="U4414" s="46" t="str">
        <f t="array" ref="U4414">IF($D4414="","",IFERROR(_xlfn.XLOOKUP($D4414,'TIR店舗一覧'!$D:$D,'TIR店舗一覧'!$E:$E,""),""))</f>
        <v/>
      </c>
      <c r="V4414" s="54" t="s">
        <v>2</v>
      </c>
      <c r="W4414" s="54" t="s">
        <v>2</v>
      </c>
      <c r="X4414" s="54" t="s">
        <v>2</v>
      </c>
      <c r="Y4414" s="54" t="s">
        <v>2</v>
      </c>
      <c r="Z4414" s="54" t="s">
        <v>2</v>
      </c>
      <c r="AA4414" s="54" t="s">
        <v>2</v>
      </c>
      <c r="AB4414" s="54" t="s">
        <v>2</v>
      </c>
      <c r="AC4414" s="54" t="s">
        <v>2</v>
      </c>
      <c r="AD4414" s="54" t="s">
        <v>2</v>
      </c>
      <c r="AE4414" s="54" t="s">
        <v>2</v>
      </c>
      <c r="AF4414" s="54" t="s">
        <v>2</v>
      </c>
      <c r="AG4414" s="54" t="s">
        <v>2</v>
      </c>
    </row>
    <row r="4415" ht="15.75" customHeight="1">
      <c r="B4415" s="56"/>
      <c r="U4415" s="46" t="str">
        <f t="array" ref="U4415">IF($D4415="","",IFERROR(_xlfn.XLOOKUP($D4415,'TIR店舗一覧'!$D:$D,'TIR店舗一覧'!$E:$E,""),""))</f>
        <v/>
      </c>
      <c r="V4415" s="54" t="s">
        <v>2</v>
      </c>
      <c r="W4415" s="54" t="s">
        <v>2</v>
      </c>
      <c r="X4415" s="54" t="s">
        <v>2</v>
      </c>
      <c r="Y4415" s="54" t="s">
        <v>2</v>
      </c>
      <c r="Z4415" s="54" t="s">
        <v>2</v>
      </c>
      <c r="AA4415" s="54" t="s">
        <v>2</v>
      </c>
      <c r="AB4415" s="54" t="s">
        <v>2</v>
      </c>
      <c r="AC4415" s="54" t="s">
        <v>2</v>
      </c>
      <c r="AD4415" s="54" t="s">
        <v>2</v>
      </c>
      <c r="AE4415" s="54" t="s">
        <v>2</v>
      </c>
      <c r="AF4415" s="54" t="s">
        <v>2</v>
      </c>
      <c r="AG4415" s="54" t="s">
        <v>2</v>
      </c>
    </row>
    <row r="4416" ht="15.75" customHeight="1">
      <c r="B4416" s="56"/>
      <c r="U4416" s="46" t="str">
        <f t="array" ref="U4416">IF($D4416="","",IFERROR(_xlfn.XLOOKUP($D4416,'TIR店舗一覧'!$D:$D,'TIR店舗一覧'!$E:$E,""),""))</f>
        <v/>
      </c>
      <c r="V4416" s="54" t="s">
        <v>2</v>
      </c>
      <c r="W4416" s="54" t="s">
        <v>2</v>
      </c>
      <c r="X4416" s="54" t="s">
        <v>2</v>
      </c>
      <c r="Y4416" s="54" t="s">
        <v>2</v>
      </c>
      <c r="Z4416" s="54" t="s">
        <v>2</v>
      </c>
      <c r="AA4416" s="54" t="s">
        <v>2</v>
      </c>
      <c r="AB4416" s="54" t="s">
        <v>2</v>
      </c>
      <c r="AC4416" s="54" t="s">
        <v>2</v>
      </c>
      <c r="AD4416" s="54" t="s">
        <v>2</v>
      </c>
      <c r="AE4416" s="54" t="s">
        <v>2</v>
      </c>
      <c r="AF4416" s="54" t="s">
        <v>2</v>
      </c>
      <c r="AG4416" s="54" t="s">
        <v>2</v>
      </c>
    </row>
    <row r="4417" ht="15.75" customHeight="1">
      <c r="B4417" s="56"/>
      <c r="U4417" s="46" t="str">
        <f t="array" ref="U4417">IF($D4417="","",IFERROR(_xlfn.XLOOKUP($D4417,'TIR店舗一覧'!$D:$D,'TIR店舗一覧'!$E:$E,""),""))</f>
        <v/>
      </c>
      <c r="V4417" s="54" t="s">
        <v>2</v>
      </c>
      <c r="W4417" s="54" t="s">
        <v>2</v>
      </c>
      <c r="X4417" s="54" t="s">
        <v>2</v>
      </c>
      <c r="Y4417" s="54" t="s">
        <v>2</v>
      </c>
      <c r="Z4417" s="54" t="s">
        <v>2</v>
      </c>
      <c r="AA4417" s="54" t="s">
        <v>2</v>
      </c>
      <c r="AB4417" s="54" t="s">
        <v>2</v>
      </c>
      <c r="AC4417" s="54" t="s">
        <v>2</v>
      </c>
      <c r="AD4417" s="54" t="s">
        <v>2</v>
      </c>
      <c r="AE4417" s="54" t="s">
        <v>2</v>
      </c>
      <c r="AF4417" s="54" t="s">
        <v>2</v>
      </c>
      <c r="AG4417" s="54" t="s">
        <v>2</v>
      </c>
    </row>
    <row r="4418" ht="15.75" customHeight="1">
      <c r="B4418" s="56"/>
      <c r="U4418" s="46" t="str">
        <f t="array" ref="U4418">IF($D4418="","",IFERROR(_xlfn.XLOOKUP($D4418,'TIR店舗一覧'!$D:$D,'TIR店舗一覧'!$E:$E,""),""))</f>
        <v/>
      </c>
      <c r="V4418" s="54" t="s">
        <v>2</v>
      </c>
      <c r="W4418" s="54" t="s">
        <v>2</v>
      </c>
      <c r="X4418" s="54" t="s">
        <v>2</v>
      </c>
      <c r="Y4418" s="54" t="s">
        <v>2</v>
      </c>
      <c r="Z4418" s="54" t="s">
        <v>2</v>
      </c>
      <c r="AA4418" s="54" t="s">
        <v>2</v>
      </c>
      <c r="AB4418" s="54" t="s">
        <v>2</v>
      </c>
      <c r="AC4418" s="54" t="s">
        <v>2</v>
      </c>
      <c r="AD4418" s="54" t="s">
        <v>2</v>
      </c>
      <c r="AE4418" s="54" t="s">
        <v>2</v>
      </c>
      <c r="AF4418" s="54" t="s">
        <v>2</v>
      </c>
      <c r="AG4418" s="54" t="s">
        <v>2</v>
      </c>
    </row>
    <row r="4419" ht="15.75" customHeight="1">
      <c r="B4419" s="56"/>
      <c r="U4419" s="46" t="str">
        <f t="array" ref="U4419">IF($D4419="","",IFERROR(_xlfn.XLOOKUP($D4419,'TIR店舗一覧'!$D:$D,'TIR店舗一覧'!$E:$E,""),""))</f>
        <v/>
      </c>
      <c r="V4419" s="54" t="s">
        <v>2</v>
      </c>
      <c r="W4419" s="54" t="s">
        <v>2</v>
      </c>
      <c r="X4419" s="54" t="s">
        <v>2</v>
      </c>
      <c r="Y4419" s="54" t="s">
        <v>2</v>
      </c>
      <c r="Z4419" s="54" t="s">
        <v>2</v>
      </c>
      <c r="AA4419" s="54" t="s">
        <v>2</v>
      </c>
      <c r="AB4419" s="54" t="s">
        <v>2</v>
      </c>
      <c r="AC4419" s="54" t="s">
        <v>2</v>
      </c>
      <c r="AD4419" s="54" t="s">
        <v>2</v>
      </c>
      <c r="AE4419" s="54" t="s">
        <v>2</v>
      </c>
      <c r="AF4419" s="54" t="s">
        <v>2</v>
      </c>
      <c r="AG4419" s="54" t="s">
        <v>2</v>
      </c>
    </row>
    <row r="4420" ht="15.75" customHeight="1">
      <c r="B4420" s="56"/>
      <c r="U4420" s="46" t="str">
        <f t="array" ref="U4420">IF($D4420="","",IFERROR(_xlfn.XLOOKUP($D4420,'TIR店舗一覧'!$D:$D,'TIR店舗一覧'!$E:$E,""),""))</f>
        <v/>
      </c>
      <c r="V4420" s="54" t="s">
        <v>2</v>
      </c>
      <c r="W4420" s="54" t="s">
        <v>2</v>
      </c>
      <c r="X4420" s="54" t="s">
        <v>2</v>
      </c>
      <c r="Y4420" s="54" t="s">
        <v>2</v>
      </c>
      <c r="Z4420" s="54" t="s">
        <v>2</v>
      </c>
      <c r="AA4420" s="54" t="s">
        <v>2</v>
      </c>
      <c r="AB4420" s="54" t="s">
        <v>2</v>
      </c>
      <c r="AC4420" s="54" t="s">
        <v>2</v>
      </c>
      <c r="AD4420" s="54" t="s">
        <v>2</v>
      </c>
      <c r="AE4420" s="54" t="s">
        <v>2</v>
      </c>
      <c r="AF4420" s="54" t="s">
        <v>2</v>
      </c>
      <c r="AG4420" s="54" t="s">
        <v>2</v>
      </c>
    </row>
    <row r="4421" ht="15.75" customHeight="1">
      <c r="B4421" s="56"/>
      <c r="U4421" s="46" t="str">
        <f t="array" ref="U4421">IF($D4421="","",IFERROR(_xlfn.XLOOKUP($D4421,'TIR店舗一覧'!$D:$D,'TIR店舗一覧'!$E:$E,""),""))</f>
        <v/>
      </c>
      <c r="V4421" s="54" t="s">
        <v>2</v>
      </c>
      <c r="W4421" s="54" t="s">
        <v>2</v>
      </c>
      <c r="X4421" s="54" t="s">
        <v>2</v>
      </c>
      <c r="Y4421" s="54" t="s">
        <v>2</v>
      </c>
      <c r="Z4421" s="54" t="s">
        <v>2</v>
      </c>
      <c r="AA4421" s="54" t="s">
        <v>2</v>
      </c>
      <c r="AB4421" s="54" t="s">
        <v>2</v>
      </c>
      <c r="AC4421" s="54" t="s">
        <v>2</v>
      </c>
      <c r="AD4421" s="54" t="s">
        <v>2</v>
      </c>
      <c r="AE4421" s="54" t="s">
        <v>2</v>
      </c>
      <c r="AF4421" s="54" t="s">
        <v>2</v>
      </c>
      <c r="AG4421" s="54" t="s">
        <v>2</v>
      </c>
    </row>
    <row r="4422" ht="15.75" customHeight="1">
      <c r="B4422" s="56"/>
      <c r="U4422" s="46" t="str">
        <f t="array" ref="U4422">IF($D4422="","",IFERROR(_xlfn.XLOOKUP($D4422,'TIR店舗一覧'!$D:$D,'TIR店舗一覧'!$E:$E,""),""))</f>
        <v/>
      </c>
      <c r="V4422" s="54" t="s">
        <v>2</v>
      </c>
      <c r="W4422" s="54" t="s">
        <v>2</v>
      </c>
      <c r="X4422" s="54" t="s">
        <v>2</v>
      </c>
      <c r="Y4422" s="54" t="s">
        <v>2</v>
      </c>
      <c r="Z4422" s="54" t="s">
        <v>2</v>
      </c>
      <c r="AA4422" s="54" t="s">
        <v>2</v>
      </c>
      <c r="AB4422" s="54" t="s">
        <v>2</v>
      </c>
      <c r="AC4422" s="54" t="s">
        <v>2</v>
      </c>
      <c r="AD4422" s="54" t="s">
        <v>2</v>
      </c>
      <c r="AE4422" s="54" t="s">
        <v>2</v>
      </c>
      <c r="AF4422" s="54" t="s">
        <v>2</v>
      </c>
      <c r="AG4422" s="54" t="s">
        <v>2</v>
      </c>
    </row>
    <row r="4423" ht="15.75" customHeight="1">
      <c r="B4423" s="56"/>
      <c r="U4423" s="46" t="str">
        <f t="array" ref="U4423">IF($D4423="","",IFERROR(_xlfn.XLOOKUP($D4423,'TIR店舗一覧'!$D:$D,'TIR店舗一覧'!$E:$E,""),""))</f>
        <v/>
      </c>
      <c r="V4423" s="54" t="s">
        <v>2</v>
      </c>
      <c r="W4423" s="54" t="s">
        <v>2</v>
      </c>
      <c r="X4423" s="54" t="s">
        <v>2</v>
      </c>
      <c r="Y4423" s="54" t="s">
        <v>2</v>
      </c>
      <c r="Z4423" s="54" t="s">
        <v>2</v>
      </c>
      <c r="AA4423" s="54" t="s">
        <v>2</v>
      </c>
      <c r="AB4423" s="54" t="s">
        <v>2</v>
      </c>
      <c r="AC4423" s="54" t="s">
        <v>2</v>
      </c>
      <c r="AD4423" s="54" t="s">
        <v>2</v>
      </c>
      <c r="AE4423" s="54" t="s">
        <v>2</v>
      </c>
      <c r="AF4423" s="54" t="s">
        <v>2</v>
      </c>
      <c r="AG4423" s="54" t="s">
        <v>2</v>
      </c>
    </row>
    <row r="4424" ht="15.75" customHeight="1">
      <c r="B4424" s="56"/>
      <c r="U4424" s="46" t="str">
        <f t="array" ref="U4424">IF($D4424="","",IFERROR(_xlfn.XLOOKUP($D4424,'TIR店舗一覧'!$D:$D,'TIR店舗一覧'!$E:$E,""),""))</f>
        <v/>
      </c>
      <c r="V4424" s="54" t="s">
        <v>2</v>
      </c>
      <c r="W4424" s="54" t="s">
        <v>2</v>
      </c>
      <c r="X4424" s="54" t="s">
        <v>2</v>
      </c>
      <c r="Y4424" s="54" t="s">
        <v>2</v>
      </c>
      <c r="Z4424" s="54" t="s">
        <v>2</v>
      </c>
      <c r="AA4424" s="54" t="s">
        <v>2</v>
      </c>
      <c r="AB4424" s="54" t="s">
        <v>2</v>
      </c>
      <c r="AC4424" s="54" t="s">
        <v>2</v>
      </c>
      <c r="AD4424" s="54" t="s">
        <v>2</v>
      </c>
      <c r="AE4424" s="54" t="s">
        <v>2</v>
      </c>
      <c r="AF4424" s="54" t="s">
        <v>2</v>
      </c>
      <c r="AG4424" s="54" t="s">
        <v>2</v>
      </c>
    </row>
    <row r="4425" ht="15.75" customHeight="1">
      <c r="B4425" s="56"/>
      <c r="U4425" s="46" t="str">
        <f t="array" ref="U4425">IF($D4425="","",IFERROR(_xlfn.XLOOKUP($D4425,'TIR店舗一覧'!$D:$D,'TIR店舗一覧'!$E:$E,""),""))</f>
        <v/>
      </c>
      <c r="V4425" s="54" t="s">
        <v>2</v>
      </c>
      <c r="W4425" s="54" t="s">
        <v>2</v>
      </c>
      <c r="X4425" s="54" t="s">
        <v>2</v>
      </c>
      <c r="Y4425" s="54" t="s">
        <v>2</v>
      </c>
      <c r="Z4425" s="54" t="s">
        <v>2</v>
      </c>
      <c r="AA4425" s="54" t="s">
        <v>2</v>
      </c>
      <c r="AB4425" s="54" t="s">
        <v>2</v>
      </c>
      <c r="AC4425" s="54" t="s">
        <v>2</v>
      </c>
      <c r="AD4425" s="54" t="s">
        <v>2</v>
      </c>
      <c r="AE4425" s="54" t="s">
        <v>2</v>
      </c>
      <c r="AF4425" s="54" t="s">
        <v>2</v>
      </c>
      <c r="AG4425" s="54" t="s">
        <v>2</v>
      </c>
    </row>
    <row r="4426" ht="15.75" customHeight="1">
      <c r="B4426" s="56"/>
      <c r="U4426" s="46" t="str">
        <f t="array" ref="U4426">IF($D4426="","",IFERROR(_xlfn.XLOOKUP($D4426,'TIR店舗一覧'!$D:$D,'TIR店舗一覧'!$E:$E,""),""))</f>
        <v/>
      </c>
      <c r="V4426" s="54" t="s">
        <v>2</v>
      </c>
      <c r="W4426" s="54" t="s">
        <v>2</v>
      </c>
      <c r="X4426" s="54" t="s">
        <v>2</v>
      </c>
      <c r="Y4426" s="54" t="s">
        <v>2</v>
      </c>
      <c r="Z4426" s="54" t="s">
        <v>2</v>
      </c>
      <c r="AA4426" s="54" t="s">
        <v>2</v>
      </c>
      <c r="AB4426" s="54" t="s">
        <v>2</v>
      </c>
      <c r="AC4426" s="54" t="s">
        <v>2</v>
      </c>
      <c r="AD4426" s="54" t="s">
        <v>2</v>
      </c>
      <c r="AE4426" s="54" t="s">
        <v>2</v>
      </c>
      <c r="AF4426" s="54" t="s">
        <v>2</v>
      </c>
      <c r="AG4426" s="54" t="s">
        <v>2</v>
      </c>
    </row>
    <row r="4427" ht="15.75" customHeight="1">
      <c r="B4427" s="56"/>
      <c r="U4427" s="46" t="str">
        <f t="array" ref="U4427">IF($D4427="","",IFERROR(_xlfn.XLOOKUP($D4427,'TIR店舗一覧'!$D:$D,'TIR店舗一覧'!$E:$E,""),""))</f>
        <v/>
      </c>
      <c r="V4427" s="54" t="s">
        <v>2</v>
      </c>
      <c r="W4427" s="54" t="s">
        <v>2</v>
      </c>
      <c r="X4427" s="54" t="s">
        <v>2</v>
      </c>
      <c r="Y4427" s="54" t="s">
        <v>2</v>
      </c>
      <c r="Z4427" s="54" t="s">
        <v>2</v>
      </c>
      <c r="AA4427" s="54" t="s">
        <v>2</v>
      </c>
      <c r="AB4427" s="54" t="s">
        <v>2</v>
      </c>
      <c r="AC4427" s="54" t="s">
        <v>2</v>
      </c>
      <c r="AD4427" s="54" t="s">
        <v>2</v>
      </c>
      <c r="AE4427" s="54" t="s">
        <v>2</v>
      </c>
      <c r="AF4427" s="54" t="s">
        <v>2</v>
      </c>
      <c r="AG4427" s="54" t="s">
        <v>2</v>
      </c>
    </row>
    <row r="4428" ht="15.75" customHeight="1">
      <c r="B4428" s="56"/>
      <c r="U4428" s="46" t="str">
        <f t="array" ref="U4428">IF($D4428="","",IFERROR(_xlfn.XLOOKUP($D4428,'TIR店舗一覧'!$D:$D,'TIR店舗一覧'!$E:$E,""),""))</f>
        <v/>
      </c>
      <c r="V4428" s="54" t="s">
        <v>2</v>
      </c>
      <c r="W4428" s="54" t="s">
        <v>2</v>
      </c>
      <c r="X4428" s="54" t="s">
        <v>2</v>
      </c>
      <c r="Y4428" s="54" t="s">
        <v>2</v>
      </c>
      <c r="Z4428" s="54" t="s">
        <v>2</v>
      </c>
      <c r="AA4428" s="54" t="s">
        <v>2</v>
      </c>
      <c r="AB4428" s="54" t="s">
        <v>2</v>
      </c>
      <c r="AC4428" s="54" t="s">
        <v>2</v>
      </c>
      <c r="AD4428" s="54" t="s">
        <v>2</v>
      </c>
      <c r="AE4428" s="54" t="s">
        <v>2</v>
      </c>
      <c r="AF4428" s="54" t="s">
        <v>2</v>
      </c>
      <c r="AG4428" s="54" t="s">
        <v>2</v>
      </c>
    </row>
    <row r="4429" ht="15.75" customHeight="1">
      <c r="B4429" s="56"/>
      <c r="U4429" s="46" t="str">
        <f t="array" ref="U4429">IF($D4429="","",IFERROR(_xlfn.XLOOKUP($D4429,'TIR店舗一覧'!$D:$D,'TIR店舗一覧'!$E:$E,""),""))</f>
        <v/>
      </c>
      <c r="V4429" s="54" t="s">
        <v>2</v>
      </c>
      <c r="W4429" s="54" t="s">
        <v>2</v>
      </c>
      <c r="X4429" s="54" t="s">
        <v>2</v>
      </c>
      <c r="Y4429" s="54" t="s">
        <v>2</v>
      </c>
      <c r="Z4429" s="54" t="s">
        <v>2</v>
      </c>
      <c r="AA4429" s="54" t="s">
        <v>2</v>
      </c>
      <c r="AB4429" s="54" t="s">
        <v>2</v>
      </c>
      <c r="AC4429" s="54" t="s">
        <v>2</v>
      </c>
      <c r="AD4429" s="54" t="s">
        <v>2</v>
      </c>
      <c r="AE4429" s="54" t="s">
        <v>2</v>
      </c>
      <c r="AF4429" s="54" t="s">
        <v>2</v>
      </c>
      <c r="AG4429" s="54" t="s">
        <v>2</v>
      </c>
    </row>
    <row r="4430" ht="15.75" customHeight="1">
      <c r="B4430" s="56"/>
      <c r="U4430" s="46" t="str">
        <f t="array" ref="U4430">IF($D4430="","",IFERROR(_xlfn.XLOOKUP($D4430,'TIR店舗一覧'!$D:$D,'TIR店舗一覧'!$E:$E,""),""))</f>
        <v/>
      </c>
      <c r="V4430" s="54" t="s">
        <v>2</v>
      </c>
      <c r="W4430" s="54" t="s">
        <v>2</v>
      </c>
      <c r="X4430" s="54" t="s">
        <v>2</v>
      </c>
      <c r="Y4430" s="54" t="s">
        <v>2</v>
      </c>
      <c r="Z4430" s="54" t="s">
        <v>2</v>
      </c>
      <c r="AA4430" s="54" t="s">
        <v>2</v>
      </c>
      <c r="AB4430" s="54" t="s">
        <v>2</v>
      </c>
      <c r="AC4430" s="54" t="s">
        <v>2</v>
      </c>
      <c r="AD4430" s="54" t="s">
        <v>2</v>
      </c>
      <c r="AE4430" s="54" t="s">
        <v>2</v>
      </c>
      <c r="AF4430" s="54" t="s">
        <v>2</v>
      </c>
      <c r="AG4430" s="54" t="s">
        <v>2</v>
      </c>
    </row>
    <row r="4431" ht="15.75" customHeight="1">
      <c r="B4431" s="56"/>
      <c r="U4431" s="46" t="str">
        <f t="array" ref="U4431">IF($D4431="","",IFERROR(_xlfn.XLOOKUP($D4431,'TIR店舗一覧'!$D:$D,'TIR店舗一覧'!$E:$E,""),""))</f>
        <v/>
      </c>
      <c r="V4431" s="54" t="s">
        <v>2</v>
      </c>
      <c r="W4431" s="54" t="s">
        <v>2</v>
      </c>
      <c r="X4431" s="54" t="s">
        <v>2</v>
      </c>
      <c r="Y4431" s="54" t="s">
        <v>2</v>
      </c>
      <c r="Z4431" s="54" t="s">
        <v>2</v>
      </c>
      <c r="AA4431" s="54" t="s">
        <v>2</v>
      </c>
      <c r="AB4431" s="54" t="s">
        <v>2</v>
      </c>
      <c r="AC4431" s="54" t="s">
        <v>2</v>
      </c>
      <c r="AD4431" s="54" t="s">
        <v>2</v>
      </c>
      <c r="AE4431" s="54" t="s">
        <v>2</v>
      </c>
      <c r="AF4431" s="54" t="s">
        <v>2</v>
      </c>
      <c r="AG4431" s="54" t="s">
        <v>2</v>
      </c>
    </row>
    <row r="4432" ht="15.75" customHeight="1">
      <c r="B4432" s="56"/>
      <c r="U4432" s="46" t="str">
        <f t="array" ref="U4432">IF($D4432="","",IFERROR(_xlfn.XLOOKUP($D4432,'TIR店舗一覧'!$D:$D,'TIR店舗一覧'!$E:$E,""),""))</f>
        <v/>
      </c>
      <c r="V4432" s="54" t="s">
        <v>2</v>
      </c>
      <c r="W4432" s="54" t="s">
        <v>2</v>
      </c>
      <c r="X4432" s="54" t="s">
        <v>2</v>
      </c>
      <c r="Y4432" s="54" t="s">
        <v>2</v>
      </c>
      <c r="Z4432" s="54" t="s">
        <v>2</v>
      </c>
      <c r="AA4432" s="54" t="s">
        <v>2</v>
      </c>
      <c r="AB4432" s="54" t="s">
        <v>2</v>
      </c>
      <c r="AC4432" s="54" t="s">
        <v>2</v>
      </c>
      <c r="AD4432" s="54" t="s">
        <v>2</v>
      </c>
      <c r="AE4432" s="54" t="s">
        <v>2</v>
      </c>
      <c r="AF4432" s="54" t="s">
        <v>2</v>
      </c>
      <c r="AG4432" s="54" t="s">
        <v>2</v>
      </c>
    </row>
    <row r="4433" ht="15.75" customHeight="1">
      <c r="B4433" s="56"/>
      <c r="U4433" s="46" t="str">
        <f t="array" ref="U4433">IF($D4433="","",IFERROR(_xlfn.XLOOKUP($D4433,'TIR店舗一覧'!$D:$D,'TIR店舗一覧'!$E:$E,""),""))</f>
        <v/>
      </c>
      <c r="V4433" s="54" t="s">
        <v>2</v>
      </c>
      <c r="W4433" s="54" t="s">
        <v>2</v>
      </c>
      <c r="X4433" s="54" t="s">
        <v>2</v>
      </c>
      <c r="Y4433" s="54" t="s">
        <v>2</v>
      </c>
      <c r="Z4433" s="54" t="s">
        <v>2</v>
      </c>
      <c r="AA4433" s="54" t="s">
        <v>2</v>
      </c>
      <c r="AB4433" s="54" t="s">
        <v>2</v>
      </c>
      <c r="AC4433" s="54" t="s">
        <v>2</v>
      </c>
      <c r="AD4433" s="54" t="s">
        <v>2</v>
      </c>
      <c r="AE4433" s="54" t="s">
        <v>2</v>
      </c>
      <c r="AF4433" s="54" t="s">
        <v>2</v>
      </c>
      <c r="AG4433" s="54" t="s">
        <v>2</v>
      </c>
    </row>
    <row r="4434" ht="15.75" customHeight="1">
      <c r="B4434" s="56"/>
      <c r="U4434" s="46" t="str">
        <f t="array" ref="U4434">IF($D4434="","",IFERROR(_xlfn.XLOOKUP($D4434,'TIR店舗一覧'!$D:$D,'TIR店舗一覧'!$E:$E,""),""))</f>
        <v/>
      </c>
      <c r="V4434" s="54" t="s">
        <v>2</v>
      </c>
      <c r="W4434" s="54" t="s">
        <v>2</v>
      </c>
      <c r="X4434" s="54" t="s">
        <v>2</v>
      </c>
      <c r="Y4434" s="54" t="s">
        <v>2</v>
      </c>
      <c r="Z4434" s="54" t="s">
        <v>2</v>
      </c>
      <c r="AA4434" s="54" t="s">
        <v>2</v>
      </c>
      <c r="AB4434" s="54" t="s">
        <v>2</v>
      </c>
      <c r="AC4434" s="54" t="s">
        <v>2</v>
      </c>
      <c r="AD4434" s="54" t="s">
        <v>2</v>
      </c>
      <c r="AE4434" s="54" t="s">
        <v>2</v>
      </c>
      <c r="AF4434" s="54" t="s">
        <v>2</v>
      </c>
      <c r="AG4434" s="54" t="s">
        <v>2</v>
      </c>
    </row>
    <row r="4435" ht="15.75" customHeight="1">
      <c r="B4435" s="56"/>
      <c r="U4435" s="46" t="str">
        <f t="array" ref="U4435">IF($D4435="","",IFERROR(_xlfn.XLOOKUP($D4435,'TIR店舗一覧'!$D:$D,'TIR店舗一覧'!$E:$E,""),""))</f>
        <v/>
      </c>
      <c r="V4435" s="54" t="s">
        <v>2</v>
      </c>
      <c r="W4435" s="54" t="s">
        <v>2</v>
      </c>
      <c r="X4435" s="54" t="s">
        <v>2</v>
      </c>
      <c r="Y4435" s="54" t="s">
        <v>2</v>
      </c>
      <c r="Z4435" s="54" t="s">
        <v>2</v>
      </c>
      <c r="AA4435" s="54" t="s">
        <v>2</v>
      </c>
      <c r="AB4435" s="54" t="s">
        <v>2</v>
      </c>
      <c r="AC4435" s="54" t="s">
        <v>2</v>
      </c>
      <c r="AD4435" s="54" t="s">
        <v>2</v>
      </c>
      <c r="AE4435" s="54" t="s">
        <v>2</v>
      </c>
      <c r="AF4435" s="54" t="s">
        <v>2</v>
      </c>
      <c r="AG4435" s="54" t="s">
        <v>2</v>
      </c>
    </row>
    <row r="4436" ht="15.75" customHeight="1">
      <c r="B4436" s="56"/>
      <c r="U4436" s="46" t="str">
        <f t="array" ref="U4436">IF($D4436="","",IFERROR(_xlfn.XLOOKUP($D4436,'TIR店舗一覧'!$D:$D,'TIR店舗一覧'!$E:$E,""),""))</f>
        <v/>
      </c>
      <c r="V4436" s="54" t="s">
        <v>2</v>
      </c>
      <c r="W4436" s="54" t="s">
        <v>2</v>
      </c>
      <c r="X4436" s="54" t="s">
        <v>2</v>
      </c>
      <c r="Y4436" s="54" t="s">
        <v>2</v>
      </c>
      <c r="Z4436" s="54" t="s">
        <v>2</v>
      </c>
      <c r="AA4436" s="54" t="s">
        <v>2</v>
      </c>
      <c r="AB4436" s="54" t="s">
        <v>2</v>
      </c>
      <c r="AC4436" s="54" t="s">
        <v>2</v>
      </c>
      <c r="AD4436" s="54" t="s">
        <v>2</v>
      </c>
      <c r="AE4436" s="54" t="s">
        <v>2</v>
      </c>
      <c r="AF4436" s="54" t="s">
        <v>2</v>
      </c>
      <c r="AG4436" s="54" t="s">
        <v>2</v>
      </c>
    </row>
    <row r="4437" ht="15.75" customHeight="1">
      <c r="B4437" s="56"/>
      <c r="U4437" s="46" t="str">
        <f t="array" ref="U4437">IF($D4437="","",IFERROR(_xlfn.XLOOKUP($D4437,'TIR店舗一覧'!$D:$D,'TIR店舗一覧'!$E:$E,""),""))</f>
        <v/>
      </c>
      <c r="V4437" s="54" t="s">
        <v>2</v>
      </c>
      <c r="W4437" s="54" t="s">
        <v>2</v>
      </c>
      <c r="X4437" s="54" t="s">
        <v>2</v>
      </c>
      <c r="Y4437" s="54" t="s">
        <v>2</v>
      </c>
      <c r="Z4437" s="54" t="s">
        <v>2</v>
      </c>
      <c r="AA4437" s="54" t="s">
        <v>2</v>
      </c>
      <c r="AB4437" s="54" t="s">
        <v>2</v>
      </c>
      <c r="AC4437" s="54" t="s">
        <v>2</v>
      </c>
      <c r="AD4437" s="54" t="s">
        <v>2</v>
      </c>
      <c r="AE4437" s="54" t="s">
        <v>2</v>
      </c>
      <c r="AF4437" s="54" t="s">
        <v>2</v>
      </c>
      <c r="AG4437" s="54" t="s">
        <v>2</v>
      </c>
    </row>
    <row r="4438" ht="15.75" customHeight="1">
      <c r="B4438" s="56"/>
      <c r="U4438" s="46" t="str">
        <f t="array" ref="U4438">IF($D4438="","",IFERROR(_xlfn.XLOOKUP($D4438,'TIR店舗一覧'!$D:$D,'TIR店舗一覧'!$E:$E,""),""))</f>
        <v/>
      </c>
      <c r="V4438" s="54" t="s">
        <v>2</v>
      </c>
      <c r="W4438" s="54" t="s">
        <v>2</v>
      </c>
      <c r="X4438" s="54" t="s">
        <v>2</v>
      </c>
      <c r="Y4438" s="54" t="s">
        <v>2</v>
      </c>
      <c r="Z4438" s="54" t="s">
        <v>2</v>
      </c>
      <c r="AA4438" s="54" t="s">
        <v>2</v>
      </c>
      <c r="AB4438" s="54" t="s">
        <v>2</v>
      </c>
      <c r="AC4438" s="54" t="s">
        <v>2</v>
      </c>
      <c r="AD4438" s="54" t="s">
        <v>2</v>
      </c>
      <c r="AE4438" s="54" t="s">
        <v>2</v>
      </c>
      <c r="AF4438" s="54" t="s">
        <v>2</v>
      </c>
      <c r="AG4438" s="54" t="s">
        <v>2</v>
      </c>
    </row>
    <row r="4439" ht="15.75" customHeight="1">
      <c r="B4439" s="56"/>
      <c r="U4439" s="46" t="str">
        <f t="array" ref="U4439">IF($D4439="","",IFERROR(_xlfn.XLOOKUP($D4439,'TIR店舗一覧'!$D:$D,'TIR店舗一覧'!$E:$E,""),""))</f>
        <v/>
      </c>
      <c r="V4439" s="54" t="s">
        <v>2</v>
      </c>
      <c r="W4439" s="54" t="s">
        <v>2</v>
      </c>
      <c r="X4439" s="54" t="s">
        <v>2</v>
      </c>
      <c r="Y4439" s="54" t="s">
        <v>2</v>
      </c>
      <c r="Z4439" s="54" t="s">
        <v>2</v>
      </c>
      <c r="AA4439" s="54" t="s">
        <v>2</v>
      </c>
      <c r="AB4439" s="54" t="s">
        <v>2</v>
      </c>
      <c r="AC4439" s="54" t="s">
        <v>2</v>
      </c>
      <c r="AD4439" s="54" t="s">
        <v>2</v>
      </c>
      <c r="AE4439" s="54" t="s">
        <v>2</v>
      </c>
      <c r="AF4439" s="54" t="s">
        <v>2</v>
      </c>
      <c r="AG4439" s="54" t="s">
        <v>2</v>
      </c>
    </row>
    <row r="4440" ht="15.75" customHeight="1">
      <c r="B4440" s="56"/>
      <c r="U4440" s="46" t="str">
        <f t="array" ref="U4440">IF($D4440="","",IFERROR(_xlfn.XLOOKUP($D4440,'TIR店舗一覧'!$D:$D,'TIR店舗一覧'!$E:$E,""),""))</f>
        <v/>
      </c>
      <c r="V4440" s="54" t="s">
        <v>2</v>
      </c>
      <c r="W4440" s="54" t="s">
        <v>2</v>
      </c>
      <c r="X4440" s="54" t="s">
        <v>2</v>
      </c>
      <c r="Y4440" s="54" t="s">
        <v>2</v>
      </c>
      <c r="Z4440" s="54" t="s">
        <v>2</v>
      </c>
      <c r="AA4440" s="54" t="s">
        <v>2</v>
      </c>
      <c r="AB4440" s="54" t="s">
        <v>2</v>
      </c>
      <c r="AC4440" s="54" t="s">
        <v>2</v>
      </c>
      <c r="AD4440" s="54" t="s">
        <v>2</v>
      </c>
      <c r="AE4440" s="54" t="s">
        <v>2</v>
      </c>
      <c r="AF4440" s="54" t="s">
        <v>2</v>
      </c>
      <c r="AG4440" s="54" t="s">
        <v>2</v>
      </c>
    </row>
    <row r="4441" ht="15.75" customHeight="1">
      <c r="B4441" s="56"/>
      <c r="U4441" s="46" t="str">
        <f t="array" ref="U4441">IF($D4441="","",IFERROR(_xlfn.XLOOKUP($D4441,'TIR店舗一覧'!$D:$D,'TIR店舗一覧'!$E:$E,""),""))</f>
        <v/>
      </c>
      <c r="V4441" s="54" t="s">
        <v>2</v>
      </c>
      <c r="W4441" s="54" t="s">
        <v>2</v>
      </c>
      <c r="X4441" s="54" t="s">
        <v>2</v>
      </c>
      <c r="Y4441" s="54" t="s">
        <v>2</v>
      </c>
      <c r="Z4441" s="54" t="s">
        <v>2</v>
      </c>
      <c r="AA4441" s="54" t="s">
        <v>2</v>
      </c>
      <c r="AB4441" s="54" t="s">
        <v>2</v>
      </c>
      <c r="AC4441" s="54" t="s">
        <v>2</v>
      </c>
      <c r="AD4441" s="54" t="s">
        <v>2</v>
      </c>
      <c r="AE4441" s="54" t="s">
        <v>2</v>
      </c>
      <c r="AF4441" s="54" t="s">
        <v>2</v>
      </c>
      <c r="AG4441" s="54" t="s">
        <v>2</v>
      </c>
    </row>
    <row r="4442" ht="15.75" customHeight="1">
      <c r="B4442" s="56"/>
      <c r="U4442" s="46" t="str">
        <f t="array" ref="U4442">IF($D4442="","",IFERROR(_xlfn.XLOOKUP($D4442,'TIR店舗一覧'!$D:$D,'TIR店舗一覧'!$E:$E,""),""))</f>
        <v/>
      </c>
      <c r="V4442" s="54" t="s">
        <v>2</v>
      </c>
      <c r="W4442" s="54" t="s">
        <v>2</v>
      </c>
      <c r="X4442" s="54" t="s">
        <v>2</v>
      </c>
      <c r="Y4442" s="54" t="s">
        <v>2</v>
      </c>
      <c r="Z4442" s="54" t="s">
        <v>2</v>
      </c>
      <c r="AA4442" s="54" t="s">
        <v>2</v>
      </c>
      <c r="AB4442" s="54" t="s">
        <v>2</v>
      </c>
      <c r="AC4442" s="54" t="s">
        <v>2</v>
      </c>
      <c r="AD4442" s="54" t="s">
        <v>2</v>
      </c>
      <c r="AE4442" s="54" t="s">
        <v>2</v>
      </c>
      <c r="AF4442" s="54" t="s">
        <v>2</v>
      </c>
      <c r="AG4442" s="54" t="s">
        <v>2</v>
      </c>
    </row>
    <row r="4443" ht="15.75" customHeight="1">
      <c r="B4443" s="56"/>
      <c r="U4443" s="46" t="str">
        <f t="array" ref="U4443">IF($D4443="","",IFERROR(_xlfn.XLOOKUP($D4443,'TIR店舗一覧'!$D:$D,'TIR店舗一覧'!$E:$E,""),""))</f>
        <v/>
      </c>
      <c r="V4443" s="54" t="s">
        <v>2</v>
      </c>
      <c r="W4443" s="54" t="s">
        <v>2</v>
      </c>
      <c r="X4443" s="54" t="s">
        <v>2</v>
      </c>
      <c r="Y4443" s="54" t="s">
        <v>2</v>
      </c>
      <c r="Z4443" s="54" t="s">
        <v>2</v>
      </c>
      <c r="AA4443" s="54" t="s">
        <v>2</v>
      </c>
      <c r="AB4443" s="54" t="s">
        <v>2</v>
      </c>
      <c r="AC4443" s="54" t="s">
        <v>2</v>
      </c>
      <c r="AD4443" s="54" t="s">
        <v>2</v>
      </c>
      <c r="AE4443" s="54" t="s">
        <v>2</v>
      </c>
      <c r="AF4443" s="54" t="s">
        <v>2</v>
      </c>
      <c r="AG4443" s="54" t="s">
        <v>2</v>
      </c>
    </row>
    <row r="4444" ht="15.75" customHeight="1">
      <c r="B4444" s="56"/>
      <c r="U4444" s="46" t="str">
        <f t="array" ref="U4444">IF($D4444="","",IFERROR(_xlfn.XLOOKUP($D4444,'TIR店舗一覧'!$D:$D,'TIR店舗一覧'!$E:$E,""),""))</f>
        <v/>
      </c>
      <c r="V4444" s="54" t="s">
        <v>2</v>
      </c>
      <c r="W4444" s="54" t="s">
        <v>2</v>
      </c>
      <c r="X4444" s="54" t="s">
        <v>2</v>
      </c>
      <c r="Y4444" s="54" t="s">
        <v>2</v>
      </c>
      <c r="Z4444" s="54" t="s">
        <v>2</v>
      </c>
      <c r="AA4444" s="54" t="s">
        <v>2</v>
      </c>
      <c r="AB4444" s="54" t="s">
        <v>2</v>
      </c>
      <c r="AC4444" s="54" t="s">
        <v>2</v>
      </c>
      <c r="AD4444" s="54" t="s">
        <v>2</v>
      </c>
      <c r="AE4444" s="54" t="s">
        <v>2</v>
      </c>
      <c r="AF4444" s="54" t="s">
        <v>2</v>
      </c>
      <c r="AG4444" s="54" t="s">
        <v>2</v>
      </c>
    </row>
    <row r="4445" ht="15.75" customHeight="1">
      <c r="B4445" s="56"/>
      <c r="U4445" s="46" t="str">
        <f t="array" ref="U4445">IF($D4445="","",IFERROR(_xlfn.XLOOKUP($D4445,'TIR店舗一覧'!$D:$D,'TIR店舗一覧'!$E:$E,""),""))</f>
        <v/>
      </c>
      <c r="V4445" s="54" t="s">
        <v>2</v>
      </c>
      <c r="W4445" s="54" t="s">
        <v>2</v>
      </c>
      <c r="X4445" s="54" t="s">
        <v>2</v>
      </c>
      <c r="Y4445" s="54" t="s">
        <v>2</v>
      </c>
      <c r="Z4445" s="54" t="s">
        <v>2</v>
      </c>
      <c r="AA4445" s="54" t="s">
        <v>2</v>
      </c>
      <c r="AB4445" s="54" t="s">
        <v>2</v>
      </c>
      <c r="AC4445" s="54" t="s">
        <v>2</v>
      </c>
      <c r="AD4445" s="54" t="s">
        <v>2</v>
      </c>
      <c r="AE4445" s="54" t="s">
        <v>2</v>
      </c>
      <c r="AF4445" s="54" t="s">
        <v>2</v>
      </c>
      <c r="AG4445" s="54" t="s">
        <v>2</v>
      </c>
    </row>
    <row r="4446" ht="15.75" customHeight="1">
      <c r="B4446" s="56"/>
      <c r="U4446" s="46" t="str">
        <f t="array" ref="U4446">IF($D4446="","",IFERROR(_xlfn.XLOOKUP($D4446,'TIR店舗一覧'!$D:$D,'TIR店舗一覧'!$E:$E,""),""))</f>
        <v/>
      </c>
      <c r="V4446" s="54" t="s">
        <v>2</v>
      </c>
      <c r="W4446" s="54" t="s">
        <v>2</v>
      </c>
      <c r="X4446" s="54" t="s">
        <v>2</v>
      </c>
      <c r="Y4446" s="54" t="s">
        <v>2</v>
      </c>
      <c r="Z4446" s="54" t="s">
        <v>2</v>
      </c>
      <c r="AA4446" s="54" t="s">
        <v>2</v>
      </c>
      <c r="AB4446" s="54" t="s">
        <v>2</v>
      </c>
      <c r="AC4446" s="54" t="s">
        <v>2</v>
      </c>
      <c r="AD4446" s="54" t="s">
        <v>2</v>
      </c>
      <c r="AE4446" s="54" t="s">
        <v>2</v>
      </c>
      <c r="AF4446" s="54" t="s">
        <v>2</v>
      </c>
      <c r="AG4446" s="54" t="s">
        <v>2</v>
      </c>
    </row>
    <row r="4447" ht="15.75" customHeight="1">
      <c r="B4447" s="56"/>
      <c r="U4447" s="46" t="str">
        <f t="array" ref="U4447">IF($D4447="","",IFERROR(_xlfn.XLOOKUP($D4447,'TIR店舗一覧'!$D:$D,'TIR店舗一覧'!$E:$E,""),""))</f>
        <v/>
      </c>
      <c r="V4447" s="54" t="s">
        <v>2</v>
      </c>
      <c r="W4447" s="54" t="s">
        <v>2</v>
      </c>
      <c r="X4447" s="54" t="s">
        <v>2</v>
      </c>
      <c r="Y4447" s="54" t="s">
        <v>2</v>
      </c>
      <c r="Z4447" s="54" t="s">
        <v>2</v>
      </c>
      <c r="AA4447" s="54" t="s">
        <v>2</v>
      </c>
      <c r="AB4447" s="54" t="s">
        <v>2</v>
      </c>
      <c r="AC4447" s="54" t="s">
        <v>2</v>
      </c>
      <c r="AD4447" s="54" t="s">
        <v>2</v>
      </c>
      <c r="AE4447" s="54" t="s">
        <v>2</v>
      </c>
      <c r="AF4447" s="54" t="s">
        <v>2</v>
      </c>
      <c r="AG4447" s="54" t="s">
        <v>2</v>
      </c>
    </row>
    <row r="4448" ht="15.75" customHeight="1">
      <c r="B4448" s="56"/>
      <c r="U4448" s="46" t="str">
        <f t="array" ref="U4448">IF($D4448="","",IFERROR(_xlfn.XLOOKUP($D4448,'TIR店舗一覧'!$D:$D,'TIR店舗一覧'!$E:$E,""),""))</f>
        <v/>
      </c>
      <c r="V4448" s="54" t="s">
        <v>2</v>
      </c>
      <c r="W4448" s="54" t="s">
        <v>2</v>
      </c>
      <c r="X4448" s="54" t="s">
        <v>2</v>
      </c>
      <c r="Y4448" s="54" t="s">
        <v>2</v>
      </c>
      <c r="Z4448" s="54" t="s">
        <v>2</v>
      </c>
      <c r="AA4448" s="54" t="s">
        <v>2</v>
      </c>
      <c r="AB4448" s="54" t="s">
        <v>2</v>
      </c>
      <c r="AC4448" s="54" t="s">
        <v>2</v>
      </c>
      <c r="AD4448" s="54" t="s">
        <v>2</v>
      </c>
      <c r="AE4448" s="54" t="s">
        <v>2</v>
      </c>
      <c r="AF4448" s="54" t="s">
        <v>2</v>
      </c>
      <c r="AG4448" s="54" t="s">
        <v>2</v>
      </c>
    </row>
    <row r="4449" ht="15.75" customHeight="1">
      <c r="B4449" s="56"/>
      <c r="U4449" s="46" t="str">
        <f t="array" ref="U4449">IF($D4449="","",IFERROR(_xlfn.XLOOKUP($D4449,'TIR店舗一覧'!$D:$D,'TIR店舗一覧'!$E:$E,""),""))</f>
        <v/>
      </c>
      <c r="V4449" s="54" t="s">
        <v>2</v>
      </c>
      <c r="W4449" s="54" t="s">
        <v>2</v>
      </c>
      <c r="X4449" s="54" t="s">
        <v>2</v>
      </c>
      <c r="Y4449" s="54" t="s">
        <v>2</v>
      </c>
      <c r="Z4449" s="54" t="s">
        <v>2</v>
      </c>
      <c r="AA4449" s="54" t="s">
        <v>2</v>
      </c>
      <c r="AB4449" s="54" t="s">
        <v>2</v>
      </c>
      <c r="AC4449" s="54" t="s">
        <v>2</v>
      </c>
      <c r="AD4449" s="54" t="s">
        <v>2</v>
      </c>
      <c r="AE4449" s="54" t="s">
        <v>2</v>
      </c>
      <c r="AF4449" s="54" t="s">
        <v>2</v>
      </c>
      <c r="AG4449" s="54" t="s">
        <v>2</v>
      </c>
    </row>
    <row r="4450" ht="15.75" customHeight="1">
      <c r="B4450" s="56"/>
      <c r="U4450" s="46" t="str">
        <f t="array" ref="U4450">IF($D4450="","",IFERROR(_xlfn.XLOOKUP($D4450,'TIR店舗一覧'!$D:$D,'TIR店舗一覧'!$E:$E,""),""))</f>
        <v/>
      </c>
      <c r="V4450" s="54" t="s">
        <v>2</v>
      </c>
      <c r="W4450" s="54" t="s">
        <v>2</v>
      </c>
      <c r="X4450" s="54" t="s">
        <v>2</v>
      </c>
      <c r="Y4450" s="54" t="s">
        <v>2</v>
      </c>
      <c r="Z4450" s="54" t="s">
        <v>2</v>
      </c>
      <c r="AA4450" s="54" t="s">
        <v>2</v>
      </c>
      <c r="AB4450" s="54" t="s">
        <v>2</v>
      </c>
      <c r="AC4450" s="54" t="s">
        <v>2</v>
      </c>
      <c r="AD4450" s="54" t="s">
        <v>2</v>
      </c>
      <c r="AE4450" s="54" t="s">
        <v>2</v>
      </c>
      <c r="AF4450" s="54" t="s">
        <v>2</v>
      </c>
      <c r="AG4450" s="54" t="s">
        <v>2</v>
      </c>
    </row>
    <row r="4451" ht="15.75" customHeight="1">
      <c r="B4451" s="56"/>
      <c r="U4451" s="46" t="str">
        <f t="array" ref="U4451">IF($D4451="","",IFERROR(_xlfn.XLOOKUP($D4451,'TIR店舗一覧'!$D:$D,'TIR店舗一覧'!$E:$E,""),""))</f>
        <v/>
      </c>
      <c r="V4451" s="54" t="s">
        <v>2</v>
      </c>
      <c r="W4451" s="54" t="s">
        <v>2</v>
      </c>
      <c r="X4451" s="54" t="s">
        <v>2</v>
      </c>
      <c r="Y4451" s="54" t="s">
        <v>2</v>
      </c>
      <c r="Z4451" s="54" t="s">
        <v>2</v>
      </c>
      <c r="AA4451" s="54" t="s">
        <v>2</v>
      </c>
      <c r="AB4451" s="54" t="s">
        <v>2</v>
      </c>
      <c r="AC4451" s="54" t="s">
        <v>2</v>
      </c>
      <c r="AD4451" s="54" t="s">
        <v>2</v>
      </c>
      <c r="AE4451" s="54" t="s">
        <v>2</v>
      </c>
      <c r="AF4451" s="54" t="s">
        <v>2</v>
      </c>
      <c r="AG4451" s="54" t="s">
        <v>2</v>
      </c>
    </row>
    <row r="4452" ht="15.75" customHeight="1">
      <c r="B4452" s="56"/>
      <c r="U4452" s="46" t="str">
        <f t="array" ref="U4452">IF($D4452="","",IFERROR(_xlfn.XLOOKUP($D4452,'TIR店舗一覧'!$D:$D,'TIR店舗一覧'!$E:$E,""),""))</f>
        <v/>
      </c>
      <c r="V4452" s="54" t="s">
        <v>2</v>
      </c>
      <c r="W4452" s="54" t="s">
        <v>2</v>
      </c>
      <c r="X4452" s="54" t="s">
        <v>2</v>
      </c>
      <c r="Y4452" s="54" t="s">
        <v>2</v>
      </c>
      <c r="Z4452" s="54" t="s">
        <v>2</v>
      </c>
      <c r="AA4452" s="54" t="s">
        <v>2</v>
      </c>
      <c r="AB4452" s="54" t="s">
        <v>2</v>
      </c>
      <c r="AC4452" s="54" t="s">
        <v>2</v>
      </c>
      <c r="AD4452" s="54" t="s">
        <v>2</v>
      </c>
      <c r="AE4452" s="54" t="s">
        <v>2</v>
      </c>
      <c r="AF4452" s="54" t="s">
        <v>2</v>
      </c>
      <c r="AG4452" s="54" t="s">
        <v>2</v>
      </c>
    </row>
    <row r="4453" ht="15.75" customHeight="1">
      <c r="B4453" s="56"/>
      <c r="U4453" s="46" t="str">
        <f t="array" ref="U4453">IF($D4453="","",IFERROR(_xlfn.XLOOKUP($D4453,'TIR店舗一覧'!$D:$D,'TIR店舗一覧'!$E:$E,""),""))</f>
        <v/>
      </c>
      <c r="V4453" s="54" t="s">
        <v>2</v>
      </c>
      <c r="W4453" s="54" t="s">
        <v>2</v>
      </c>
      <c r="X4453" s="54" t="s">
        <v>2</v>
      </c>
      <c r="Y4453" s="54" t="s">
        <v>2</v>
      </c>
      <c r="Z4453" s="54" t="s">
        <v>2</v>
      </c>
      <c r="AA4453" s="54" t="s">
        <v>2</v>
      </c>
      <c r="AB4453" s="54" t="s">
        <v>2</v>
      </c>
      <c r="AC4453" s="54" t="s">
        <v>2</v>
      </c>
      <c r="AD4453" s="54" t="s">
        <v>2</v>
      </c>
      <c r="AE4453" s="54" t="s">
        <v>2</v>
      </c>
      <c r="AF4453" s="54" t="s">
        <v>2</v>
      </c>
      <c r="AG4453" s="54" t="s">
        <v>2</v>
      </c>
    </row>
    <row r="4454" ht="15.75" customHeight="1">
      <c r="B4454" s="56"/>
      <c r="U4454" s="46" t="str">
        <f t="array" ref="U4454">IF($D4454="","",IFERROR(_xlfn.XLOOKUP($D4454,'TIR店舗一覧'!$D:$D,'TIR店舗一覧'!$E:$E,""),""))</f>
        <v/>
      </c>
      <c r="V4454" s="54" t="s">
        <v>2</v>
      </c>
      <c r="W4454" s="54" t="s">
        <v>2</v>
      </c>
      <c r="X4454" s="54" t="s">
        <v>2</v>
      </c>
      <c r="Y4454" s="54" t="s">
        <v>2</v>
      </c>
      <c r="Z4454" s="54" t="s">
        <v>2</v>
      </c>
      <c r="AA4454" s="54" t="s">
        <v>2</v>
      </c>
      <c r="AB4454" s="54" t="s">
        <v>2</v>
      </c>
      <c r="AC4454" s="54" t="s">
        <v>2</v>
      </c>
      <c r="AD4454" s="54" t="s">
        <v>2</v>
      </c>
      <c r="AE4454" s="54" t="s">
        <v>2</v>
      </c>
      <c r="AF4454" s="54" t="s">
        <v>2</v>
      </c>
      <c r="AG4454" s="54" t="s">
        <v>2</v>
      </c>
    </row>
    <row r="4455" ht="15.75" customHeight="1">
      <c r="B4455" s="56"/>
      <c r="U4455" s="46" t="str">
        <f t="array" ref="U4455">IF($D4455="","",IFERROR(_xlfn.XLOOKUP($D4455,'TIR店舗一覧'!$D:$D,'TIR店舗一覧'!$E:$E,""),""))</f>
        <v/>
      </c>
      <c r="V4455" s="54" t="s">
        <v>2</v>
      </c>
      <c r="W4455" s="54" t="s">
        <v>2</v>
      </c>
      <c r="X4455" s="54" t="s">
        <v>2</v>
      </c>
      <c r="Y4455" s="54" t="s">
        <v>2</v>
      </c>
      <c r="Z4455" s="54" t="s">
        <v>2</v>
      </c>
      <c r="AA4455" s="54" t="s">
        <v>2</v>
      </c>
      <c r="AB4455" s="54" t="s">
        <v>2</v>
      </c>
      <c r="AC4455" s="54" t="s">
        <v>2</v>
      </c>
      <c r="AD4455" s="54" t="s">
        <v>2</v>
      </c>
      <c r="AE4455" s="54" t="s">
        <v>2</v>
      </c>
      <c r="AF4455" s="54" t="s">
        <v>2</v>
      </c>
      <c r="AG4455" s="54" t="s">
        <v>2</v>
      </c>
    </row>
    <row r="4456" ht="15.75" customHeight="1">
      <c r="B4456" s="56"/>
      <c r="U4456" s="46" t="str">
        <f t="array" ref="U4456">IF($D4456="","",IFERROR(_xlfn.XLOOKUP($D4456,'TIR店舗一覧'!$D:$D,'TIR店舗一覧'!$E:$E,""),""))</f>
        <v/>
      </c>
      <c r="V4456" s="54" t="s">
        <v>2</v>
      </c>
      <c r="W4456" s="54" t="s">
        <v>2</v>
      </c>
      <c r="X4456" s="54" t="s">
        <v>2</v>
      </c>
      <c r="Y4456" s="54" t="s">
        <v>2</v>
      </c>
      <c r="Z4456" s="54" t="s">
        <v>2</v>
      </c>
      <c r="AA4456" s="54" t="s">
        <v>2</v>
      </c>
      <c r="AB4456" s="54" t="s">
        <v>2</v>
      </c>
      <c r="AC4456" s="54" t="s">
        <v>2</v>
      </c>
      <c r="AD4456" s="54" t="s">
        <v>2</v>
      </c>
      <c r="AE4456" s="54" t="s">
        <v>2</v>
      </c>
      <c r="AF4456" s="54" t="s">
        <v>2</v>
      </c>
      <c r="AG4456" s="54" t="s">
        <v>2</v>
      </c>
    </row>
    <row r="4457" ht="15.75" customHeight="1">
      <c r="B4457" s="56"/>
      <c r="U4457" s="46" t="str">
        <f t="array" ref="U4457">IF($D4457="","",IFERROR(_xlfn.XLOOKUP($D4457,'TIR店舗一覧'!$D:$D,'TIR店舗一覧'!$E:$E,""),""))</f>
        <v/>
      </c>
      <c r="V4457" s="54" t="s">
        <v>2</v>
      </c>
      <c r="W4457" s="54" t="s">
        <v>2</v>
      </c>
      <c r="X4457" s="54" t="s">
        <v>2</v>
      </c>
      <c r="Y4457" s="54" t="s">
        <v>2</v>
      </c>
      <c r="Z4457" s="54" t="s">
        <v>2</v>
      </c>
      <c r="AA4457" s="54" t="s">
        <v>2</v>
      </c>
      <c r="AB4457" s="54" t="s">
        <v>2</v>
      </c>
      <c r="AC4457" s="54" t="s">
        <v>2</v>
      </c>
      <c r="AD4457" s="54" t="s">
        <v>2</v>
      </c>
      <c r="AE4457" s="54" t="s">
        <v>2</v>
      </c>
      <c r="AF4457" s="54" t="s">
        <v>2</v>
      </c>
      <c r="AG4457" s="54" t="s">
        <v>2</v>
      </c>
    </row>
    <row r="4458" ht="15.75" customHeight="1">
      <c r="B4458" s="56"/>
      <c r="U4458" s="46" t="str">
        <f t="array" ref="U4458">IF($D4458="","",IFERROR(_xlfn.XLOOKUP($D4458,'TIR店舗一覧'!$D:$D,'TIR店舗一覧'!$E:$E,""),""))</f>
        <v/>
      </c>
      <c r="V4458" s="54" t="s">
        <v>2</v>
      </c>
      <c r="W4458" s="54" t="s">
        <v>2</v>
      </c>
      <c r="X4458" s="54" t="s">
        <v>2</v>
      </c>
      <c r="Y4458" s="54" t="s">
        <v>2</v>
      </c>
      <c r="Z4458" s="54" t="s">
        <v>2</v>
      </c>
      <c r="AA4458" s="54" t="s">
        <v>2</v>
      </c>
      <c r="AB4458" s="54" t="s">
        <v>2</v>
      </c>
      <c r="AC4458" s="54" t="s">
        <v>2</v>
      </c>
      <c r="AD4458" s="54" t="s">
        <v>2</v>
      </c>
      <c r="AE4458" s="54" t="s">
        <v>2</v>
      </c>
      <c r="AF4458" s="54" t="s">
        <v>2</v>
      </c>
      <c r="AG4458" s="54" t="s">
        <v>2</v>
      </c>
    </row>
    <row r="4459" ht="15.75" customHeight="1">
      <c r="B4459" s="56"/>
      <c r="U4459" s="46" t="str">
        <f t="array" ref="U4459">IF($D4459="","",IFERROR(_xlfn.XLOOKUP($D4459,'TIR店舗一覧'!$D:$D,'TIR店舗一覧'!$E:$E,""),""))</f>
        <v/>
      </c>
      <c r="V4459" s="54" t="s">
        <v>2</v>
      </c>
      <c r="W4459" s="54" t="s">
        <v>2</v>
      </c>
      <c r="X4459" s="54" t="s">
        <v>2</v>
      </c>
      <c r="Y4459" s="54" t="s">
        <v>2</v>
      </c>
      <c r="Z4459" s="54" t="s">
        <v>2</v>
      </c>
      <c r="AA4459" s="54" t="s">
        <v>2</v>
      </c>
      <c r="AB4459" s="54" t="s">
        <v>2</v>
      </c>
      <c r="AC4459" s="54" t="s">
        <v>2</v>
      </c>
      <c r="AD4459" s="54" t="s">
        <v>2</v>
      </c>
      <c r="AE4459" s="54" t="s">
        <v>2</v>
      </c>
      <c r="AF4459" s="54" t="s">
        <v>2</v>
      </c>
      <c r="AG4459" s="54" t="s">
        <v>2</v>
      </c>
    </row>
    <row r="4460" ht="15.75" customHeight="1">
      <c r="B4460" s="56"/>
      <c r="U4460" s="46" t="str">
        <f t="array" ref="U4460">IF($D4460="","",IFERROR(_xlfn.XLOOKUP($D4460,'TIR店舗一覧'!$D:$D,'TIR店舗一覧'!$E:$E,""),""))</f>
        <v/>
      </c>
      <c r="V4460" s="54" t="s">
        <v>2</v>
      </c>
      <c r="W4460" s="54" t="s">
        <v>2</v>
      </c>
      <c r="X4460" s="54" t="s">
        <v>2</v>
      </c>
      <c r="Y4460" s="54" t="s">
        <v>2</v>
      </c>
      <c r="Z4460" s="54" t="s">
        <v>2</v>
      </c>
      <c r="AA4460" s="54" t="s">
        <v>2</v>
      </c>
      <c r="AB4460" s="54" t="s">
        <v>2</v>
      </c>
      <c r="AC4460" s="54" t="s">
        <v>2</v>
      </c>
      <c r="AD4460" s="54" t="s">
        <v>2</v>
      </c>
      <c r="AE4460" s="54" t="s">
        <v>2</v>
      </c>
      <c r="AF4460" s="54" t="s">
        <v>2</v>
      </c>
      <c r="AG4460" s="54" t="s">
        <v>2</v>
      </c>
    </row>
    <row r="4461" ht="15.75" customHeight="1">
      <c r="B4461" s="56"/>
      <c r="U4461" s="46" t="str">
        <f t="array" ref="U4461">IF($D4461="","",IFERROR(_xlfn.XLOOKUP($D4461,'TIR店舗一覧'!$D:$D,'TIR店舗一覧'!$E:$E,""),""))</f>
        <v/>
      </c>
      <c r="V4461" s="54" t="s">
        <v>2</v>
      </c>
      <c r="W4461" s="54" t="s">
        <v>2</v>
      </c>
      <c r="X4461" s="54" t="s">
        <v>2</v>
      </c>
      <c r="Y4461" s="54" t="s">
        <v>2</v>
      </c>
      <c r="Z4461" s="54" t="s">
        <v>2</v>
      </c>
      <c r="AA4461" s="54" t="s">
        <v>2</v>
      </c>
      <c r="AB4461" s="54" t="s">
        <v>2</v>
      </c>
      <c r="AC4461" s="54" t="s">
        <v>2</v>
      </c>
      <c r="AD4461" s="54" t="s">
        <v>2</v>
      </c>
      <c r="AE4461" s="54" t="s">
        <v>2</v>
      </c>
      <c r="AF4461" s="54" t="s">
        <v>2</v>
      </c>
      <c r="AG4461" s="54" t="s">
        <v>2</v>
      </c>
    </row>
    <row r="4462" ht="15.75" customHeight="1">
      <c r="B4462" s="56"/>
      <c r="U4462" s="46" t="str">
        <f t="array" ref="U4462">IF($D4462="","",IFERROR(_xlfn.XLOOKUP($D4462,'TIR店舗一覧'!$D:$D,'TIR店舗一覧'!$E:$E,""),""))</f>
        <v/>
      </c>
      <c r="V4462" s="54" t="s">
        <v>2</v>
      </c>
      <c r="W4462" s="54" t="s">
        <v>2</v>
      </c>
      <c r="X4462" s="54" t="s">
        <v>2</v>
      </c>
      <c r="Y4462" s="54" t="s">
        <v>2</v>
      </c>
      <c r="Z4462" s="54" t="s">
        <v>2</v>
      </c>
      <c r="AA4462" s="54" t="s">
        <v>2</v>
      </c>
      <c r="AB4462" s="54" t="s">
        <v>2</v>
      </c>
      <c r="AC4462" s="54" t="s">
        <v>2</v>
      </c>
      <c r="AD4462" s="54" t="s">
        <v>2</v>
      </c>
      <c r="AE4462" s="54" t="s">
        <v>2</v>
      </c>
      <c r="AF4462" s="54" t="s">
        <v>2</v>
      </c>
      <c r="AG4462" s="54" t="s">
        <v>2</v>
      </c>
    </row>
    <row r="4463" ht="15.75" customHeight="1">
      <c r="B4463" s="56"/>
      <c r="U4463" s="46" t="str">
        <f t="array" ref="U4463">IF($D4463="","",IFERROR(_xlfn.XLOOKUP($D4463,'TIR店舗一覧'!$D:$D,'TIR店舗一覧'!$E:$E,""),""))</f>
        <v/>
      </c>
      <c r="V4463" s="54" t="s">
        <v>2</v>
      </c>
      <c r="W4463" s="54" t="s">
        <v>2</v>
      </c>
      <c r="X4463" s="54" t="s">
        <v>2</v>
      </c>
      <c r="Y4463" s="54" t="s">
        <v>2</v>
      </c>
      <c r="Z4463" s="54" t="s">
        <v>2</v>
      </c>
      <c r="AA4463" s="54" t="s">
        <v>2</v>
      </c>
      <c r="AB4463" s="54" t="s">
        <v>2</v>
      </c>
      <c r="AC4463" s="54" t="s">
        <v>2</v>
      </c>
      <c r="AD4463" s="54" t="s">
        <v>2</v>
      </c>
      <c r="AE4463" s="54" t="s">
        <v>2</v>
      </c>
      <c r="AF4463" s="54" t="s">
        <v>2</v>
      </c>
      <c r="AG4463" s="54" t="s">
        <v>2</v>
      </c>
    </row>
    <row r="4464" ht="15.75" customHeight="1">
      <c r="B4464" s="56"/>
      <c r="U4464" s="46" t="str">
        <f t="array" ref="U4464">IF($D4464="","",IFERROR(_xlfn.XLOOKUP($D4464,'TIR店舗一覧'!$D:$D,'TIR店舗一覧'!$E:$E,""),""))</f>
        <v/>
      </c>
      <c r="V4464" s="54" t="s">
        <v>2</v>
      </c>
      <c r="W4464" s="54" t="s">
        <v>2</v>
      </c>
      <c r="X4464" s="54" t="s">
        <v>2</v>
      </c>
      <c r="Y4464" s="54" t="s">
        <v>2</v>
      </c>
      <c r="Z4464" s="54" t="s">
        <v>2</v>
      </c>
      <c r="AA4464" s="54" t="s">
        <v>2</v>
      </c>
      <c r="AB4464" s="54" t="s">
        <v>2</v>
      </c>
      <c r="AC4464" s="54" t="s">
        <v>2</v>
      </c>
      <c r="AD4464" s="54" t="s">
        <v>2</v>
      </c>
      <c r="AE4464" s="54" t="s">
        <v>2</v>
      </c>
      <c r="AF4464" s="54" t="s">
        <v>2</v>
      </c>
      <c r="AG4464" s="54" t="s">
        <v>2</v>
      </c>
    </row>
    <row r="4465" ht="15.75" customHeight="1">
      <c r="B4465" s="56"/>
      <c r="U4465" s="46" t="str">
        <f t="array" ref="U4465">IF($D4465="","",IFERROR(_xlfn.XLOOKUP($D4465,'TIR店舗一覧'!$D:$D,'TIR店舗一覧'!$E:$E,""),""))</f>
        <v/>
      </c>
      <c r="V4465" s="54" t="s">
        <v>2</v>
      </c>
      <c r="W4465" s="54" t="s">
        <v>2</v>
      </c>
      <c r="X4465" s="54" t="s">
        <v>2</v>
      </c>
      <c r="Y4465" s="54" t="s">
        <v>2</v>
      </c>
      <c r="Z4465" s="54" t="s">
        <v>2</v>
      </c>
      <c r="AA4465" s="54" t="s">
        <v>2</v>
      </c>
      <c r="AB4465" s="54" t="s">
        <v>2</v>
      </c>
      <c r="AC4465" s="54" t="s">
        <v>2</v>
      </c>
      <c r="AD4465" s="54" t="s">
        <v>2</v>
      </c>
      <c r="AE4465" s="54" t="s">
        <v>2</v>
      </c>
      <c r="AF4465" s="54" t="s">
        <v>2</v>
      </c>
      <c r="AG4465" s="54" t="s">
        <v>2</v>
      </c>
    </row>
    <row r="4466" ht="15.75" customHeight="1">
      <c r="B4466" s="56"/>
      <c r="U4466" s="46" t="str">
        <f t="array" ref="U4466">IF($D4466="","",IFERROR(_xlfn.XLOOKUP($D4466,'TIR店舗一覧'!$D:$D,'TIR店舗一覧'!$E:$E,""),""))</f>
        <v/>
      </c>
      <c r="V4466" s="54" t="s">
        <v>2</v>
      </c>
      <c r="W4466" s="54" t="s">
        <v>2</v>
      </c>
      <c r="X4466" s="54" t="s">
        <v>2</v>
      </c>
      <c r="Y4466" s="54" t="s">
        <v>2</v>
      </c>
      <c r="Z4466" s="54" t="s">
        <v>2</v>
      </c>
      <c r="AA4466" s="54" t="s">
        <v>2</v>
      </c>
      <c r="AB4466" s="54" t="s">
        <v>2</v>
      </c>
      <c r="AC4466" s="54" t="s">
        <v>2</v>
      </c>
      <c r="AD4466" s="54" t="s">
        <v>2</v>
      </c>
      <c r="AE4466" s="54" t="s">
        <v>2</v>
      </c>
      <c r="AF4466" s="54" t="s">
        <v>2</v>
      </c>
      <c r="AG4466" s="54" t="s">
        <v>2</v>
      </c>
    </row>
    <row r="4467" ht="15.75" customHeight="1">
      <c r="B4467" s="56"/>
      <c r="U4467" s="46" t="str">
        <f t="array" ref="U4467">IF($D4467="","",IFERROR(_xlfn.XLOOKUP($D4467,'TIR店舗一覧'!$D:$D,'TIR店舗一覧'!$E:$E,""),""))</f>
        <v/>
      </c>
      <c r="V4467" s="54" t="s">
        <v>2</v>
      </c>
      <c r="W4467" s="54" t="s">
        <v>2</v>
      </c>
      <c r="X4467" s="54" t="s">
        <v>2</v>
      </c>
      <c r="Y4467" s="54" t="s">
        <v>2</v>
      </c>
      <c r="Z4467" s="54" t="s">
        <v>2</v>
      </c>
      <c r="AA4467" s="54" t="s">
        <v>2</v>
      </c>
      <c r="AB4467" s="54" t="s">
        <v>2</v>
      </c>
      <c r="AC4467" s="54" t="s">
        <v>2</v>
      </c>
      <c r="AD4467" s="54" t="s">
        <v>2</v>
      </c>
      <c r="AE4467" s="54" t="s">
        <v>2</v>
      </c>
      <c r="AF4467" s="54" t="s">
        <v>2</v>
      </c>
      <c r="AG4467" s="54" t="s">
        <v>2</v>
      </c>
    </row>
    <row r="4468" ht="15.75" customHeight="1">
      <c r="B4468" s="56"/>
      <c r="U4468" s="46" t="str">
        <f t="array" ref="U4468">IF($D4468="","",IFERROR(_xlfn.XLOOKUP($D4468,'TIR店舗一覧'!$D:$D,'TIR店舗一覧'!$E:$E,""),""))</f>
        <v/>
      </c>
      <c r="V4468" s="54" t="s">
        <v>2</v>
      </c>
      <c r="W4468" s="54" t="s">
        <v>2</v>
      </c>
      <c r="X4468" s="54" t="s">
        <v>2</v>
      </c>
      <c r="Y4468" s="54" t="s">
        <v>2</v>
      </c>
      <c r="Z4468" s="54" t="s">
        <v>2</v>
      </c>
      <c r="AA4468" s="54" t="s">
        <v>2</v>
      </c>
      <c r="AB4468" s="54" t="s">
        <v>2</v>
      </c>
      <c r="AC4468" s="54" t="s">
        <v>2</v>
      </c>
      <c r="AD4468" s="54" t="s">
        <v>2</v>
      </c>
      <c r="AE4468" s="54" t="s">
        <v>2</v>
      </c>
      <c r="AF4468" s="54" t="s">
        <v>2</v>
      </c>
      <c r="AG4468" s="54" t="s">
        <v>2</v>
      </c>
    </row>
    <row r="4469" ht="15.75" customHeight="1">
      <c r="B4469" s="56"/>
      <c r="U4469" s="46" t="str">
        <f t="array" ref="U4469">IF($D4469="","",IFERROR(_xlfn.XLOOKUP($D4469,'TIR店舗一覧'!$D:$D,'TIR店舗一覧'!$E:$E,""),""))</f>
        <v/>
      </c>
      <c r="V4469" s="54" t="s">
        <v>2</v>
      </c>
      <c r="W4469" s="54" t="s">
        <v>2</v>
      </c>
      <c r="X4469" s="54" t="s">
        <v>2</v>
      </c>
      <c r="Y4469" s="54" t="s">
        <v>2</v>
      </c>
      <c r="Z4469" s="54" t="s">
        <v>2</v>
      </c>
      <c r="AA4469" s="54" t="s">
        <v>2</v>
      </c>
      <c r="AB4469" s="54" t="s">
        <v>2</v>
      </c>
      <c r="AC4469" s="54" t="s">
        <v>2</v>
      </c>
      <c r="AD4469" s="54" t="s">
        <v>2</v>
      </c>
      <c r="AE4469" s="54" t="s">
        <v>2</v>
      </c>
      <c r="AF4469" s="54" t="s">
        <v>2</v>
      </c>
      <c r="AG4469" s="54" t="s">
        <v>2</v>
      </c>
    </row>
    <row r="4470" ht="15.75" customHeight="1">
      <c r="B4470" s="56"/>
      <c r="U4470" s="46" t="str">
        <f t="array" ref="U4470">IF($D4470="","",IFERROR(_xlfn.XLOOKUP($D4470,'TIR店舗一覧'!$D:$D,'TIR店舗一覧'!$E:$E,""),""))</f>
        <v/>
      </c>
      <c r="V4470" s="54" t="s">
        <v>2</v>
      </c>
      <c r="W4470" s="54" t="s">
        <v>2</v>
      </c>
      <c r="X4470" s="54" t="s">
        <v>2</v>
      </c>
      <c r="Y4470" s="54" t="s">
        <v>2</v>
      </c>
      <c r="Z4470" s="54" t="s">
        <v>2</v>
      </c>
      <c r="AA4470" s="54" t="s">
        <v>2</v>
      </c>
      <c r="AB4470" s="54" t="s">
        <v>2</v>
      </c>
      <c r="AC4470" s="54" t="s">
        <v>2</v>
      </c>
      <c r="AD4470" s="54" t="s">
        <v>2</v>
      </c>
      <c r="AE4470" s="54" t="s">
        <v>2</v>
      </c>
      <c r="AF4470" s="54" t="s">
        <v>2</v>
      </c>
      <c r="AG4470" s="54" t="s">
        <v>2</v>
      </c>
    </row>
    <row r="4471" ht="15.75" customHeight="1">
      <c r="B4471" s="56"/>
      <c r="U4471" s="46" t="str">
        <f t="array" ref="U4471">IF($D4471="","",IFERROR(_xlfn.XLOOKUP($D4471,'TIR店舗一覧'!$D:$D,'TIR店舗一覧'!$E:$E,""),""))</f>
        <v/>
      </c>
      <c r="V4471" s="54" t="s">
        <v>2</v>
      </c>
      <c r="W4471" s="54" t="s">
        <v>2</v>
      </c>
      <c r="X4471" s="54" t="s">
        <v>2</v>
      </c>
      <c r="Y4471" s="54" t="s">
        <v>2</v>
      </c>
      <c r="Z4471" s="54" t="s">
        <v>2</v>
      </c>
      <c r="AA4471" s="54" t="s">
        <v>2</v>
      </c>
      <c r="AB4471" s="54" t="s">
        <v>2</v>
      </c>
      <c r="AC4471" s="54" t="s">
        <v>2</v>
      </c>
      <c r="AD4471" s="54" t="s">
        <v>2</v>
      </c>
      <c r="AE4471" s="54" t="s">
        <v>2</v>
      </c>
      <c r="AF4471" s="54" t="s">
        <v>2</v>
      </c>
      <c r="AG4471" s="54" t="s">
        <v>2</v>
      </c>
    </row>
    <row r="4472" ht="15.75" customHeight="1">
      <c r="B4472" s="56"/>
      <c r="U4472" s="46" t="str">
        <f t="array" ref="U4472">IF($D4472="","",IFERROR(_xlfn.XLOOKUP($D4472,'TIR店舗一覧'!$D:$D,'TIR店舗一覧'!$E:$E,""),""))</f>
        <v/>
      </c>
      <c r="V4472" s="54" t="s">
        <v>2</v>
      </c>
      <c r="W4472" s="54" t="s">
        <v>2</v>
      </c>
      <c r="X4472" s="54" t="s">
        <v>2</v>
      </c>
      <c r="Y4472" s="54" t="s">
        <v>2</v>
      </c>
      <c r="Z4472" s="54" t="s">
        <v>2</v>
      </c>
      <c r="AA4472" s="54" t="s">
        <v>2</v>
      </c>
      <c r="AB4472" s="54" t="s">
        <v>2</v>
      </c>
      <c r="AC4472" s="54" t="s">
        <v>2</v>
      </c>
      <c r="AD4472" s="54" t="s">
        <v>2</v>
      </c>
      <c r="AE4472" s="54" t="s">
        <v>2</v>
      </c>
      <c r="AF4472" s="54" t="s">
        <v>2</v>
      </c>
      <c r="AG4472" s="54" t="s">
        <v>2</v>
      </c>
    </row>
    <row r="4473" ht="15.75" customHeight="1">
      <c r="B4473" s="56"/>
      <c r="U4473" s="46" t="str">
        <f t="array" ref="U4473">IF($D4473="","",IFERROR(_xlfn.XLOOKUP($D4473,'TIR店舗一覧'!$D:$D,'TIR店舗一覧'!$E:$E,""),""))</f>
        <v/>
      </c>
      <c r="V4473" s="54" t="s">
        <v>2</v>
      </c>
      <c r="W4473" s="54" t="s">
        <v>2</v>
      </c>
      <c r="X4473" s="54" t="s">
        <v>2</v>
      </c>
      <c r="Y4473" s="54" t="s">
        <v>2</v>
      </c>
      <c r="Z4473" s="54" t="s">
        <v>2</v>
      </c>
      <c r="AA4473" s="54" t="s">
        <v>2</v>
      </c>
      <c r="AB4473" s="54" t="s">
        <v>2</v>
      </c>
      <c r="AC4473" s="54" t="s">
        <v>2</v>
      </c>
      <c r="AD4473" s="54" t="s">
        <v>2</v>
      </c>
      <c r="AE4473" s="54" t="s">
        <v>2</v>
      </c>
      <c r="AF4473" s="54" t="s">
        <v>2</v>
      </c>
      <c r="AG4473" s="54" t="s">
        <v>2</v>
      </c>
    </row>
    <row r="4474" ht="15.75" customHeight="1">
      <c r="B4474" s="56"/>
      <c r="U4474" s="46" t="str">
        <f t="array" ref="U4474">IF($D4474="","",IFERROR(_xlfn.XLOOKUP($D4474,'TIR店舗一覧'!$D:$D,'TIR店舗一覧'!$E:$E,""),""))</f>
        <v/>
      </c>
      <c r="V4474" s="54" t="s">
        <v>2</v>
      </c>
      <c r="W4474" s="54" t="s">
        <v>2</v>
      </c>
      <c r="X4474" s="54" t="s">
        <v>2</v>
      </c>
      <c r="Y4474" s="54" t="s">
        <v>2</v>
      </c>
      <c r="Z4474" s="54" t="s">
        <v>2</v>
      </c>
      <c r="AA4474" s="54" t="s">
        <v>2</v>
      </c>
      <c r="AB4474" s="54" t="s">
        <v>2</v>
      </c>
      <c r="AC4474" s="54" t="s">
        <v>2</v>
      </c>
      <c r="AD4474" s="54" t="s">
        <v>2</v>
      </c>
      <c r="AE4474" s="54" t="s">
        <v>2</v>
      </c>
      <c r="AF4474" s="54" t="s">
        <v>2</v>
      </c>
      <c r="AG4474" s="54" t="s">
        <v>2</v>
      </c>
    </row>
    <row r="4475" ht="15.75" customHeight="1">
      <c r="B4475" s="56"/>
      <c r="U4475" s="46" t="str">
        <f t="array" ref="U4475">IF($D4475="","",IFERROR(_xlfn.XLOOKUP($D4475,'TIR店舗一覧'!$D:$D,'TIR店舗一覧'!$E:$E,""),""))</f>
        <v/>
      </c>
      <c r="V4475" s="54" t="s">
        <v>2</v>
      </c>
      <c r="W4475" s="54" t="s">
        <v>2</v>
      </c>
      <c r="X4475" s="54" t="s">
        <v>2</v>
      </c>
      <c r="Y4475" s="54" t="s">
        <v>2</v>
      </c>
      <c r="Z4475" s="54" t="s">
        <v>2</v>
      </c>
      <c r="AA4475" s="54" t="s">
        <v>2</v>
      </c>
      <c r="AB4475" s="54" t="s">
        <v>2</v>
      </c>
      <c r="AC4475" s="54" t="s">
        <v>2</v>
      </c>
      <c r="AD4475" s="54" t="s">
        <v>2</v>
      </c>
      <c r="AE4475" s="54" t="s">
        <v>2</v>
      </c>
      <c r="AF4475" s="54" t="s">
        <v>2</v>
      </c>
      <c r="AG4475" s="54" t="s">
        <v>2</v>
      </c>
    </row>
    <row r="4476" ht="15.75" customHeight="1">
      <c r="B4476" s="56"/>
      <c r="U4476" s="46" t="str">
        <f t="array" ref="U4476">IF($D4476="","",IFERROR(_xlfn.XLOOKUP($D4476,'TIR店舗一覧'!$D:$D,'TIR店舗一覧'!$E:$E,""),""))</f>
        <v/>
      </c>
      <c r="V4476" s="54" t="s">
        <v>2</v>
      </c>
      <c r="W4476" s="54" t="s">
        <v>2</v>
      </c>
      <c r="X4476" s="54" t="s">
        <v>2</v>
      </c>
      <c r="Y4476" s="54" t="s">
        <v>2</v>
      </c>
      <c r="Z4476" s="54" t="s">
        <v>2</v>
      </c>
      <c r="AA4476" s="54" t="s">
        <v>2</v>
      </c>
      <c r="AB4476" s="54" t="s">
        <v>2</v>
      </c>
      <c r="AC4476" s="54" t="s">
        <v>2</v>
      </c>
      <c r="AD4476" s="54" t="s">
        <v>2</v>
      </c>
      <c r="AE4476" s="54" t="s">
        <v>2</v>
      </c>
      <c r="AF4476" s="54" t="s">
        <v>2</v>
      </c>
      <c r="AG4476" s="54" t="s">
        <v>2</v>
      </c>
    </row>
    <row r="4477" ht="15.75" customHeight="1">
      <c r="B4477" s="56"/>
      <c r="U4477" s="46" t="str">
        <f t="array" ref="U4477">IF($D4477="","",IFERROR(_xlfn.XLOOKUP($D4477,'TIR店舗一覧'!$D:$D,'TIR店舗一覧'!$E:$E,""),""))</f>
        <v/>
      </c>
      <c r="V4477" s="54" t="s">
        <v>2</v>
      </c>
      <c r="W4477" s="54" t="s">
        <v>2</v>
      </c>
      <c r="X4477" s="54" t="s">
        <v>2</v>
      </c>
      <c r="Y4477" s="54" t="s">
        <v>2</v>
      </c>
      <c r="Z4477" s="54" t="s">
        <v>2</v>
      </c>
      <c r="AA4477" s="54" t="s">
        <v>2</v>
      </c>
      <c r="AB4477" s="54" t="s">
        <v>2</v>
      </c>
      <c r="AC4477" s="54" t="s">
        <v>2</v>
      </c>
      <c r="AD4477" s="54" t="s">
        <v>2</v>
      </c>
      <c r="AE4477" s="54" t="s">
        <v>2</v>
      </c>
      <c r="AF4477" s="54" t="s">
        <v>2</v>
      </c>
      <c r="AG4477" s="54" t="s">
        <v>2</v>
      </c>
    </row>
    <row r="4478" ht="15.75" customHeight="1">
      <c r="B4478" s="56"/>
      <c r="U4478" s="46" t="str">
        <f t="array" ref="U4478">IF($D4478="","",IFERROR(_xlfn.XLOOKUP($D4478,'TIR店舗一覧'!$D:$D,'TIR店舗一覧'!$E:$E,""),""))</f>
        <v/>
      </c>
      <c r="V4478" s="54" t="s">
        <v>2</v>
      </c>
      <c r="W4478" s="54" t="s">
        <v>2</v>
      </c>
      <c r="X4478" s="54" t="s">
        <v>2</v>
      </c>
      <c r="Y4478" s="54" t="s">
        <v>2</v>
      </c>
      <c r="Z4478" s="54" t="s">
        <v>2</v>
      </c>
      <c r="AA4478" s="54" t="s">
        <v>2</v>
      </c>
      <c r="AB4478" s="54" t="s">
        <v>2</v>
      </c>
      <c r="AC4478" s="54" t="s">
        <v>2</v>
      </c>
      <c r="AD4478" s="54" t="s">
        <v>2</v>
      </c>
      <c r="AE4478" s="54" t="s">
        <v>2</v>
      </c>
      <c r="AF4478" s="54" t="s">
        <v>2</v>
      </c>
      <c r="AG4478" s="54" t="s">
        <v>2</v>
      </c>
    </row>
    <row r="4479" ht="15.75" customHeight="1">
      <c r="B4479" s="56"/>
      <c r="U4479" s="46" t="str">
        <f t="array" ref="U4479">IF($D4479="","",IFERROR(_xlfn.XLOOKUP($D4479,'TIR店舗一覧'!$D:$D,'TIR店舗一覧'!$E:$E,""),""))</f>
        <v/>
      </c>
      <c r="V4479" s="54" t="s">
        <v>2</v>
      </c>
      <c r="W4479" s="54" t="s">
        <v>2</v>
      </c>
      <c r="X4479" s="54" t="s">
        <v>2</v>
      </c>
      <c r="Y4479" s="54" t="s">
        <v>2</v>
      </c>
      <c r="Z4479" s="54" t="s">
        <v>2</v>
      </c>
      <c r="AA4479" s="54" t="s">
        <v>2</v>
      </c>
      <c r="AB4479" s="54" t="s">
        <v>2</v>
      </c>
      <c r="AC4479" s="54" t="s">
        <v>2</v>
      </c>
      <c r="AD4479" s="54" t="s">
        <v>2</v>
      </c>
      <c r="AE4479" s="54" t="s">
        <v>2</v>
      </c>
      <c r="AF4479" s="54" t="s">
        <v>2</v>
      </c>
      <c r="AG4479" s="54" t="s">
        <v>2</v>
      </c>
    </row>
    <row r="4480" ht="15.75" customHeight="1">
      <c r="B4480" s="56"/>
      <c r="U4480" s="46" t="str">
        <f t="array" ref="U4480">IF($D4480="","",IFERROR(_xlfn.XLOOKUP($D4480,'TIR店舗一覧'!$D:$D,'TIR店舗一覧'!$E:$E,""),""))</f>
        <v/>
      </c>
      <c r="V4480" s="54" t="s">
        <v>2</v>
      </c>
      <c r="W4480" s="54" t="s">
        <v>2</v>
      </c>
      <c r="X4480" s="54" t="s">
        <v>2</v>
      </c>
      <c r="Y4480" s="54" t="s">
        <v>2</v>
      </c>
      <c r="Z4480" s="54" t="s">
        <v>2</v>
      </c>
      <c r="AA4480" s="54" t="s">
        <v>2</v>
      </c>
      <c r="AB4480" s="54" t="s">
        <v>2</v>
      </c>
      <c r="AC4480" s="54" t="s">
        <v>2</v>
      </c>
      <c r="AD4480" s="54" t="s">
        <v>2</v>
      </c>
      <c r="AE4480" s="54" t="s">
        <v>2</v>
      </c>
      <c r="AF4480" s="54" t="s">
        <v>2</v>
      </c>
      <c r="AG4480" s="54" t="s">
        <v>2</v>
      </c>
    </row>
    <row r="4481" ht="15.75" customHeight="1">
      <c r="B4481" s="56"/>
      <c r="U4481" s="46" t="str">
        <f t="array" ref="U4481">IF($D4481="","",IFERROR(_xlfn.XLOOKUP($D4481,'TIR店舗一覧'!$D:$D,'TIR店舗一覧'!$E:$E,""),""))</f>
        <v/>
      </c>
      <c r="V4481" s="54" t="s">
        <v>2</v>
      </c>
      <c r="W4481" s="54" t="s">
        <v>2</v>
      </c>
      <c r="X4481" s="54" t="s">
        <v>2</v>
      </c>
      <c r="Y4481" s="54" t="s">
        <v>2</v>
      </c>
      <c r="Z4481" s="54" t="s">
        <v>2</v>
      </c>
      <c r="AA4481" s="54" t="s">
        <v>2</v>
      </c>
      <c r="AB4481" s="54" t="s">
        <v>2</v>
      </c>
      <c r="AC4481" s="54" t="s">
        <v>2</v>
      </c>
      <c r="AD4481" s="54" t="s">
        <v>2</v>
      </c>
      <c r="AE4481" s="54" t="s">
        <v>2</v>
      </c>
      <c r="AF4481" s="54" t="s">
        <v>2</v>
      </c>
      <c r="AG4481" s="54" t="s">
        <v>2</v>
      </c>
    </row>
    <row r="4482" ht="15.75" customHeight="1">
      <c r="B4482" s="56"/>
      <c r="U4482" s="46" t="str">
        <f t="array" ref="U4482">IF($D4482="","",IFERROR(_xlfn.XLOOKUP($D4482,'TIR店舗一覧'!$D:$D,'TIR店舗一覧'!$E:$E,""),""))</f>
        <v/>
      </c>
      <c r="V4482" s="54" t="s">
        <v>2</v>
      </c>
      <c r="W4482" s="54" t="s">
        <v>2</v>
      </c>
      <c r="X4482" s="54" t="s">
        <v>2</v>
      </c>
      <c r="Y4482" s="54" t="s">
        <v>2</v>
      </c>
      <c r="Z4482" s="54" t="s">
        <v>2</v>
      </c>
      <c r="AA4482" s="54" t="s">
        <v>2</v>
      </c>
      <c r="AB4482" s="54" t="s">
        <v>2</v>
      </c>
      <c r="AC4482" s="54" t="s">
        <v>2</v>
      </c>
      <c r="AD4482" s="54" t="s">
        <v>2</v>
      </c>
      <c r="AE4482" s="54" t="s">
        <v>2</v>
      </c>
      <c r="AF4482" s="54" t="s">
        <v>2</v>
      </c>
      <c r="AG4482" s="54" t="s">
        <v>2</v>
      </c>
    </row>
    <row r="4483" ht="15.75" customHeight="1">
      <c r="B4483" s="56"/>
      <c r="U4483" s="46" t="str">
        <f t="array" ref="U4483">IF($D4483="","",IFERROR(_xlfn.XLOOKUP($D4483,'TIR店舗一覧'!$D:$D,'TIR店舗一覧'!$E:$E,""),""))</f>
        <v/>
      </c>
      <c r="V4483" s="54" t="s">
        <v>2</v>
      </c>
      <c r="W4483" s="54" t="s">
        <v>2</v>
      </c>
      <c r="X4483" s="54" t="s">
        <v>2</v>
      </c>
      <c r="Y4483" s="54" t="s">
        <v>2</v>
      </c>
      <c r="Z4483" s="54" t="s">
        <v>2</v>
      </c>
      <c r="AA4483" s="54" t="s">
        <v>2</v>
      </c>
      <c r="AB4483" s="54" t="s">
        <v>2</v>
      </c>
      <c r="AC4483" s="54" t="s">
        <v>2</v>
      </c>
      <c r="AD4483" s="54" t="s">
        <v>2</v>
      </c>
      <c r="AE4483" s="54" t="s">
        <v>2</v>
      </c>
      <c r="AF4483" s="54" t="s">
        <v>2</v>
      </c>
      <c r="AG4483" s="54" t="s">
        <v>2</v>
      </c>
    </row>
    <row r="4484" ht="15.75" customHeight="1">
      <c r="B4484" s="56"/>
      <c r="U4484" s="46" t="str">
        <f t="array" ref="U4484">IF($D4484="","",IFERROR(_xlfn.XLOOKUP($D4484,'TIR店舗一覧'!$D:$D,'TIR店舗一覧'!$E:$E,""),""))</f>
        <v/>
      </c>
      <c r="V4484" s="54" t="s">
        <v>2</v>
      </c>
      <c r="W4484" s="54" t="s">
        <v>2</v>
      </c>
      <c r="X4484" s="54" t="s">
        <v>2</v>
      </c>
      <c r="Y4484" s="54" t="s">
        <v>2</v>
      </c>
      <c r="Z4484" s="54" t="s">
        <v>2</v>
      </c>
      <c r="AA4484" s="54" t="s">
        <v>2</v>
      </c>
      <c r="AB4484" s="54" t="s">
        <v>2</v>
      </c>
      <c r="AC4484" s="54" t="s">
        <v>2</v>
      </c>
      <c r="AD4484" s="54" t="s">
        <v>2</v>
      </c>
      <c r="AE4484" s="54" t="s">
        <v>2</v>
      </c>
      <c r="AF4484" s="54" t="s">
        <v>2</v>
      </c>
      <c r="AG4484" s="54" t="s">
        <v>2</v>
      </c>
    </row>
    <row r="4485" ht="15.75" customHeight="1">
      <c r="B4485" s="56"/>
      <c r="U4485" s="46" t="str">
        <f t="array" ref="U4485">IF($D4485="","",IFERROR(_xlfn.XLOOKUP($D4485,'TIR店舗一覧'!$D:$D,'TIR店舗一覧'!$E:$E,""),""))</f>
        <v/>
      </c>
      <c r="V4485" s="54" t="s">
        <v>2</v>
      </c>
      <c r="W4485" s="54" t="s">
        <v>2</v>
      </c>
      <c r="X4485" s="54" t="s">
        <v>2</v>
      </c>
      <c r="Y4485" s="54" t="s">
        <v>2</v>
      </c>
      <c r="Z4485" s="54" t="s">
        <v>2</v>
      </c>
      <c r="AA4485" s="54" t="s">
        <v>2</v>
      </c>
      <c r="AB4485" s="54" t="s">
        <v>2</v>
      </c>
      <c r="AC4485" s="54" t="s">
        <v>2</v>
      </c>
      <c r="AD4485" s="54" t="s">
        <v>2</v>
      </c>
      <c r="AE4485" s="54" t="s">
        <v>2</v>
      </c>
      <c r="AF4485" s="54" t="s">
        <v>2</v>
      </c>
      <c r="AG4485" s="54" t="s">
        <v>2</v>
      </c>
    </row>
    <row r="4486" ht="15.75" customHeight="1">
      <c r="B4486" s="56"/>
      <c r="U4486" s="46" t="str">
        <f t="array" ref="U4486">IF($D4486="","",IFERROR(_xlfn.XLOOKUP($D4486,'TIR店舗一覧'!$D:$D,'TIR店舗一覧'!$E:$E,""),""))</f>
        <v/>
      </c>
      <c r="V4486" s="54" t="s">
        <v>2</v>
      </c>
      <c r="W4486" s="54" t="s">
        <v>2</v>
      </c>
      <c r="X4486" s="54" t="s">
        <v>2</v>
      </c>
      <c r="Y4486" s="54" t="s">
        <v>2</v>
      </c>
      <c r="Z4486" s="54" t="s">
        <v>2</v>
      </c>
      <c r="AA4486" s="54" t="s">
        <v>2</v>
      </c>
      <c r="AB4486" s="54" t="s">
        <v>2</v>
      </c>
      <c r="AC4486" s="54" t="s">
        <v>2</v>
      </c>
      <c r="AD4486" s="54" t="s">
        <v>2</v>
      </c>
      <c r="AE4486" s="54" t="s">
        <v>2</v>
      </c>
      <c r="AF4486" s="54" t="s">
        <v>2</v>
      </c>
      <c r="AG4486" s="54" t="s">
        <v>2</v>
      </c>
    </row>
    <row r="4487" ht="15.75" customHeight="1">
      <c r="B4487" s="56"/>
      <c r="U4487" s="46" t="str">
        <f t="array" ref="U4487">IF($D4487="","",IFERROR(_xlfn.XLOOKUP($D4487,'TIR店舗一覧'!$D:$D,'TIR店舗一覧'!$E:$E,""),""))</f>
        <v/>
      </c>
      <c r="V4487" s="54" t="s">
        <v>2</v>
      </c>
      <c r="W4487" s="54" t="s">
        <v>2</v>
      </c>
      <c r="X4487" s="54" t="s">
        <v>2</v>
      </c>
      <c r="Y4487" s="54" t="s">
        <v>2</v>
      </c>
      <c r="Z4487" s="54" t="s">
        <v>2</v>
      </c>
      <c r="AA4487" s="54" t="s">
        <v>2</v>
      </c>
      <c r="AB4487" s="54" t="s">
        <v>2</v>
      </c>
      <c r="AC4487" s="54" t="s">
        <v>2</v>
      </c>
      <c r="AD4487" s="54" t="s">
        <v>2</v>
      </c>
      <c r="AE4487" s="54" t="s">
        <v>2</v>
      </c>
      <c r="AF4487" s="54" t="s">
        <v>2</v>
      </c>
      <c r="AG4487" s="54" t="s">
        <v>2</v>
      </c>
    </row>
    <row r="4488" ht="15.75" customHeight="1">
      <c r="B4488" s="56"/>
      <c r="U4488" s="46" t="str">
        <f t="array" ref="U4488">IF($D4488="","",IFERROR(_xlfn.XLOOKUP($D4488,'TIR店舗一覧'!$D:$D,'TIR店舗一覧'!$E:$E,""),""))</f>
        <v/>
      </c>
      <c r="V4488" s="54" t="s">
        <v>2</v>
      </c>
      <c r="W4488" s="54" t="s">
        <v>2</v>
      </c>
      <c r="X4488" s="54" t="s">
        <v>2</v>
      </c>
      <c r="Y4488" s="54" t="s">
        <v>2</v>
      </c>
      <c r="Z4488" s="54" t="s">
        <v>2</v>
      </c>
      <c r="AA4488" s="54" t="s">
        <v>2</v>
      </c>
      <c r="AB4488" s="54" t="s">
        <v>2</v>
      </c>
      <c r="AC4488" s="54" t="s">
        <v>2</v>
      </c>
      <c r="AD4488" s="54" t="s">
        <v>2</v>
      </c>
      <c r="AE4488" s="54" t="s">
        <v>2</v>
      </c>
      <c r="AF4488" s="54" t="s">
        <v>2</v>
      </c>
      <c r="AG4488" s="54" t="s">
        <v>2</v>
      </c>
    </row>
    <row r="4489" ht="15.75" customHeight="1">
      <c r="B4489" s="56"/>
      <c r="U4489" s="46" t="str">
        <f t="array" ref="U4489">IF($D4489="","",IFERROR(_xlfn.XLOOKUP($D4489,'TIR店舗一覧'!$D:$D,'TIR店舗一覧'!$E:$E,""),""))</f>
        <v/>
      </c>
      <c r="V4489" s="54" t="s">
        <v>2</v>
      </c>
      <c r="W4489" s="54" t="s">
        <v>2</v>
      </c>
      <c r="X4489" s="54" t="s">
        <v>2</v>
      </c>
      <c r="Y4489" s="54" t="s">
        <v>2</v>
      </c>
      <c r="Z4489" s="54" t="s">
        <v>2</v>
      </c>
      <c r="AA4489" s="54" t="s">
        <v>2</v>
      </c>
      <c r="AB4489" s="54" t="s">
        <v>2</v>
      </c>
      <c r="AC4489" s="54" t="s">
        <v>2</v>
      </c>
      <c r="AD4489" s="54" t="s">
        <v>2</v>
      </c>
      <c r="AE4489" s="54" t="s">
        <v>2</v>
      </c>
      <c r="AF4489" s="54" t="s">
        <v>2</v>
      </c>
      <c r="AG4489" s="54" t="s">
        <v>2</v>
      </c>
    </row>
    <row r="4490" ht="15.75" customHeight="1">
      <c r="B4490" s="56"/>
      <c r="U4490" s="46" t="str">
        <f t="array" ref="U4490">IF($D4490="","",IFERROR(_xlfn.XLOOKUP($D4490,'TIR店舗一覧'!$D:$D,'TIR店舗一覧'!$E:$E,""),""))</f>
        <v/>
      </c>
      <c r="V4490" s="54" t="s">
        <v>2</v>
      </c>
      <c r="W4490" s="54" t="s">
        <v>2</v>
      </c>
      <c r="X4490" s="54" t="s">
        <v>2</v>
      </c>
      <c r="Y4490" s="54" t="s">
        <v>2</v>
      </c>
      <c r="Z4490" s="54" t="s">
        <v>2</v>
      </c>
      <c r="AA4490" s="54" t="s">
        <v>2</v>
      </c>
      <c r="AB4490" s="54" t="s">
        <v>2</v>
      </c>
      <c r="AC4490" s="54" t="s">
        <v>2</v>
      </c>
      <c r="AD4490" s="54" t="s">
        <v>2</v>
      </c>
      <c r="AE4490" s="54" t="s">
        <v>2</v>
      </c>
      <c r="AF4490" s="54" t="s">
        <v>2</v>
      </c>
      <c r="AG4490" s="54" t="s">
        <v>2</v>
      </c>
    </row>
    <row r="4491" ht="15.75" customHeight="1">
      <c r="B4491" s="56"/>
      <c r="U4491" s="46" t="str">
        <f t="array" ref="U4491">IF($D4491="","",IFERROR(_xlfn.XLOOKUP($D4491,'TIR店舗一覧'!$D:$D,'TIR店舗一覧'!$E:$E,""),""))</f>
        <v/>
      </c>
      <c r="V4491" s="54" t="s">
        <v>2</v>
      </c>
      <c r="W4491" s="54" t="s">
        <v>2</v>
      </c>
      <c r="X4491" s="54" t="s">
        <v>2</v>
      </c>
      <c r="Y4491" s="54" t="s">
        <v>2</v>
      </c>
      <c r="Z4491" s="54" t="s">
        <v>2</v>
      </c>
      <c r="AA4491" s="54" t="s">
        <v>2</v>
      </c>
      <c r="AB4491" s="54" t="s">
        <v>2</v>
      </c>
      <c r="AC4491" s="54" t="s">
        <v>2</v>
      </c>
      <c r="AD4491" s="54" t="s">
        <v>2</v>
      </c>
      <c r="AE4491" s="54" t="s">
        <v>2</v>
      </c>
      <c r="AF4491" s="54" t="s">
        <v>2</v>
      </c>
      <c r="AG4491" s="54" t="s">
        <v>2</v>
      </c>
    </row>
    <row r="4492" ht="15.75" customHeight="1">
      <c r="B4492" s="56"/>
      <c r="U4492" s="46" t="str">
        <f t="array" ref="U4492">IF($D4492="","",IFERROR(_xlfn.XLOOKUP($D4492,'TIR店舗一覧'!$D:$D,'TIR店舗一覧'!$E:$E,""),""))</f>
        <v/>
      </c>
      <c r="V4492" s="54" t="s">
        <v>2</v>
      </c>
      <c r="W4492" s="54" t="s">
        <v>2</v>
      </c>
      <c r="X4492" s="54" t="s">
        <v>2</v>
      </c>
      <c r="Y4492" s="54" t="s">
        <v>2</v>
      </c>
      <c r="Z4492" s="54" t="s">
        <v>2</v>
      </c>
      <c r="AA4492" s="54" t="s">
        <v>2</v>
      </c>
      <c r="AB4492" s="54" t="s">
        <v>2</v>
      </c>
      <c r="AC4492" s="54" t="s">
        <v>2</v>
      </c>
      <c r="AD4492" s="54" t="s">
        <v>2</v>
      </c>
      <c r="AE4492" s="54" t="s">
        <v>2</v>
      </c>
      <c r="AF4492" s="54" t="s">
        <v>2</v>
      </c>
      <c r="AG4492" s="54" t="s">
        <v>2</v>
      </c>
    </row>
    <row r="4493" ht="15.75" customHeight="1">
      <c r="B4493" s="56"/>
      <c r="U4493" s="46" t="str">
        <f t="array" ref="U4493">IF($D4493="","",IFERROR(_xlfn.XLOOKUP($D4493,'TIR店舗一覧'!$D:$D,'TIR店舗一覧'!$E:$E,""),""))</f>
        <v/>
      </c>
      <c r="V4493" s="54" t="s">
        <v>2</v>
      </c>
      <c r="W4493" s="54" t="s">
        <v>2</v>
      </c>
      <c r="X4493" s="54" t="s">
        <v>2</v>
      </c>
      <c r="Y4493" s="54" t="s">
        <v>2</v>
      </c>
      <c r="Z4493" s="54" t="s">
        <v>2</v>
      </c>
      <c r="AA4493" s="54" t="s">
        <v>2</v>
      </c>
      <c r="AB4493" s="54" t="s">
        <v>2</v>
      </c>
      <c r="AC4493" s="54" t="s">
        <v>2</v>
      </c>
      <c r="AD4493" s="54" t="s">
        <v>2</v>
      </c>
      <c r="AE4493" s="54" t="s">
        <v>2</v>
      </c>
      <c r="AF4493" s="54" t="s">
        <v>2</v>
      </c>
      <c r="AG4493" s="54" t="s">
        <v>2</v>
      </c>
    </row>
    <row r="4494" ht="15.75" customHeight="1">
      <c r="B4494" s="56"/>
      <c r="U4494" s="46" t="str">
        <f t="array" ref="U4494">IF($D4494="","",IFERROR(_xlfn.XLOOKUP($D4494,'TIR店舗一覧'!$D:$D,'TIR店舗一覧'!$E:$E,""),""))</f>
        <v/>
      </c>
      <c r="V4494" s="54" t="s">
        <v>2</v>
      </c>
      <c r="W4494" s="54" t="s">
        <v>2</v>
      </c>
      <c r="X4494" s="54" t="s">
        <v>2</v>
      </c>
      <c r="Y4494" s="54" t="s">
        <v>2</v>
      </c>
      <c r="Z4494" s="54" t="s">
        <v>2</v>
      </c>
      <c r="AA4494" s="54" t="s">
        <v>2</v>
      </c>
      <c r="AB4494" s="54" t="s">
        <v>2</v>
      </c>
      <c r="AC4494" s="54" t="s">
        <v>2</v>
      </c>
      <c r="AD4494" s="54" t="s">
        <v>2</v>
      </c>
      <c r="AE4494" s="54" t="s">
        <v>2</v>
      </c>
      <c r="AF4494" s="54" t="s">
        <v>2</v>
      </c>
      <c r="AG4494" s="54" t="s">
        <v>2</v>
      </c>
    </row>
    <row r="4495" ht="15.75" customHeight="1">
      <c r="B4495" s="56"/>
      <c r="U4495" s="46" t="str">
        <f t="array" ref="U4495">IF($D4495="","",IFERROR(_xlfn.XLOOKUP($D4495,'TIR店舗一覧'!$D:$D,'TIR店舗一覧'!$E:$E,""),""))</f>
        <v/>
      </c>
      <c r="V4495" s="54" t="s">
        <v>2</v>
      </c>
      <c r="W4495" s="54" t="s">
        <v>2</v>
      </c>
      <c r="X4495" s="54" t="s">
        <v>2</v>
      </c>
      <c r="Y4495" s="54" t="s">
        <v>2</v>
      </c>
      <c r="Z4495" s="54" t="s">
        <v>2</v>
      </c>
      <c r="AA4495" s="54" t="s">
        <v>2</v>
      </c>
      <c r="AB4495" s="54" t="s">
        <v>2</v>
      </c>
      <c r="AC4495" s="54" t="s">
        <v>2</v>
      </c>
      <c r="AD4495" s="54" t="s">
        <v>2</v>
      </c>
      <c r="AE4495" s="54" t="s">
        <v>2</v>
      </c>
      <c r="AF4495" s="54" t="s">
        <v>2</v>
      </c>
      <c r="AG4495" s="54" t="s">
        <v>2</v>
      </c>
    </row>
    <row r="4496" ht="15.75" customHeight="1">
      <c r="B4496" s="56"/>
      <c r="U4496" s="46" t="str">
        <f t="array" ref="U4496">IF($D4496="","",IFERROR(_xlfn.XLOOKUP($D4496,'TIR店舗一覧'!$D:$D,'TIR店舗一覧'!$E:$E,""),""))</f>
        <v/>
      </c>
      <c r="V4496" s="54" t="s">
        <v>2</v>
      </c>
      <c r="W4496" s="54" t="s">
        <v>2</v>
      </c>
      <c r="X4496" s="54" t="s">
        <v>2</v>
      </c>
      <c r="Y4496" s="54" t="s">
        <v>2</v>
      </c>
      <c r="Z4496" s="54" t="s">
        <v>2</v>
      </c>
      <c r="AA4496" s="54" t="s">
        <v>2</v>
      </c>
      <c r="AB4496" s="54" t="s">
        <v>2</v>
      </c>
      <c r="AC4496" s="54" t="s">
        <v>2</v>
      </c>
      <c r="AD4496" s="54" t="s">
        <v>2</v>
      </c>
      <c r="AE4496" s="54" t="s">
        <v>2</v>
      </c>
      <c r="AF4496" s="54" t="s">
        <v>2</v>
      </c>
      <c r="AG4496" s="54" t="s">
        <v>2</v>
      </c>
    </row>
    <row r="4497" ht="15.75" customHeight="1">
      <c r="B4497" s="56"/>
      <c r="U4497" s="46" t="str">
        <f t="array" ref="U4497">IF($D4497="","",IFERROR(_xlfn.XLOOKUP($D4497,'TIR店舗一覧'!$D:$D,'TIR店舗一覧'!$E:$E,""),""))</f>
        <v/>
      </c>
      <c r="V4497" s="54" t="s">
        <v>2</v>
      </c>
      <c r="W4497" s="54" t="s">
        <v>2</v>
      </c>
      <c r="X4497" s="54" t="s">
        <v>2</v>
      </c>
      <c r="Y4497" s="54" t="s">
        <v>2</v>
      </c>
      <c r="Z4497" s="54" t="s">
        <v>2</v>
      </c>
      <c r="AA4497" s="54" t="s">
        <v>2</v>
      </c>
      <c r="AB4497" s="54" t="s">
        <v>2</v>
      </c>
      <c r="AC4497" s="54" t="s">
        <v>2</v>
      </c>
      <c r="AD4497" s="54" t="s">
        <v>2</v>
      </c>
      <c r="AE4497" s="54" t="s">
        <v>2</v>
      </c>
      <c r="AF4497" s="54" t="s">
        <v>2</v>
      </c>
      <c r="AG4497" s="54" t="s">
        <v>2</v>
      </c>
    </row>
    <row r="4498" ht="15.75" customHeight="1">
      <c r="B4498" s="56"/>
      <c r="U4498" s="46" t="str">
        <f t="array" ref="U4498">IF($D4498="","",IFERROR(_xlfn.XLOOKUP($D4498,'TIR店舗一覧'!$D:$D,'TIR店舗一覧'!$E:$E,""),""))</f>
        <v/>
      </c>
      <c r="V4498" s="54" t="s">
        <v>2</v>
      </c>
      <c r="W4498" s="54" t="s">
        <v>2</v>
      </c>
      <c r="X4498" s="54" t="s">
        <v>2</v>
      </c>
      <c r="Y4498" s="54" t="s">
        <v>2</v>
      </c>
      <c r="Z4498" s="54" t="s">
        <v>2</v>
      </c>
      <c r="AA4498" s="54" t="s">
        <v>2</v>
      </c>
      <c r="AB4498" s="54" t="s">
        <v>2</v>
      </c>
      <c r="AC4498" s="54" t="s">
        <v>2</v>
      </c>
      <c r="AD4498" s="54" t="s">
        <v>2</v>
      </c>
      <c r="AE4498" s="54" t="s">
        <v>2</v>
      </c>
      <c r="AF4498" s="54" t="s">
        <v>2</v>
      </c>
      <c r="AG4498" s="54" t="s">
        <v>2</v>
      </c>
    </row>
    <row r="4499" ht="15.75" customHeight="1">
      <c r="B4499" s="56"/>
      <c r="U4499" s="46" t="str">
        <f t="array" ref="U4499">IF($D4499="","",IFERROR(_xlfn.XLOOKUP($D4499,'TIR店舗一覧'!$D:$D,'TIR店舗一覧'!$E:$E,""),""))</f>
        <v/>
      </c>
      <c r="V4499" s="54" t="s">
        <v>2</v>
      </c>
      <c r="W4499" s="54" t="s">
        <v>2</v>
      </c>
      <c r="X4499" s="54" t="s">
        <v>2</v>
      </c>
      <c r="Y4499" s="54" t="s">
        <v>2</v>
      </c>
      <c r="Z4499" s="54" t="s">
        <v>2</v>
      </c>
      <c r="AA4499" s="54" t="s">
        <v>2</v>
      </c>
      <c r="AB4499" s="54" t="s">
        <v>2</v>
      </c>
      <c r="AC4499" s="54" t="s">
        <v>2</v>
      </c>
      <c r="AD4499" s="54" t="s">
        <v>2</v>
      </c>
      <c r="AE4499" s="54" t="s">
        <v>2</v>
      </c>
      <c r="AF4499" s="54" t="s">
        <v>2</v>
      </c>
      <c r="AG4499" s="54" t="s">
        <v>2</v>
      </c>
    </row>
    <row r="4500" ht="15.75" customHeight="1">
      <c r="B4500" s="56"/>
      <c r="U4500" s="46" t="str">
        <f t="array" ref="U4500">IF($D4500="","",IFERROR(_xlfn.XLOOKUP($D4500,'TIR店舗一覧'!$D:$D,'TIR店舗一覧'!$E:$E,""),""))</f>
        <v/>
      </c>
      <c r="V4500" s="54" t="s">
        <v>2</v>
      </c>
      <c r="W4500" s="54" t="s">
        <v>2</v>
      </c>
      <c r="X4500" s="54" t="s">
        <v>2</v>
      </c>
      <c r="Y4500" s="54" t="s">
        <v>2</v>
      </c>
      <c r="Z4500" s="54" t="s">
        <v>2</v>
      </c>
      <c r="AA4500" s="54" t="s">
        <v>2</v>
      </c>
      <c r="AB4500" s="54" t="s">
        <v>2</v>
      </c>
      <c r="AC4500" s="54" t="s">
        <v>2</v>
      </c>
      <c r="AD4500" s="54" t="s">
        <v>2</v>
      </c>
      <c r="AE4500" s="54" t="s">
        <v>2</v>
      </c>
      <c r="AF4500" s="54" t="s">
        <v>2</v>
      </c>
      <c r="AG4500" s="54" t="s">
        <v>2</v>
      </c>
    </row>
    <row r="4501" ht="15.75" customHeight="1">
      <c r="B4501" s="56"/>
      <c r="U4501" s="46" t="str">
        <f t="array" ref="U4501">IF($D4501="","",IFERROR(_xlfn.XLOOKUP($D4501,'TIR店舗一覧'!$D:$D,'TIR店舗一覧'!$E:$E,""),""))</f>
        <v/>
      </c>
      <c r="V4501" s="54" t="s">
        <v>2</v>
      </c>
      <c r="W4501" s="54" t="s">
        <v>2</v>
      </c>
      <c r="X4501" s="54" t="s">
        <v>2</v>
      </c>
      <c r="Y4501" s="54" t="s">
        <v>2</v>
      </c>
      <c r="Z4501" s="54" t="s">
        <v>2</v>
      </c>
      <c r="AA4501" s="54" t="s">
        <v>2</v>
      </c>
      <c r="AB4501" s="54" t="s">
        <v>2</v>
      </c>
      <c r="AC4501" s="54" t="s">
        <v>2</v>
      </c>
      <c r="AD4501" s="54" t="s">
        <v>2</v>
      </c>
      <c r="AE4501" s="54" t="s">
        <v>2</v>
      </c>
      <c r="AF4501" s="54" t="s">
        <v>2</v>
      </c>
      <c r="AG4501" s="54" t="s">
        <v>2</v>
      </c>
    </row>
    <row r="4502" ht="15.75" customHeight="1">
      <c r="B4502" s="56"/>
      <c r="U4502" s="46" t="str">
        <f t="array" ref="U4502">IF($D4502="","",IFERROR(_xlfn.XLOOKUP($D4502,'TIR店舗一覧'!$D:$D,'TIR店舗一覧'!$E:$E,""),""))</f>
        <v/>
      </c>
      <c r="V4502" s="54" t="s">
        <v>2</v>
      </c>
      <c r="W4502" s="54" t="s">
        <v>2</v>
      </c>
      <c r="X4502" s="54" t="s">
        <v>2</v>
      </c>
      <c r="Y4502" s="54" t="s">
        <v>2</v>
      </c>
      <c r="Z4502" s="54" t="s">
        <v>2</v>
      </c>
      <c r="AA4502" s="54" t="s">
        <v>2</v>
      </c>
      <c r="AB4502" s="54" t="s">
        <v>2</v>
      </c>
      <c r="AC4502" s="54" t="s">
        <v>2</v>
      </c>
      <c r="AD4502" s="54" t="s">
        <v>2</v>
      </c>
      <c r="AE4502" s="54" t="s">
        <v>2</v>
      </c>
      <c r="AF4502" s="54" t="s">
        <v>2</v>
      </c>
      <c r="AG4502" s="54" t="s">
        <v>2</v>
      </c>
    </row>
    <row r="4503" ht="15.75" customHeight="1">
      <c r="B4503" s="56"/>
      <c r="U4503" s="46" t="str">
        <f t="array" ref="U4503">IF($D4503="","",IFERROR(_xlfn.XLOOKUP($D4503,'TIR店舗一覧'!$D:$D,'TIR店舗一覧'!$E:$E,""),""))</f>
        <v/>
      </c>
      <c r="V4503" s="54" t="s">
        <v>2</v>
      </c>
      <c r="W4503" s="54" t="s">
        <v>2</v>
      </c>
      <c r="X4503" s="54" t="s">
        <v>2</v>
      </c>
      <c r="Y4503" s="54" t="s">
        <v>2</v>
      </c>
      <c r="Z4503" s="54" t="s">
        <v>2</v>
      </c>
      <c r="AA4503" s="54" t="s">
        <v>2</v>
      </c>
      <c r="AB4503" s="54" t="s">
        <v>2</v>
      </c>
      <c r="AC4503" s="54" t="s">
        <v>2</v>
      </c>
      <c r="AD4503" s="54" t="s">
        <v>2</v>
      </c>
      <c r="AE4503" s="54" t="s">
        <v>2</v>
      </c>
      <c r="AF4503" s="54" t="s">
        <v>2</v>
      </c>
      <c r="AG4503" s="54" t="s">
        <v>2</v>
      </c>
    </row>
    <row r="4504" ht="15.75" customHeight="1">
      <c r="B4504" s="56"/>
      <c r="U4504" s="46" t="str">
        <f t="array" ref="U4504">IF($D4504="","",IFERROR(_xlfn.XLOOKUP($D4504,'TIR店舗一覧'!$D:$D,'TIR店舗一覧'!$E:$E,""),""))</f>
        <v/>
      </c>
      <c r="V4504" s="54" t="s">
        <v>2</v>
      </c>
      <c r="W4504" s="54" t="s">
        <v>2</v>
      </c>
      <c r="X4504" s="54" t="s">
        <v>2</v>
      </c>
      <c r="Y4504" s="54" t="s">
        <v>2</v>
      </c>
      <c r="Z4504" s="54" t="s">
        <v>2</v>
      </c>
      <c r="AA4504" s="54" t="s">
        <v>2</v>
      </c>
      <c r="AB4504" s="54" t="s">
        <v>2</v>
      </c>
      <c r="AC4504" s="54" t="s">
        <v>2</v>
      </c>
      <c r="AD4504" s="54" t="s">
        <v>2</v>
      </c>
      <c r="AE4504" s="54" t="s">
        <v>2</v>
      </c>
      <c r="AF4504" s="54" t="s">
        <v>2</v>
      </c>
      <c r="AG4504" s="54" t="s">
        <v>2</v>
      </c>
    </row>
    <row r="4505" ht="15.75" customHeight="1">
      <c r="B4505" s="56"/>
      <c r="U4505" s="46" t="str">
        <f t="array" ref="U4505">IF($D4505="","",IFERROR(_xlfn.XLOOKUP($D4505,'TIR店舗一覧'!$D:$D,'TIR店舗一覧'!$E:$E,""),""))</f>
        <v/>
      </c>
      <c r="V4505" s="54" t="s">
        <v>2</v>
      </c>
      <c r="W4505" s="54" t="s">
        <v>2</v>
      </c>
      <c r="X4505" s="54" t="s">
        <v>2</v>
      </c>
      <c r="Y4505" s="54" t="s">
        <v>2</v>
      </c>
      <c r="Z4505" s="54" t="s">
        <v>2</v>
      </c>
      <c r="AA4505" s="54" t="s">
        <v>2</v>
      </c>
      <c r="AB4505" s="54" t="s">
        <v>2</v>
      </c>
      <c r="AC4505" s="54" t="s">
        <v>2</v>
      </c>
      <c r="AD4505" s="54" t="s">
        <v>2</v>
      </c>
      <c r="AE4505" s="54" t="s">
        <v>2</v>
      </c>
      <c r="AF4505" s="54" t="s">
        <v>2</v>
      </c>
      <c r="AG4505" s="54" t="s">
        <v>2</v>
      </c>
    </row>
    <row r="4506" ht="15.75" customHeight="1">
      <c r="B4506" s="56"/>
      <c r="U4506" s="46" t="str">
        <f t="array" ref="U4506">IF($D4506="","",IFERROR(_xlfn.XLOOKUP($D4506,'TIR店舗一覧'!$D:$D,'TIR店舗一覧'!$E:$E,""),""))</f>
        <v/>
      </c>
      <c r="V4506" s="54" t="s">
        <v>2</v>
      </c>
      <c r="W4506" s="54" t="s">
        <v>2</v>
      </c>
      <c r="X4506" s="54" t="s">
        <v>2</v>
      </c>
      <c r="Y4506" s="54" t="s">
        <v>2</v>
      </c>
      <c r="Z4506" s="54" t="s">
        <v>2</v>
      </c>
      <c r="AA4506" s="54" t="s">
        <v>2</v>
      </c>
      <c r="AB4506" s="54" t="s">
        <v>2</v>
      </c>
      <c r="AC4506" s="54" t="s">
        <v>2</v>
      </c>
      <c r="AD4506" s="54" t="s">
        <v>2</v>
      </c>
      <c r="AE4506" s="54" t="s">
        <v>2</v>
      </c>
      <c r="AF4506" s="54" t="s">
        <v>2</v>
      </c>
      <c r="AG4506" s="54" t="s">
        <v>2</v>
      </c>
    </row>
    <row r="4507" ht="15.75" customHeight="1">
      <c r="B4507" s="56"/>
      <c r="U4507" s="46" t="str">
        <f t="array" ref="U4507">IF($D4507="","",IFERROR(_xlfn.XLOOKUP($D4507,'TIR店舗一覧'!$D:$D,'TIR店舗一覧'!$E:$E,""),""))</f>
        <v/>
      </c>
      <c r="V4507" s="54" t="s">
        <v>2</v>
      </c>
      <c r="W4507" s="54" t="s">
        <v>2</v>
      </c>
      <c r="X4507" s="54" t="s">
        <v>2</v>
      </c>
      <c r="Y4507" s="54" t="s">
        <v>2</v>
      </c>
      <c r="Z4507" s="54" t="s">
        <v>2</v>
      </c>
      <c r="AA4507" s="54" t="s">
        <v>2</v>
      </c>
      <c r="AB4507" s="54" t="s">
        <v>2</v>
      </c>
      <c r="AC4507" s="54" t="s">
        <v>2</v>
      </c>
      <c r="AD4507" s="54" t="s">
        <v>2</v>
      </c>
      <c r="AE4507" s="54" t="s">
        <v>2</v>
      </c>
      <c r="AF4507" s="54" t="s">
        <v>2</v>
      </c>
      <c r="AG4507" s="54" t="s">
        <v>2</v>
      </c>
    </row>
    <row r="4508" ht="15.75" customHeight="1">
      <c r="B4508" s="56"/>
      <c r="U4508" s="46" t="str">
        <f t="array" ref="U4508">IF($D4508="","",IFERROR(_xlfn.XLOOKUP($D4508,'TIR店舗一覧'!$D:$D,'TIR店舗一覧'!$E:$E,""),""))</f>
        <v/>
      </c>
      <c r="V4508" s="54" t="s">
        <v>2</v>
      </c>
      <c r="W4508" s="54" t="s">
        <v>2</v>
      </c>
      <c r="X4508" s="54" t="s">
        <v>2</v>
      </c>
      <c r="Y4508" s="54" t="s">
        <v>2</v>
      </c>
      <c r="Z4508" s="54" t="s">
        <v>2</v>
      </c>
      <c r="AA4508" s="54" t="s">
        <v>2</v>
      </c>
      <c r="AB4508" s="54" t="s">
        <v>2</v>
      </c>
      <c r="AC4508" s="54" t="s">
        <v>2</v>
      </c>
      <c r="AD4508" s="54" t="s">
        <v>2</v>
      </c>
      <c r="AE4508" s="54" t="s">
        <v>2</v>
      </c>
      <c r="AF4508" s="54" t="s">
        <v>2</v>
      </c>
      <c r="AG4508" s="54" t="s">
        <v>2</v>
      </c>
    </row>
    <row r="4509" ht="15.75" customHeight="1">
      <c r="B4509" s="56"/>
      <c r="U4509" s="46" t="str">
        <f t="array" ref="U4509">IF($D4509="","",IFERROR(_xlfn.XLOOKUP($D4509,'TIR店舗一覧'!$D:$D,'TIR店舗一覧'!$E:$E,""),""))</f>
        <v/>
      </c>
      <c r="V4509" s="54" t="s">
        <v>2</v>
      </c>
      <c r="W4509" s="54" t="s">
        <v>2</v>
      </c>
      <c r="X4509" s="54" t="s">
        <v>2</v>
      </c>
      <c r="Y4509" s="54" t="s">
        <v>2</v>
      </c>
      <c r="Z4509" s="54" t="s">
        <v>2</v>
      </c>
      <c r="AA4509" s="54" t="s">
        <v>2</v>
      </c>
      <c r="AB4509" s="54" t="s">
        <v>2</v>
      </c>
      <c r="AC4509" s="54" t="s">
        <v>2</v>
      </c>
      <c r="AD4509" s="54" t="s">
        <v>2</v>
      </c>
      <c r="AE4509" s="54" t="s">
        <v>2</v>
      </c>
      <c r="AF4509" s="54" t="s">
        <v>2</v>
      </c>
      <c r="AG4509" s="54" t="s">
        <v>2</v>
      </c>
    </row>
    <row r="4510" ht="15.75" customHeight="1">
      <c r="B4510" s="56"/>
      <c r="U4510" s="46" t="str">
        <f t="array" ref="U4510">IF($D4510="","",IFERROR(_xlfn.XLOOKUP($D4510,'TIR店舗一覧'!$D:$D,'TIR店舗一覧'!$E:$E,""),""))</f>
        <v/>
      </c>
      <c r="V4510" s="54" t="s">
        <v>2</v>
      </c>
      <c r="W4510" s="54" t="s">
        <v>2</v>
      </c>
      <c r="X4510" s="54" t="s">
        <v>2</v>
      </c>
      <c r="Y4510" s="54" t="s">
        <v>2</v>
      </c>
      <c r="Z4510" s="54" t="s">
        <v>2</v>
      </c>
      <c r="AA4510" s="54" t="s">
        <v>2</v>
      </c>
      <c r="AB4510" s="54" t="s">
        <v>2</v>
      </c>
      <c r="AC4510" s="54" t="s">
        <v>2</v>
      </c>
      <c r="AD4510" s="54" t="s">
        <v>2</v>
      </c>
      <c r="AE4510" s="54" t="s">
        <v>2</v>
      </c>
      <c r="AF4510" s="54" t="s">
        <v>2</v>
      </c>
      <c r="AG4510" s="54" t="s">
        <v>2</v>
      </c>
    </row>
    <row r="4511" ht="15.75" customHeight="1">
      <c r="B4511" s="56"/>
      <c r="U4511" s="46" t="str">
        <f t="array" ref="U4511">IF($D4511="","",IFERROR(_xlfn.XLOOKUP($D4511,'TIR店舗一覧'!$D:$D,'TIR店舗一覧'!$E:$E,""),""))</f>
        <v/>
      </c>
      <c r="V4511" s="54" t="s">
        <v>2</v>
      </c>
      <c r="W4511" s="54" t="s">
        <v>2</v>
      </c>
      <c r="X4511" s="54" t="s">
        <v>2</v>
      </c>
      <c r="Y4511" s="54" t="s">
        <v>2</v>
      </c>
      <c r="Z4511" s="54" t="s">
        <v>2</v>
      </c>
      <c r="AA4511" s="54" t="s">
        <v>2</v>
      </c>
      <c r="AB4511" s="54" t="s">
        <v>2</v>
      </c>
      <c r="AC4511" s="54" t="s">
        <v>2</v>
      </c>
      <c r="AD4511" s="54" t="s">
        <v>2</v>
      </c>
      <c r="AE4511" s="54" t="s">
        <v>2</v>
      </c>
      <c r="AF4511" s="54" t="s">
        <v>2</v>
      </c>
      <c r="AG4511" s="54" t="s">
        <v>2</v>
      </c>
    </row>
    <row r="4512" ht="15.75" customHeight="1">
      <c r="B4512" s="56"/>
      <c r="U4512" s="46" t="str">
        <f t="array" ref="U4512">IF($D4512="","",IFERROR(_xlfn.XLOOKUP($D4512,'TIR店舗一覧'!$D:$D,'TIR店舗一覧'!$E:$E,""),""))</f>
        <v/>
      </c>
      <c r="V4512" s="54" t="s">
        <v>2</v>
      </c>
      <c r="W4512" s="54" t="s">
        <v>2</v>
      </c>
      <c r="X4512" s="54" t="s">
        <v>2</v>
      </c>
      <c r="Y4512" s="54" t="s">
        <v>2</v>
      </c>
      <c r="Z4512" s="54" t="s">
        <v>2</v>
      </c>
      <c r="AA4512" s="54" t="s">
        <v>2</v>
      </c>
      <c r="AB4512" s="54" t="s">
        <v>2</v>
      </c>
      <c r="AC4512" s="54" t="s">
        <v>2</v>
      </c>
      <c r="AD4512" s="54" t="s">
        <v>2</v>
      </c>
      <c r="AE4512" s="54" t="s">
        <v>2</v>
      </c>
      <c r="AF4512" s="54" t="s">
        <v>2</v>
      </c>
      <c r="AG4512" s="54" t="s">
        <v>2</v>
      </c>
    </row>
    <row r="4513" ht="15.75" customHeight="1">
      <c r="B4513" s="56"/>
      <c r="U4513" s="46" t="str">
        <f t="array" ref="U4513">IF($D4513="","",IFERROR(_xlfn.XLOOKUP($D4513,'TIR店舗一覧'!$D:$D,'TIR店舗一覧'!$E:$E,""),""))</f>
        <v/>
      </c>
      <c r="V4513" s="54" t="s">
        <v>2</v>
      </c>
      <c r="W4513" s="54" t="s">
        <v>2</v>
      </c>
      <c r="X4513" s="54" t="s">
        <v>2</v>
      </c>
      <c r="Y4513" s="54" t="s">
        <v>2</v>
      </c>
      <c r="Z4513" s="54" t="s">
        <v>2</v>
      </c>
      <c r="AA4513" s="54" t="s">
        <v>2</v>
      </c>
      <c r="AB4513" s="54" t="s">
        <v>2</v>
      </c>
      <c r="AC4513" s="54" t="s">
        <v>2</v>
      </c>
      <c r="AD4513" s="54" t="s">
        <v>2</v>
      </c>
      <c r="AE4513" s="54" t="s">
        <v>2</v>
      </c>
      <c r="AF4513" s="54" t="s">
        <v>2</v>
      </c>
      <c r="AG4513" s="54" t="s">
        <v>2</v>
      </c>
    </row>
    <row r="4514" ht="15.75" customHeight="1">
      <c r="B4514" s="56"/>
      <c r="U4514" s="46" t="str">
        <f t="array" ref="U4514">IF($D4514="","",IFERROR(_xlfn.XLOOKUP($D4514,'TIR店舗一覧'!$D:$D,'TIR店舗一覧'!$E:$E,""),""))</f>
        <v/>
      </c>
      <c r="V4514" s="54" t="s">
        <v>2</v>
      </c>
      <c r="W4514" s="54" t="s">
        <v>2</v>
      </c>
      <c r="X4514" s="54" t="s">
        <v>2</v>
      </c>
      <c r="Y4514" s="54" t="s">
        <v>2</v>
      </c>
      <c r="Z4514" s="54" t="s">
        <v>2</v>
      </c>
      <c r="AA4514" s="54" t="s">
        <v>2</v>
      </c>
      <c r="AB4514" s="54" t="s">
        <v>2</v>
      </c>
      <c r="AC4514" s="54" t="s">
        <v>2</v>
      </c>
      <c r="AD4514" s="54" t="s">
        <v>2</v>
      </c>
      <c r="AE4514" s="54" t="s">
        <v>2</v>
      </c>
      <c r="AF4514" s="54" t="s">
        <v>2</v>
      </c>
      <c r="AG4514" s="54" t="s">
        <v>2</v>
      </c>
    </row>
    <row r="4515" ht="15.75" customHeight="1">
      <c r="B4515" s="56"/>
      <c r="U4515" s="46" t="str">
        <f t="array" ref="U4515">IF($D4515="","",IFERROR(_xlfn.XLOOKUP($D4515,'TIR店舗一覧'!$D:$D,'TIR店舗一覧'!$E:$E,""),""))</f>
        <v/>
      </c>
      <c r="V4515" s="54" t="s">
        <v>2</v>
      </c>
      <c r="W4515" s="54" t="s">
        <v>2</v>
      </c>
      <c r="X4515" s="54" t="s">
        <v>2</v>
      </c>
      <c r="Y4515" s="54" t="s">
        <v>2</v>
      </c>
      <c r="Z4515" s="54" t="s">
        <v>2</v>
      </c>
      <c r="AA4515" s="54" t="s">
        <v>2</v>
      </c>
      <c r="AB4515" s="54" t="s">
        <v>2</v>
      </c>
      <c r="AC4515" s="54" t="s">
        <v>2</v>
      </c>
      <c r="AD4515" s="54" t="s">
        <v>2</v>
      </c>
      <c r="AE4515" s="54" t="s">
        <v>2</v>
      </c>
      <c r="AF4515" s="54" t="s">
        <v>2</v>
      </c>
      <c r="AG4515" s="54" t="s">
        <v>2</v>
      </c>
    </row>
    <row r="4516" ht="15.75" customHeight="1">
      <c r="B4516" s="56"/>
      <c r="U4516" s="46" t="str">
        <f t="array" ref="U4516">IF($D4516="","",IFERROR(_xlfn.XLOOKUP($D4516,'TIR店舗一覧'!$D:$D,'TIR店舗一覧'!$E:$E,""),""))</f>
        <v/>
      </c>
      <c r="V4516" s="54" t="s">
        <v>2</v>
      </c>
      <c r="W4516" s="54" t="s">
        <v>2</v>
      </c>
      <c r="X4516" s="54" t="s">
        <v>2</v>
      </c>
      <c r="Y4516" s="54" t="s">
        <v>2</v>
      </c>
      <c r="Z4516" s="54" t="s">
        <v>2</v>
      </c>
      <c r="AA4516" s="54" t="s">
        <v>2</v>
      </c>
      <c r="AB4516" s="54" t="s">
        <v>2</v>
      </c>
      <c r="AC4516" s="54" t="s">
        <v>2</v>
      </c>
      <c r="AD4516" s="54" t="s">
        <v>2</v>
      </c>
      <c r="AE4516" s="54" t="s">
        <v>2</v>
      </c>
      <c r="AF4516" s="54" t="s">
        <v>2</v>
      </c>
      <c r="AG4516" s="54" t="s">
        <v>2</v>
      </c>
    </row>
    <row r="4517" ht="15.75" customHeight="1">
      <c r="B4517" s="56"/>
      <c r="U4517" s="46" t="str">
        <f t="array" ref="U4517">IF($D4517="","",IFERROR(_xlfn.XLOOKUP($D4517,'TIR店舗一覧'!$D:$D,'TIR店舗一覧'!$E:$E,""),""))</f>
        <v/>
      </c>
      <c r="V4517" s="54" t="s">
        <v>2</v>
      </c>
      <c r="W4517" s="54" t="s">
        <v>2</v>
      </c>
      <c r="X4517" s="54" t="s">
        <v>2</v>
      </c>
      <c r="Y4517" s="54" t="s">
        <v>2</v>
      </c>
      <c r="Z4517" s="54" t="s">
        <v>2</v>
      </c>
      <c r="AA4517" s="54" t="s">
        <v>2</v>
      </c>
      <c r="AB4517" s="54" t="s">
        <v>2</v>
      </c>
      <c r="AC4517" s="54" t="s">
        <v>2</v>
      </c>
      <c r="AD4517" s="54" t="s">
        <v>2</v>
      </c>
      <c r="AE4517" s="54" t="s">
        <v>2</v>
      </c>
      <c r="AF4517" s="54" t="s">
        <v>2</v>
      </c>
      <c r="AG4517" s="54" t="s">
        <v>2</v>
      </c>
    </row>
    <row r="4518" ht="15.75" customHeight="1">
      <c r="B4518" s="56"/>
      <c r="U4518" s="46" t="str">
        <f t="array" ref="U4518">IF($D4518="","",IFERROR(_xlfn.XLOOKUP($D4518,'TIR店舗一覧'!$D:$D,'TIR店舗一覧'!$E:$E,""),""))</f>
        <v/>
      </c>
      <c r="V4518" s="54" t="s">
        <v>2</v>
      </c>
      <c r="W4518" s="54" t="s">
        <v>2</v>
      </c>
      <c r="X4518" s="54" t="s">
        <v>2</v>
      </c>
      <c r="Y4518" s="54" t="s">
        <v>2</v>
      </c>
      <c r="Z4518" s="54" t="s">
        <v>2</v>
      </c>
      <c r="AA4518" s="54" t="s">
        <v>2</v>
      </c>
      <c r="AB4518" s="54" t="s">
        <v>2</v>
      </c>
      <c r="AC4518" s="54" t="s">
        <v>2</v>
      </c>
      <c r="AD4518" s="54" t="s">
        <v>2</v>
      </c>
      <c r="AE4518" s="54" t="s">
        <v>2</v>
      </c>
      <c r="AF4518" s="54" t="s">
        <v>2</v>
      </c>
      <c r="AG4518" s="54" t="s">
        <v>2</v>
      </c>
    </row>
    <row r="4519" ht="15.75" customHeight="1">
      <c r="B4519" s="56"/>
      <c r="U4519" s="46" t="str">
        <f t="array" ref="U4519">IF($D4519="","",IFERROR(_xlfn.XLOOKUP($D4519,'TIR店舗一覧'!$D:$D,'TIR店舗一覧'!$E:$E,""),""))</f>
        <v/>
      </c>
      <c r="V4519" s="54" t="s">
        <v>2</v>
      </c>
      <c r="W4519" s="54" t="s">
        <v>2</v>
      </c>
      <c r="X4519" s="54" t="s">
        <v>2</v>
      </c>
      <c r="Y4519" s="54" t="s">
        <v>2</v>
      </c>
      <c r="Z4519" s="54" t="s">
        <v>2</v>
      </c>
      <c r="AA4519" s="54" t="s">
        <v>2</v>
      </c>
      <c r="AB4519" s="54" t="s">
        <v>2</v>
      </c>
      <c r="AC4519" s="54" t="s">
        <v>2</v>
      </c>
      <c r="AD4519" s="54" t="s">
        <v>2</v>
      </c>
      <c r="AE4519" s="54" t="s">
        <v>2</v>
      </c>
      <c r="AF4519" s="54" t="s">
        <v>2</v>
      </c>
      <c r="AG4519" s="54" t="s">
        <v>2</v>
      </c>
    </row>
    <row r="4520" ht="15.75" customHeight="1">
      <c r="B4520" s="56"/>
      <c r="U4520" s="46" t="str">
        <f t="array" ref="U4520">IF($D4520="","",IFERROR(_xlfn.XLOOKUP($D4520,'TIR店舗一覧'!$D:$D,'TIR店舗一覧'!$E:$E,""),""))</f>
        <v/>
      </c>
      <c r="V4520" s="54" t="s">
        <v>2</v>
      </c>
      <c r="W4520" s="54" t="s">
        <v>2</v>
      </c>
      <c r="X4520" s="54" t="s">
        <v>2</v>
      </c>
      <c r="Y4520" s="54" t="s">
        <v>2</v>
      </c>
      <c r="Z4520" s="54" t="s">
        <v>2</v>
      </c>
      <c r="AA4520" s="54" t="s">
        <v>2</v>
      </c>
      <c r="AB4520" s="54" t="s">
        <v>2</v>
      </c>
      <c r="AC4520" s="54" t="s">
        <v>2</v>
      </c>
      <c r="AD4520" s="54" t="s">
        <v>2</v>
      </c>
      <c r="AE4520" s="54" t="s">
        <v>2</v>
      </c>
      <c r="AF4520" s="54" t="s">
        <v>2</v>
      </c>
      <c r="AG4520" s="54" t="s">
        <v>2</v>
      </c>
    </row>
    <row r="4521" ht="15.75" customHeight="1">
      <c r="B4521" s="56"/>
      <c r="U4521" s="46" t="str">
        <f t="array" ref="U4521">IF($D4521="","",IFERROR(_xlfn.XLOOKUP($D4521,'TIR店舗一覧'!$D:$D,'TIR店舗一覧'!$E:$E,""),""))</f>
        <v/>
      </c>
      <c r="V4521" s="54" t="s">
        <v>2</v>
      </c>
      <c r="W4521" s="54" t="s">
        <v>2</v>
      </c>
      <c r="X4521" s="54" t="s">
        <v>2</v>
      </c>
      <c r="Y4521" s="54" t="s">
        <v>2</v>
      </c>
      <c r="Z4521" s="54" t="s">
        <v>2</v>
      </c>
      <c r="AA4521" s="54" t="s">
        <v>2</v>
      </c>
      <c r="AB4521" s="54" t="s">
        <v>2</v>
      </c>
      <c r="AC4521" s="54" t="s">
        <v>2</v>
      </c>
      <c r="AD4521" s="54" t="s">
        <v>2</v>
      </c>
      <c r="AE4521" s="54" t="s">
        <v>2</v>
      </c>
      <c r="AF4521" s="54" t="s">
        <v>2</v>
      </c>
      <c r="AG4521" s="54" t="s">
        <v>2</v>
      </c>
    </row>
    <row r="4522" ht="15.75" customHeight="1">
      <c r="B4522" s="56"/>
      <c r="U4522" s="46" t="str">
        <f t="array" ref="U4522">IF($D4522="","",IFERROR(_xlfn.XLOOKUP($D4522,'TIR店舗一覧'!$D:$D,'TIR店舗一覧'!$E:$E,""),""))</f>
        <v/>
      </c>
      <c r="V4522" s="54" t="s">
        <v>2</v>
      </c>
      <c r="W4522" s="54" t="s">
        <v>2</v>
      </c>
      <c r="X4522" s="54" t="s">
        <v>2</v>
      </c>
      <c r="Y4522" s="54" t="s">
        <v>2</v>
      </c>
      <c r="Z4522" s="54" t="s">
        <v>2</v>
      </c>
      <c r="AA4522" s="54" t="s">
        <v>2</v>
      </c>
      <c r="AB4522" s="54" t="s">
        <v>2</v>
      </c>
      <c r="AC4522" s="54" t="s">
        <v>2</v>
      </c>
      <c r="AD4522" s="54" t="s">
        <v>2</v>
      </c>
      <c r="AE4522" s="54" t="s">
        <v>2</v>
      </c>
      <c r="AF4522" s="54" t="s">
        <v>2</v>
      </c>
      <c r="AG4522" s="54" t="s">
        <v>2</v>
      </c>
    </row>
    <row r="4523" ht="15.75" customHeight="1">
      <c r="B4523" s="56"/>
      <c r="U4523" s="46" t="str">
        <f t="array" ref="U4523">IF($D4523="","",IFERROR(_xlfn.XLOOKUP($D4523,'TIR店舗一覧'!$D:$D,'TIR店舗一覧'!$E:$E,""),""))</f>
        <v/>
      </c>
      <c r="V4523" s="54" t="s">
        <v>2</v>
      </c>
      <c r="W4523" s="54" t="s">
        <v>2</v>
      </c>
      <c r="X4523" s="54" t="s">
        <v>2</v>
      </c>
      <c r="Y4523" s="54" t="s">
        <v>2</v>
      </c>
      <c r="Z4523" s="54" t="s">
        <v>2</v>
      </c>
      <c r="AA4523" s="54" t="s">
        <v>2</v>
      </c>
      <c r="AB4523" s="54" t="s">
        <v>2</v>
      </c>
      <c r="AC4523" s="54" t="s">
        <v>2</v>
      </c>
      <c r="AD4523" s="54" t="s">
        <v>2</v>
      </c>
      <c r="AE4523" s="54" t="s">
        <v>2</v>
      </c>
      <c r="AF4523" s="54" t="s">
        <v>2</v>
      </c>
      <c r="AG4523" s="54" t="s">
        <v>2</v>
      </c>
    </row>
    <row r="4524" ht="15.75" customHeight="1">
      <c r="B4524" s="56"/>
      <c r="U4524" s="46" t="str">
        <f t="array" ref="U4524">IF($D4524="","",IFERROR(_xlfn.XLOOKUP($D4524,'TIR店舗一覧'!$D:$D,'TIR店舗一覧'!$E:$E,""),""))</f>
        <v/>
      </c>
      <c r="V4524" s="54" t="s">
        <v>2</v>
      </c>
      <c r="W4524" s="54" t="s">
        <v>2</v>
      </c>
      <c r="X4524" s="54" t="s">
        <v>2</v>
      </c>
      <c r="Y4524" s="54" t="s">
        <v>2</v>
      </c>
      <c r="Z4524" s="54" t="s">
        <v>2</v>
      </c>
      <c r="AA4524" s="54" t="s">
        <v>2</v>
      </c>
      <c r="AB4524" s="54" t="s">
        <v>2</v>
      </c>
      <c r="AC4524" s="54" t="s">
        <v>2</v>
      </c>
      <c r="AD4524" s="54" t="s">
        <v>2</v>
      </c>
      <c r="AE4524" s="54" t="s">
        <v>2</v>
      </c>
      <c r="AF4524" s="54" t="s">
        <v>2</v>
      </c>
      <c r="AG4524" s="54" t="s">
        <v>2</v>
      </c>
    </row>
    <row r="4525" ht="15.75" customHeight="1">
      <c r="B4525" s="56"/>
      <c r="U4525" s="46" t="str">
        <f t="array" ref="U4525">IF($D4525="","",IFERROR(_xlfn.XLOOKUP($D4525,'TIR店舗一覧'!$D:$D,'TIR店舗一覧'!$E:$E,""),""))</f>
        <v/>
      </c>
      <c r="V4525" s="54" t="s">
        <v>2</v>
      </c>
      <c r="W4525" s="54" t="s">
        <v>2</v>
      </c>
      <c r="X4525" s="54" t="s">
        <v>2</v>
      </c>
      <c r="Y4525" s="54" t="s">
        <v>2</v>
      </c>
      <c r="Z4525" s="54" t="s">
        <v>2</v>
      </c>
      <c r="AA4525" s="54" t="s">
        <v>2</v>
      </c>
      <c r="AB4525" s="54" t="s">
        <v>2</v>
      </c>
      <c r="AC4525" s="54" t="s">
        <v>2</v>
      </c>
      <c r="AD4525" s="54" t="s">
        <v>2</v>
      </c>
      <c r="AE4525" s="54" t="s">
        <v>2</v>
      </c>
      <c r="AF4525" s="54" t="s">
        <v>2</v>
      </c>
      <c r="AG4525" s="54" t="s">
        <v>2</v>
      </c>
    </row>
    <row r="4526" ht="15.75" customHeight="1">
      <c r="B4526" s="56"/>
      <c r="U4526" s="46" t="str">
        <f t="array" ref="U4526">IF($D4526="","",IFERROR(_xlfn.XLOOKUP($D4526,'TIR店舗一覧'!$D:$D,'TIR店舗一覧'!$E:$E,""),""))</f>
        <v/>
      </c>
      <c r="V4526" s="54" t="s">
        <v>2</v>
      </c>
      <c r="W4526" s="54" t="s">
        <v>2</v>
      </c>
      <c r="X4526" s="54" t="s">
        <v>2</v>
      </c>
      <c r="Y4526" s="54" t="s">
        <v>2</v>
      </c>
      <c r="Z4526" s="54" t="s">
        <v>2</v>
      </c>
      <c r="AA4526" s="54" t="s">
        <v>2</v>
      </c>
      <c r="AB4526" s="54" t="s">
        <v>2</v>
      </c>
      <c r="AC4526" s="54" t="s">
        <v>2</v>
      </c>
      <c r="AD4526" s="54" t="s">
        <v>2</v>
      </c>
      <c r="AE4526" s="54" t="s">
        <v>2</v>
      </c>
      <c r="AF4526" s="54" t="s">
        <v>2</v>
      </c>
      <c r="AG4526" s="54" t="s">
        <v>2</v>
      </c>
    </row>
    <row r="4527" ht="15.75" customHeight="1">
      <c r="B4527" s="56"/>
      <c r="U4527" s="46" t="str">
        <f t="array" ref="U4527">IF($D4527="","",IFERROR(_xlfn.XLOOKUP($D4527,'TIR店舗一覧'!$D:$D,'TIR店舗一覧'!$E:$E,""),""))</f>
        <v/>
      </c>
      <c r="V4527" s="54" t="s">
        <v>2</v>
      </c>
      <c r="W4527" s="54" t="s">
        <v>2</v>
      </c>
      <c r="X4527" s="54" t="s">
        <v>2</v>
      </c>
      <c r="Y4527" s="54" t="s">
        <v>2</v>
      </c>
      <c r="Z4527" s="54" t="s">
        <v>2</v>
      </c>
      <c r="AA4527" s="54" t="s">
        <v>2</v>
      </c>
      <c r="AB4527" s="54" t="s">
        <v>2</v>
      </c>
      <c r="AC4527" s="54" t="s">
        <v>2</v>
      </c>
      <c r="AD4527" s="54" t="s">
        <v>2</v>
      </c>
      <c r="AE4527" s="54" t="s">
        <v>2</v>
      </c>
      <c r="AF4527" s="54" t="s">
        <v>2</v>
      </c>
      <c r="AG4527" s="54" t="s">
        <v>2</v>
      </c>
    </row>
    <row r="4528" ht="15.75" customHeight="1">
      <c r="B4528" s="56"/>
      <c r="U4528" s="46" t="str">
        <f t="array" ref="U4528">IF($D4528="","",IFERROR(_xlfn.XLOOKUP($D4528,'TIR店舗一覧'!$D:$D,'TIR店舗一覧'!$E:$E,""),""))</f>
        <v/>
      </c>
      <c r="V4528" s="54" t="s">
        <v>2</v>
      </c>
      <c r="W4528" s="54" t="s">
        <v>2</v>
      </c>
      <c r="X4528" s="54" t="s">
        <v>2</v>
      </c>
      <c r="Y4528" s="54" t="s">
        <v>2</v>
      </c>
      <c r="Z4528" s="54" t="s">
        <v>2</v>
      </c>
      <c r="AA4528" s="54" t="s">
        <v>2</v>
      </c>
      <c r="AB4528" s="54" t="s">
        <v>2</v>
      </c>
      <c r="AC4528" s="54" t="s">
        <v>2</v>
      </c>
      <c r="AD4528" s="54" t="s">
        <v>2</v>
      </c>
      <c r="AE4528" s="54" t="s">
        <v>2</v>
      </c>
      <c r="AF4528" s="54" t="s">
        <v>2</v>
      </c>
      <c r="AG4528" s="54" t="s">
        <v>2</v>
      </c>
    </row>
    <row r="4529" ht="15.75" customHeight="1">
      <c r="B4529" s="56"/>
      <c r="U4529" s="46" t="str">
        <f t="array" ref="U4529">IF($D4529="","",IFERROR(_xlfn.XLOOKUP($D4529,'TIR店舗一覧'!$D:$D,'TIR店舗一覧'!$E:$E,""),""))</f>
        <v/>
      </c>
      <c r="V4529" s="54" t="s">
        <v>2</v>
      </c>
      <c r="W4529" s="54" t="s">
        <v>2</v>
      </c>
      <c r="X4529" s="54" t="s">
        <v>2</v>
      </c>
      <c r="Y4529" s="54" t="s">
        <v>2</v>
      </c>
      <c r="Z4529" s="54" t="s">
        <v>2</v>
      </c>
      <c r="AA4529" s="54" t="s">
        <v>2</v>
      </c>
      <c r="AB4529" s="54" t="s">
        <v>2</v>
      </c>
      <c r="AC4529" s="54" t="s">
        <v>2</v>
      </c>
      <c r="AD4529" s="54" t="s">
        <v>2</v>
      </c>
      <c r="AE4529" s="54" t="s">
        <v>2</v>
      </c>
      <c r="AF4529" s="54" t="s">
        <v>2</v>
      </c>
      <c r="AG4529" s="54" t="s">
        <v>2</v>
      </c>
    </row>
    <row r="4530" ht="15.75" customHeight="1">
      <c r="B4530" s="56"/>
      <c r="U4530" s="46" t="str">
        <f t="array" ref="U4530">IF($D4530="","",IFERROR(_xlfn.XLOOKUP($D4530,'TIR店舗一覧'!$D:$D,'TIR店舗一覧'!$E:$E,""),""))</f>
        <v/>
      </c>
      <c r="V4530" s="54" t="s">
        <v>2</v>
      </c>
      <c r="W4530" s="54" t="s">
        <v>2</v>
      </c>
      <c r="X4530" s="54" t="s">
        <v>2</v>
      </c>
      <c r="Y4530" s="54" t="s">
        <v>2</v>
      </c>
      <c r="Z4530" s="54" t="s">
        <v>2</v>
      </c>
      <c r="AA4530" s="54" t="s">
        <v>2</v>
      </c>
      <c r="AB4530" s="54" t="s">
        <v>2</v>
      </c>
      <c r="AC4530" s="54" t="s">
        <v>2</v>
      </c>
      <c r="AD4530" s="54" t="s">
        <v>2</v>
      </c>
      <c r="AE4530" s="54" t="s">
        <v>2</v>
      </c>
      <c r="AF4530" s="54" t="s">
        <v>2</v>
      </c>
      <c r="AG4530" s="54" t="s">
        <v>2</v>
      </c>
    </row>
    <row r="4531" ht="15.75" customHeight="1">
      <c r="B4531" s="56"/>
      <c r="U4531" s="46" t="str">
        <f t="array" ref="U4531">IF($D4531="","",IFERROR(_xlfn.XLOOKUP($D4531,'TIR店舗一覧'!$D:$D,'TIR店舗一覧'!$E:$E,""),""))</f>
        <v/>
      </c>
      <c r="V4531" s="54" t="s">
        <v>2</v>
      </c>
      <c r="W4531" s="54" t="s">
        <v>2</v>
      </c>
      <c r="X4531" s="54" t="s">
        <v>2</v>
      </c>
      <c r="Y4531" s="54" t="s">
        <v>2</v>
      </c>
      <c r="Z4531" s="54" t="s">
        <v>2</v>
      </c>
      <c r="AA4531" s="54" t="s">
        <v>2</v>
      </c>
      <c r="AB4531" s="54" t="s">
        <v>2</v>
      </c>
      <c r="AC4531" s="54" t="s">
        <v>2</v>
      </c>
      <c r="AD4531" s="54" t="s">
        <v>2</v>
      </c>
      <c r="AE4531" s="54" t="s">
        <v>2</v>
      </c>
      <c r="AF4531" s="54" t="s">
        <v>2</v>
      </c>
      <c r="AG4531" s="54" t="s">
        <v>2</v>
      </c>
    </row>
    <row r="4532" ht="15.75" customHeight="1">
      <c r="B4532" s="56"/>
      <c r="U4532" s="46" t="str">
        <f t="array" ref="U4532">IF($D4532="","",IFERROR(_xlfn.XLOOKUP($D4532,'TIR店舗一覧'!$D:$D,'TIR店舗一覧'!$E:$E,""),""))</f>
        <v/>
      </c>
      <c r="V4532" s="54" t="s">
        <v>2</v>
      </c>
      <c r="W4532" s="54" t="s">
        <v>2</v>
      </c>
      <c r="X4532" s="54" t="s">
        <v>2</v>
      </c>
      <c r="Y4532" s="54" t="s">
        <v>2</v>
      </c>
      <c r="Z4532" s="54" t="s">
        <v>2</v>
      </c>
      <c r="AA4532" s="54" t="s">
        <v>2</v>
      </c>
      <c r="AB4532" s="54" t="s">
        <v>2</v>
      </c>
      <c r="AC4532" s="54" t="s">
        <v>2</v>
      </c>
      <c r="AD4532" s="54" t="s">
        <v>2</v>
      </c>
      <c r="AE4532" s="54" t="s">
        <v>2</v>
      </c>
      <c r="AF4532" s="54" t="s">
        <v>2</v>
      </c>
      <c r="AG4532" s="54" t="s">
        <v>2</v>
      </c>
    </row>
    <row r="4533" ht="15.75" customHeight="1">
      <c r="B4533" s="56"/>
      <c r="U4533" s="46" t="str">
        <f t="array" ref="U4533">IF($D4533="","",IFERROR(_xlfn.XLOOKUP($D4533,'TIR店舗一覧'!$D:$D,'TIR店舗一覧'!$E:$E,""),""))</f>
        <v/>
      </c>
      <c r="V4533" s="54" t="s">
        <v>2</v>
      </c>
      <c r="W4533" s="54" t="s">
        <v>2</v>
      </c>
      <c r="X4533" s="54" t="s">
        <v>2</v>
      </c>
      <c r="Y4533" s="54" t="s">
        <v>2</v>
      </c>
      <c r="Z4533" s="54" t="s">
        <v>2</v>
      </c>
      <c r="AA4533" s="54" t="s">
        <v>2</v>
      </c>
      <c r="AB4533" s="54" t="s">
        <v>2</v>
      </c>
      <c r="AC4533" s="54" t="s">
        <v>2</v>
      </c>
      <c r="AD4533" s="54" t="s">
        <v>2</v>
      </c>
      <c r="AE4533" s="54" t="s">
        <v>2</v>
      </c>
      <c r="AF4533" s="54" t="s">
        <v>2</v>
      </c>
      <c r="AG4533" s="54" t="s">
        <v>2</v>
      </c>
    </row>
    <row r="4534" ht="15.75" customHeight="1">
      <c r="B4534" s="56"/>
      <c r="U4534" s="46" t="str">
        <f t="array" ref="U4534">IF($D4534="","",IFERROR(_xlfn.XLOOKUP($D4534,'TIR店舗一覧'!$D:$D,'TIR店舗一覧'!$E:$E,""),""))</f>
        <v/>
      </c>
      <c r="V4534" s="54" t="s">
        <v>2</v>
      </c>
      <c r="W4534" s="54" t="s">
        <v>2</v>
      </c>
      <c r="X4534" s="54" t="s">
        <v>2</v>
      </c>
      <c r="Y4534" s="54" t="s">
        <v>2</v>
      </c>
      <c r="Z4534" s="54" t="s">
        <v>2</v>
      </c>
      <c r="AA4534" s="54" t="s">
        <v>2</v>
      </c>
      <c r="AB4534" s="54" t="s">
        <v>2</v>
      </c>
      <c r="AC4534" s="54" t="s">
        <v>2</v>
      </c>
      <c r="AD4534" s="54" t="s">
        <v>2</v>
      </c>
      <c r="AE4534" s="54" t="s">
        <v>2</v>
      </c>
      <c r="AF4534" s="54" t="s">
        <v>2</v>
      </c>
      <c r="AG4534" s="54" t="s">
        <v>2</v>
      </c>
    </row>
    <row r="4535" ht="15.75" customHeight="1">
      <c r="B4535" s="56"/>
      <c r="U4535" s="46" t="str">
        <f t="array" ref="U4535">IF($D4535="","",IFERROR(_xlfn.XLOOKUP($D4535,'TIR店舗一覧'!$D:$D,'TIR店舗一覧'!$E:$E,""),""))</f>
        <v/>
      </c>
      <c r="V4535" s="54" t="s">
        <v>2</v>
      </c>
      <c r="W4535" s="54" t="s">
        <v>2</v>
      </c>
      <c r="X4535" s="54" t="s">
        <v>2</v>
      </c>
      <c r="Y4535" s="54" t="s">
        <v>2</v>
      </c>
      <c r="Z4535" s="54" t="s">
        <v>2</v>
      </c>
      <c r="AA4535" s="54" t="s">
        <v>2</v>
      </c>
      <c r="AB4535" s="54" t="s">
        <v>2</v>
      </c>
      <c r="AC4535" s="54" t="s">
        <v>2</v>
      </c>
      <c r="AD4535" s="54" t="s">
        <v>2</v>
      </c>
      <c r="AE4535" s="54" t="s">
        <v>2</v>
      </c>
      <c r="AF4535" s="54" t="s">
        <v>2</v>
      </c>
      <c r="AG4535" s="54" t="s">
        <v>2</v>
      </c>
    </row>
    <row r="4536" ht="15.75" customHeight="1">
      <c r="B4536" s="56"/>
      <c r="U4536" s="46" t="str">
        <f t="array" ref="U4536">IF($D4536="","",IFERROR(_xlfn.XLOOKUP($D4536,'TIR店舗一覧'!$D:$D,'TIR店舗一覧'!$E:$E,""),""))</f>
        <v/>
      </c>
      <c r="V4536" s="54" t="s">
        <v>2</v>
      </c>
      <c r="W4536" s="54" t="s">
        <v>2</v>
      </c>
      <c r="X4536" s="54" t="s">
        <v>2</v>
      </c>
      <c r="Y4536" s="54" t="s">
        <v>2</v>
      </c>
      <c r="Z4536" s="54" t="s">
        <v>2</v>
      </c>
      <c r="AA4536" s="54" t="s">
        <v>2</v>
      </c>
      <c r="AB4536" s="54" t="s">
        <v>2</v>
      </c>
      <c r="AC4536" s="54" t="s">
        <v>2</v>
      </c>
      <c r="AD4536" s="54" t="s">
        <v>2</v>
      </c>
      <c r="AE4536" s="54" t="s">
        <v>2</v>
      </c>
      <c r="AF4536" s="54" t="s">
        <v>2</v>
      </c>
      <c r="AG4536" s="54" t="s">
        <v>2</v>
      </c>
    </row>
    <row r="4537" ht="15.75" customHeight="1">
      <c r="B4537" s="56"/>
      <c r="U4537" s="46" t="str">
        <f t="array" ref="U4537">IF($D4537="","",IFERROR(_xlfn.XLOOKUP($D4537,'TIR店舗一覧'!$D:$D,'TIR店舗一覧'!$E:$E,""),""))</f>
        <v/>
      </c>
      <c r="V4537" s="54" t="s">
        <v>2</v>
      </c>
      <c r="W4537" s="54" t="s">
        <v>2</v>
      </c>
      <c r="X4537" s="54" t="s">
        <v>2</v>
      </c>
      <c r="Y4537" s="54" t="s">
        <v>2</v>
      </c>
      <c r="Z4537" s="54" t="s">
        <v>2</v>
      </c>
      <c r="AA4537" s="54" t="s">
        <v>2</v>
      </c>
      <c r="AB4537" s="54" t="s">
        <v>2</v>
      </c>
      <c r="AC4537" s="54" t="s">
        <v>2</v>
      </c>
      <c r="AD4537" s="54" t="s">
        <v>2</v>
      </c>
      <c r="AE4537" s="54" t="s">
        <v>2</v>
      </c>
      <c r="AF4537" s="54" t="s">
        <v>2</v>
      </c>
      <c r="AG4537" s="54" t="s">
        <v>2</v>
      </c>
    </row>
    <row r="4538" ht="15.75" customHeight="1">
      <c r="B4538" s="56"/>
      <c r="U4538" s="46" t="str">
        <f t="array" ref="U4538">IF($D4538="","",IFERROR(_xlfn.XLOOKUP($D4538,'TIR店舗一覧'!$D:$D,'TIR店舗一覧'!$E:$E,""),""))</f>
        <v/>
      </c>
      <c r="V4538" s="54" t="s">
        <v>2</v>
      </c>
      <c r="W4538" s="54" t="s">
        <v>2</v>
      </c>
      <c r="X4538" s="54" t="s">
        <v>2</v>
      </c>
      <c r="Y4538" s="54" t="s">
        <v>2</v>
      </c>
      <c r="Z4538" s="54" t="s">
        <v>2</v>
      </c>
      <c r="AA4538" s="54" t="s">
        <v>2</v>
      </c>
      <c r="AB4538" s="54" t="s">
        <v>2</v>
      </c>
      <c r="AC4538" s="54" t="s">
        <v>2</v>
      </c>
      <c r="AD4538" s="54" t="s">
        <v>2</v>
      </c>
      <c r="AE4538" s="54" t="s">
        <v>2</v>
      </c>
      <c r="AF4538" s="54" t="s">
        <v>2</v>
      </c>
      <c r="AG4538" s="54" t="s">
        <v>2</v>
      </c>
    </row>
    <row r="4539" ht="15.75" customHeight="1">
      <c r="B4539" s="56"/>
      <c r="U4539" s="46" t="str">
        <f t="array" ref="U4539">IF($D4539="","",IFERROR(_xlfn.XLOOKUP($D4539,'TIR店舗一覧'!$D:$D,'TIR店舗一覧'!$E:$E,""),""))</f>
        <v/>
      </c>
      <c r="V4539" s="54" t="s">
        <v>2</v>
      </c>
      <c r="W4539" s="54" t="s">
        <v>2</v>
      </c>
      <c r="X4539" s="54" t="s">
        <v>2</v>
      </c>
      <c r="Y4539" s="54" t="s">
        <v>2</v>
      </c>
      <c r="Z4539" s="54" t="s">
        <v>2</v>
      </c>
      <c r="AA4539" s="54" t="s">
        <v>2</v>
      </c>
      <c r="AB4539" s="54" t="s">
        <v>2</v>
      </c>
      <c r="AC4539" s="54" t="s">
        <v>2</v>
      </c>
      <c r="AD4539" s="54" t="s">
        <v>2</v>
      </c>
      <c r="AE4539" s="54" t="s">
        <v>2</v>
      </c>
      <c r="AF4539" s="54" t="s">
        <v>2</v>
      </c>
      <c r="AG4539" s="54" t="s">
        <v>2</v>
      </c>
    </row>
    <row r="4540" ht="15.75" customHeight="1">
      <c r="B4540" s="56"/>
      <c r="U4540" s="46" t="str">
        <f t="array" ref="U4540">IF($D4540="","",IFERROR(_xlfn.XLOOKUP($D4540,'TIR店舗一覧'!$D:$D,'TIR店舗一覧'!$E:$E,""),""))</f>
        <v/>
      </c>
      <c r="V4540" s="54" t="s">
        <v>2</v>
      </c>
      <c r="W4540" s="54" t="s">
        <v>2</v>
      </c>
      <c r="X4540" s="54" t="s">
        <v>2</v>
      </c>
      <c r="Y4540" s="54" t="s">
        <v>2</v>
      </c>
      <c r="Z4540" s="54" t="s">
        <v>2</v>
      </c>
      <c r="AA4540" s="54" t="s">
        <v>2</v>
      </c>
      <c r="AB4540" s="54" t="s">
        <v>2</v>
      </c>
      <c r="AC4540" s="54" t="s">
        <v>2</v>
      </c>
      <c r="AD4540" s="54" t="s">
        <v>2</v>
      </c>
      <c r="AE4540" s="54" t="s">
        <v>2</v>
      </c>
      <c r="AF4540" s="54" t="s">
        <v>2</v>
      </c>
      <c r="AG4540" s="54" t="s">
        <v>2</v>
      </c>
    </row>
    <row r="4541" ht="15.75" customHeight="1">
      <c r="B4541" s="56"/>
      <c r="U4541" s="46" t="str">
        <f t="array" ref="U4541">IF($D4541="","",IFERROR(_xlfn.XLOOKUP($D4541,'TIR店舗一覧'!$D:$D,'TIR店舗一覧'!$E:$E,""),""))</f>
        <v/>
      </c>
      <c r="V4541" s="54" t="s">
        <v>2</v>
      </c>
      <c r="W4541" s="54" t="s">
        <v>2</v>
      </c>
      <c r="X4541" s="54" t="s">
        <v>2</v>
      </c>
      <c r="Y4541" s="54" t="s">
        <v>2</v>
      </c>
      <c r="Z4541" s="54" t="s">
        <v>2</v>
      </c>
      <c r="AA4541" s="54" t="s">
        <v>2</v>
      </c>
      <c r="AB4541" s="54" t="s">
        <v>2</v>
      </c>
      <c r="AC4541" s="54" t="s">
        <v>2</v>
      </c>
      <c r="AD4541" s="54" t="s">
        <v>2</v>
      </c>
      <c r="AE4541" s="54" t="s">
        <v>2</v>
      </c>
      <c r="AF4541" s="54" t="s">
        <v>2</v>
      </c>
      <c r="AG4541" s="54" t="s">
        <v>2</v>
      </c>
    </row>
    <row r="4542" ht="15.75" customHeight="1">
      <c r="B4542" s="56"/>
      <c r="U4542" s="46" t="str">
        <f t="array" ref="U4542">IF($D4542="","",IFERROR(_xlfn.XLOOKUP($D4542,'TIR店舗一覧'!$D:$D,'TIR店舗一覧'!$E:$E,""),""))</f>
        <v/>
      </c>
      <c r="V4542" s="54" t="s">
        <v>2</v>
      </c>
      <c r="W4542" s="54" t="s">
        <v>2</v>
      </c>
      <c r="X4542" s="54" t="s">
        <v>2</v>
      </c>
      <c r="Y4542" s="54" t="s">
        <v>2</v>
      </c>
      <c r="Z4542" s="54" t="s">
        <v>2</v>
      </c>
      <c r="AA4542" s="54" t="s">
        <v>2</v>
      </c>
      <c r="AB4542" s="54" t="s">
        <v>2</v>
      </c>
      <c r="AC4542" s="54" t="s">
        <v>2</v>
      </c>
      <c r="AD4542" s="54" t="s">
        <v>2</v>
      </c>
      <c r="AE4542" s="54" t="s">
        <v>2</v>
      </c>
      <c r="AF4542" s="54" t="s">
        <v>2</v>
      </c>
      <c r="AG4542" s="54" t="s">
        <v>2</v>
      </c>
    </row>
    <row r="4543" ht="15.75" customHeight="1">
      <c r="B4543" s="56"/>
      <c r="U4543" s="46" t="str">
        <f t="array" ref="U4543">IF($D4543="","",IFERROR(_xlfn.XLOOKUP($D4543,'TIR店舗一覧'!$D:$D,'TIR店舗一覧'!$E:$E,""),""))</f>
        <v/>
      </c>
      <c r="V4543" s="54" t="s">
        <v>2</v>
      </c>
      <c r="W4543" s="54" t="s">
        <v>2</v>
      </c>
      <c r="X4543" s="54" t="s">
        <v>2</v>
      </c>
      <c r="Y4543" s="54" t="s">
        <v>2</v>
      </c>
      <c r="Z4543" s="54" t="s">
        <v>2</v>
      </c>
      <c r="AA4543" s="54" t="s">
        <v>2</v>
      </c>
      <c r="AB4543" s="54" t="s">
        <v>2</v>
      </c>
      <c r="AC4543" s="54" t="s">
        <v>2</v>
      </c>
      <c r="AD4543" s="54" t="s">
        <v>2</v>
      </c>
      <c r="AE4543" s="54" t="s">
        <v>2</v>
      </c>
      <c r="AF4543" s="54" t="s">
        <v>2</v>
      </c>
      <c r="AG4543" s="54" t="s">
        <v>2</v>
      </c>
    </row>
    <row r="4544" ht="15.75" customHeight="1">
      <c r="B4544" s="56"/>
      <c r="U4544" s="46" t="str">
        <f t="array" ref="U4544">IF($D4544="","",IFERROR(_xlfn.XLOOKUP($D4544,'TIR店舗一覧'!$D:$D,'TIR店舗一覧'!$E:$E,""),""))</f>
        <v/>
      </c>
      <c r="V4544" s="54" t="s">
        <v>2</v>
      </c>
      <c r="W4544" s="54" t="s">
        <v>2</v>
      </c>
      <c r="X4544" s="54" t="s">
        <v>2</v>
      </c>
      <c r="Y4544" s="54" t="s">
        <v>2</v>
      </c>
      <c r="Z4544" s="54" t="s">
        <v>2</v>
      </c>
      <c r="AA4544" s="54" t="s">
        <v>2</v>
      </c>
      <c r="AB4544" s="54" t="s">
        <v>2</v>
      </c>
      <c r="AC4544" s="54" t="s">
        <v>2</v>
      </c>
      <c r="AD4544" s="54" t="s">
        <v>2</v>
      </c>
      <c r="AE4544" s="54" t="s">
        <v>2</v>
      </c>
      <c r="AF4544" s="54" t="s">
        <v>2</v>
      </c>
      <c r="AG4544" s="54" t="s">
        <v>2</v>
      </c>
    </row>
    <row r="4545" ht="15.75" customHeight="1">
      <c r="B4545" s="56"/>
      <c r="U4545" s="46" t="str">
        <f t="array" ref="U4545">IF($D4545="","",IFERROR(_xlfn.XLOOKUP($D4545,'TIR店舗一覧'!$D:$D,'TIR店舗一覧'!$E:$E,""),""))</f>
        <v/>
      </c>
      <c r="V4545" s="54" t="s">
        <v>2</v>
      </c>
      <c r="W4545" s="54" t="s">
        <v>2</v>
      </c>
      <c r="X4545" s="54" t="s">
        <v>2</v>
      </c>
      <c r="Y4545" s="54" t="s">
        <v>2</v>
      </c>
      <c r="Z4545" s="54" t="s">
        <v>2</v>
      </c>
      <c r="AA4545" s="54" t="s">
        <v>2</v>
      </c>
      <c r="AB4545" s="54" t="s">
        <v>2</v>
      </c>
      <c r="AC4545" s="54" t="s">
        <v>2</v>
      </c>
      <c r="AD4545" s="54" t="s">
        <v>2</v>
      </c>
      <c r="AE4545" s="54" t="s">
        <v>2</v>
      </c>
      <c r="AF4545" s="54" t="s">
        <v>2</v>
      </c>
      <c r="AG4545" s="54" t="s">
        <v>2</v>
      </c>
    </row>
    <row r="4546" ht="15.75" customHeight="1">
      <c r="B4546" s="56"/>
      <c r="U4546" s="46" t="str">
        <f t="array" ref="U4546">IF($D4546="","",IFERROR(_xlfn.XLOOKUP($D4546,'TIR店舗一覧'!$D:$D,'TIR店舗一覧'!$E:$E,""),""))</f>
        <v/>
      </c>
      <c r="V4546" s="54" t="s">
        <v>2</v>
      </c>
      <c r="W4546" s="54" t="s">
        <v>2</v>
      </c>
      <c r="X4546" s="54" t="s">
        <v>2</v>
      </c>
      <c r="Y4546" s="54" t="s">
        <v>2</v>
      </c>
      <c r="Z4546" s="54" t="s">
        <v>2</v>
      </c>
      <c r="AA4546" s="54" t="s">
        <v>2</v>
      </c>
      <c r="AB4546" s="54" t="s">
        <v>2</v>
      </c>
      <c r="AC4546" s="54" t="s">
        <v>2</v>
      </c>
      <c r="AD4546" s="54" t="s">
        <v>2</v>
      </c>
      <c r="AE4546" s="54" t="s">
        <v>2</v>
      </c>
      <c r="AF4546" s="54" t="s">
        <v>2</v>
      </c>
      <c r="AG4546" s="54" t="s">
        <v>2</v>
      </c>
    </row>
    <row r="4547" ht="15.75" customHeight="1">
      <c r="B4547" s="56"/>
      <c r="U4547" s="46" t="str">
        <f t="array" ref="U4547">IF($D4547="","",IFERROR(_xlfn.XLOOKUP($D4547,'TIR店舗一覧'!$D:$D,'TIR店舗一覧'!$E:$E,""),""))</f>
        <v/>
      </c>
      <c r="V4547" s="54" t="s">
        <v>2</v>
      </c>
      <c r="W4547" s="54" t="s">
        <v>2</v>
      </c>
      <c r="X4547" s="54" t="s">
        <v>2</v>
      </c>
      <c r="Y4547" s="54" t="s">
        <v>2</v>
      </c>
      <c r="Z4547" s="54" t="s">
        <v>2</v>
      </c>
      <c r="AA4547" s="54" t="s">
        <v>2</v>
      </c>
      <c r="AB4547" s="54" t="s">
        <v>2</v>
      </c>
      <c r="AC4547" s="54" t="s">
        <v>2</v>
      </c>
      <c r="AD4547" s="54" t="s">
        <v>2</v>
      </c>
      <c r="AE4547" s="54" t="s">
        <v>2</v>
      </c>
      <c r="AF4547" s="54" t="s">
        <v>2</v>
      </c>
      <c r="AG4547" s="54" t="s">
        <v>2</v>
      </c>
    </row>
    <row r="4548" ht="15.75" customHeight="1">
      <c r="B4548" s="56"/>
      <c r="U4548" s="46" t="str">
        <f t="array" ref="U4548">IF($D4548="","",IFERROR(_xlfn.XLOOKUP($D4548,'TIR店舗一覧'!$D:$D,'TIR店舗一覧'!$E:$E,""),""))</f>
        <v/>
      </c>
      <c r="V4548" s="54" t="s">
        <v>2</v>
      </c>
      <c r="W4548" s="54" t="s">
        <v>2</v>
      </c>
      <c r="X4548" s="54" t="s">
        <v>2</v>
      </c>
      <c r="Y4548" s="54" t="s">
        <v>2</v>
      </c>
      <c r="Z4548" s="54" t="s">
        <v>2</v>
      </c>
      <c r="AA4548" s="54" t="s">
        <v>2</v>
      </c>
      <c r="AB4548" s="54" t="s">
        <v>2</v>
      </c>
      <c r="AC4548" s="54" t="s">
        <v>2</v>
      </c>
      <c r="AD4548" s="54" t="s">
        <v>2</v>
      </c>
      <c r="AE4548" s="54" t="s">
        <v>2</v>
      </c>
      <c r="AF4548" s="54" t="s">
        <v>2</v>
      </c>
      <c r="AG4548" s="54" t="s">
        <v>2</v>
      </c>
    </row>
    <row r="4549" ht="15.75" customHeight="1">
      <c r="B4549" s="56"/>
      <c r="U4549" s="46" t="str">
        <f t="array" ref="U4549">IF($D4549="","",IFERROR(_xlfn.XLOOKUP($D4549,'TIR店舗一覧'!$D:$D,'TIR店舗一覧'!$E:$E,""),""))</f>
        <v/>
      </c>
      <c r="V4549" s="54" t="s">
        <v>2</v>
      </c>
      <c r="W4549" s="54" t="s">
        <v>2</v>
      </c>
      <c r="X4549" s="54" t="s">
        <v>2</v>
      </c>
      <c r="Y4549" s="54" t="s">
        <v>2</v>
      </c>
      <c r="Z4549" s="54" t="s">
        <v>2</v>
      </c>
      <c r="AA4549" s="54" t="s">
        <v>2</v>
      </c>
      <c r="AB4549" s="54" t="s">
        <v>2</v>
      </c>
      <c r="AC4549" s="54" t="s">
        <v>2</v>
      </c>
      <c r="AD4549" s="54" t="s">
        <v>2</v>
      </c>
      <c r="AE4549" s="54" t="s">
        <v>2</v>
      </c>
      <c r="AF4549" s="54" t="s">
        <v>2</v>
      </c>
      <c r="AG4549" s="54" t="s">
        <v>2</v>
      </c>
    </row>
    <row r="4550" ht="15.75" customHeight="1">
      <c r="B4550" s="56"/>
      <c r="U4550" s="46" t="str">
        <f t="array" ref="U4550">IF($D4550="","",IFERROR(_xlfn.XLOOKUP($D4550,'TIR店舗一覧'!$D:$D,'TIR店舗一覧'!$E:$E,""),""))</f>
        <v/>
      </c>
      <c r="V4550" s="54" t="s">
        <v>2</v>
      </c>
      <c r="W4550" s="54" t="s">
        <v>2</v>
      </c>
      <c r="X4550" s="54" t="s">
        <v>2</v>
      </c>
      <c r="Y4550" s="54" t="s">
        <v>2</v>
      </c>
      <c r="Z4550" s="54" t="s">
        <v>2</v>
      </c>
      <c r="AA4550" s="54" t="s">
        <v>2</v>
      </c>
      <c r="AB4550" s="54" t="s">
        <v>2</v>
      </c>
      <c r="AC4550" s="54" t="s">
        <v>2</v>
      </c>
      <c r="AD4550" s="54" t="s">
        <v>2</v>
      </c>
      <c r="AE4550" s="54" t="s">
        <v>2</v>
      </c>
      <c r="AF4550" s="54" t="s">
        <v>2</v>
      </c>
      <c r="AG4550" s="54" t="s">
        <v>2</v>
      </c>
    </row>
    <row r="4551" ht="15.75" customHeight="1">
      <c r="B4551" s="56"/>
      <c r="U4551" s="46" t="str">
        <f t="array" ref="U4551">IF($D4551="","",IFERROR(_xlfn.XLOOKUP($D4551,'TIR店舗一覧'!$D:$D,'TIR店舗一覧'!$E:$E,""),""))</f>
        <v/>
      </c>
      <c r="V4551" s="54" t="s">
        <v>2</v>
      </c>
      <c r="W4551" s="54" t="s">
        <v>2</v>
      </c>
      <c r="X4551" s="54" t="s">
        <v>2</v>
      </c>
      <c r="Y4551" s="54" t="s">
        <v>2</v>
      </c>
      <c r="Z4551" s="54" t="s">
        <v>2</v>
      </c>
      <c r="AA4551" s="54" t="s">
        <v>2</v>
      </c>
      <c r="AB4551" s="54" t="s">
        <v>2</v>
      </c>
      <c r="AC4551" s="54" t="s">
        <v>2</v>
      </c>
      <c r="AD4551" s="54" t="s">
        <v>2</v>
      </c>
      <c r="AE4551" s="54" t="s">
        <v>2</v>
      </c>
      <c r="AF4551" s="54" t="s">
        <v>2</v>
      </c>
      <c r="AG4551" s="54" t="s">
        <v>2</v>
      </c>
    </row>
    <row r="4552" ht="15.75" customHeight="1">
      <c r="B4552" s="56"/>
      <c r="U4552" s="46" t="str">
        <f t="array" ref="U4552">IF($D4552="","",IFERROR(_xlfn.XLOOKUP($D4552,'TIR店舗一覧'!$D:$D,'TIR店舗一覧'!$E:$E,""),""))</f>
        <v/>
      </c>
      <c r="V4552" s="54" t="s">
        <v>2</v>
      </c>
      <c r="W4552" s="54" t="s">
        <v>2</v>
      </c>
      <c r="X4552" s="54" t="s">
        <v>2</v>
      </c>
      <c r="Y4552" s="54" t="s">
        <v>2</v>
      </c>
      <c r="Z4552" s="54" t="s">
        <v>2</v>
      </c>
      <c r="AA4552" s="54" t="s">
        <v>2</v>
      </c>
      <c r="AB4552" s="54" t="s">
        <v>2</v>
      </c>
      <c r="AC4552" s="54" t="s">
        <v>2</v>
      </c>
      <c r="AD4552" s="54" t="s">
        <v>2</v>
      </c>
      <c r="AE4552" s="54" t="s">
        <v>2</v>
      </c>
      <c r="AF4552" s="54" t="s">
        <v>2</v>
      </c>
      <c r="AG4552" s="54" t="s">
        <v>2</v>
      </c>
    </row>
    <row r="4553" ht="15.75" customHeight="1">
      <c r="B4553" s="56"/>
      <c r="U4553" s="46" t="str">
        <f t="array" ref="U4553">IF($D4553="","",IFERROR(_xlfn.XLOOKUP($D4553,'TIR店舗一覧'!$D:$D,'TIR店舗一覧'!$E:$E,""),""))</f>
        <v/>
      </c>
      <c r="V4553" s="54" t="s">
        <v>2</v>
      </c>
      <c r="W4553" s="54" t="s">
        <v>2</v>
      </c>
      <c r="X4553" s="54" t="s">
        <v>2</v>
      </c>
      <c r="Y4553" s="54" t="s">
        <v>2</v>
      </c>
      <c r="Z4553" s="54" t="s">
        <v>2</v>
      </c>
      <c r="AA4553" s="54" t="s">
        <v>2</v>
      </c>
      <c r="AB4553" s="54" t="s">
        <v>2</v>
      </c>
      <c r="AC4553" s="54" t="s">
        <v>2</v>
      </c>
      <c r="AD4553" s="54" t="s">
        <v>2</v>
      </c>
      <c r="AE4553" s="54" t="s">
        <v>2</v>
      </c>
      <c r="AF4553" s="54" t="s">
        <v>2</v>
      </c>
      <c r="AG4553" s="54" t="s">
        <v>2</v>
      </c>
    </row>
    <row r="4554" ht="15.75" customHeight="1">
      <c r="B4554" s="56"/>
      <c r="U4554" s="46" t="str">
        <f t="array" ref="U4554">IF($D4554="","",IFERROR(_xlfn.XLOOKUP($D4554,'TIR店舗一覧'!$D:$D,'TIR店舗一覧'!$E:$E,""),""))</f>
        <v/>
      </c>
      <c r="V4554" s="54" t="s">
        <v>2</v>
      </c>
      <c r="W4554" s="54" t="s">
        <v>2</v>
      </c>
      <c r="X4554" s="54" t="s">
        <v>2</v>
      </c>
      <c r="Y4554" s="54" t="s">
        <v>2</v>
      </c>
      <c r="Z4554" s="54" t="s">
        <v>2</v>
      </c>
      <c r="AA4554" s="54" t="s">
        <v>2</v>
      </c>
      <c r="AB4554" s="54" t="s">
        <v>2</v>
      </c>
      <c r="AC4554" s="54" t="s">
        <v>2</v>
      </c>
      <c r="AD4554" s="54" t="s">
        <v>2</v>
      </c>
      <c r="AE4554" s="54" t="s">
        <v>2</v>
      </c>
      <c r="AF4554" s="54" t="s">
        <v>2</v>
      </c>
      <c r="AG4554" s="54" t="s">
        <v>2</v>
      </c>
    </row>
    <row r="4555" ht="15.75" customHeight="1">
      <c r="B4555" s="56"/>
      <c r="U4555" s="46" t="str">
        <f t="array" ref="U4555">IF($D4555="","",IFERROR(_xlfn.XLOOKUP($D4555,'TIR店舗一覧'!$D:$D,'TIR店舗一覧'!$E:$E,""),""))</f>
        <v/>
      </c>
      <c r="V4555" s="54" t="s">
        <v>2</v>
      </c>
      <c r="W4555" s="54" t="s">
        <v>2</v>
      </c>
      <c r="X4555" s="54" t="s">
        <v>2</v>
      </c>
      <c r="Y4555" s="54" t="s">
        <v>2</v>
      </c>
      <c r="Z4555" s="54" t="s">
        <v>2</v>
      </c>
      <c r="AA4555" s="54" t="s">
        <v>2</v>
      </c>
      <c r="AB4555" s="54" t="s">
        <v>2</v>
      </c>
      <c r="AC4555" s="54" t="s">
        <v>2</v>
      </c>
      <c r="AD4555" s="54" t="s">
        <v>2</v>
      </c>
      <c r="AE4555" s="54" t="s">
        <v>2</v>
      </c>
      <c r="AF4555" s="54" t="s">
        <v>2</v>
      </c>
      <c r="AG4555" s="54" t="s">
        <v>2</v>
      </c>
    </row>
    <row r="4556" ht="15.75" customHeight="1">
      <c r="B4556" s="56"/>
      <c r="U4556" s="46" t="str">
        <f t="array" ref="U4556">IF($D4556="","",IFERROR(_xlfn.XLOOKUP($D4556,'TIR店舗一覧'!$D:$D,'TIR店舗一覧'!$E:$E,""),""))</f>
        <v/>
      </c>
      <c r="V4556" s="54" t="s">
        <v>2</v>
      </c>
      <c r="W4556" s="54" t="s">
        <v>2</v>
      </c>
      <c r="X4556" s="54" t="s">
        <v>2</v>
      </c>
      <c r="Y4556" s="54" t="s">
        <v>2</v>
      </c>
      <c r="Z4556" s="54" t="s">
        <v>2</v>
      </c>
      <c r="AA4556" s="54" t="s">
        <v>2</v>
      </c>
      <c r="AB4556" s="54" t="s">
        <v>2</v>
      </c>
      <c r="AC4556" s="54" t="s">
        <v>2</v>
      </c>
      <c r="AD4556" s="54" t="s">
        <v>2</v>
      </c>
      <c r="AE4556" s="54" t="s">
        <v>2</v>
      </c>
      <c r="AF4556" s="54" t="s">
        <v>2</v>
      </c>
      <c r="AG4556" s="54" t="s">
        <v>2</v>
      </c>
    </row>
    <row r="4557" ht="15.75" customHeight="1">
      <c r="B4557" s="56"/>
      <c r="U4557" s="46" t="str">
        <f t="array" ref="U4557">IF($D4557="","",IFERROR(_xlfn.XLOOKUP($D4557,'TIR店舗一覧'!$D:$D,'TIR店舗一覧'!$E:$E,""),""))</f>
        <v/>
      </c>
      <c r="V4557" s="54" t="s">
        <v>2</v>
      </c>
      <c r="W4557" s="54" t="s">
        <v>2</v>
      </c>
      <c r="X4557" s="54" t="s">
        <v>2</v>
      </c>
      <c r="Y4557" s="54" t="s">
        <v>2</v>
      </c>
      <c r="Z4557" s="54" t="s">
        <v>2</v>
      </c>
      <c r="AA4557" s="54" t="s">
        <v>2</v>
      </c>
      <c r="AB4557" s="54" t="s">
        <v>2</v>
      </c>
      <c r="AC4557" s="54" t="s">
        <v>2</v>
      </c>
      <c r="AD4557" s="54" t="s">
        <v>2</v>
      </c>
      <c r="AE4557" s="54" t="s">
        <v>2</v>
      </c>
      <c r="AF4557" s="54" t="s">
        <v>2</v>
      </c>
      <c r="AG4557" s="54" t="s">
        <v>2</v>
      </c>
    </row>
    <row r="4558" ht="15.75" customHeight="1">
      <c r="B4558" s="56"/>
      <c r="U4558" s="46" t="str">
        <f t="array" ref="U4558">IF($D4558="","",IFERROR(_xlfn.XLOOKUP($D4558,'TIR店舗一覧'!$D:$D,'TIR店舗一覧'!$E:$E,""),""))</f>
        <v/>
      </c>
      <c r="V4558" s="54" t="s">
        <v>2</v>
      </c>
      <c r="W4558" s="54" t="s">
        <v>2</v>
      </c>
      <c r="X4558" s="54" t="s">
        <v>2</v>
      </c>
      <c r="Y4558" s="54" t="s">
        <v>2</v>
      </c>
      <c r="Z4558" s="54" t="s">
        <v>2</v>
      </c>
      <c r="AA4558" s="54" t="s">
        <v>2</v>
      </c>
      <c r="AB4558" s="54" t="s">
        <v>2</v>
      </c>
      <c r="AC4558" s="54" t="s">
        <v>2</v>
      </c>
      <c r="AD4558" s="54" t="s">
        <v>2</v>
      </c>
      <c r="AE4558" s="54" t="s">
        <v>2</v>
      </c>
      <c r="AF4558" s="54" t="s">
        <v>2</v>
      </c>
      <c r="AG4558" s="54" t="s">
        <v>2</v>
      </c>
    </row>
    <row r="4559" ht="15.75" customHeight="1">
      <c r="B4559" s="56"/>
      <c r="U4559" s="46" t="str">
        <f t="array" ref="U4559">IF($D4559="","",IFERROR(_xlfn.XLOOKUP($D4559,'TIR店舗一覧'!$D:$D,'TIR店舗一覧'!$E:$E,""),""))</f>
        <v/>
      </c>
      <c r="V4559" s="54" t="s">
        <v>2</v>
      </c>
      <c r="W4559" s="54" t="s">
        <v>2</v>
      </c>
      <c r="X4559" s="54" t="s">
        <v>2</v>
      </c>
      <c r="Y4559" s="54" t="s">
        <v>2</v>
      </c>
      <c r="Z4559" s="54" t="s">
        <v>2</v>
      </c>
      <c r="AA4559" s="54" t="s">
        <v>2</v>
      </c>
      <c r="AB4559" s="54" t="s">
        <v>2</v>
      </c>
      <c r="AC4559" s="54" t="s">
        <v>2</v>
      </c>
      <c r="AD4559" s="54" t="s">
        <v>2</v>
      </c>
      <c r="AE4559" s="54" t="s">
        <v>2</v>
      </c>
      <c r="AF4559" s="54" t="s">
        <v>2</v>
      </c>
      <c r="AG4559" s="54" t="s">
        <v>2</v>
      </c>
    </row>
    <row r="4560" ht="15.75" customHeight="1">
      <c r="B4560" s="56"/>
      <c r="U4560" s="46" t="str">
        <f t="array" ref="U4560">IF($D4560="","",IFERROR(_xlfn.XLOOKUP($D4560,'TIR店舗一覧'!$D:$D,'TIR店舗一覧'!$E:$E,""),""))</f>
        <v/>
      </c>
      <c r="V4560" s="54" t="s">
        <v>2</v>
      </c>
      <c r="W4560" s="54" t="s">
        <v>2</v>
      </c>
      <c r="X4560" s="54" t="s">
        <v>2</v>
      </c>
      <c r="Y4560" s="54" t="s">
        <v>2</v>
      </c>
      <c r="Z4560" s="54" t="s">
        <v>2</v>
      </c>
      <c r="AA4560" s="54" t="s">
        <v>2</v>
      </c>
      <c r="AB4560" s="54" t="s">
        <v>2</v>
      </c>
      <c r="AC4560" s="54" t="s">
        <v>2</v>
      </c>
      <c r="AD4560" s="54" t="s">
        <v>2</v>
      </c>
      <c r="AE4560" s="54" t="s">
        <v>2</v>
      </c>
      <c r="AF4560" s="54" t="s">
        <v>2</v>
      </c>
      <c r="AG4560" s="54" t="s">
        <v>2</v>
      </c>
    </row>
    <row r="4561" ht="15.75" customHeight="1">
      <c r="B4561" s="56"/>
      <c r="U4561" s="46" t="str">
        <f t="array" ref="U4561">IF($D4561="","",IFERROR(_xlfn.XLOOKUP($D4561,'TIR店舗一覧'!$D:$D,'TIR店舗一覧'!$E:$E,""),""))</f>
        <v/>
      </c>
      <c r="V4561" s="54" t="s">
        <v>2</v>
      </c>
      <c r="W4561" s="54" t="s">
        <v>2</v>
      </c>
      <c r="X4561" s="54" t="s">
        <v>2</v>
      </c>
      <c r="Y4561" s="54" t="s">
        <v>2</v>
      </c>
      <c r="Z4561" s="54" t="s">
        <v>2</v>
      </c>
      <c r="AA4561" s="54" t="s">
        <v>2</v>
      </c>
      <c r="AB4561" s="54" t="s">
        <v>2</v>
      </c>
      <c r="AC4561" s="54" t="s">
        <v>2</v>
      </c>
      <c r="AD4561" s="54" t="s">
        <v>2</v>
      </c>
      <c r="AE4561" s="54" t="s">
        <v>2</v>
      </c>
      <c r="AF4561" s="54" t="s">
        <v>2</v>
      </c>
      <c r="AG4561" s="54" t="s">
        <v>2</v>
      </c>
    </row>
    <row r="4562" ht="15.75" customHeight="1">
      <c r="B4562" s="56"/>
      <c r="U4562" s="46" t="str">
        <f t="array" ref="U4562">IF($D4562="","",IFERROR(_xlfn.XLOOKUP($D4562,'TIR店舗一覧'!$D:$D,'TIR店舗一覧'!$E:$E,""),""))</f>
        <v/>
      </c>
      <c r="V4562" s="54" t="s">
        <v>2</v>
      </c>
      <c r="W4562" s="54" t="s">
        <v>2</v>
      </c>
      <c r="X4562" s="54" t="s">
        <v>2</v>
      </c>
      <c r="Y4562" s="54" t="s">
        <v>2</v>
      </c>
      <c r="Z4562" s="54" t="s">
        <v>2</v>
      </c>
      <c r="AA4562" s="54" t="s">
        <v>2</v>
      </c>
      <c r="AB4562" s="54" t="s">
        <v>2</v>
      </c>
      <c r="AC4562" s="54" t="s">
        <v>2</v>
      </c>
      <c r="AD4562" s="54" t="s">
        <v>2</v>
      </c>
      <c r="AE4562" s="54" t="s">
        <v>2</v>
      </c>
      <c r="AF4562" s="54" t="s">
        <v>2</v>
      </c>
      <c r="AG4562" s="54" t="s">
        <v>2</v>
      </c>
    </row>
    <row r="4563" ht="15.75" customHeight="1">
      <c r="B4563" s="56"/>
      <c r="U4563" s="46" t="str">
        <f t="array" ref="U4563">IF($D4563="","",IFERROR(_xlfn.XLOOKUP($D4563,'TIR店舗一覧'!$D:$D,'TIR店舗一覧'!$E:$E,""),""))</f>
        <v/>
      </c>
      <c r="V4563" s="54" t="s">
        <v>2</v>
      </c>
      <c r="W4563" s="54" t="s">
        <v>2</v>
      </c>
      <c r="X4563" s="54" t="s">
        <v>2</v>
      </c>
      <c r="Y4563" s="54" t="s">
        <v>2</v>
      </c>
      <c r="Z4563" s="54" t="s">
        <v>2</v>
      </c>
      <c r="AA4563" s="54" t="s">
        <v>2</v>
      </c>
      <c r="AB4563" s="54" t="s">
        <v>2</v>
      </c>
      <c r="AC4563" s="54" t="s">
        <v>2</v>
      </c>
      <c r="AD4563" s="54" t="s">
        <v>2</v>
      </c>
      <c r="AE4563" s="54" t="s">
        <v>2</v>
      </c>
      <c r="AF4563" s="54" t="s">
        <v>2</v>
      </c>
      <c r="AG4563" s="54" t="s">
        <v>2</v>
      </c>
    </row>
    <row r="4564" ht="15.75" customHeight="1">
      <c r="B4564" s="56"/>
      <c r="U4564" s="46" t="str">
        <f t="array" ref="U4564">IF($D4564="","",IFERROR(_xlfn.XLOOKUP($D4564,'TIR店舗一覧'!$D:$D,'TIR店舗一覧'!$E:$E,""),""))</f>
        <v/>
      </c>
      <c r="V4564" s="54" t="s">
        <v>2</v>
      </c>
      <c r="W4564" s="54" t="s">
        <v>2</v>
      </c>
      <c r="X4564" s="54" t="s">
        <v>2</v>
      </c>
      <c r="Y4564" s="54" t="s">
        <v>2</v>
      </c>
      <c r="Z4564" s="54" t="s">
        <v>2</v>
      </c>
      <c r="AA4564" s="54" t="s">
        <v>2</v>
      </c>
      <c r="AB4564" s="54" t="s">
        <v>2</v>
      </c>
      <c r="AC4564" s="54" t="s">
        <v>2</v>
      </c>
      <c r="AD4564" s="54" t="s">
        <v>2</v>
      </c>
      <c r="AE4564" s="54" t="s">
        <v>2</v>
      </c>
      <c r="AF4564" s="54" t="s">
        <v>2</v>
      </c>
      <c r="AG4564" s="54" t="s">
        <v>2</v>
      </c>
    </row>
    <row r="4565" ht="15.75" customHeight="1">
      <c r="B4565" s="56"/>
      <c r="U4565" s="46" t="str">
        <f t="array" ref="U4565">IF($D4565="","",IFERROR(_xlfn.XLOOKUP($D4565,'TIR店舗一覧'!$D:$D,'TIR店舗一覧'!$E:$E,""),""))</f>
        <v/>
      </c>
      <c r="V4565" s="54" t="s">
        <v>2</v>
      </c>
      <c r="W4565" s="54" t="s">
        <v>2</v>
      </c>
      <c r="X4565" s="54" t="s">
        <v>2</v>
      </c>
      <c r="Y4565" s="54" t="s">
        <v>2</v>
      </c>
      <c r="Z4565" s="54" t="s">
        <v>2</v>
      </c>
      <c r="AA4565" s="54" t="s">
        <v>2</v>
      </c>
      <c r="AB4565" s="54" t="s">
        <v>2</v>
      </c>
      <c r="AC4565" s="54" t="s">
        <v>2</v>
      </c>
      <c r="AD4565" s="54" t="s">
        <v>2</v>
      </c>
      <c r="AE4565" s="54" t="s">
        <v>2</v>
      </c>
      <c r="AF4565" s="54" t="s">
        <v>2</v>
      </c>
      <c r="AG4565" s="54" t="s">
        <v>2</v>
      </c>
    </row>
    <row r="4566" ht="15.75" customHeight="1">
      <c r="B4566" s="56"/>
      <c r="U4566" s="46" t="str">
        <f t="array" ref="U4566">IF($D4566="","",IFERROR(_xlfn.XLOOKUP($D4566,'TIR店舗一覧'!$D:$D,'TIR店舗一覧'!$E:$E,""),""))</f>
        <v/>
      </c>
      <c r="V4566" s="54" t="s">
        <v>2</v>
      </c>
      <c r="W4566" s="54" t="s">
        <v>2</v>
      </c>
      <c r="X4566" s="54" t="s">
        <v>2</v>
      </c>
      <c r="Y4566" s="54" t="s">
        <v>2</v>
      </c>
      <c r="Z4566" s="54" t="s">
        <v>2</v>
      </c>
      <c r="AA4566" s="54" t="s">
        <v>2</v>
      </c>
      <c r="AB4566" s="54" t="s">
        <v>2</v>
      </c>
      <c r="AC4566" s="54" t="s">
        <v>2</v>
      </c>
      <c r="AD4566" s="54" t="s">
        <v>2</v>
      </c>
      <c r="AE4566" s="54" t="s">
        <v>2</v>
      </c>
      <c r="AF4566" s="54" t="s">
        <v>2</v>
      </c>
      <c r="AG4566" s="54" t="s">
        <v>2</v>
      </c>
    </row>
    <row r="4567" ht="15.75" customHeight="1">
      <c r="B4567" s="56"/>
      <c r="U4567" s="46" t="str">
        <f t="array" ref="U4567">IF($D4567="","",IFERROR(_xlfn.XLOOKUP($D4567,'TIR店舗一覧'!$D:$D,'TIR店舗一覧'!$E:$E,""),""))</f>
        <v/>
      </c>
      <c r="V4567" s="54" t="s">
        <v>2</v>
      </c>
      <c r="W4567" s="54" t="s">
        <v>2</v>
      </c>
      <c r="X4567" s="54" t="s">
        <v>2</v>
      </c>
      <c r="Y4567" s="54" t="s">
        <v>2</v>
      </c>
      <c r="Z4567" s="54" t="s">
        <v>2</v>
      </c>
      <c r="AA4567" s="54" t="s">
        <v>2</v>
      </c>
      <c r="AB4567" s="54" t="s">
        <v>2</v>
      </c>
      <c r="AC4567" s="54" t="s">
        <v>2</v>
      </c>
      <c r="AD4567" s="54" t="s">
        <v>2</v>
      </c>
      <c r="AE4567" s="54" t="s">
        <v>2</v>
      </c>
      <c r="AF4567" s="54" t="s">
        <v>2</v>
      </c>
      <c r="AG4567" s="54" t="s">
        <v>2</v>
      </c>
    </row>
    <row r="4568" ht="15.75" customHeight="1">
      <c r="B4568" s="56"/>
      <c r="U4568" s="46" t="str">
        <f t="array" ref="U4568">IF($D4568="","",IFERROR(_xlfn.XLOOKUP($D4568,'TIR店舗一覧'!$D:$D,'TIR店舗一覧'!$E:$E,""),""))</f>
        <v/>
      </c>
      <c r="V4568" s="54" t="s">
        <v>2</v>
      </c>
      <c r="W4568" s="54" t="s">
        <v>2</v>
      </c>
      <c r="X4568" s="54" t="s">
        <v>2</v>
      </c>
      <c r="Y4568" s="54" t="s">
        <v>2</v>
      </c>
      <c r="Z4568" s="54" t="s">
        <v>2</v>
      </c>
      <c r="AA4568" s="54" t="s">
        <v>2</v>
      </c>
      <c r="AB4568" s="54" t="s">
        <v>2</v>
      </c>
      <c r="AC4568" s="54" t="s">
        <v>2</v>
      </c>
      <c r="AD4568" s="54" t="s">
        <v>2</v>
      </c>
      <c r="AE4568" s="54" t="s">
        <v>2</v>
      </c>
      <c r="AF4568" s="54" t="s">
        <v>2</v>
      </c>
      <c r="AG4568" s="54" t="s">
        <v>2</v>
      </c>
    </row>
    <row r="4569" ht="15.75" customHeight="1">
      <c r="B4569" s="56"/>
      <c r="U4569" s="46" t="str">
        <f t="array" ref="U4569">IF($D4569="","",IFERROR(_xlfn.XLOOKUP($D4569,'TIR店舗一覧'!$D:$D,'TIR店舗一覧'!$E:$E,""),""))</f>
        <v/>
      </c>
      <c r="V4569" s="54" t="s">
        <v>2</v>
      </c>
      <c r="W4569" s="54" t="s">
        <v>2</v>
      </c>
      <c r="X4569" s="54" t="s">
        <v>2</v>
      </c>
      <c r="Y4569" s="54" t="s">
        <v>2</v>
      </c>
      <c r="Z4569" s="54" t="s">
        <v>2</v>
      </c>
      <c r="AA4569" s="54" t="s">
        <v>2</v>
      </c>
      <c r="AB4569" s="54" t="s">
        <v>2</v>
      </c>
      <c r="AC4569" s="54" t="s">
        <v>2</v>
      </c>
      <c r="AD4569" s="54" t="s">
        <v>2</v>
      </c>
      <c r="AE4569" s="54" t="s">
        <v>2</v>
      </c>
      <c r="AF4569" s="54" t="s">
        <v>2</v>
      </c>
      <c r="AG4569" s="54" t="s">
        <v>2</v>
      </c>
    </row>
    <row r="4570" ht="15.75" customHeight="1">
      <c r="B4570" s="56"/>
      <c r="U4570" s="46" t="str">
        <f t="array" ref="U4570">IF($D4570="","",IFERROR(_xlfn.XLOOKUP($D4570,'TIR店舗一覧'!$D:$D,'TIR店舗一覧'!$E:$E,""),""))</f>
        <v/>
      </c>
      <c r="V4570" s="54" t="s">
        <v>2</v>
      </c>
      <c r="W4570" s="54" t="s">
        <v>2</v>
      </c>
      <c r="X4570" s="54" t="s">
        <v>2</v>
      </c>
      <c r="Y4570" s="54" t="s">
        <v>2</v>
      </c>
      <c r="Z4570" s="54" t="s">
        <v>2</v>
      </c>
      <c r="AA4570" s="54" t="s">
        <v>2</v>
      </c>
      <c r="AB4570" s="54" t="s">
        <v>2</v>
      </c>
      <c r="AC4570" s="54" t="s">
        <v>2</v>
      </c>
      <c r="AD4570" s="54" t="s">
        <v>2</v>
      </c>
      <c r="AE4570" s="54" t="s">
        <v>2</v>
      </c>
      <c r="AF4570" s="54" t="s">
        <v>2</v>
      </c>
      <c r="AG4570" s="54" t="s">
        <v>2</v>
      </c>
    </row>
    <row r="4571" ht="15.75" customHeight="1">
      <c r="B4571" s="56"/>
      <c r="U4571" s="46" t="str">
        <f t="array" ref="U4571">IF($D4571="","",IFERROR(_xlfn.XLOOKUP($D4571,'TIR店舗一覧'!$D:$D,'TIR店舗一覧'!$E:$E,""),""))</f>
        <v/>
      </c>
      <c r="V4571" s="54" t="s">
        <v>2</v>
      </c>
      <c r="W4571" s="54" t="s">
        <v>2</v>
      </c>
      <c r="X4571" s="54" t="s">
        <v>2</v>
      </c>
      <c r="Y4571" s="54" t="s">
        <v>2</v>
      </c>
      <c r="Z4571" s="54" t="s">
        <v>2</v>
      </c>
      <c r="AA4571" s="54" t="s">
        <v>2</v>
      </c>
      <c r="AB4571" s="54" t="s">
        <v>2</v>
      </c>
      <c r="AC4571" s="54" t="s">
        <v>2</v>
      </c>
      <c r="AD4571" s="54" t="s">
        <v>2</v>
      </c>
      <c r="AE4571" s="54" t="s">
        <v>2</v>
      </c>
      <c r="AF4571" s="54" t="s">
        <v>2</v>
      </c>
      <c r="AG4571" s="54" t="s">
        <v>2</v>
      </c>
    </row>
    <row r="4572" ht="15.75" customHeight="1">
      <c r="B4572" s="56"/>
      <c r="U4572" s="46" t="str">
        <f t="array" ref="U4572">IF($D4572="","",IFERROR(_xlfn.XLOOKUP($D4572,'TIR店舗一覧'!$D:$D,'TIR店舗一覧'!$E:$E,""),""))</f>
        <v/>
      </c>
      <c r="V4572" s="54" t="s">
        <v>2</v>
      </c>
      <c r="W4572" s="54" t="s">
        <v>2</v>
      </c>
      <c r="X4572" s="54" t="s">
        <v>2</v>
      </c>
      <c r="Y4572" s="54" t="s">
        <v>2</v>
      </c>
      <c r="Z4572" s="54" t="s">
        <v>2</v>
      </c>
      <c r="AA4572" s="54" t="s">
        <v>2</v>
      </c>
      <c r="AB4572" s="54" t="s">
        <v>2</v>
      </c>
      <c r="AC4572" s="54" t="s">
        <v>2</v>
      </c>
      <c r="AD4572" s="54" t="s">
        <v>2</v>
      </c>
      <c r="AE4572" s="54" t="s">
        <v>2</v>
      </c>
      <c r="AF4572" s="54" t="s">
        <v>2</v>
      </c>
      <c r="AG4572" s="54" t="s">
        <v>2</v>
      </c>
    </row>
    <row r="4573" ht="15.75" customHeight="1">
      <c r="B4573" s="56"/>
      <c r="U4573" s="46" t="str">
        <f t="array" ref="U4573">IF($D4573="","",IFERROR(_xlfn.XLOOKUP($D4573,'TIR店舗一覧'!$D:$D,'TIR店舗一覧'!$E:$E,""),""))</f>
        <v/>
      </c>
      <c r="V4573" s="54" t="s">
        <v>2</v>
      </c>
      <c r="W4573" s="54" t="s">
        <v>2</v>
      </c>
      <c r="X4573" s="54" t="s">
        <v>2</v>
      </c>
      <c r="Y4573" s="54" t="s">
        <v>2</v>
      </c>
      <c r="Z4573" s="54" t="s">
        <v>2</v>
      </c>
      <c r="AA4573" s="54" t="s">
        <v>2</v>
      </c>
      <c r="AB4573" s="54" t="s">
        <v>2</v>
      </c>
      <c r="AC4573" s="54" t="s">
        <v>2</v>
      </c>
      <c r="AD4573" s="54" t="s">
        <v>2</v>
      </c>
      <c r="AE4573" s="54" t="s">
        <v>2</v>
      </c>
      <c r="AF4573" s="54" t="s">
        <v>2</v>
      </c>
      <c r="AG4573" s="54" t="s">
        <v>2</v>
      </c>
    </row>
    <row r="4574" ht="15.75" customHeight="1">
      <c r="B4574" s="56"/>
      <c r="U4574" s="46" t="str">
        <f t="array" ref="U4574">IF($D4574="","",IFERROR(_xlfn.XLOOKUP($D4574,'TIR店舗一覧'!$D:$D,'TIR店舗一覧'!$E:$E,""),""))</f>
        <v/>
      </c>
      <c r="V4574" s="54" t="s">
        <v>2</v>
      </c>
      <c r="W4574" s="54" t="s">
        <v>2</v>
      </c>
      <c r="X4574" s="54" t="s">
        <v>2</v>
      </c>
      <c r="Y4574" s="54" t="s">
        <v>2</v>
      </c>
      <c r="Z4574" s="54" t="s">
        <v>2</v>
      </c>
      <c r="AA4574" s="54" t="s">
        <v>2</v>
      </c>
      <c r="AB4574" s="54" t="s">
        <v>2</v>
      </c>
      <c r="AC4574" s="54" t="s">
        <v>2</v>
      </c>
      <c r="AD4574" s="54" t="s">
        <v>2</v>
      </c>
      <c r="AE4574" s="54" t="s">
        <v>2</v>
      </c>
      <c r="AF4574" s="54" t="s">
        <v>2</v>
      </c>
      <c r="AG4574" s="54" t="s">
        <v>2</v>
      </c>
    </row>
    <row r="4575" ht="15.75" customHeight="1">
      <c r="B4575" s="56"/>
      <c r="U4575" s="46" t="str">
        <f t="array" ref="U4575">IF($D4575="","",IFERROR(_xlfn.XLOOKUP($D4575,'TIR店舗一覧'!$D:$D,'TIR店舗一覧'!$E:$E,""),""))</f>
        <v/>
      </c>
      <c r="V4575" s="54" t="s">
        <v>2</v>
      </c>
      <c r="W4575" s="54" t="s">
        <v>2</v>
      </c>
      <c r="X4575" s="54" t="s">
        <v>2</v>
      </c>
      <c r="Y4575" s="54" t="s">
        <v>2</v>
      </c>
      <c r="Z4575" s="54" t="s">
        <v>2</v>
      </c>
      <c r="AA4575" s="54" t="s">
        <v>2</v>
      </c>
      <c r="AB4575" s="54" t="s">
        <v>2</v>
      </c>
      <c r="AC4575" s="54" t="s">
        <v>2</v>
      </c>
      <c r="AD4575" s="54" t="s">
        <v>2</v>
      </c>
      <c r="AE4575" s="54" t="s">
        <v>2</v>
      </c>
      <c r="AF4575" s="54" t="s">
        <v>2</v>
      </c>
      <c r="AG4575" s="54" t="s">
        <v>2</v>
      </c>
    </row>
    <row r="4576" ht="15.75" customHeight="1">
      <c r="B4576" s="56"/>
      <c r="U4576" s="46" t="str">
        <f t="array" ref="U4576">IF($D4576="","",IFERROR(_xlfn.XLOOKUP($D4576,'TIR店舗一覧'!$D:$D,'TIR店舗一覧'!$E:$E,""),""))</f>
        <v/>
      </c>
      <c r="V4576" s="54" t="s">
        <v>2</v>
      </c>
      <c r="W4576" s="54" t="s">
        <v>2</v>
      </c>
      <c r="X4576" s="54" t="s">
        <v>2</v>
      </c>
      <c r="Y4576" s="54" t="s">
        <v>2</v>
      </c>
      <c r="Z4576" s="54" t="s">
        <v>2</v>
      </c>
      <c r="AA4576" s="54" t="s">
        <v>2</v>
      </c>
      <c r="AB4576" s="54" t="s">
        <v>2</v>
      </c>
      <c r="AC4576" s="54" t="s">
        <v>2</v>
      </c>
      <c r="AD4576" s="54" t="s">
        <v>2</v>
      </c>
      <c r="AE4576" s="54" t="s">
        <v>2</v>
      </c>
      <c r="AF4576" s="54" t="s">
        <v>2</v>
      </c>
      <c r="AG4576" s="54" t="s">
        <v>2</v>
      </c>
    </row>
    <row r="4577" ht="15.75" customHeight="1">
      <c r="B4577" s="56"/>
      <c r="U4577" s="46" t="str">
        <f t="array" ref="U4577">IF($D4577="","",IFERROR(_xlfn.XLOOKUP($D4577,'TIR店舗一覧'!$D:$D,'TIR店舗一覧'!$E:$E,""),""))</f>
        <v/>
      </c>
      <c r="V4577" s="54" t="s">
        <v>2</v>
      </c>
      <c r="W4577" s="54" t="s">
        <v>2</v>
      </c>
      <c r="X4577" s="54" t="s">
        <v>2</v>
      </c>
      <c r="Y4577" s="54" t="s">
        <v>2</v>
      </c>
      <c r="Z4577" s="54" t="s">
        <v>2</v>
      </c>
      <c r="AA4577" s="54" t="s">
        <v>2</v>
      </c>
      <c r="AB4577" s="54" t="s">
        <v>2</v>
      </c>
      <c r="AC4577" s="54" t="s">
        <v>2</v>
      </c>
      <c r="AD4577" s="54" t="s">
        <v>2</v>
      </c>
      <c r="AE4577" s="54" t="s">
        <v>2</v>
      </c>
      <c r="AF4577" s="54" t="s">
        <v>2</v>
      </c>
      <c r="AG4577" s="54" t="s">
        <v>2</v>
      </c>
    </row>
    <row r="4578" ht="15.75" customHeight="1">
      <c r="B4578" s="56"/>
      <c r="U4578" s="46" t="str">
        <f t="array" ref="U4578">IF($D4578="","",IFERROR(_xlfn.XLOOKUP($D4578,'TIR店舗一覧'!$D:$D,'TIR店舗一覧'!$E:$E,""),""))</f>
        <v/>
      </c>
      <c r="V4578" s="54" t="s">
        <v>2</v>
      </c>
      <c r="W4578" s="54" t="s">
        <v>2</v>
      </c>
      <c r="X4578" s="54" t="s">
        <v>2</v>
      </c>
      <c r="Y4578" s="54" t="s">
        <v>2</v>
      </c>
      <c r="Z4578" s="54" t="s">
        <v>2</v>
      </c>
      <c r="AA4578" s="54" t="s">
        <v>2</v>
      </c>
      <c r="AB4578" s="54" t="s">
        <v>2</v>
      </c>
      <c r="AC4578" s="54" t="s">
        <v>2</v>
      </c>
      <c r="AD4578" s="54" t="s">
        <v>2</v>
      </c>
      <c r="AE4578" s="54" t="s">
        <v>2</v>
      </c>
      <c r="AF4578" s="54" t="s">
        <v>2</v>
      </c>
      <c r="AG4578" s="54" t="s">
        <v>2</v>
      </c>
    </row>
    <row r="4579" ht="15.75" customHeight="1">
      <c r="B4579" s="56"/>
      <c r="U4579" s="46" t="str">
        <f t="array" ref="U4579">IF($D4579="","",IFERROR(_xlfn.XLOOKUP($D4579,'TIR店舗一覧'!$D:$D,'TIR店舗一覧'!$E:$E,""),""))</f>
        <v/>
      </c>
      <c r="V4579" s="54" t="s">
        <v>2</v>
      </c>
      <c r="W4579" s="54" t="s">
        <v>2</v>
      </c>
      <c r="X4579" s="54" t="s">
        <v>2</v>
      </c>
      <c r="Y4579" s="54" t="s">
        <v>2</v>
      </c>
      <c r="Z4579" s="54" t="s">
        <v>2</v>
      </c>
      <c r="AA4579" s="54" t="s">
        <v>2</v>
      </c>
      <c r="AB4579" s="54" t="s">
        <v>2</v>
      </c>
      <c r="AC4579" s="54" t="s">
        <v>2</v>
      </c>
      <c r="AD4579" s="54" t="s">
        <v>2</v>
      </c>
      <c r="AE4579" s="54" t="s">
        <v>2</v>
      </c>
      <c r="AF4579" s="54" t="s">
        <v>2</v>
      </c>
      <c r="AG4579" s="54" t="s">
        <v>2</v>
      </c>
    </row>
    <row r="4580" ht="15.75" customHeight="1">
      <c r="B4580" s="56"/>
      <c r="U4580" s="46" t="str">
        <f t="array" ref="U4580">IF($D4580="","",IFERROR(_xlfn.XLOOKUP($D4580,'TIR店舗一覧'!$D:$D,'TIR店舗一覧'!$E:$E,""),""))</f>
        <v/>
      </c>
      <c r="V4580" s="54" t="s">
        <v>2</v>
      </c>
      <c r="W4580" s="54" t="s">
        <v>2</v>
      </c>
      <c r="X4580" s="54" t="s">
        <v>2</v>
      </c>
      <c r="Y4580" s="54" t="s">
        <v>2</v>
      </c>
      <c r="Z4580" s="54" t="s">
        <v>2</v>
      </c>
      <c r="AA4580" s="54" t="s">
        <v>2</v>
      </c>
      <c r="AB4580" s="54" t="s">
        <v>2</v>
      </c>
      <c r="AC4580" s="54" t="s">
        <v>2</v>
      </c>
      <c r="AD4580" s="54" t="s">
        <v>2</v>
      </c>
      <c r="AE4580" s="54" t="s">
        <v>2</v>
      </c>
      <c r="AF4580" s="54" t="s">
        <v>2</v>
      </c>
      <c r="AG4580" s="54" t="s">
        <v>2</v>
      </c>
    </row>
    <row r="4581" ht="15.75" customHeight="1">
      <c r="B4581" s="56"/>
      <c r="U4581" s="46" t="str">
        <f t="array" ref="U4581">IF($D4581="","",IFERROR(_xlfn.XLOOKUP($D4581,'TIR店舗一覧'!$D:$D,'TIR店舗一覧'!$E:$E,""),""))</f>
        <v/>
      </c>
      <c r="V4581" s="54" t="s">
        <v>2</v>
      </c>
      <c r="W4581" s="54" t="s">
        <v>2</v>
      </c>
      <c r="X4581" s="54" t="s">
        <v>2</v>
      </c>
      <c r="Y4581" s="54" t="s">
        <v>2</v>
      </c>
      <c r="Z4581" s="54" t="s">
        <v>2</v>
      </c>
      <c r="AA4581" s="54" t="s">
        <v>2</v>
      </c>
      <c r="AB4581" s="54" t="s">
        <v>2</v>
      </c>
      <c r="AC4581" s="54" t="s">
        <v>2</v>
      </c>
      <c r="AD4581" s="54" t="s">
        <v>2</v>
      </c>
      <c r="AE4581" s="54" t="s">
        <v>2</v>
      </c>
      <c r="AF4581" s="54" t="s">
        <v>2</v>
      </c>
      <c r="AG4581" s="54" t="s">
        <v>2</v>
      </c>
    </row>
    <row r="4582" ht="15.75" customHeight="1">
      <c r="B4582" s="56"/>
      <c r="U4582" s="46" t="str">
        <f t="array" ref="U4582">IF($D4582="","",IFERROR(_xlfn.XLOOKUP($D4582,'TIR店舗一覧'!$D:$D,'TIR店舗一覧'!$E:$E,""),""))</f>
        <v/>
      </c>
      <c r="V4582" s="54" t="s">
        <v>2</v>
      </c>
      <c r="W4582" s="54" t="s">
        <v>2</v>
      </c>
      <c r="X4582" s="54" t="s">
        <v>2</v>
      </c>
      <c r="Y4582" s="54" t="s">
        <v>2</v>
      </c>
      <c r="Z4582" s="54" t="s">
        <v>2</v>
      </c>
      <c r="AA4582" s="54" t="s">
        <v>2</v>
      </c>
      <c r="AB4582" s="54" t="s">
        <v>2</v>
      </c>
      <c r="AC4582" s="54" t="s">
        <v>2</v>
      </c>
      <c r="AD4582" s="54" t="s">
        <v>2</v>
      </c>
      <c r="AE4582" s="54" t="s">
        <v>2</v>
      </c>
      <c r="AF4582" s="54" t="s">
        <v>2</v>
      </c>
      <c r="AG4582" s="54" t="s">
        <v>2</v>
      </c>
    </row>
    <row r="4583" ht="15.75" customHeight="1">
      <c r="B4583" s="56"/>
      <c r="U4583" s="46" t="str">
        <f t="array" ref="U4583">IF($D4583="","",IFERROR(_xlfn.XLOOKUP($D4583,'TIR店舗一覧'!$D:$D,'TIR店舗一覧'!$E:$E,""),""))</f>
        <v/>
      </c>
      <c r="V4583" s="54" t="s">
        <v>2</v>
      </c>
      <c r="W4583" s="54" t="s">
        <v>2</v>
      </c>
      <c r="X4583" s="54" t="s">
        <v>2</v>
      </c>
      <c r="Y4583" s="54" t="s">
        <v>2</v>
      </c>
      <c r="Z4583" s="54" t="s">
        <v>2</v>
      </c>
      <c r="AA4583" s="54" t="s">
        <v>2</v>
      </c>
      <c r="AB4583" s="54" t="s">
        <v>2</v>
      </c>
      <c r="AC4583" s="54" t="s">
        <v>2</v>
      </c>
      <c r="AD4583" s="54" t="s">
        <v>2</v>
      </c>
      <c r="AE4583" s="54" t="s">
        <v>2</v>
      </c>
      <c r="AF4583" s="54" t="s">
        <v>2</v>
      </c>
      <c r="AG4583" s="54" t="s">
        <v>2</v>
      </c>
    </row>
    <row r="4584" ht="15.75" customHeight="1">
      <c r="B4584" s="56"/>
      <c r="U4584" s="46" t="str">
        <f t="array" ref="U4584">IF($D4584="","",IFERROR(_xlfn.XLOOKUP($D4584,'TIR店舗一覧'!$D:$D,'TIR店舗一覧'!$E:$E,""),""))</f>
        <v/>
      </c>
      <c r="V4584" s="54" t="s">
        <v>2</v>
      </c>
      <c r="W4584" s="54" t="s">
        <v>2</v>
      </c>
      <c r="X4584" s="54" t="s">
        <v>2</v>
      </c>
      <c r="Y4584" s="54" t="s">
        <v>2</v>
      </c>
      <c r="Z4584" s="54" t="s">
        <v>2</v>
      </c>
      <c r="AA4584" s="54" t="s">
        <v>2</v>
      </c>
      <c r="AB4584" s="54" t="s">
        <v>2</v>
      </c>
      <c r="AC4584" s="54" t="s">
        <v>2</v>
      </c>
      <c r="AD4584" s="54" t="s">
        <v>2</v>
      </c>
      <c r="AE4584" s="54" t="s">
        <v>2</v>
      </c>
      <c r="AF4584" s="54" t="s">
        <v>2</v>
      </c>
      <c r="AG4584" s="54" t="s">
        <v>2</v>
      </c>
    </row>
    <row r="4585" ht="15.75" customHeight="1">
      <c r="B4585" s="56"/>
      <c r="U4585" s="46" t="str">
        <f t="array" ref="U4585">IF($D4585="","",IFERROR(_xlfn.XLOOKUP($D4585,'TIR店舗一覧'!$D:$D,'TIR店舗一覧'!$E:$E,""),""))</f>
        <v/>
      </c>
      <c r="V4585" s="54" t="s">
        <v>2</v>
      </c>
      <c r="W4585" s="54" t="s">
        <v>2</v>
      </c>
      <c r="X4585" s="54" t="s">
        <v>2</v>
      </c>
      <c r="Y4585" s="54" t="s">
        <v>2</v>
      </c>
      <c r="Z4585" s="54" t="s">
        <v>2</v>
      </c>
      <c r="AA4585" s="54" t="s">
        <v>2</v>
      </c>
      <c r="AB4585" s="54" t="s">
        <v>2</v>
      </c>
      <c r="AC4585" s="54" t="s">
        <v>2</v>
      </c>
      <c r="AD4585" s="54" t="s">
        <v>2</v>
      </c>
      <c r="AE4585" s="54" t="s">
        <v>2</v>
      </c>
      <c r="AF4585" s="54" t="s">
        <v>2</v>
      </c>
      <c r="AG4585" s="54" t="s">
        <v>2</v>
      </c>
    </row>
    <row r="4586" ht="15.75" customHeight="1">
      <c r="B4586" s="56"/>
      <c r="U4586" s="46" t="str">
        <f t="array" ref="U4586">IF($D4586="","",IFERROR(_xlfn.XLOOKUP($D4586,'TIR店舗一覧'!$D:$D,'TIR店舗一覧'!$E:$E,""),""))</f>
        <v/>
      </c>
      <c r="V4586" s="54" t="s">
        <v>2</v>
      </c>
      <c r="W4586" s="54" t="s">
        <v>2</v>
      </c>
      <c r="X4586" s="54" t="s">
        <v>2</v>
      </c>
      <c r="Y4586" s="54" t="s">
        <v>2</v>
      </c>
      <c r="Z4586" s="54" t="s">
        <v>2</v>
      </c>
      <c r="AA4586" s="54" t="s">
        <v>2</v>
      </c>
      <c r="AB4586" s="54" t="s">
        <v>2</v>
      </c>
      <c r="AC4586" s="54" t="s">
        <v>2</v>
      </c>
      <c r="AD4586" s="54" t="s">
        <v>2</v>
      </c>
      <c r="AE4586" s="54" t="s">
        <v>2</v>
      </c>
      <c r="AF4586" s="54" t="s">
        <v>2</v>
      </c>
      <c r="AG4586" s="54" t="s">
        <v>2</v>
      </c>
    </row>
    <row r="4587" ht="15.75" customHeight="1">
      <c r="B4587" s="56"/>
      <c r="U4587" s="46" t="str">
        <f t="array" ref="U4587">IF($D4587="","",IFERROR(_xlfn.XLOOKUP($D4587,'TIR店舗一覧'!$D:$D,'TIR店舗一覧'!$E:$E,""),""))</f>
        <v/>
      </c>
      <c r="V4587" s="54" t="s">
        <v>2</v>
      </c>
      <c r="W4587" s="54" t="s">
        <v>2</v>
      </c>
      <c r="X4587" s="54" t="s">
        <v>2</v>
      </c>
      <c r="Y4587" s="54" t="s">
        <v>2</v>
      </c>
      <c r="Z4587" s="54" t="s">
        <v>2</v>
      </c>
      <c r="AA4587" s="54" t="s">
        <v>2</v>
      </c>
      <c r="AB4587" s="54" t="s">
        <v>2</v>
      </c>
      <c r="AC4587" s="54" t="s">
        <v>2</v>
      </c>
      <c r="AD4587" s="54" t="s">
        <v>2</v>
      </c>
      <c r="AE4587" s="54" t="s">
        <v>2</v>
      </c>
      <c r="AF4587" s="54" t="s">
        <v>2</v>
      </c>
      <c r="AG4587" s="54" t="s">
        <v>2</v>
      </c>
    </row>
    <row r="4588" ht="15.75" customHeight="1">
      <c r="B4588" s="56"/>
      <c r="U4588" s="46" t="str">
        <f t="array" ref="U4588">IF($D4588="","",IFERROR(_xlfn.XLOOKUP($D4588,'TIR店舗一覧'!$D:$D,'TIR店舗一覧'!$E:$E,""),""))</f>
        <v/>
      </c>
      <c r="V4588" s="54" t="s">
        <v>2</v>
      </c>
      <c r="W4588" s="54" t="s">
        <v>2</v>
      </c>
      <c r="X4588" s="54" t="s">
        <v>2</v>
      </c>
      <c r="Y4588" s="54" t="s">
        <v>2</v>
      </c>
      <c r="Z4588" s="54" t="s">
        <v>2</v>
      </c>
      <c r="AA4588" s="54" t="s">
        <v>2</v>
      </c>
      <c r="AB4588" s="54" t="s">
        <v>2</v>
      </c>
      <c r="AC4588" s="54" t="s">
        <v>2</v>
      </c>
      <c r="AD4588" s="54" t="s">
        <v>2</v>
      </c>
      <c r="AE4588" s="54" t="s">
        <v>2</v>
      </c>
      <c r="AF4588" s="54" t="s">
        <v>2</v>
      </c>
      <c r="AG4588" s="54" t="s">
        <v>2</v>
      </c>
    </row>
    <row r="4589" ht="15.75" customHeight="1">
      <c r="B4589" s="56"/>
      <c r="U4589" s="46" t="str">
        <f t="array" ref="U4589">IF($D4589="","",IFERROR(_xlfn.XLOOKUP($D4589,'TIR店舗一覧'!$D:$D,'TIR店舗一覧'!$E:$E,""),""))</f>
        <v/>
      </c>
      <c r="V4589" s="54" t="s">
        <v>2</v>
      </c>
      <c r="W4589" s="54" t="s">
        <v>2</v>
      </c>
      <c r="X4589" s="54" t="s">
        <v>2</v>
      </c>
      <c r="Y4589" s="54" t="s">
        <v>2</v>
      </c>
      <c r="Z4589" s="54" t="s">
        <v>2</v>
      </c>
      <c r="AA4589" s="54" t="s">
        <v>2</v>
      </c>
      <c r="AB4589" s="54" t="s">
        <v>2</v>
      </c>
      <c r="AC4589" s="54" t="s">
        <v>2</v>
      </c>
      <c r="AD4589" s="54" t="s">
        <v>2</v>
      </c>
      <c r="AE4589" s="54" t="s">
        <v>2</v>
      </c>
      <c r="AF4589" s="54" t="s">
        <v>2</v>
      </c>
      <c r="AG4589" s="54" t="s">
        <v>2</v>
      </c>
    </row>
    <row r="4590" ht="15.75" customHeight="1">
      <c r="B4590" s="56"/>
      <c r="U4590" s="46" t="str">
        <f t="array" ref="U4590">IF($D4590="","",IFERROR(_xlfn.XLOOKUP($D4590,'TIR店舗一覧'!$D:$D,'TIR店舗一覧'!$E:$E,""),""))</f>
        <v/>
      </c>
      <c r="V4590" s="54" t="s">
        <v>2</v>
      </c>
      <c r="W4590" s="54" t="s">
        <v>2</v>
      </c>
      <c r="X4590" s="54" t="s">
        <v>2</v>
      </c>
      <c r="Y4590" s="54" t="s">
        <v>2</v>
      </c>
      <c r="Z4590" s="54" t="s">
        <v>2</v>
      </c>
      <c r="AA4590" s="54" t="s">
        <v>2</v>
      </c>
      <c r="AB4590" s="54" t="s">
        <v>2</v>
      </c>
      <c r="AC4590" s="54" t="s">
        <v>2</v>
      </c>
      <c r="AD4590" s="54" t="s">
        <v>2</v>
      </c>
      <c r="AE4590" s="54" t="s">
        <v>2</v>
      </c>
      <c r="AF4590" s="54" t="s">
        <v>2</v>
      </c>
      <c r="AG4590" s="54" t="s">
        <v>2</v>
      </c>
    </row>
    <row r="4591" ht="15.75" customHeight="1">
      <c r="B4591" s="56"/>
      <c r="U4591" s="46" t="str">
        <f t="array" ref="U4591">IF($D4591="","",IFERROR(_xlfn.XLOOKUP($D4591,'TIR店舗一覧'!$D:$D,'TIR店舗一覧'!$E:$E,""),""))</f>
        <v/>
      </c>
      <c r="V4591" s="54" t="s">
        <v>2</v>
      </c>
      <c r="W4591" s="54" t="s">
        <v>2</v>
      </c>
      <c r="X4591" s="54" t="s">
        <v>2</v>
      </c>
      <c r="Y4591" s="54" t="s">
        <v>2</v>
      </c>
      <c r="Z4591" s="54" t="s">
        <v>2</v>
      </c>
      <c r="AA4591" s="54" t="s">
        <v>2</v>
      </c>
      <c r="AB4591" s="54" t="s">
        <v>2</v>
      </c>
      <c r="AC4591" s="54" t="s">
        <v>2</v>
      </c>
      <c r="AD4591" s="54" t="s">
        <v>2</v>
      </c>
      <c r="AE4591" s="54" t="s">
        <v>2</v>
      </c>
      <c r="AF4591" s="54" t="s">
        <v>2</v>
      </c>
      <c r="AG4591" s="54" t="s">
        <v>2</v>
      </c>
    </row>
    <row r="4592" ht="15.75" customHeight="1">
      <c r="B4592" s="56"/>
      <c r="U4592" s="46" t="str">
        <f t="array" ref="U4592">IF($D4592="","",IFERROR(_xlfn.XLOOKUP($D4592,'TIR店舗一覧'!$D:$D,'TIR店舗一覧'!$E:$E,""),""))</f>
        <v/>
      </c>
      <c r="V4592" s="54" t="s">
        <v>2</v>
      </c>
      <c r="W4592" s="54" t="s">
        <v>2</v>
      </c>
      <c r="X4592" s="54" t="s">
        <v>2</v>
      </c>
      <c r="Y4592" s="54" t="s">
        <v>2</v>
      </c>
      <c r="Z4592" s="54" t="s">
        <v>2</v>
      </c>
      <c r="AA4592" s="54" t="s">
        <v>2</v>
      </c>
      <c r="AB4592" s="54" t="s">
        <v>2</v>
      </c>
      <c r="AC4592" s="54" t="s">
        <v>2</v>
      </c>
      <c r="AD4592" s="54" t="s">
        <v>2</v>
      </c>
      <c r="AE4592" s="54" t="s">
        <v>2</v>
      </c>
      <c r="AF4592" s="54" t="s">
        <v>2</v>
      </c>
      <c r="AG4592" s="54" t="s">
        <v>2</v>
      </c>
    </row>
    <row r="4593" ht="15.75" customHeight="1">
      <c r="B4593" s="56"/>
      <c r="U4593" s="46" t="str">
        <f t="array" ref="U4593">IF($D4593="","",IFERROR(_xlfn.XLOOKUP($D4593,'TIR店舗一覧'!$D:$D,'TIR店舗一覧'!$E:$E,""),""))</f>
        <v/>
      </c>
      <c r="V4593" s="54" t="s">
        <v>2</v>
      </c>
      <c r="W4593" s="54" t="s">
        <v>2</v>
      </c>
      <c r="X4593" s="54" t="s">
        <v>2</v>
      </c>
      <c r="Y4593" s="54" t="s">
        <v>2</v>
      </c>
      <c r="Z4593" s="54" t="s">
        <v>2</v>
      </c>
      <c r="AA4593" s="54" t="s">
        <v>2</v>
      </c>
      <c r="AB4593" s="54" t="s">
        <v>2</v>
      </c>
      <c r="AC4593" s="54" t="s">
        <v>2</v>
      </c>
      <c r="AD4593" s="54" t="s">
        <v>2</v>
      </c>
      <c r="AE4593" s="54" t="s">
        <v>2</v>
      </c>
      <c r="AF4593" s="54" t="s">
        <v>2</v>
      </c>
      <c r="AG4593" s="54" t="s">
        <v>2</v>
      </c>
    </row>
    <row r="4594" ht="15.75" customHeight="1">
      <c r="B4594" s="56"/>
      <c r="U4594" s="46" t="str">
        <f t="array" ref="U4594">IF($D4594="","",IFERROR(_xlfn.XLOOKUP($D4594,'TIR店舗一覧'!$D:$D,'TIR店舗一覧'!$E:$E,""),""))</f>
        <v/>
      </c>
      <c r="V4594" s="54" t="s">
        <v>2</v>
      </c>
      <c r="W4594" s="54" t="s">
        <v>2</v>
      </c>
      <c r="X4594" s="54" t="s">
        <v>2</v>
      </c>
      <c r="Y4594" s="54" t="s">
        <v>2</v>
      </c>
      <c r="Z4594" s="54" t="s">
        <v>2</v>
      </c>
      <c r="AA4594" s="54" t="s">
        <v>2</v>
      </c>
      <c r="AB4594" s="54" t="s">
        <v>2</v>
      </c>
      <c r="AC4594" s="54" t="s">
        <v>2</v>
      </c>
      <c r="AD4594" s="54" t="s">
        <v>2</v>
      </c>
      <c r="AE4594" s="54" t="s">
        <v>2</v>
      </c>
      <c r="AF4594" s="54" t="s">
        <v>2</v>
      </c>
      <c r="AG4594" s="54" t="s">
        <v>2</v>
      </c>
    </row>
    <row r="4595" ht="15.75" customHeight="1">
      <c r="B4595" s="56"/>
      <c r="U4595" s="46" t="str">
        <f t="array" ref="U4595">IF($D4595="","",IFERROR(_xlfn.XLOOKUP($D4595,'TIR店舗一覧'!$D:$D,'TIR店舗一覧'!$E:$E,""),""))</f>
        <v/>
      </c>
      <c r="V4595" s="54" t="s">
        <v>2</v>
      </c>
      <c r="W4595" s="54" t="s">
        <v>2</v>
      </c>
      <c r="X4595" s="54" t="s">
        <v>2</v>
      </c>
      <c r="Y4595" s="54" t="s">
        <v>2</v>
      </c>
      <c r="Z4595" s="54" t="s">
        <v>2</v>
      </c>
      <c r="AA4595" s="54" t="s">
        <v>2</v>
      </c>
      <c r="AB4595" s="54" t="s">
        <v>2</v>
      </c>
      <c r="AC4595" s="54" t="s">
        <v>2</v>
      </c>
      <c r="AD4595" s="54" t="s">
        <v>2</v>
      </c>
      <c r="AE4595" s="54" t="s">
        <v>2</v>
      </c>
      <c r="AF4595" s="54" t="s">
        <v>2</v>
      </c>
      <c r="AG4595" s="54" t="s">
        <v>2</v>
      </c>
    </row>
    <row r="4596" ht="15.75" customHeight="1">
      <c r="B4596" s="56"/>
      <c r="U4596" s="46" t="str">
        <f t="array" ref="U4596">IF($D4596="","",IFERROR(_xlfn.XLOOKUP($D4596,'TIR店舗一覧'!$D:$D,'TIR店舗一覧'!$E:$E,""),""))</f>
        <v/>
      </c>
      <c r="V4596" s="54" t="s">
        <v>2</v>
      </c>
      <c r="W4596" s="54" t="s">
        <v>2</v>
      </c>
      <c r="X4596" s="54" t="s">
        <v>2</v>
      </c>
      <c r="Y4596" s="54" t="s">
        <v>2</v>
      </c>
      <c r="Z4596" s="54" t="s">
        <v>2</v>
      </c>
      <c r="AA4596" s="54" t="s">
        <v>2</v>
      </c>
      <c r="AB4596" s="54" t="s">
        <v>2</v>
      </c>
      <c r="AC4596" s="54" t="s">
        <v>2</v>
      </c>
      <c r="AD4596" s="54" t="s">
        <v>2</v>
      </c>
      <c r="AE4596" s="54" t="s">
        <v>2</v>
      </c>
      <c r="AF4596" s="54" t="s">
        <v>2</v>
      </c>
      <c r="AG4596" s="54" t="s">
        <v>2</v>
      </c>
    </row>
    <row r="4597" ht="15.75" customHeight="1">
      <c r="B4597" s="56"/>
      <c r="U4597" s="46" t="str">
        <f t="array" ref="U4597">IF($D4597="","",IFERROR(_xlfn.XLOOKUP($D4597,'TIR店舗一覧'!$D:$D,'TIR店舗一覧'!$E:$E,""),""))</f>
        <v/>
      </c>
      <c r="V4597" s="54" t="s">
        <v>2</v>
      </c>
      <c r="W4597" s="54" t="s">
        <v>2</v>
      </c>
      <c r="X4597" s="54" t="s">
        <v>2</v>
      </c>
      <c r="Y4597" s="54" t="s">
        <v>2</v>
      </c>
      <c r="Z4597" s="54" t="s">
        <v>2</v>
      </c>
      <c r="AA4597" s="54" t="s">
        <v>2</v>
      </c>
      <c r="AB4597" s="54" t="s">
        <v>2</v>
      </c>
      <c r="AC4597" s="54" t="s">
        <v>2</v>
      </c>
      <c r="AD4597" s="54" t="s">
        <v>2</v>
      </c>
      <c r="AE4597" s="54" t="s">
        <v>2</v>
      </c>
      <c r="AF4597" s="54" t="s">
        <v>2</v>
      </c>
      <c r="AG4597" s="54" t="s">
        <v>2</v>
      </c>
    </row>
    <row r="4598" ht="15.75" customHeight="1">
      <c r="B4598" s="56"/>
      <c r="U4598" s="46" t="str">
        <f t="array" ref="U4598">IF($D4598="","",IFERROR(_xlfn.XLOOKUP($D4598,'TIR店舗一覧'!$D:$D,'TIR店舗一覧'!$E:$E,""),""))</f>
        <v/>
      </c>
      <c r="V4598" s="54" t="s">
        <v>2</v>
      </c>
      <c r="W4598" s="54" t="s">
        <v>2</v>
      </c>
      <c r="X4598" s="54" t="s">
        <v>2</v>
      </c>
      <c r="Y4598" s="54" t="s">
        <v>2</v>
      </c>
      <c r="Z4598" s="54" t="s">
        <v>2</v>
      </c>
      <c r="AA4598" s="54" t="s">
        <v>2</v>
      </c>
      <c r="AB4598" s="54" t="s">
        <v>2</v>
      </c>
      <c r="AC4598" s="54" t="s">
        <v>2</v>
      </c>
      <c r="AD4598" s="54" t="s">
        <v>2</v>
      </c>
      <c r="AE4598" s="54" t="s">
        <v>2</v>
      </c>
      <c r="AF4598" s="54" t="s">
        <v>2</v>
      </c>
      <c r="AG4598" s="54" t="s">
        <v>2</v>
      </c>
    </row>
    <row r="4599" ht="15.75" customHeight="1">
      <c r="B4599" s="56"/>
      <c r="U4599" s="46" t="str">
        <f t="array" ref="U4599">IF($D4599="","",IFERROR(_xlfn.XLOOKUP($D4599,'TIR店舗一覧'!$D:$D,'TIR店舗一覧'!$E:$E,""),""))</f>
        <v/>
      </c>
      <c r="V4599" s="54" t="s">
        <v>2</v>
      </c>
      <c r="W4599" s="54" t="s">
        <v>2</v>
      </c>
      <c r="X4599" s="54" t="s">
        <v>2</v>
      </c>
      <c r="Y4599" s="54" t="s">
        <v>2</v>
      </c>
      <c r="Z4599" s="54" t="s">
        <v>2</v>
      </c>
      <c r="AA4599" s="54" t="s">
        <v>2</v>
      </c>
      <c r="AB4599" s="54" t="s">
        <v>2</v>
      </c>
      <c r="AC4599" s="54" t="s">
        <v>2</v>
      </c>
      <c r="AD4599" s="54" t="s">
        <v>2</v>
      </c>
      <c r="AE4599" s="54" t="s">
        <v>2</v>
      </c>
      <c r="AF4599" s="54" t="s">
        <v>2</v>
      </c>
      <c r="AG4599" s="54" t="s">
        <v>2</v>
      </c>
    </row>
    <row r="4600" ht="15.75" customHeight="1">
      <c r="B4600" s="56"/>
      <c r="U4600" s="46" t="str">
        <f t="array" ref="U4600">IF($D4600="","",IFERROR(_xlfn.XLOOKUP($D4600,'TIR店舗一覧'!$D:$D,'TIR店舗一覧'!$E:$E,""),""))</f>
        <v/>
      </c>
      <c r="V4600" s="54" t="s">
        <v>2</v>
      </c>
      <c r="W4600" s="54" t="s">
        <v>2</v>
      </c>
      <c r="X4600" s="54" t="s">
        <v>2</v>
      </c>
      <c r="Y4600" s="54" t="s">
        <v>2</v>
      </c>
      <c r="Z4600" s="54" t="s">
        <v>2</v>
      </c>
      <c r="AA4600" s="54" t="s">
        <v>2</v>
      </c>
      <c r="AB4600" s="54" t="s">
        <v>2</v>
      </c>
      <c r="AC4600" s="54" t="s">
        <v>2</v>
      </c>
      <c r="AD4600" s="54" t="s">
        <v>2</v>
      </c>
      <c r="AE4600" s="54" t="s">
        <v>2</v>
      </c>
      <c r="AF4600" s="54" t="s">
        <v>2</v>
      </c>
      <c r="AG4600" s="54" t="s">
        <v>2</v>
      </c>
    </row>
    <row r="4601" ht="15.75" customHeight="1">
      <c r="B4601" s="56"/>
      <c r="U4601" s="46" t="str">
        <f t="array" ref="U4601">IF($D4601="","",IFERROR(_xlfn.XLOOKUP($D4601,'TIR店舗一覧'!$D:$D,'TIR店舗一覧'!$E:$E,""),""))</f>
        <v/>
      </c>
      <c r="V4601" s="54" t="s">
        <v>2</v>
      </c>
      <c r="W4601" s="54" t="s">
        <v>2</v>
      </c>
      <c r="X4601" s="54" t="s">
        <v>2</v>
      </c>
      <c r="Y4601" s="54" t="s">
        <v>2</v>
      </c>
      <c r="Z4601" s="54" t="s">
        <v>2</v>
      </c>
      <c r="AA4601" s="54" t="s">
        <v>2</v>
      </c>
      <c r="AB4601" s="54" t="s">
        <v>2</v>
      </c>
      <c r="AC4601" s="54" t="s">
        <v>2</v>
      </c>
      <c r="AD4601" s="54" t="s">
        <v>2</v>
      </c>
      <c r="AE4601" s="54" t="s">
        <v>2</v>
      </c>
      <c r="AF4601" s="54" t="s">
        <v>2</v>
      </c>
      <c r="AG4601" s="54" t="s">
        <v>2</v>
      </c>
    </row>
    <row r="4602" ht="15.75" customHeight="1">
      <c r="B4602" s="56"/>
      <c r="U4602" s="46" t="str">
        <f t="array" ref="U4602">IF($D4602="","",IFERROR(_xlfn.XLOOKUP($D4602,'TIR店舗一覧'!$D:$D,'TIR店舗一覧'!$E:$E,""),""))</f>
        <v/>
      </c>
      <c r="V4602" s="54" t="s">
        <v>2</v>
      </c>
      <c r="W4602" s="54" t="s">
        <v>2</v>
      </c>
      <c r="X4602" s="54" t="s">
        <v>2</v>
      </c>
      <c r="Y4602" s="54" t="s">
        <v>2</v>
      </c>
      <c r="Z4602" s="54" t="s">
        <v>2</v>
      </c>
      <c r="AA4602" s="54" t="s">
        <v>2</v>
      </c>
      <c r="AB4602" s="54" t="s">
        <v>2</v>
      </c>
      <c r="AC4602" s="54" t="s">
        <v>2</v>
      </c>
      <c r="AD4602" s="54" t="s">
        <v>2</v>
      </c>
      <c r="AE4602" s="54" t="s">
        <v>2</v>
      </c>
      <c r="AF4602" s="54" t="s">
        <v>2</v>
      </c>
      <c r="AG4602" s="54" t="s">
        <v>2</v>
      </c>
    </row>
    <row r="4603" ht="15.75" customHeight="1">
      <c r="B4603" s="56"/>
      <c r="U4603" s="46" t="str">
        <f t="array" ref="U4603">IF($D4603="","",IFERROR(_xlfn.XLOOKUP($D4603,'TIR店舗一覧'!$D:$D,'TIR店舗一覧'!$E:$E,""),""))</f>
        <v/>
      </c>
      <c r="V4603" s="54" t="s">
        <v>2</v>
      </c>
      <c r="W4603" s="54" t="s">
        <v>2</v>
      </c>
      <c r="X4603" s="54" t="s">
        <v>2</v>
      </c>
      <c r="Y4603" s="54" t="s">
        <v>2</v>
      </c>
      <c r="Z4603" s="54" t="s">
        <v>2</v>
      </c>
      <c r="AA4603" s="54" t="s">
        <v>2</v>
      </c>
      <c r="AB4603" s="54" t="s">
        <v>2</v>
      </c>
      <c r="AC4603" s="54" t="s">
        <v>2</v>
      </c>
      <c r="AD4603" s="54" t="s">
        <v>2</v>
      </c>
      <c r="AE4603" s="54" t="s">
        <v>2</v>
      </c>
      <c r="AF4603" s="54" t="s">
        <v>2</v>
      </c>
      <c r="AG4603" s="54" t="s">
        <v>2</v>
      </c>
    </row>
    <row r="4604" ht="15.75" customHeight="1">
      <c r="B4604" s="56"/>
      <c r="U4604" s="46" t="str">
        <f t="array" ref="U4604">IF($D4604="","",IFERROR(_xlfn.XLOOKUP($D4604,'TIR店舗一覧'!$D:$D,'TIR店舗一覧'!$E:$E,""),""))</f>
        <v/>
      </c>
      <c r="V4604" s="54" t="s">
        <v>2</v>
      </c>
      <c r="W4604" s="54" t="s">
        <v>2</v>
      </c>
      <c r="X4604" s="54" t="s">
        <v>2</v>
      </c>
      <c r="Y4604" s="54" t="s">
        <v>2</v>
      </c>
      <c r="Z4604" s="54" t="s">
        <v>2</v>
      </c>
      <c r="AA4604" s="54" t="s">
        <v>2</v>
      </c>
      <c r="AB4604" s="54" t="s">
        <v>2</v>
      </c>
      <c r="AC4604" s="54" t="s">
        <v>2</v>
      </c>
      <c r="AD4604" s="54" t="s">
        <v>2</v>
      </c>
      <c r="AE4604" s="54" t="s">
        <v>2</v>
      </c>
      <c r="AF4604" s="54" t="s">
        <v>2</v>
      </c>
      <c r="AG4604" s="54" t="s">
        <v>2</v>
      </c>
    </row>
    <row r="4605" ht="15.75" customHeight="1">
      <c r="B4605" s="56"/>
      <c r="U4605" s="46" t="str">
        <f t="array" ref="U4605">IF($D4605="","",IFERROR(_xlfn.XLOOKUP($D4605,'TIR店舗一覧'!$D:$D,'TIR店舗一覧'!$E:$E,""),""))</f>
        <v/>
      </c>
      <c r="V4605" s="54" t="s">
        <v>2</v>
      </c>
      <c r="W4605" s="54" t="s">
        <v>2</v>
      </c>
      <c r="X4605" s="54" t="s">
        <v>2</v>
      </c>
      <c r="Y4605" s="54" t="s">
        <v>2</v>
      </c>
      <c r="Z4605" s="54" t="s">
        <v>2</v>
      </c>
      <c r="AA4605" s="54" t="s">
        <v>2</v>
      </c>
      <c r="AB4605" s="54" t="s">
        <v>2</v>
      </c>
      <c r="AC4605" s="54" t="s">
        <v>2</v>
      </c>
      <c r="AD4605" s="54" t="s">
        <v>2</v>
      </c>
      <c r="AE4605" s="54" t="s">
        <v>2</v>
      </c>
      <c r="AF4605" s="54" t="s">
        <v>2</v>
      </c>
      <c r="AG4605" s="54" t="s">
        <v>2</v>
      </c>
    </row>
    <row r="4606" ht="15.75" customHeight="1">
      <c r="B4606" s="56"/>
      <c r="U4606" s="46" t="str">
        <f t="array" ref="U4606">IF($D4606="","",IFERROR(_xlfn.XLOOKUP($D4606,'TIR店舗一覧'!$D:$D,'TIR店舗一覧'!$E:$E,""),""))</f>
        <v/>
      </c>
      <c r="V4606" s="54" t="s">
        <v>2</v>
      </c>
      <c r="W4606" s="54" t="s">
        <v>2</v>
      </c>
      <c r="X4606" s="54" t="s">
        <v>2</v>
      </c>
      <c r="Y4606" s="54" t="s">
        <v>2</v>
      </c>
      <c r="Z4606" s="54" t="s">
        <v>2</v>
      </c>
      <c r="AA4606" s="54" t="s">
        <v>2</v>
      </c>
      <c r="AB4606" s="54" t="s">
        <v>2</v>
      </c>
      <c r="AC4606" s="54" t="s">
        <v>2</v>
      </c>
      <c r="AD4606" s="54" t="s">
        <v>2</v>
      </c>
      <c r="AE4606" s="54" t="s">
        <v>2</v>
      </c>
      <c r="AF4606" s="54" t="s">
        <v>2</v>
      </c>
      <c r="AG4606" s="54" t="s">
        <v>2</v>
      </c>
    </row>
    <row r="4607" ht="15.75" customHeight="1">
      <c r="B4607" s="56"/>
      <c r="U4607" s="46" t="str">
        <f t="array" ref="U4607">IF($D4607="","",IFERROR(_xlfn.XLOOKUP($D4607,'TIR店舗一覧'!$D:$D,'TIR店舗一覧'!$E:$E,""),""))</f>
        <v/>
      </c>
      <c r="V4607" s="54" t="s">
        <v>2</v>
      </c>
      <c r="W4607" s="54" t="s">
        <v>2</v>
      </c>
      <c r="X4607" s="54" t="s">
        <v>2</v>
      </c>
      <c r="Y4607" s="54" t="s">
        <v>2</v>
      </c>
      <c r="Z4607" s="54" t="s">
        <v>2</v>
      </c>
      <c r="AA4607" s="54" t="s">
        <v>2</v>
      </c>
      <c r="AB4607" s="54" t="s">
        <v>2</v>
      </c>
      <c r="AC4607" s="54" t="s">
        <v>2</v>
      </c>
      <c r="AD4607" s="54" t="s">
        <v>2</v>
      </c>
      <c r="AE4607" s="54" t="s">
        <v>2</v>
      </c>
      <c r="AF4607" s="54" t="s">
        <v>2</v>
      </c>
      <c r="AG4607" s="54" t="s">
        <v>2</v>
      </c>
    </row>
    <row r="4608" ht="15.75" customHeight="1">
      <c r="B4608" s="56"/>
      <c r="U4608" s="46" t="str">
        <f t="array" ref="U4608">IF($D4608="","",IFERROR(_xlfn.XLOOKUP($D4608,'TIR店舗一覧'!$D:$D,'TIR店舗一覧'!$E:$E,""),""))</f>
        <v/>
      </c>
      <c r="V4608" s="54" t="s">
        <v>2</v>
      </c>
      <c r="W4608" s="54" t="s">
        <v>2</v>
      </c>
      <c r="X4608" s="54" t="s">
        <v>2</v>
      </c>
      <c r="Y4608" s="54" t="s">
        <v>2</v>
      </c>
      <c r="Z4608" s="54" t="s">
        <v>2</v>
      </c>
      <c r="AA4608" s="54" t="s">
        <v>2</v>
      </c>
      <c r="AB4608" s="54" t="s">
        <v>2</v>
      </c>
      <c r="AC4608" s="54" t="s">
        <v>2</v>
      </c>
      <c r="AD4608" s="54" t="s">
        <v>2</v>
      </c>
      <c r="AE4608" s="54" t="s">
        <v>2</v>
      </c>
      <c r="AF4608" s="54" t="s">
        <v>2</v>
      </c>
      <c r="AG4608" s="54" t="s">
        <v>2</v>
      </c>
    </row>
    <row r="4609" ht="15.75" customHeight="1">
      <c r="B4609" s="56"/>
      <c r="U4609" s="46" t="str">
        <f t="array" ref="U4609">IF($D4609="","",IFERROR(_xlfn.XLOOKUP($D4609,'TIR店舗一覧'!$D:$D,'TIR店舗一覧'!$E:$E,""),""))</f>
        <v/>
      </c>
      <c r="V4609" s="54" t="s">
        <v>2</v>
      </c>
      <c r="W4609" s="54" t="s">
        <v>2</v>
      </c>
      <c r="X4609" s="54" t="s">
        <v>2</v>
      </c>
      <c r="Y4609" s="54" t="s">
        <v>2</v>
      </c>
      <c r="Z4609" s="54" t="s">
        <v>2</v>
      </c>
      <c r="AA4609" s="54" t="s">
        <v>2</v>
      </c>
      <c r="AB4609" s="54" t="s">
        <v>2</v>
      </c>
      <c r="AC4609" s="54" t="s">
        <v>2</v>
      </c>
      <c r="AD4609" s="54" t="s">
        <v>2</v>
      </c>
      <c r="AE4609" s="54" t="s">
        <v>2</v>
      </c>
      <c r="AF4609" s="54" t="s">
        <v>2</v>
      </c>
      <c r="AG4609" s="54" t="s">
        <v>2</v>
      </c>
    </row>
    <row r="4610" ht="15.75" customHeight="1">
      <c r="B4610" s="56"/>
      <c r="U4610" s="46" t="str">
        <f t="array" ref="U4610">IF($D4610="","",IFERROR(_xlfn.XLOOKUP($D4610,'TIR店舗一覧'!$D:$D,'TIR店舗一覧'!$E:$E,""),""))</f>
        <v/>
      </c>
      <c r="V4610" s="54" t="s">
        <v>2</v>
      </c>
      <c r="W4610" s="54" t="s">
        <v>2</v>
      </c>
      <c r="X4610" s="54" t="s">
        <v>2</v>
      </c>
      <c r="Y4610" s="54" t="s">
        <v>2</v>
      </c>
      <c r="Z4610" s="54" t="s">
        <v>2</v>
      </c>
      <c r="AA4610" s="54" t="s">
        <v>2</v>
      </c>
      <c r="AB4610" s="54" t="s">
        <v>2</v>
      </c>
      <c r="AC4610" s="54" t="s">
        <v>2</v>
      </c>
      <c r="AD4610" s="54" t="s">
        <v>2</v>
      </c>
      <c r="AE4610" s="54" t="s">
        <v>2</v>
      </c>
      <c r="AF4610" s="54" t="s">
        <v>2</v>
      </c>
      <c r="AG4610" s="54" t="s">
        <v>2</v>
      </c>
    </row>
    <row r="4611" ht="15.75" customHeight="1">
      <c r="B4611" s="56"/>
      <c r="U4611" s="46" t="str">
        <f t="array" ref="U4611">IF($D4611="","",IFERROR(_xlfn.XLOOKUP($D4611,'TIR店舗一覧'!$D:$D,'TIR店舗一覧'!$E:$E,""),""))</f>
        <v/>
      </c>
      <c r="V4611" s="54" t="s">
        <v>2</v>
      </c>
      <c r="W4611" s="54" t="s">
        <v>2</v>
      </c>
      <c r="X4611" s="54" t="s">
        <v>2</v>
      </c>
      <c r="Y4611" s="54" t="s">
        <v>2</v>
      </c>
      <c r="Z4611" s="54" t="s">
        <v>2</v>
      </c>
      <c r="AA4611" s="54" t="s">
        <v>2</v>
      </c>
      <c r="AB4611" s="54" t="s">
        <v>2</v>
      </c>
      <c r="AC4611" s="54" t="s">
        <v>2</v>
      </c>
      <c r="AD4611" s="54" t="s">
        <v>2</v>
      </c>
      <c r="AE4611" s="54" t="s">
        <v>2</v>
      </c>
      <c r="AF4611" s="54" t="s">
        <v>2</v>
      </c>
      <c r="AG4611" s="54" t="s">
        <v>2</v>
      </c>
    </row>
    <row r="4612" ht="15.75" customHeight="1">
      <c r="B4612" s="56"/>
      <c r="U4612" s="46" t="str">
        <f t="array" ref="U4612">IF($D4612="","",IFERROR(_xlfn.XLOOKUP($D4612,'TIR店舗一覧'!$D:$D,'TIR店舗一覧'!$E:$E,""),""))</f>
        <v/>
      </c>
      <c r="V4612" s="54" t="s">
        <v>2</v>
      </c>
      <c r="W4612" s="54" t="s">
        <v>2</v>
      </c>
      <c r="X4612" s="54" t="s">
        <v>2</v>
      </c>
      <c r="Y4612" s="54" t="s">
        <v>2</v>
      </c>
      <c r="Z4612" s="54" t="s">
        <v>2</v>
      </c>
      <c r="AA4612" s="54" t="s">
        <v>2</v>
      </c>
      <c r="AB4612" s="54" t="s">
        <v>2</v>
      </c>
      <c r="AC4612" s="54" t="s">
        <v>2</v>
      </c>
      <c r="AD4612" s="54" t="s">
        <v>2</v>
      </c>
      <c r="AE4612" s="54" t="s">
        <v>2</v>
      </c>
      <c r="AF4612" s="54" t="s">
        <v>2</v>
      </c>
      <c r="AG4612" s="54" t="s">
        <v>2</v>
      </c>
    </row>
    <row r="4613" ht="15.75" customHeight="1">
      <c r="B4613" s="56"/>
      <c r="U4613" s="46" t="str">
        <f t="array" ref="U4613">IF($D4613="","",IFERROR(_xlfn.XLOOKUP($D4613,'TIR店舗一覧'!$D:$D,'TIR店舗一覧'!$E:$E,""),""))</f>
        <v/>
      </c>
      <c r="V4613" s="54" t="s">
        <v>2</v>
      </c>
      <c r="W4613" s="54" t="s">
        <v>2</v>
      </c>
      <c r="X4613" s="54" t="s">
        <v>2</v>
      </c>
      <c r="Y4613" s="54" t="s">
        <v>2</v>
      </c>
      <c r="Z4613" s="54" t="s">
        <v>2</v>
      </c>
      <c r="AA4613" s="54" t="s">
        <v>2</v>
      </c>
      <c r="AB4613" s="54" t="s">
        <v>2</v>
      </c>
      <c r="AC4613" s="54" t="s">
        <v>2</v>
      </c>
      <c r="AD4613" s="54" t="s">
        <v>2</v>
      </c>
      <c r="AE4613" s="54" t="s">
        <v>2</v>
      </c>
      <c r="AF4613" s="54" t="s">
        <v>2</v>
      </c>
      <c r="AG4613" s="54" t="s">
        <v>2</v>
      </c>
    </row>
    <row r="4614" ht="15.75" customHeight="1">
      <c r="B4614" s="56"/>
      <c r="U4614" s="46" t="str">
        <f t="array" ref="U4614">IF($D4614="","",IFERROR(_xlfn.XLOOKUP($D4614,'TIR店舗一覧'!$D:$D,'TIR店舗一覧'!$E:$E,""),""))</f>
        <v/>
      </c>
      <c r="V4614" s="54" t="s">
        <v>2</v>
      </c>
      <c r="W4614" s="54" t="s">
        <v>2</v>
      </c>
      <c r="X4614" s="54" t="s">
        <v>2</v>
      </c>
      <c r="Y4614" s="54" t="s">
        <v>2</v>
      </c>
      <c r="Z4614" s="54" t="s">
        <v>2</v>
      </c>
      <c r="AA4614" s="54" t="s">
        <v>2</v>
      </c>
      <c r="AB4614" s="54" t="s">
        <v>2</v>
      </c>
      <c r="AC4614" s="54" t="s">
        <v>2</v>
      </c>
      <c r="AD4614" s="54" t="s">
        <v>2</v>
      </c>
      <c r="AE4614" s="54" t="s">
        <v>2</v>
      </c>
      <c r="AF4614" s="54" t="s">
        <v>2</v>
      </c>
      <c r="AG4614" s="54" t="s">
        <v>2</v>
      </c>
    </row>
    <row r="4615" ht="15.75" customHeight="1">
      <c r="B4615" s="56"/>
      <c r="U4615" s="46" t="str">
        <f t="array" ref="U4615">IF($D4615="","",IFERROR(_xlfn.XLOOKUP($D4615,'TIR店舗一覧'!$D:$D,'TIR店舗一覧'!$E:$E,""),""))</f>
        <v/>
      </c>
      <c r="V4615" s="54" t="s">
        <v>2</v>
      </c>
      <c r="W4615" s="54" t="s">
        <v>2</v>
      </c>
      <c r="X4615" s="54" t="s">
        <v>2</v>
      </c>
      <c r="Y4615" s="54" t="s">
        <v>2</v>
      </c>
      <c r="Z4615" s="54" t="s">
        <v>2</v>
      </c>
      <c r="AA4615" s="54" t="s">
        <v>2</v>
      </c>
      <c r="AB4615" s="54" t="s">
        <v>2</v>
      </c>
      <c r="AC4615" s="54" t="s">
        <v>2</v>
      </c>
      <c r="AD4615" s="54" t="s">
        <v>2</v>
      </c>
      <c r="AE4615" s="54" t="s">
        <v>2</v>
      </c>
      <c r="AF4615" s="54" t="s">
        <v>2</v>
      </c>
      <c r="AG4615" s="54" t="s">
        <v>2</v>
      </c>
    </row>
    <row r="4616" ht="15.75" customHeight="1">
      <c r="B4616" s="56"/>
      <c r="U4616" s="46" t="str">
        <f t="array" ref="U4616">IF($D4616="","",IFERROR(_xlfn.XLOOKUP($D4616,'TIR店舗一覧'!$D:$D,'TIR店舗一覧'!$E:$E,""),""))</f>
        <v/>
      </c>
      <c r="V4616" s="54" t="s">
        <v>2</v>
      </c>
      <c r="W4616" s="54" t="s">
        <v>2</v>
      </c>
      <c r="X4616" s="54" t="s">
        <v>2</v>
      </c>
      <c r="Y4616" s="54" t="s">
        <v>2</v>
      </c>
      <c r="Z4616" s="54" t="s">
        <v>2</v>
      </c>
      <c r="AA4616" s="54" t="s">
        <v>2</v>
      </c>
      <c r="AB4616" s="54" t="s">
        <v>2</v>
      </c>
      <c r="AC4616" s="54" t="s">
        <v>2</v>
      </c>
      <c r="AD4616" s="54" t="s">
        <v>2</v>
      </c>
      <c r="AE4616" s="54" t="s">
        <v>2</v>
      </c>
      <c r="AF4616" s="54" t="s">
        <v>2</v>
      </c>
      <c r="AG4616" s="54" t="s">
        <v>2</v>
      </c>
    </row>
    <row r="4617" ht="15.75" customHeight="1">
      <c r="B4617" s="56"/>
      <c r="U4617" s="46" t="str">
        <f t="array" ref="U4617">IF($D4617="","",IFERROR(_xlfn.XLOOKUP($D4617,'TIR店舗一覧'!$D:$D,'TIR店舗一覧'!$E:$E,""),""))</f>
        <v/>
      </c>
      <c r="V4617" s="54" t="s">
        <v>2</v>
      </c>
      <c r="W4617" s="54" t="s">
        <v>2</v>
      </c>
      <c r="X4617" s="54" t="s">
        <v>2</v>
      </c>
      <c r="Y4617" s="54" t="s">
        <v>2</v>
      </c>
      <c r="Z4617" s="54" t="s">
        <v>2</v>
      </c>
      <c r="AA4617" s="54" t="s">
        <v>2</v>
      </c>
      <c r="AB4617" s="54" t="s">
        <v>2</v>
      </c>
      <c r="AC4617" s="54" t="s">
        <v>2</v>
      </c>
      <c r="AD4617" s="54" t="s">
        <v>2</v>
      </c>
      <c r="AE4617" s="54" t="s">
        <v>2</v>
      </c>
      <c r="AF4617" s="54" t="s">
        <v>2</v>
      </c>
      <c r="AG4617" s="54" t="s">
        <v>2</v>
      </c>
    </row>
    <row r="4618" ht="15.75" customHeight="1">
      <c r="B4618" s="56"/>
      <c r="U4618" s="46" t="str">
        <f t="array" ref="U4618">IF($D4618="","",IFERROR(_xlfn.XLOOKUP($D4618,'TIR店舗一覧'!$D:$D,'TIR店舗一覧'!$E:$E,""),""))</f>
        <v/>
      </c>
      <c r="V4618" s="54" t="s">
        <v>2</v>
      </c>
      <c r="W4618" s="54" t="s">
        <v>2</v>
      </c>
      <c r="X4618" s="54" t="s">
        <v>2</v>
      </c>
      <c r="Y4618" s="54" t="s">
        <v>2</v>
      </c>
      <c r="Z4618" s="54" t="s">
        <v>2</v>
      </c>
      <c r="AA4618" s="54" t="s">
        <v>2</v>
      </c>
      <c r="AB4618" s="54" t="s">
        <v>2</v>
      </c>
      <c r="AC4618" s="54" t="s">
        <v>2</v>
      </c>
      <c r="AD4618" s="54" t="s">
        <v>2</v>
      </c>
      <c r="AE4618" s="54" t="s">
        <v>2</v>
      </c>
      <c r="AF4618" s="54" t="s">
        <v>2</v>
      </c>
      <c r="AG4618" s="54" t="s">
        <v>2</v>
      </c>
    </row>
    <row r="4619" ht="15.75" customHeight="1">
      <c r="B4619" s="56"/>
      <c r="U4619" s="46" t="str">
        <f t="array" ref="U4619">IF($D4619="","",IFERROR(_xlfn.XLOOKUP($D4619,'TIR店舗一覧'!$D:$D,'TIR店舗一覧'!$E:$E,""),""))</f>
        <v/>
      </c>
      <c r="V4619" s="54" t="s">
        <v>2</v>
      </c>
      <c r="W4619" s="54" t="s">
        <v>2</v>
      </c>
      <c r="X4619" s="54" t="s">
        <v>2</v>
      </c>
      <c r="Y4619" s="54" t="s">
        <v>2</v>
      </c>
      <c r="Z4619" s="54" t="s">
        <v>2</v>
      </c>
      <c r="AA4619" s="54" t="s">
        <v>2</v>
      </c>
      <c r="AB4619" s="54" t="s">
        <v>2</v>
      </c>
      <c r="AC4619" s="54" t="s">
        <v>2</v>
      </c>
      <c r="AD4619" s="54" t="s">
        <v>2</v>
      </c>
      <c r="AE4619" s="54" t="s">
        <v>2</v>
      </c>
      <c r="AF4619" s="54" t="s">
        <v>2</v>
      </c>
      <c r="AG4619" s="54" t="s">
        <v>2</v>
      </c>
    </row>
    <row r="4620" ht="15.75" customHeight="1">
      <c r="B4620" s="56"/>
      <c r="U4620" s="46" t="str">
        <f t="array" ref="U4620">IF($D4620="","",IFERROR(_xlfn.XLOOKUP($D4620,'TIR店舗一覧'!$D:$D,'TIR店舗一覧'!$E:$E,""),""))</f>
        <v/>
      </c>
      <c r="V4620" s="54" t="s">
        <v>2</v>
      </c>
      <c r="W4620" s="54" t="s">
        <v>2</v>
      </c>
      <c r="X4620" s="54" t="s">
        <v>2</v>
      </c>
      <c r="Y4620" s="54" t="s">
        <v>2</v>
      </c>
      <c r="Z4620" s="54" t="s">
        <v>2</v>
      </c>
      <c r="AA4620" s="54" t="s">
        <v>2</v>
      </c>
      <c r="AB4620" s="54" t="s">
        <v>2</v>
      </c>
      <c r="AC4620" s="54" t="s">
        <v>2</v>
      </c>
      <c r="AD4620" s="54" t="s">
        <v>2</v>
      </c>
      <c r="AE4620" s="54" t="s">
        <v>2</v>
      </c>
      <c r="AF4620" s="54" t="s">
        <v>2</v>
      </c>
      <c r="AG4620" s="54" t="s">
        <v>2</v>
      </c>
    </row>
    <row r="4621" ht="15.75" customHeight="1">
      <c r="B4621" s="56"/>
      <c r="U4621" s="46" t="str">
        <f t="array" ref="U4621">IF($D4621="","",IFERROR(_xlfn.XLOOKUP($D4621,'TIR店舗一覧'!$D:$D,'TIR店舗一覧'!$E:$E,""),""))</f>
        <v/>
      </c>
      <c r="V4621" s="54" t="s">
        <v>2</v>
      </c>
      <c r="W4621" s="54" t="s">
        <v>2</v>
      </c>
      <c r="X4621" s="54" t="s">
        <v>2</v>
      </c>
      <c r="Y4621" s="54" t="s">
        <v>2</v>
      </c>
      <c r="Z4621" s="54" t="s">
        <v>2</v>
      </c>
      <c r="AA4621" s="54" t="s">
        <v>2</v>
      </c>
      <c r="AB4621" s="54" t="s">
        <v>2</v>
      </c>
      <c r="AC4621" s="54" t="s">
        <v>2</v>
      </c>
      <c r="AD4621" s="54" t="s">
        <v>2</v>
      </c>
      <c r="AE4621" s="54" t="s">
        <v>2</v>
      </c>
      <c r="AF4621" s="54" t="s">
        <v>2</v>
      </c>
      <c r="AG4621" s="54" t="s">
        <v>2</v>
      </c>
    </row>
    <row r="4622" ht="15.75" customHeight="1">
      <c r="B4622" s="56"/>
      <c r="U4622" s="46" t="str">
        <f t="array" ref="U4622">IF($D4622="","",IFERROR(_xlfn.XLOOKUP($D4622,'TIR店舗一覧'!$D:$D,'TIR店舗一覧'!$E:$E,""),""))</f>
        <v/>
      </c>
      <c r="V4622" s="54" t="s">
        <v>2</v>
      </c>
      <c r="W4622" s="54" t="s">
        <v>2</v>
      </c>
      <c r="X4622" s="54" t="s">
        <v>2</v>
      </c>
      <c r="Y4622" s="54" t="s">
        <v>2</v>
      </c>
      <c r="Z4622" s="54" t="s">
        <v>2</v>
      </c>
      <c r="AA4622" s="54" t="s">
        <v>2</v>
      </c>
      <c r="AB4622" s="54" t="s">
        <v>2</v>
      </c>
      <c r="AC4622" s="54" t="s">
        <v>2</v>
      </c>
      <c r="AD4622" s="54" t="s">
        <v>2</v>
      </c>
      <c r="AE4622" s="54" t="s">
        <v>2</v>
      </c>
      <c r="AF4622" s="54" t="s">
        <v>2</v>
      </c>
      <c r="AG4622" s="54" t="s">
        <v>2</v>
      </c>
    </row>
    <row r="4623" ht="15.75" customHeight="1">
      <c r="B4623" s="56"/>
      <c r="U4623" s="46" t="str">
        <f t="array" ref="U4623">IF($D4623="","",IFERROR(_xlfn.XLOOKUP($D4623,'TIR店舗一覧'!$D:$D,'TIR店舗一覧'!$E:$E,""),""))</f>
        <v/>
      </c>
      <c r="V4623" s="54" t="s">
        <v>2</v>
      </c>
      <c r="W4623" s="54" t="s">
        <v>2</v>
      </c>
      <c r="X4623" s="54" t="s">
        <v>2</v>
      </c>
      <c r="Y4623" s="54" t="s">
        <v>2</v>
      </c>
      <c r="Z4623" s="54" t="s">
        <v>2</v>
      </c>
      <c r="AA4623" s="54" t="s">
        <v>2</v>
      </c>
      <c r="AB4623" s="54" t="s">
        <v>2</v>
      </c>
      <c r="AC4623" s="54" t="s">
        <v>2</v>
      </c>
      <c r="AD4623" s="54" t="s">
        <v>2</v>
      </c>
      <c r="AE4623" s="54" t="s">
        <v>2</v>
      </c>
      <c r="AF4623" s="54" t="s">
        <v>2</v>
      </c>
      <c r="AG4623" s="54" t="s">
        <v>2</v>
      </c>
    </row>
    <row r="4624" ht="15.75" customHeight="1">
      <c r="B4624" s="56"/>
      <c r="U4624" s="46" t="str">
        <f t="array" ref="U4624">IF($D4624="","",IFERROR(_xlfn.XLOOKUP($D4624,'TIR店舗一覧'!$D:$D,'TIR店舗一覧'!$E:$E,""),""))</f>
        <v/>
      </c>
      <c r="V4624" s="54" t="s">
        <v>2</v>
      </c>
      <c r="W4624" s="54" t="s">
        <v>2</v>
      </c>
      <c r="X4624" s="54" t="s">
        <v>2</v>
      </c>
      <c r="Y4624" s="54" t="s">
        <v>2</v>
      </c>
      <c r="Z4624" s="54" t="s">
        <v>2</v>
      </c>
      <c r="AA4624" s="54" t="s">
        <v>2</v>
      </c>
      <c r="AB4624" s="54" t="s">
        <v>2</v>
      </c>
      <c r="AC4624" s="54" t="s">
        <v>2</v>
      </c>
      <c r="AD4624" s="54" t="s">
        <v>2</v>
      </c>
      <c r="AE4624" s="54" t="s">
        <v>2</v>
      </c>
      <c r="AF4624" s="54" t="s">
        <v>2</v>
      </c>
      <c r="AG4624" s="54" t="s">
        <v>2</v>
      </c>
    </row>
    <row r="4625" ht="15.75" customHeight="1">
      <c r="B4625" s="56"/>
      <c r="U4625" s="46" t="str">
        <f t="array" ref="U4625">IF($D4625="","",IFERROR(_xlfn.XLOOKUP($D4625,'TIR店舗一覧'!$D:$D,'TIR店舗一覧'!$E:$E,""),""))</f>
        <v/>
      </c>
      <c r="V4625" s="54" t="s">
        <v>2</v>
      </c>
      <c r="W4625" s="54" t="s">
        <v>2</v>
      </c>
      <c r="X4625" s="54" t="s">
        <v>2</v>
      </c>
      <c r="Y4625" s="54" t="s">
        <v>2</v>
      </c>
      <c r="Z4625" s="54" t="s">
        <v>2</v>
      </c>
      <c r="AA4625" s="54" t="s">
        <v>2</v>
      </c>
      <c r="AB4625" s="54" t="s">
        <v>2</v>
      </c>
      <c r="AC4625" s="54" t="s">
        <v>2</v>
      </c>
      <c r="AD4625" s="54" t="s">
        <v>2</v>
      </c>
      <c r="AE4625" s="54" t="s">
        <v>2</v>
      </c>
      <c r="AF4625" s="54" t="s">
        <v>2</v>
      </c>
      <c r="AG4625" s="54" t="s">
        <v>2</v>
      </c>
    </row>
    <row r="4626" ht="15.75" customHeight="1">
      <c r="B4626" s="56"/>
      <c r="U4626" s="46" t="str">
        <f t="array" ref="U4626">IF($D4626="","",IFERROR(_xlfn.XLOOKUP($D4626,'TIR店舗一覧'!$D:$D,'TIR店舗一覧'!$E:$E,""),""))</f>
        <v/>
      </c>
      <c r="V4626" s="54" t="s">
        <v>2</v>
      </c>
      <c r="W4626" s="54" t="s">
        <v>2</v>
      </c>
      <c r="X4626" s="54" t="s">
        <v>2</v>
      </c>
      <c r="Y4626" s="54" t="s">
        <v>2</v>
      </c>
      <c r="Z4626" s="54" t="s">
        <v>2</v>
      </c>
      <c r="AA4626" s="54" t="s">
        <v>2</v>
      </c>
      <c r="AB4626" s="54" t="s">
        <v>2</v>
      </c>
      <c r="AC4626" s="54" t="s">
        <v>2</v>
      </c>
      <c r="AD4626" s="54" t="s">
        <v>2</v>
      </c>
      <c r="AE4626" s="54" t="s">
        <v>2</v>
      </c>
      <c r="AF4626" s="54" t="s">
        <v>2</v>
      </c>
      <c r="AG4626" s="54" t="s">
        <v>2</v>
      </c>
    </row>
    <row r="4627" ht="15.75" customHeight="1">
      <c r="B4627" s="56"/>
      <c r="U4627" s="46" t="str">
        <f t="array" ref="U4627">IF($D4627="","",IFERROR(_xlfn.XLOOKUP($D4627,'TIR店舗一覧'!$D:$D,'TIR店舗一覧'!$E:$E,""),""))</f>
        <v/>
      </c>
      <c r="V4627" s="54" t="s">
        <v>2</v>
      </c>
      <c r="W4627" s="54" t="s">
        <v>2</v>
      </c>
      <c r="X4627" s="54" t="s">
        <v>2</v>
      </c>
      <c r="Y4627" s="54" t="s">
        <v>2</v>
      </c>
      <c r="Z4627" s="54" t="s">
        <v>2</v>
      </c>
      <c r="AA4627" s="54" t="s">
        <v>2</v>
      </c>
      <c r="AB4627" s="54" t="s">
        <v>2</v>
      </c>
      <c r="AC4627" s="54" t="s">
        <v>2</v>
      </c>
      <c r="AD4627" s="54" t="s">
        <v>2</v>
      </c>
      <c r="AE4627" s="54" t="s">
        <v>2</v>
      </c>
      <c r="AF4627" s="54" t="s">
        <v>2</v>
      </c>
      <c r="AG4627" s="54" t="s">
        <v>2</v>
      </c>
    </row>
    <row r="4628" ht="15.75" customHeight="1">
      <c r="B4628" s="56"/>
      <c r="U4628" s="46" t="str">
        <f t="array" ref="U4628">IF($D4628="","",IFERROR(_xlfn.XLOOKUP($D4628,'TIR店舗一覧'!$D:$D,'TIR店舗一覧'!$E:$E,""),""))</f>
        <v/>
      </c>
      <c r="V4628" s="54" t="s">
        <v>2</v>
      </c>
      <c r="W4628" s="54" t="s">
        <v>2</v>
      </c>
      <c r="X4628" s="54" t="s">
        <v>2</v>
      </c>
      <c r="Y4628" s="54" t="s">
        <v>2</v>
      </c>
      <c r="Z4628" s="54" t="s">
        <v>2</v>
      </c>
      <c r="AA4628" s="54" t="s">
        <v>2</v>
      </c>
      <c r="AB4628" s="54" t="s">
        <v>2</v>
      </c>
      <c r="AC4628" s="54" t="s">
        <v>2</v>
      </c>
      <c r="AD4628" s="54" t="s">
        <v>2</v>
      </c>
      <c r="AE4628" s="54" t="s">
        <v>2</v>
      </c>
      <c r="AF4628" s="54" t="s">
        <v>2</v>
      </c>
      <c r="AG4628" s="54" t="s">
        <v>2</v>
      </c>
    </row>
    <row r="4629" ht="15.75" customHeight="1">
      <c r="B4629" s="56"/>
      <c r="U4629" s="46" t="str">
        <f t="array" ref="U4629">IF($D4629="","",IFERROR(_xlfn.XLOOKUP($D4629,'TIR店舗一覧'!$D:$D,'TIR店舗一覧'!$E:$E,""),""))</f>
        <v/>
      </c>
      <c r="V4629" s="54" t="s">
        <v>2</v>
      </c>
      <c r="W4629" s="54" t="s">
        <v>2</v>
      </c>
      <c r="X4629" s="54" t="s">
        <v>2</v>
      </c>
      <c r="Y4629" s="54" t="s">
        <v>2</v>
      </c>
      <c r="Z4629" s="54" t="s">
        <v>2</v>
      </c>
      <c r="AA4629" s="54" t="s">
        <v>2</v>
      </c>
      <c r="AB4629" s="54" t="s">
        <v>2</v>
      </c>
      <c r="AC4629" s="54" t="s">
        <v>2</v>
      </c>
      <c r="AD4629" s="54" t="s">
        <v>2</v>
      </c>
      <c r="AE4629" s="54" t="s">
        <v>2</v>
      </c>
      <c r="AF4629" s="54" t="s">
        <v>2</v>
      </c>
      <c r="AG4629" s="54" t="s">
        <v>2</v>
      </c>
    </row>
    <row r="4630" ht="15.75" customHeight="1">
      <c r="B4630" s="56"/>
      <c r="U4630" s="46" t="str">
        <f t="array" ref="U4630">IF($D4630="","",IFERROR(_xlfn.XLOOKUP($D4630,'TIR店舗一覧'!$D:$D,'TIR店舗一覧'!$E:$E,""),""))</f>
        <v/>
      </c>
      <c r="V4630" s="54" t="s">
        <v>2</v>
      </c>
      <c r="W4630" s="54" t="s">
        <v>2</v>
      </c>
      <c r="X4630" s="54" t="s">
        <v>2</v>
      </c>
      <c r="Y4630" s="54" t="s">
        <v>2</v>
      </c>
      <c r="Z4630" s="54" t="s">
        <v>2</v>
      </c>
      <c r="AA4630" s="54" t="s">
        <v>2</v>
      </c>
      <c r="AB4630" s="54" t="s">
        <v>2</v>
      </c>
      <c r="AC4630" s="54" t="s">
        <v>2</v>
      </c>
      <c r="AD4630" s="54" t="s">
        <v>2</v>
      </c>
      <c r="AE4630" s="54" t="s">
        <v>2</v>
      </c>
      <c r="AF4630" s="54" t="s">
        <v>2</v>
      </c>
      <c r="AG4630" s="54" t="s">
        <v>2</v>
      </c>
    </row>
    <row r="4631" ht="15.75" customHeight="1">
      <c r="B4631" s="56"/>
      <c r="U4631" s="46" t="str">
        <f t="array" ref="U4631">IF($D4631="","",IFERROR(_xlfn.XLOOKUP($D4631,'TIR店舗一覧'!$D:$D,'TIR店舗一覧'!$E:$E,""),""))</f>
        <v/>
      </c>
      <c r="V4631" s="54" t="s">
        <v>2</v>
      </c>
      <c r="W4631" s="54" t="s">
        <v>2</v>
      </c>
      <c r="X4631" s="54" t="s">
        <v>2</v>
      </c>
      <c r="Y4631" s="54" t="s">
        <v>2</v>
      </c>
      <c r="Z4631" s="54" t="s">
        <v>2</v>
      </c>
      <c r="AA4631" s="54" t="s">
        <v>2</v>
      </c>
      <c r="AB4631" s="54" t="s">
        <v>2</v>
      </c>
      <c r="AC4631" s="54" t="s">
        <v>2</v>
      </c>
      <c r="AD4631" s="54" t="s">
        <v>2</v>
      </c>
      <c r="AE4631" s="54" t="s">
        <v>2</v>
      </c>
      <c r="AF4631" s="54" t="s">
        <v>2</v>
      </c>
      <c r="AG4631" s="54" t="s">
        <v>2</v>
      </c>
    </row>
    <row r="4632" ht="15.75" customHeight="1">
      <c r="B4632" s="56"/>
      <c r="U4632" s="46" t="str">
        <f t="array" ref="U4632">IF($D4632="","",IFERROR(_xlfn.XLOOKUP($D4632,'TIR店舗一覧'!$D:$D,'TIR店舗一覧'!$E:$E,""),""))</f>
        <v/>
      </c>
      <c r="V4632" s="54" t="s">
        <v>2</v>
      </c>
      <c r="W4632" s="54" t="s">
        <v>2</v>
      </c>
      <c r="X4632" s="54" t="s">
        <v>2</v>
      </c>
      <c r="Y4632" s="54" t="s">
        <v>2</v>
      </c>
      <c r="Z4632" s="54" t="s">
        <v>2</v>
      </c>
      <c r="AA4632" s="54" t="s">
        <v>2</v>
      </c>
      <c r="AB4632" s="54" t="s">
        <v>2</v>
      </c>
      <c r="AC4632" s="54" t="s">
        <v>2</v>
      </c>
      <c r="AD4632" s="54" t="s">
        <v>2</v>
      </c>
      <c r="AE4632" s="54" t="s">
        <v>2</v>
      </c>
      <c r="AF4632" s="54" t="s">
        <v>2</v>
      </c>
      <c r="AG4632" s="54" t="s">
        <v>2</v>
      </c>
    </row>
    <row r="4633" ht="15.75" customHeight="1">
      <c r="B4633" s="56"/>
      <c r="U4633" s="46" t="str">
        <f t="array" ref="U4633">IF($D4633="","",IFERROR(_xlfn.XLOOKUP($D4633,'TIR店舗一覧'!$D:$D,'TIR店舗一覧'!$E:$E,""),""))</f>
        <v/>
      </c>
      <c r="V4633" s="54" t="s">
        <v>2</v>
      </c>
      <c r="W4633" s="54" t="s">
        <v>2</v>
      </c>
      <c r="X4633" s="54" t="s">
        <v>2</v>
      </c>
      <c r="Y4633" s="54" t="s">
        <v>2</v>
      </c>
      <c r="Z4633" s="54" t="s">
        <v>2</v>
      </c>
      <c r="AA4633" s="54" t="s">
        <v>2</v>
      </c>
      <c r="AB4633" s="54" t="s">
        <v>2</v>
      </c>
      <c r="AC4633" s="54" t="s">
        <v>2</v>
      </c>
      <c r="AD4633" s="54" t="s">
        <v>2</v>
      </c>
      <c r="AE4633" s="54" t="s">
        <v>2</v>
      </c>
      <c r="AF4633" s="54" t="s">
        <v>2</v>
      </c>
      <c r="AG4633" s="54" t="s">
        <v>2</v>
      </c>
    </row>
    <row r="4634" ht="15.75" customHeight="1">
      <c r="B4634" s="56"/>
      <c r="U4634" s="46" t="str">
        <f t="array" ref="U4634">IF($D4634="","",IFERROR(_xlfn.XLOOKUP($D4634,'TIR店舗一覧'!$D:$D,'TIR店舗一覧'!$E:$E,""),""))</f>
        <v/>
      </c>
      <c r="V4634" s="54" t="s">
        <v>2</v>
      </c>
      <c r="W4634" s="54" t="s">
        <v>2</v>
      </c>
      <c r="X4634" s="54" t="s">
        <v>2</v>
      </c>
      <c r="Y4634" s="54" t="s">
        <v>2</v>
      </c>
      <c r="Z4634" s="54" t="s">
        <v>2</v>
      </c>
      <c r="AA4634" s="54" t="s">
        <v>2</v>
      </c>
      <c r="AB4634" s="54" t="s">
        <v>2</v>
      </c>
      <c r="AC4634" s="54" t="s">
        <v>2</v>
      </c>
      <c r="AD4634" s="54" t="s">
        <v>2</v>
      </c>
      <c r="AE4634" s="54" t="s">
        <v>2</v>
      </c>
      <c r="AF4634" s="54" t="s">
        <v>2</v>
      </c>
      <c r="AG4634" s="54" t="s">
        <v>2</v>
      </c>
    </row>
    <row r="4635" ht="15.75" customHeight="1">
      <c r="B4635" s="56"/>
      <c r="U4635" s="46" t="str">
        <f t="array" ref="U4635">IF($D4635="","",IFERROR(_xlfn.XLOOKUP($D4635,'TIR店舗一覧'!$D:$D,'TIR店舗一覧'!$E:$E,""),""))</f>
        <v/>
      </c>
      <c r="V4635" s="54" t="s">
        <v>2</v>
      </c>
      <c r="W4635" s="54" t="s">
        <v>2</v>
      </c>
      <c r="X4635" s="54" t="s">
        <v>2</v>
      </c>
      <c r="Y4635" s="54" t="s">
        <v>2</v>
      </c>
      <c r="Z4635" s="54" t="s">
        <v>2</v>
      </c>
      <c r="AA4635" s="54" t="s">
        <v>2</v>
      </c>
      <c r="AB4635" s="54" t="s">
        <v>2</v>
      </c>
      <c r="AC4635" s="54" t="s">
        <v>2</v>
      </c>
      <c r="AD4635" s="54" t="s">
        <v>2</v>
      </c>
      <c r="AE4635" s="54" t="s">
        <v>2</v>
      </c>
      <c r="AF4635" s="54" t="s">
        <v>2</v>
      </c>
      <c r="AG4635" s="54" t="s">
        <v>2</v>
      </c>
    </row>
    <row r="4636" ht="15.75" customHeight="1">
      <c r="B4636" s="56"/>
      <c r="U4636" s="46" t="str">
        <f t="array" ref="U4636">IF($D4636="","",IFERROR(_xlfn.XLOOKUP($D4636,'TIR店舗一覧'!$D:$D,'TIR店舗一覧'!$E:$E,""),""))</f>
        <v/>
      </c>
      <c r="V4636" s="54" t="s">
        <v>2</v>
      </c>
      <c r="W4636" s="54" t="s">
        <v>2</v>
      </c>
      <c r="X4636" s="54" t="s">
        <v>2</v>
      </c>
      <c r="Y4636" s="54" t="s">
        <v>2</v>
      </c>
      <c r="Z4636" s="54" t="s">
        <v>2</v>
      </c>
      <c r="AA4636" s="54" t="s">
        <v>2</v>
      </c>
      <c r="AB4636" s="54" t="s">
        <v>2</v>
      </c>
      <c r="AC4636" s="54" t="s">
        <v>2</v>
      </c>
      <c r="AD4636" s="54" t="s">
        <v>2</v>
      </c>
      <c r="AE4636" s="54" t="s">
        <v>2</v>
      </c>
      <c r="AF4636" s="54" t="s">
        <v>2</v>
      </c>
      <c r="AG4636" s="54" t="s">
        <v>2</v>
      </c>
    </row>
    <row r="4637" ht="15.75" customHeight="1">
      <c r="B4637" s="56"/>
      <c r="U4637" s="46" t="str">
        <f t="array" ref="U4637">IF($D4637="","",IFERROR(_xlfn.XLOOKUP($D4637,'TIR店舗一覧'!$D:$D,'TIR店舗一覧'!$E:$E,""),""))</f>
        <v/>
      </c>
      <c r="V4637" s="54" t="s">
        <v>2</v>
      </c>
      <c r="W4637" s="54" t="s">
        <v>2</v>
      </c>
      <c r="X4637" s="54" t="s">
        <v>2</v>
      </c>
      <c r="Y4637" s="54" t="s">
        <v>2</v>
      </c>
      <c r="Z4637" s="54" t="s">
        <v>2</v>
      </c>
      <c r="AA4637" s="54" t="s">
        <v>2</v>
      </c>
      <c r="AB4637" s="54" t="s">
        <v>2</v>
      </c>
      <c r="AC4637" s="54" t="s">
        <v>2</v>
      </c>
      <c r="AD4637" s="54" t="s">
        <v>2</v>
      </c>
      <c r="AE4637" s="54" t="s">
        <v>2</v>
      </c>
      <c r="AF4637" s="54" t="s">
        <v>2</v>
      </c>
      <c r="AG4637" s="54" t="s">
        <v>2</v>
      </c>
    </row>
    <row r="4638" ht="15.75" customHeight="1">
      <c r="B4638" s="56"/>
      <c r="U4638" s="46" t="str">
        <f t="array" ref="U4638">IF($D4638="","",IFERROR(_xlfn.XLOOKUP($D4638,'TIR店舗一覧'!$D:$D,'TIR店舗一覧'!$E:$E,""),""))</f>
        <v/>
      </c>
      <c r="V4638" s="54" t="s">
        <v>2</v>
      </c>
      <c r="W4638" s="54" t="s">
        <v>2</v>
      </c>
      <c r="X4638" s="54" t="s">
        <v>2</v>
      </c>
      <c r="Y4638" s="54" t="s">
        <v>2</v>
      </c>
      <c r="Z4638" s="54" t="s">
        <v>2</v>
      </c>
      <c r="AA4638" s="54" t="s">
        <v>2</v>
      </c>
      <c r="AB4638" s="54" t="s">
        <v>2</v>
      </c>
      <c r="AC4638" s="54" t="s">
        <v>2</v>
      </c>
      <c r="AD4638" s="54" t="s">
        <v>2</v>
      </c>
      <c r="AE4638" s="54" t="s">
        <v>2</v>
      </c>
      <c r="AF4638" s="54" t="s">
        <v>2</v>
      </c>
      <c r="AG4638" s="54" t="s">
        <v>2</v>
      </c>
    </row>
    <row r="4639" ht="15.75" customHeight="1">
      <c r="B4639" s="56"/>
      <c r="U4639" s="46" t="str">
        <f t="array" ref="U4639">IF($D4639="","",IFERROR(_xlfn.XLOOKUP($D4639,'TIR店舗一覧'!$D:$D,'TIR店舗一覧'!$E:$E,""),""))</f>
        <v/>
      </c>
      <c r="V4639" s="54" t="s">
        <v>2</v>
      </c>
      <c r="W4639" s="54" t="s">
        <v>2</v>
      </c>
      <c r="X4639" s="54" t="s">
        <v>2</v>
      </c>
      <c r="Y4639" s="54" t="s">
        <v>2</v>
      </c>
      <c r="Z4639" s="54" t="s">
        <v>2</v>
      </c>
      <c r="AA4639" s="54" t="s">
        <v>2</v>
      </c>
      <c r="AB4639" s="54" t="s">
        <v>2</v>
      </c>
      <c r="AC4639" s="54" t="s">
        <v>2</v>
      </c>
      <c r="AD4639" s="54" t="s">
        <v>2</v>
      </c>
      <c r="AE4639" s="54" t="s">
        <v>2</v>
      </c>
      <c r="AF4639" s="54" t="s">
        <v>2</v>
      </c>
      <c r="AG4639" s="54" t="s">
        <v>2</v>
      </c>
    </row>
    <row r="4640" ht="15.75" customHeight="1">
      <c r="B4640" s="56"/>
      <c r="U4640" s="46" t="str">
        <f t="array" ref="U4640">IF($D4640="","",IFERROR(_xlfn.XLOOKUP($D4640,'TIR店舗一覧'!$D:$D,'TIR店舗一覧'!$E:$E,""),""))</f>
        <v/>
      </c>
      <c r="V4640" s="54" t="s">
        <v>2</v>
      </c>
      <c r="W4640" s="54" t="s">
        <v>2</v>
      </c>
      <c r="X4640" s="54" t="s">
        <v>2</v>
      </c>
      <c r="Y4640" s="54" t="s">
        <v>2</v>
      </c>
      <c r="Z4640" s="54" t="s">
        <v>2</v>
      </c>
      <c r="AA4640" s="54" t="s">
        <v>2</v>
      </c>
      <c r="AB4640" s="54" t="s">
        <v>2</v>
      </c>
      <c r="AC4640" s="54" t="s">
        <v>2</v>
      </c>
      <c r="AD4640" s="54" t="s">
        <v>2</v>
      </c>
      <c r="AE4640" s="54" t="s">
        <v>2</v>
      </c>
      <c r="AF4640" s="54" t="s">
        <v>2</v>
      </c>
      <c r="AG4640" s="54" t="s">
        <v>2</v>
      </c>
    </row>
    <row r="4641" ht="15.75" customHeight="1">
      <c r="B4641" s="56"/>
      <c r="U4641" s="46" t="str">
        <f t="array" ref="U4641">IF($D4641="","",IFERROR(_xlfn.XLOOKUP($D4641,'TIR店舗一覧'!$D:$D,'TIR店舗一覧'!$E:$E,""),""))</f>
        <v/>
      </c>
      <c r="V4641" s="54" t="s">
        <v>2</v>
      </c>
      <c r="W4641" s="54" t="s">
        <v>2</v>
      </c>
      <c r="X4641" s="54" t="s">
        <v>2</v>
      </c>
      <c r="Y4641" s="54" t="s">
        <v>2</v>
      </c>
      <c r="Z4641" s="54" t="s">
        <v>2</v>
      </c>
      <c r="AA4641" s="54" t="s">
        <v>2</v>
      </c>
      <c r="AB4641" s="54" t="s">
        <v>2</v>
      </c>
      <c r="AC4641" s="54" t="s">
        <v>2</v>
      </c>
      <c r="AD4641" s="54" t="s">
        <v>2</v>
      </c>
      <c r="AE4641" s="54" t="s">
        <v>2</v>
      </c>
      <c r="AF4641" s="54" t="s">
        <v>2</v>
      </c>
      <c r="AG4641" s="54" t="s">
        <v>2</v>
      </c>
    </row>
    <row r="4642" ht="15.75" customHeight="1">
      <c r="B4642" s="56"/>
      <c r="U4642" s="46" t="str">
        <f t="array" ref="U4642">IF($D4642="","",IFERROR(_xlfn.XLOOKUP($D4642,'TIR店舗一覧'!$D:$D,'TIR店舗一覧'!$E:$E,""),""))</f>
        <v/>
      </c>
      <c r="V4642" s="54" t="s">
        <v>2</v>
      </c>
      <c r="W4642" s="54" t="s">
        <v>2</v>
      </c>
      <c r="X4642" s="54" t="s">
        <v>2</v>
      </c>
      <c r="Y4642" s="54" t="s">
        <v>2</v>
      </c>
      <c r="Z4642" s="54" t="s">
        <v>2</v>
      </c>
      <c r="AA4642" s="54" t="s">
        <v>2</v>
      </c>
      <c r="AB4642" s="54" t="s">
        <v>2</v>
      </c>
      <c r="AC4642" s="54" t="s">
        <v>2</v>
      </c>
      <c r="AD4642" s="54" t="s">
        <v>2</v>
      </c>
      <c r="AE4642" s="54" t="s">
        <v>2</v>
      </c>
      <c r="AF4642" s="54" t="s">
        <v>2</v>
      </c>
      <c r="AG4642" s="54" t="s">
        <v>2</v>
      </c>
    </row>
    <row r="4643" ht="15.75" customHeight="1">
      <c r="B4643" s="56"/>
      <c r="U4643" s="46" t="str">
        <f t="array" ref="U4643">IF($D4643="","",IFERROR(_xlfn.XLOOKUP($D4643,'TIR店舗一覧'!$D:$D,'TIR店舗一覧'!$E:$E,""),""))</f>
        <v/>
      </c>
      <c r="V4643" s="54" t="s">
        <v>2</v>
      </c>
      <c r="W4643" s="54" t="s">
        <v>2</v>
      </c>
      <c r="X4643" s="54" t="s">
        <v>2</v>
      </c>
      <c r="Y4643" s="54" t="s">
        <v>2</v>
      </c>
      <c r="Z4643" s="54" t="s">
        <v>2</v>
      </c>
      <c r="AA4643" s="54" t="s">
        <v>2</v>
      </c>
      <c r="AB4643" s="54" t="s">
        <v>2</v>
      </c>
      <c r="AC4643" s="54" t="s">
        <v>2</v>
      </c>
      <c r="AD4643" s="54" t="s">
        <v>2</v>
      </c>
      <c r="AE4643" s="54" t="s">
        <v>2</v>
      </c>
      <c r="AF4643" s="54" t="s">
        <v>2</v>
      </c>
      <c r="AG4643" s="54" t="s">
        <v>2</v>
      </c>
    </row>
    <row r="4644" ht="15.75" customHeight="1">
      <c r="B4644" s="56"/>
      <c r="U4644" s="46" t="str">
        <f t="array" ref="U4644">IF($D4644="","",IFERROR(_xlfn.XLOOKUP($D4644,'TIR店舗一覧'!$D:$D,'TIR店舗一覧'!$E:$E,""),""))</f>
        <v/>
      </c>
      <c r="V4644" s="54" t="s">
        <v>2</v>
      </c>
      <c r="W4644" s="54" t="s">
        <v>2</v>
      </c>
      <c r="X4644" s="54" t="s">
        <v>2</v>
      </c>
      <c r="Y4644" s="54" t="s">
        <v>2</v>
      </c>
      <c r="Z4644" s="54" t="s">
        <v>2</v>
      </c>
      <c r="AA4644" s="54" t="s">
        <v>2</v>
      </c>
      <c r="AB4644" s="54" t="s">
        <v>2</v>
      </c>
      <c r="AC4644" s="54" t="s">
        <v>2</v>
      </c>
      <c r="AD4644" s="54" t="s">
        <v>2</v>
      </c>
      <c r="AE4644" s="54" t="s">
        <v>2</v>
      </c>
      <c r="AF4644" s="54" t="s">
        <v>2</v>
      </c>
      <c r="AG4644" s="54" t="s">
        <v>2</v>
      </c>
    </row>
    <row r="4645" ht="15.75" customHeight="1">
      <c r="B4645" s="56"/>
      <c r="U4645" s="46" t="str">
        <f t="array" ref="U4645">IF($D4645="","",IFERROR(_xlfn.XLOOKUP($D4645,'TIR店舗一覧'!$D:$D,'TIR店舗一覧'!$E:$E,""),""))</f>
        <v/>
      </c>
      <c r="V4645" s="54" t="s">
        <v>2</v>
      </c>
      <c r="W4645" s="54" t="s">
        <v>2</v>
      </c>
      <c r="X4645" s="54" t="s">
        <v>2</v>
      </c>
      <c r="Y4645" s="54" t="s">
        <v>2</v>
      </c>
      <c r="Z4645" s="54" t="s">
        <v>2</v>
      </c>
      <c r="AA4645" s="54" t="s">
        <v>2</v>
      </c>
      <c r="AB4645" s="54" t="s">
        <v>2</v>
      </c>
      <c r="AC4645" s="54" t="s">
        <v>2</v>
      </c>
      <c r="AD4645" s="54" t="s">
        <v>2</v>
      </c>
      <c r="AE4645" s="54" t="s">
        <v>2</v>
      </c>
      <c r="AF4645" s="54" t="s">
        <v>2</v>
      </c>
      <c r="AG4645" s="54" t="s">
        <v>2</v>
      </c>
    </row>
    <row r="4646" ht="15.75" customHeight="1">
      <c r="B4646" s="56"/>
      <c r="U4646" s="46" t="str">
        <f t="array" ref="U4646">IF($D4646="","",IFERROR(_xlfn.XLOOKUP($D4646,'TIR店舗一覧'!$D:$D,'TIR店舗一覧'!$E:$E,""),""))</f>
        <v/>
      </c>
      <c r="V4646" s="54" t="s">
        <v>2</v>
      </c>
      <c r="W4646" s="54" t="s">
        <v>2</v>
      </c>
      <c r="X4646" s="54" t="s">
        <v>2</v>
      </c>
      <c r="Y4646" s="54" t="s">
        <v>2</v>
      </c>
      <c r="Z4646" s="54" t="s">
        <v>2</v>
      </c>
      <c r="AA4646" s="54" t="s">
        <v>2</v>
      </c>
      <c r="AB4646" s="54" t="s">
        <v>2</v>
      </c>
      <c r="AC4646" s="54" t="s">
        <v>2</v>
      </c>
      <c r="AD4646" s="54" t="s">
        <v>2</v>
      </c>
      <c r="AE4646" s="54" t="s">
        <v>2</v>
      </c>
      <c r="AF4646" s="54" t="s">
        <v>2</v>
      </c>
      <c r="AG4646" s="54" t="s">
        <v>2</v>
      </c>
    </row>
    <row r="4647" ht="15.75" customHeight="1">
      <c r="B4647" s="56"/>
      <c r="U4647" s="46" t="str">
        <f t="array" ref="U4647">IF($D4647="","",IFERROR(_xlfn.XLOOKUP($D4647,'TIR店舗一覧'!$D:$D,'TIR店舗一覧'!$E:$E,""),""))</f>
        <v/>
      </c>
      <c r="V4647" s="54" t="s">
        <v>2</v>
      </c>
      <c r="W4647" s="54" t="s">
        <v>2</v>
      </c>
      <c r="X4647" s="54" t="s">
        <v>2</v>
      </c>
      <c r="Y4647" s="54" t="s">
        <v>2</v>
      </c>
      <c r="Z4647" s="54" t="s">
        <v>2</v>
      </c>
      <c r="AA4647" s="54" t="s">
        <v>2</v>
      </c>
      <c r="AB4647" s="54" t="s">
        <v>2</v>
      </c>
      <c r="AC4647" s="54" t="s">
        <v>2</v>
      </c>
      <c r="AD4647" s="54" t="s">
        <v>2</v>
      </c>
      <c r="AE4647" s="54" t="s">
        <v>2</v>
      </c>
      <c r="AF4647" s="54" t="s">
        <v>2</v>
      </c>
      <c r="AG4647" s="54" t="s">
        <v>2</v>
      </c>
    </row>
    <row r="4648" ht="15.75" customHeight="1">
      <c r="B4648" s="56"/>
      <c r="U4648" s="46" t="str">
        <f t="array" ref="U4648">IF($D4648="","",IFERROR(_xlfn.XLOOKUP($D4648,'TIR店舗一覧'!$D:$D,'TIR店舗一覧'!$E:$E,""),""))</f>
        <v/>
      </c>
      <c r="V4648" s="54" t="s">
        <v>2</v>
      </c>
      <c r="W4648" s="54" t="s">
        <v>2</v>
      </c>
      <c r="X4648" s="54" t="s">
        <v>2</v>
      </c>
      <c r="Y4648" s="54" t="s">
        <v>2</v>
      </c>
      <c r="Z4648" s="54" t="s">
        <v>2</v>
      </c>
      <c r="AA4648" s="54" t="s">
        <v>2</v>
      </c>
      <c r="AB4648" s="54" t="s">
        <v>2</v>
      </c>
      <c r="AC4648" s="54" t="s">
        <v>2</v>
      </c>
      <c r="AD4648" s="54" t="s">
        <v>2</v>
      </c>
      <c r="AE4648" s="54" t="s">
        <v>2</v>
      </c>
      <c r="AF4648" s="54" t="s">
        <v>2</v>
      </c>
      <c r="AG4648" s="54" t="s">
        <v>2</v>
      </c>
    </row>
    <row r="4649" ht="15.75" customHeight="1">
      <c r="B4649" s="56"/>
      <c r="U4649" s="46" t="str">
        <f t="array" ref="U4649">IF($D4649="","",IFERROR(_xlfn.XLOOKUP($D4649,'TIR店舗一覧'!$D:$D,'TIR店舗一覧'!$E:$E,""),""))</f>
        <v/>
      </c>
      <c r="V4649" s="54" t="s">
        <v>2</v>
      </c>
      <c r="W4649" s="54" t="s">
        <v>2</v>
      </c>
      <c r="X4649" s="54" t="s">
        <v>2</v>
      </c>
      <c r="Y4649" s="54" t="s">
        <v>2</v>
      </c>
      <c r="Z4649" s="54" t="s">
        <v>2</v>
      </c>
      <c r="AA4649" s="54" t="s">
        <v>2</v>
      </c>
      <c r="AB4649" s="54" t="s">
        <v>2</v>
      </c>
      <c r="AC4649" s="54" t="s">
        <v>2</v>
      </c>
      <c r="AD4649" s="54" t="s">
        <v>2</v>
      </c>
      <c r="AE4649" s="54" t="s">
        <v>2</v>
      </c>
      <c r="AF4649" s="54" t="s">
        <v>2</v>
      </c>
      <c r="AG4649" s="54" t="s">
        <v>2</v>
      </c>
    </row>
    <row r="4650" ht="15.75" customHeight="1">
      <c r="B4650" s="56"/>
      <c r="U4650" s="46" t="str">
        <f t="array" ref="U4650">IF($D4650="","",IFERROR(_xlfn.XLOOKUP($D4650,'TIR店舗一覧'!$D:$D,'TIR店舗一覧'!$E:$E,""),""))</f>
        <v/>
      </c>
      <c r="V4650" s="54" t="s">
        <v>2</v>
      </c>
      <c r="W4650" s="54" t="s">
        <v>2</v>
      </c>
      <c r="X4650" s="54" t="s">
        <v>2</v>
      </c>
      <c r="Y4650" s="54" t="s">
        <v>2</v>
      </c>
      <c r="Z4650" s="54" t="s">
        <v>2</v>
      </c>
      <c r="AA4650" s="54" t="s">
        <v>2</v>
      </c>
      <c r="AB4650" s="54" t="s">
        <v>2</v>
      </c>
      <c r="AC4650" s="54" t="s">
        <v>2</v>
      </c>
      <c r="AD4650" s="54" t="s">
        <v>2</v>
      </c>
      <c r="AE4650" s="54" t="s">
        <v>2</v>
      </c>
      <c r="AF4650" s="54" t="s">
        <v>2</v>
      </c>
      <c r="AG4650" s="54" t="s">
        <v>2</v>
      </c>
    </row>
    <row r="4651" ht="15.75" customHeight="1">
      <c r="B4651" s="56"/>
      <c r="U4651" s="46" t="str">
        <f t="array" ref="U4651">IF($D4651="","",IFERROR(_xlfn.XLOOKUP($D4651,'TIR店舗一覧'!$D:$D,'TIR店舗一覧'!$E:$E,""),""))</f>
        <v/>
      </c>
      <c r="V4651" s="54" t="s">
        <v>2</v>
      </c>
      <c r="W4651" s="54" t="s">
        <v>2</v>
      </c>
      <c r="X4651" s="54" t="s">
        <v>2</v>
      </c>
      <c r="Y4651" s="54" t="s">
        <v>2</v>
      </c>
      <c r="Z4651" s="54" t="s">
        <v>2</v>
      </c>
      <c r="AA4651" s="54" t="s">
        <v>2</v>
      </c>
      <c r="AB4651" s="54" t="s">
        <v>2</v>
      </c>
      <c r="AC4651" s="54" t="s">
        <v>2</v>
      </c>
      <c r="AD4651" s="54" t="s">
        <v>2</v>
      </c>
      <c r="AE4651" s="54" t="s">
        <v>2</v>
      </c>
      <c r="AF4651" s="54" t="s">
        <v>2</v>
      </c>
      <c r="AG4651" s="54" t="s">
        <v>2</v>
      </c>
    </row>
    <row r="4652" ht="15.75" customHeight="1">
      <c r="B4652" s="56"/>
      <c r="U4652" s="46" t="str">
        <f t="array" ref="U4652">IF($D4652="","",IFERROR(_xlfn.XLOOKUP($D4652,'TIR店舗一覧'!$D:$D,'TIR店舗一覧'!$E:$E,""),""))</f>
        <v/>
      </c>
      <c r="V4652" s="54" t="s">
        <v>2</v>
      </c>
      <c r="W4652" s="54" t="s">
        <v>2</v>
      </c>
      <c r="X4652" s="54" t="s">
        <v>2</v>
      </c>
      <c r="Y4652" s="54" t="s">
        <v>2</v>
      </c>
      <c r="Z4652" s="54" t="s">
        <v>2</v>
      </c>
      <c r="AA4652" s="54" t="s">
        <v>2</v>
      </c>
      <c r="AB4652" s="54" t="s">
        <v>2</v>
      </c>
      <c r="AC4652" s="54" t="s">
        <v>2</v>
      </c>
      <c r="AD4652" s="54" t="s">
        <v>2</v>
      </c>
      <c r="AE4652" s="54" t="s">
        <v>2</v>
      </c>
      <c r="AF4652" s="54" t="s">
        <v>2</v>
      </c>
      <c r="AG4652" s="54" t="s">
        <v>2</v>
      </c>
    </row>
    <row r="4653" ht="15.75" customHeight="1">
      <c r="B4653" s="56"/>
      <c r="U4653" s="46" t="str">
        <f t="array" ref="U4653">IF($D4653="","",IFERROR(_xlfn.XLOOKUP($D4653,'TIR店舗一覧'!$D:$D,'TIR店舗一覧'!$E:$E,""),""))</f>
        <v/>
      </c>
      <c r="V4653" s="54" t="s">
        <v>2</v>
      </c>
      <c r="W4653" s="54" t="s">
        <v>2</v>
      </c>
      <c r="X4653" s="54" t="s">
        <v>2</v>
      </c>
      <c r="Y4653" s="54" t="s">
        <v>2</v>
      </c>
      <c r="Z4653" s="54" t="s">
        <v>2</v>
      </c>
      <c r="AA4653" s="54" t="s">
        <v>2</v>
      </c>
      <c r="AB4653" s="54" t="s">
        <v>2</v>
      </c>
      <c r="AC4653" s="54" t="s">
        <v>2</v>
      </c>
      <c r="AD4653" s="54" t="s">
        <v>2</v>
      </c>
      <c r="AE4653" s="54" t="s">
        <v>2</v>
      </c>
      <c r="AF4653" s="54" t="s">
        <v>2</v>
      </c>
      <c r="AG4653" s="54" t="s">
        <v>2</v>
      </c>
    </row>
    <row r="4654" ht="15.75" customHeight="1">
      <c r="B4654" s="56"/>
      <c r="U4654" s="46" t="str">
        <f t="array" ref="U4654">IF($D4654="","",IFERROR(_xlfn.XLOOKUP($D4654,'TIR店舗一覧'!$D:$D,'TIR店舗一覧'!$E:$E,""),""))</f>
        <v/>
      </c>
      <c r="V4654" s="54" t="s">
        <v>2</v>
      </c>
      <c r="W4654" s="54" t="s">
        <v>2</v>
      </c>
      <c r="X4654" s="54" t="s">
        <v>2</v>
      </c>
      <c r="Y4654" s="54" t="s">
        <v>2</v>
      </c>
      <c r="Z4654" s="54" t="s">
        <v>2</v>
      </c>
      <c r="AA4654" s="54" t="s">
        <v>2</v>
      </c>
      <c r="AB4654" s="54" t="s">
        <v>2</v>
      </c>
      <c r="AC4654" s="54" t="s">
        <v>2</v>
      </c>
      <c r="AD4654" s="54" t="s">
        <v>2</v>
      </c>
      <c r="AE4654" s="54" t="s">
        <v>2</v>
      </c>
      <c r="AF4654" s="54" t="s">
        <v>2</v>
      </c>
      <c r="AG4654" s="54" t="s">
        <v>2</v>
      </c>
    </row>
    <row r="4655" ht="15.75" customHeight="1">
      <c r="B4655" s="56"/>
      <c r="U4655" s="46" t="str">
        <f t="array" ref="U4655">IF($D4655="","",IFERROR(_xlfn.XLOOKUP($D4655,'TIR店舗一覧'!$D:$D,'TIR店舗一覧'!$E:$E,""),""))</f>
        <v/>
      </c>
      <c r="V4655" s="54" t="s">
        <v>2</v>
      </c>
      <c r="W4655" s="54" t="s">
        <v>2</v>
      </c>
      <c r="X4655" s="54" t="s">
        <v>2</v>
      </c>
      <c r="Y4655" s="54" t="s">
        <v>2</v>
      </c>
      <c r="Z4655" s="54" t="s">
        <v>2</v>
      </c>
      <c r="AA4655" s="54" t="s">
        <v>2</v>
      </c>
      <c r="AB4655" s="54" t="s">
        <v>2</v>
      </c>
      <c r="AC4655" s="54" t="s">
        <v>2</v>
      </c>
      <c r="AD4655" s="54" t="s">
        <v>2</v>
      </c>
      <c r="AE4655" s="54" t="s">
        <v>2</v>
      </c>
      <c r="AF4655" s="54" t="s">
        <v>2</v>
      </c>
      <c r="AG4655" s="54" t="s">
        <v>2</v>
      </c>
    </row>
    <row r="4656" ht="15.75" customHeight="1">
      <c r="B4656" s="56"/>
      <c r="U4656" s="46" t="str">
        <f t="array" ref="U4656">IF($D4656="","",IFERROR(_xlfn.XLOOKUP($D4656,'TIR店舗一覧'!$D:$D,'TIR店舗一覧'!$E:$E,""),""))</f>
        <v/>
      </c>
      <c r="V4656" s="54" t="s">
        <v>2</v>
      </c>
      <c r="W4656" s="54" t="s">
        <v>2</v>
      </c>
      <c r="X4656" s="54" t="s">
        <v>2</v>
      </c>
      <c r="Y4656" s="54" t="s">
        <v>2</v>
      </c>
      <c r="Z4656" s="54" t="s">
        <v>2</v>
      </c>
      <c r="AA4656" s="54" t="s">
        <v>2</v>
      </c>
      <c r="AB4656" s="54" t="s">
        <v>2</v>
      </c>
      <c r="AC4656" s="54" t="s">
        <v>2</v>
      </c>
      <c r="AD4656" s="54" t="s">
        <v>2</v>
      </c>
      <c r="AE4656" s="54" t="s">
        <v>2</v>
      </c>
      <c r="AF4656" s="54" t="s">
        <v>2</v>
      </c>
      <c r="AG4656" s="54" t="s">
        <v>2</v>
      </c>
    </row>
    <row r="4657" ht="15.75" customHeight="1">
      <c r="B4657" s="56"/>
      <c r="U4657" s="46" t="str">
        <f t="array" ref="U4657">IF($D4657="","",IFERROR(_xlfn.XLOOKUP($D4657,'TIR店舗一覧'!$D:$D,'TIR店舗一覧'!$E:$E,""),""))</f>
        <v/>
      </c>
      <c r="V4657" s="54" t="s">
        <v>2</v>
      </c>
      <c r="W4657" s="54" t="s">
        <v>2</v>
      </c>
      <c r="X4657" s="54" t="s">
        <v>2</v>
      </c>
      <c r="Y4657" s="54" t="s">
        <v>2</v>
      </c>
      <c r="Z4657" s="54" t="s">
        <v>2</v>
      </c>
      <c r="AA4657" s="54" t="s">
        <v>2</v>
      </c>
      <c r="AB4657" s="54" t="s">
        <v>2</v>
      </c>
      <c r="AC4657" s="54" t="s">
        <v>2</v>
      </c>
      <c r="AD4657" s="54" t="s">
        <v>2</v>
      </c>
      <c r="AE4657" s="54" t="s">
        <v>2</v>
      </c>
      <c r="AF4657" s="54" t="s">
        <v>2</v>
      </c>
      <c r="AG4657" s="54" t="s">
        <v>2</v>
      </c>
    </row>
    <row r="4658" ht="15.75" customHeight="1">
      <c r="B4658" s="56"/>
      <c r="U4658" s="46" t="str">
        <f t="array" ref="U4658">IF($D4658="","",IFERROR(_xlfn.XLOOKUP($D4658,'TIR店舗一覧'!$D:$D,'TIR店舗一覧'!$E:$E,""),""))</f>
        <v/>
      </c>
      <c r="V4658" s="54" t="s">
        <v>2</v>
      </c>
      <c r="W4658" s="54" t="s">
        <v>2</v>
      </c>
      <c r="X4658" s="54" t="s">
        <v>2</v>
      </c>
      <c r="Y4658" s="54" t="s">
        <v>2</v>
      </c>
      <c r="Z4658" s="54" t="s">
        <v>2</v>
      </c>
      <c r="AA4658" s="54" t="s">
        <v>2</v>
      </c>
      <c r="AB4658" s="54" t="s">
        <v>2</v>
      </c>
      <c r="AC4658" s="54" t="s">
        <v>2</v>
      </c>
      <c r="AD4658" s="54" t="s">
        <v>2</v>
      </c>
      <c r="AE4658" s="54" t="s">
        <v>2</v>
      </c>
      <c r="AF4658" s="54" t="s">
        <v>2</v>
      </c>
      <c r="AG4658" s="54" t="s">
        <v>2</v>
      </c>
    </row>
    <row r="4659" ht="15.75" customHeight="1">
      <c r="B4659" s="56"/>
      <c r="U4659" s="46" t="str">
        <f t="array" ref="U4659">IF($D4659="","",IFERROR(_xlfn.XLOOKUP($D4659,'TIR店舗一覧'!$D:$D,'TIR店舗一覧'!$E:$E,""),""))</f>
        <v/>
      </c>
      <c r="V4659" s="54" t="s">
        <v>2</v>
      </c>
      <c r="W4659" s="54" t="s">
        <v>2</v>
      </c>
      <c r="X4659" s="54" t="s">
        <v>2</v>
      </c>
      <c r="Y4659" s="54" t="s">
        <v>2</v>
      </c>
      <c r="Z4659" s="54" t="s">
        <v>2</v>
      </c>
      <c r="AA4659" s="54" t="s">
        <v>2</v>
      </c>
      <c r="AB4659" s="54" t="s">
        <v>2</v>
      </c>
      <c r="AC4659" s="54" t="s">
        <v>2</v>
      </c>
      <c r="AD4659" s="54" t="s">
        <v>2</v>
      </c>
      <c r="AE4659" s="54" t="s">
        <v>2</v>
      </c>
      <c r="AF4659" s="54" t="s">
        <v>2</v>
      </c>
      <c r="AG4659" s="54" t="s">
        <v>2</v>
      </c>
    </row>
    <row r="4660" ht="15.75" customHeight="1">
      <c r="B4660" s="56"/>
      <c r="U4660" s="46" t="str">
        <f t="array" ref="U4660">IF($D4660="","",IFERROR(_xlfn.XLOOKUP($D4660,'TIR店舗一覧'!$D:$D,'TIR店舗一覧'!$E:$E,""),""))</f>
        <v/>
      </c>
      <c r="V4660" s="54" t="s">
        <v>2</v>
      </c>
      <c r="W4660" s="54" t="s">
        <v>2</v>
      </c>
      <c r="X4660" s="54" t="s">
        <v>2</v>
      </c>
      <c r="Y4660" s="54" t="s">
        <v>2</v>
      </c>
      <c r="Z4660" s="54" t="s">
        <v>2</v>
      </c>
      <c r="AA4660" s="54" t="s">
        <v>2</v>
      </c>
      <c r="AB4660" s="54" t="s">
        <v>2</v>
      </c>
      <c r="AC4660" s="54" t="s">
        <v>2</v>
      </c>
      <c r="AD4660" s="54" t="s">
        <v>2</v>
      </c>
      <c r="AE4660" s="54" t="s">
        <v>2</v>
      </c>
      <c r="AF4660" s="54" t="s">
        <v>2</v>
      </c>
      <c r="AG4660" s="54" t="s">
        <v>2</v>
      </c>
    </row>
    <row r="4661" ht="15.75" customHeight="1">
      <c r="B4661" s="56"/>
      <c r="U4661" s="46" t="str">
        <f t="array" ref="U4661">IF($D4661="","",IFERROR(_xlfn.XLOOKUP($D4661,'TIR店舗一覧'!$D:$D,'TIR店舗一覧'!$E:$E,""),""))</f>
        <v/>
      </c>
      <c r="V4661" s="54" t="s">
        <v>2</v>
      </c>
      <c r="W4661" s="54" t="s">
        <v>2</v>
      </c>
      <c r="X4661" s="54" t="s">
        <v>2</v>
      </c>
      <c r="Y4661" s="54" t="s">
        <v>2</v>
      </c>
      <c r="Z4661" s="54" t="s">
        <v>2</v>
      </c>
      <c r="AA4661" s="54" t="s">
        <v>2</v>
      </c>
      <c r="AB4661" s="54" t="s">
        <v>2</v>
      </c>
      <c r="AC4661" s="54" t="s">
        <v>2</v>
      </c>
      <c r="AD4661" s="54" t="s">
        <v>2</v>
      </c>
      <c r="AE4661" s="54" t="s">
        <v>2</v>
      </c>
      <c r="AF4661" s="54" t="s">
        <v>2</v>
      </c>
      <c r="AG4661" s="54" t="s">
        <v>2</v>
      </c>
    </row>
    <row r="4662" ht="15.75" customHeight="1">
      <c r="B4662" s="56"/>
      <c r="U4662" s="46" t="str">
        <f t="array" ref="U4662">IF($D4662="","",IFERROR(_xlfn.XLOOKUP($D4662,'TIR店舗一覧'!$D:$D,'TIR店舗一覧'!$E:$E,""),""))</f>
        <v/>
      </c>
      <c r="V4662" s="54" t="s">
        <v>2</v>
      </c>
      <c r="W4662" s="54" t="s">
        <v>2</v>
      </c>
      <c r="X4662" s="54" t="s">
        <v>2</v>
      </c>
      <c r="Y4662" s="54" t="s">
        <v>2</v>
      </c>
      <c r="Z4662" s="54" t="s">
        <v>2</v>
      </c>
      <c r="AA4662" s="54" t="s">
        <v>2</v>
      </c>
      <c r="AB4662" s="54" t="s">
        <v>2</v>
      </c>
      <c r="AC4662" s="54" t="s">
        <v>2</v>
      </c>
      <c r="AD4662" s="54" t="s">
        <v>2</v>
      </c>
      <c r="AE4662" s="54" t="s">
        <v>2</v>
      </c>
      <c r="AF4662" s="54" t="s">
        <v>2</v>
      </c>
      <c r="AG4662" s="54" t="s">
        <v>2</v>
      </c>
    </row>
    <row r="4663" ht="15.75" customHeight="1">
      <c r="B4663" s="56"/>
      <c r="U4663" s="46" t="str">
        <f t="array" ref="U4663">IF($D4663="","",IFERROR(_xlfn.XLOOKUP($D4663,'TIR店舗一覧'!$D:$D,'TIR店舗一覧'!$E:$E,""),""))</f>
        <v/>
      </c>
      <c r="V4663" s="54" t="s">
        <v>2</v>
      </c>
      <c r="W4663" s="54" t="s">
        <v>2</v>
      </c>
      <c r="X4663" s="54" t="s">
        <v>2</v>
      </c>
      <c r="Y4663" s="54" t="s">
        <v>2</v>
      </c>
      <c r="Z4663" s="54" t="s">
        <v>2</v>
      </c>
      <c r="AA4663" s="54" t="s">
        <v>2</v>
      </c>
      <c r="AB4663" s="54" t="s">
        <v>2</v>
      </c>
      <c r="AC4663" s="54" t="s">
        <v>2</v>
      </c>
      <c r="AD4663" s="54" t="s">
        <v>2</v>
      </c>
      <c r="AE4663" s="54" t="s">
        <v>2</v>
      </c>
      <c r="AF4663" s="54" t="s">
        <v>2</v>
      </c>
      <c r="AG4663" s="54" t="s">
        <v>2</v>
      </c>
    </row>
    <row r="4664" ht="15.75" customHeight="1">
      <c r="B4664" s="56"/>
      <c r="U4664" s="46" t="str">
        <f t="array" ref="U4664">IF($D4664="","",IFERROR(_xlfn.XLOOKUP($D4664,'TIR店舗一覧'!$D:$D,'TIR店舗一覧'!$E:$E,""),""))</f>
        <v/>
      </c>
      <c r="V4664" s="54" t="s">
        <v>2</v>
      </c>
      <c r="W4664" s="54" t="s">
        <v>2</v>
      </c>
      <c r="X4664" s="54" t="s">
        <v>2</v>
      </c>
      <c r="Y4664" s="54" t="s">
        <v>2</v>
      </c>
      <c r="Z4664" s="54" t="s">
        <v>2</v>
      </c>
      <c r="AA4664" s="54" t="s">
        <v>2</v>
      </c>
      <c r="AB4664" s="54" t="s">
        <v>2</v>
      </c>
      <c r="AC4664" s="54" t="s">
        <v>2</v>
      </c>
      <c r="AD4664" s="54" t="s">
        <v>2</v>
      </c>
      <c r="AE4664" s="54" t="s">
        <v>2</v>
      </c>
      <c r="AF4664" s="54" t="s">
        <v>2</v>
      </c>
      <c r="AG4664" s="54" t="s">
        <v>2</v>
      </c>
    </row>
    <row r="4665" ht="15.75" customHeight="1">
      <c r="B4665" s="56"/>
      <c r="U4665" s="46" t="str">
        <f t="array" ref="U4665">IF($D4665="","",IFERROR(_xlfn.XLOOKUP($D4665,'TIR店舗一覧'!$D:$D,'TIR店舗一覧'!$E:$E,""),""))</f>
        <v/>
      </c>
      <c r="V4665" s="54" t="s">
        <v>2</v>
      </c>
      <c r="W4665" s="54" t="s">
        <v>2</v>
      </c>
      <c r="X4665" s="54" t="s">
        <v>2</v>
      </c>
      <c r="Y4665" s="54" t="s">
        <v>2</v>
      </c>
      <c r="Z4665" s="54" t="s">
        <v>2</v>
      </c>
      <c r="AA4665" s="54" t="s">
        <v>2</v>
      </c>
      <c r="AB4665" s="54" t="s">
        <v>2</v>
      </c>
      <c r="AC4665" s="54" t="s">
        <v>2</v>
      </c>
      <c r="AD4665" s="54" t="s">
        <v>2</v>
      </c>
      <c r="AE4665" s="54" t="s">
        <v>2</v>
      </c>
      <c r="AF4665" s="54" t="s">
        <v>2</v>
      </c>
      <c r="AG4665" s="54" t="s">
        <v>2</v>
      </c>
    </row>
    <row r="4666" ht="15.75" customHeight="1">
      <c r="B4666" s="56"/>
      <c r="U4666" s="46" t="str">
        <f t="array" ref="U4666">IF($D4666="","",IFERROR(_xlfn.XLOOKUP($D4666,'TIR店舗一覧'!$D:$D,'TIR店舗一覧'!$E:$E,""),""))</f>
        <v/>
      </c>
      <c r="V4666" s="54" t="s">
        <v>2</v>
      </c>
      <c r="W4666" s="54" t="s">
        <v>2</v>
      </c>
      <c r="X4666" s="54" t="s">
        <v>2</v>
      </c>
      <c r="Y4666" s="54" t="s">
        <v>2</v>
      </c>
      <c r="Z4666" s="54" t="s">
        <v>2</v>
      </c>
      <c r="AA4666" s="54" t="s">
        <v>2</v>
      </c>
      <c r="AB4666" s="54" t="s">
        <v>2</v>
      </c>
      <c r="AC4666" s="54" t="s">
        <v>2</v>
      </c>
      <c r="AD4666" s="54" t="s">
        <v>2</v>
      </c>
      <c r="AE4666" s="54" t="s">
        <v>2</v>
      </c>
      <c r="AF4666" s="54" t="s">
        <v>2</v>
      </c>
      <c r="AG4666" s="54" t="s">
        <v>2</v>
      </c>
    </row>
    <row r="4667" ht="15.75" customHeight="1">
      <c r="B4667" s="56"/>
      <c r="U4667" s="46" t="str">
        <f t="array" ref="U4667">IF($D4667="","",IFERROR(_xlfn.XLOOKUP($D4667,'TIR店舗一覧'!$D:$D,'TIR店舗一覧'!$E:$E,""),""))</f>
        <v/>
      </c>
      <c r="V4667" s="54" t="s">
        <v>2</v>
      </c>
      <c r="W4667" s="54" t="s">
        <v>2</v>
      </c>
      <c r="X4667" s="54" t="s">
        <v>2</v>
      </c>
      <c r="Y4667" s="54" t="s">
        <v>2</v>
      </c>
      <c r="Z4667" s="54" t="s">
        <v>2</v>
      </c>
      <c r="AA4667" s="54" t="s">
        <v>2</v>
      </c>
      <c r="AB4667" s="54" t="s">
        <v>2</v>
      </c>
      <c r="AC4667" s="54" t="s">
        <v>2</v>
      </c>
      <c r="AD4667" s="54" t="s">
        <v>2</v>
      </c>
      <c r="AE4667" s="54" t="s">
        <v>2</v>
      </c>
      <c r="AF4667" s="54" t="s">
        <v>2</v>
      </c>
      <c r="AG4667" s="54" t="s">
        <v>2</v>
      </c>
    </row>
    <row r="4668" ht="15.75" customHeight="1">
      <c r="B4668" s="56"/>
      <c r="U4668" s="46" t="str">
        <f t="array" ref="U4668">IF($D4668="","",IFERROR(_xlfn.XLOOKUP($D4668,'TIR店舗一覧'!$D:$D,'TIR店舗一覧'!$E:$E,""),""))</f>
        <v/>
      </c>
      <c r="V4668" s="54" t="s">
        <v>2</v>
      </c>
      <c r="W4668" s="54" t="s">
        <v>2</v>
      </c>
      <c r="X4668" s="54" t="s">
        <v>2</v>
      </c>
      <c r="Y4668" s="54" t="s">
        <v>2</v>
      </c>
      <c r="Z4668" s="54" t="s">
        <v>2</v>
      </c>
      <c r="AA4668" s="54" t="s">
        <v>2</v>
      </c>
      <c r="AB4668" s="54" t="s">
        <v>2</v>
      </c>
      <c r="AC4668" s="54" t="s">
        <v>2</v>
      </c>
      <c r="AD4668" s="54" t="s">
        <v>2</v>
      </c>
      <c r="AE4668" s="54" t="s">
        <v>2</v>
      </c>
      <c r="AF4668" s="54" t="s">
        <v>2</v>
      </c>
      <c r="AG4668" s="54" t="s">
        <v>2</v>
      </c>
    </row>
    <row r="4669" ht="15.75" customHeight="1">
      <c r="B4669" s="56"/>
      <c r="U4669" s="46" t="str">
        <f t="array" ref="U4669">IF($D4669="","",IFERROR(_xlfn.XLOOKUP($D4669,'TIR店舗一覧'!$D:$D,'TIR店舗一覧'!$E:$E,""),""))</f>
        <v/>
      </c>
      <c r="V4669" s="54" t="s">
        <v>2</v>
      </c>
      <c r="W4669" s="54" t="s">
        <v>2</v>
      </c>
      <c r="X4669" s="54" t="s">
        <v>2</v>
      </c>
      <c r="Y4669" s="54" t="s">
        <v>2</v>
      </c>
      <c r="Z4669" s="54" t="s">
        <v>2</v>
      </c>
      <c r="AA4669" s="54" t="s">
        <v>2</v>
      </c>
      <c r="AB4669" s="54" t="s">
        <v>2</v>
      </c>
      <c r="AC4669" s="54" t="s">
        <v>2</v>
      </c>
      <c r="AD4669" s="54" t="s">
        <v>2</v>
      </c>
      <c r="AE4669" s="54" t="s">
        <v>2</v>
      </c>
      <c r="AF4669" s="54" t="s">
        <v>2</v>
      </c>
      <c r="AG4669" s="54" t="s">
        <v>2</v>
      </c>
    </row>
    <row r="4670" ht="15.75" customHeight="1">
      <c r="B4670" s="56"/>
      <c r="U4670" s="46" t="str">
        <f t="array" ref="U4670">IF($D4670="","",IFERROR(_xlfn.XLOOKUP($D4670,'TIR店舗一覧'!$D:$D,'TIR店舗一覧'!$E:$E,""),""))</f>
        <v/>
      </c>
      <c r="V4670" s="54" t="s">
        <v>2</v>
      </c>
      <c r="W4670" s="54" t="s">
        <v>2</v>
      </c>
      <c r="X4670" s="54" t="s">
        <v>2</v>
      </c>
      <c r="Y4670" s="54" t="s">
        <v>2</v>
      </c>
      <c r="Z4670" s="54" t="s">
        <v>2</v>
      </c>
      <c r="AA4670" s="54" t="s">
        <v>2</v>
      </c>
      <c r="AB4670" s="54" t="s">
        <v>2</v>
      </c>
      <c r="AC4670" s="54" t="s">
        <v>2</v>
      </c>
      <c r="AD4670" s="54" t="s">
        <v>2</v>
      </c>
      <c r="AE4670" s="54" t="s">
        <v>2</v>
      </c>
      <c r="AF4670" s="54" t="s">
        <v>2</v>
      </c>
      <c r="AG4670" s="54" t="s">
        <v>2</v>
      </c>
    </row>
    <row r="4671" ht="15.75" customHeight="1">
      <c r="B4671" s="56"/>
      <c r="U4671" s="46" t="str">
        <f t="array" ref="U4671">IF($D4671="","",IFERROR(_xlfn.XLOOKUP($D4671,'TIR店舗一覧'!$D:$D,'TIR店舗一覧'!$E:$E,""),""))</f>
        <v/>
      </c>
      <c r="V4671" s="54" t="s">
        <v>2</v>
      </c>
      <c r="W4671" s="54" t="s">
        <v>2</v>
      </c>
      <c r="X4671" s="54" t="s">
        <v>2</v>
      </c>
      <c r="Y4671" s="54" t="s">
        <v>2</v>
      </c>
      <c r="Z4671" s="54" t="s">
        <v>2</v>
      </c>
      <c r="AA4671" s="54" t="s">
        <v>2</v>
      </c>
      <c r="AB4671" s="54" t="s">
        <v>2</v>
      </c>
      <c r="AC4671" s="54" t="s">
        <v>2</v>
      </c>
      <c r="AD4671" s="54" t="s">
        <v>2</v>
      </c>
      <c r="AE4671" s="54" t="s">
        <v>2</v>
      </c>
      <c r="AF4671" s="54" t="s">
        <v>2</v>
      </c>
      <c r="AG4671" s="54" t="s">
        <v>2</v>
      </c>
    </row>
    <row r="4672" ht="15.75" customHeight="1">
      <c r="B4672" s="56"/>
      <c r="U4672" s="46" t="str">
        <f t="array" ref="U4672">IF($D4672="","",IFERROR(_xlfn.XLOOKUP($D4672,'TIR店舗一覧'!$D:$D,'TIR店舗一覧'!$E:$E,""),""))</f>
        <v/>
      </c>
      <c r="V4672" s="54" t="s">
        <v>2</v>
      </c>
      <c r="W4672" s="54" t="s">
        <v>2</v>
      </c>
      <c r="X4672" s="54" t="s">
        <v>2</v>
      </c>
      <c r="Y4672" s="54" t="s">
        <v>2</v>
      </c>
      <c r="Z4672" s="54" t="s">
        <v>2</v>
      </c>
      <c r="AA4672" s="54" t="s">
        <v>2</v>
      </c>
      <c r="AB4672" s="54" t="s">
        <v>2</v>
      </c>
      <c r="AC4672" s="54" t="s">
        <v>2</v>
      </c>
      <c r="AD4672" s="54" t="s">
        <v>2</v>
      </c>
      <c r="AE4672" s="54" t="s">
        <v>2</v>
      </c>
      <c r="AF4672" s="54" t="s">
        <v>2</v>
      </c>
      <c r="AG4672" s="54" t="s">
        <v>2</v>
      </c>
    </row>
    <row r="4673" ht="15.75" customHeight="1">
      <c r="B4673" s="56"/>
      <c r="U4673" s="46" t="str">
        <f t="array" ref="U4673">IF($D4673="","",IFERROR(_xlfn.XLOOKUP($D4673,'TIR店舗一覧'!$D:$D,'TIR店舗一覧'!$E:$E,""),""))</f>
        <v/>
      </c>
      <c r="V4673" s="54" t="s">
        <v>2</v>
      </c>
      <c r="W4673" s="54" t="s">
        <v>2</v>
      </c>
      <c r="X4673" s="54" t="s">
        <v>2</v>
      </c>
      <c r="Y4673" s="54" t="s">
        <v>2</v>
      </c>
      <c r="Z4673" s="54" t="s">
        <v>2</v>
      </c>
      <c r="AA4673" s="54" t="s">
        <v>2</v>
      </c>
      <c r="AB4673" s="54" t="s">
        <v>2</v>
      </c>
      <c r="AC4673" s="54" t="s">
        <v>2</v>
      </c>
      <c r="AD4673" s="54" t="s">
        <v>2</v>
      </c>
      <c r="AE4673" s="54" t="s">
        <v>2</v>
      </c>
      <c r="AF4673" s="54" t="s">
        <v>2</v>
      </c>
      <c r="AG4673" s="54" t="s">
        <v>2</v>
      </c>
    </row>
    <row r="4674" ht="15.75" customHeight="1">
      <c r="B4674" s="56"/>
      <c r="U4674" s="46" t="str">
        <f t="array" ref="U4674">IF($D4674="","",IFERROR(_xlfn.XLOOKUP($D4674,'TIR店舗一覧'!$D:$D,'TIR店舗一覧'!$E:$E,""),""))</f>
        <v/>
      </c>
      <c r="V4674" s="54" t="s">
        <v>2</v>
      </c>
      <c r="W4674" s="54" t="s">
        <v>2</v>
      </c>
      <c r="X4674" s="54" t="s">
        <v>2</v>
      </c>
      <c r="Y4674" s="54" t="s">
        <v>2</v>
      </c>
      <c r="Z4674" s="54" t="s">
        <v>2</v>
      </c>
      <c r="AA4674" s="54" t="s">
        <v>2</v>
      </c>
      <c r="AB4674" s="54" t="s">
        <v>2</v>
      </c>
      <c r="AC4674" s="54" t="s">
        <v>2</v>
      </c>
      <c r="AD4674" s="54" t="s">
        <v>2</v>
      </c>
      <c r="AE4674" s="54" t="s">
        <v>2</v>
      </c>
      <c r="AF4674" s="54" t="s">
        <v>2</v>
      </c>
      <c r="AG4674" s="54" t="s">
        <v>2</v>
      </c>
    </row>
    <row r="4675" ht="15.75" customHeight="1">
      <c r="B4675" s="56"/>
      <c r="U4675" s="46" t="str">
        <f t="array" ref="U4675">IF($D4675="","",IFERROR(_xlfn.XLOOKUP($D4675,'TIR店舗一覧'!$D:$D,'TIR店舗一覧'!$E:$E,""),""))</f>
        <v/>
      </c>
      <c r="V4675" s="54" t="s">
        <v>2</v>
      </c>
      <c r="W4675" s="54" t="s">
        <v>2</v>
      </c>
      <c r="X4675" s="54" t="s">
        <v>2</v>
      </c>
      <c r="Y4675" s="54" t="s">
        <v>2</v>
      </c>
      <c r="Z4675" s="54" t="s">
        <v>2</v>
      </c>
      <c r="AA4675" s="54" t="s">
        <v>2</v>
      </c>
      <c r="AB4675" s="54" t="s">
        <v>2</v>
      </c>
      <c r="AC4675" s="54" t="s">
        <v>2</v>
      </c>
      <c r="AD4675" s="54" t="s">
        <v>2</v>
      </c>
      <c r="AE4675" s="54" t="s">
        <v>2</v>
      </c>
      <c r="AF4675" s="54" t="s">
        <v>2</v>
      </c>
      <c r="AG4675" s="54" t="s">
        <v>2</v>
      </c>
    </row>
    <row r="4676" ht="15.75" customHeight="1">
      <c r="B4676" s="56"/>
      <c r="U4676" s="46" t="str">
        <f t="array" ref="U4676">IF($D4676="","",IFERROR(_xlfn.XLOOKUP($D4676,'TIR店舗一覧'!$D:$D,'TIR店舗一覧'!$E:$E,""),""))</f>
        <v/>
      </c>
      <c r="V4676" s="54" t="s">
        <v>2</v>
      </c>
      <c r="W4676" s="54" t="s">
        <v>2</v>
      </c>
      <c r="X4676" s="54" t="s">
        <v>2</v>
      </c>
      <c r="Y4676" s="54" t="s">
        <v>2</v>
      </c>
      <c r="Z4676" s="54" t="s">
        <v>2</v>
      </c>
      <c r="AA4676" s="54" t="s">
        <v>2</v>
      </c>
      <c r="AB4676" s="54" t="s">
        <v>2</v>
      </c>
      <c r="AC4676" s="54" t="s">
        <v>2</v>
      </c>
      <c r="AD4676" s="54" t="s">
        <v>2</v>
      </c>
      <c r="AE4676" s="54" t="s">
        <v>2</v>
      </c>
      <c r="AF4676" s="54" t="s">
        <v>2</v>
      </c>
      <c r="AG4676" s="54" t="s">
        <v>2</v>
      </c>
    </row>
    <row r="4677" ht="15.75" customHeight="1">
      <c r="B4677" s="56"/>
      <c r="U4677" s="46" t="str">
        <f t="array" ref="U4677">IF($D4677="","",IFERROR(_xlfn.XLOOKUP($D4677,'TIR店舗一覧'!$D:$D,'TIR店舗一覧'!$E:$E,""),""))</f>
        <v/>
      </c>
      <c r="V4677" s="54" t="s">
        <v>2</v>
      </c>
      <c r="W4677" s="54" t="s">
        <v>2</v>
      </c>
      <c r="X4677" s="54" t="s">
        <v>2</v>
      </c>
      <c r="Y4677" s="54" t="s">
        <v>2</v>
      </c>
      <c r="Z4677" s="54" t="s">
        <v>2</v>
      </c>
      <c r="AA4677" s="54" t="s">
        <v>2</v>
      </c>
      <c r="AB4677" s="54" t="s">
        <v>2</v>
      </c>
      <c r="AC4677" s="54" t="s">
        <v>2</v>
      </c>
      <c r="AD4677" s="54" t="s">
        <v>2</v>
      </c>
      <c r="AE4677" s="54" t="s">
        <v>2</v>
      </c>
      <c r="AF4677" s="54" t="s">
        <v>2</v>
      </c>
      <c r="AG4677" s="54" t="s">
        <v>2</v>
      </c>
    </row>
    <row r="4678" ht="15.75" customHeight="1">
      <c r="B4678" s="56"/>
      <c r="U4678" s="46" t="str">
        <f t="array" ref="U4678">IF($D4678="","",IFERROR(_xlfn.XLOOKUP($D4678,'TIR店舗一覧'!$D:$D,'TIR店舗一覧'!$E:$E,""),""))</f>
        <v/>
      </c>
      <c r="V4678" s="54" t="s">
        <v>2</v>
      </c>
      <c r="W4678" s="54" t="s">
        <v>2</v>
      </c>
      <c r="X4678" s="54" t="s">
        <v>2</v>
      </c>
      <c r="Y4678" s="54" t="s">
        <v>2</v>
      </c>
      <c r="Z4678" s="54" t="s">
        <v>2</v>
      </c>
      <c r="AA4678" s="54" t="s">
        <v>2</v>
      </c>
      <c r="AB4678" s="54" t="s">
        <v>2</v>
      </c>
      <c r="AC4678" s="54" t="s">
        <v>2</v>
      </c>
      <c r="AD4678" s="54" t="s">
        <v>2</v>
      </c>
      <c r="AE4678" s="54" t="s">
        <v>2</v>
      </c>
      <c r="AF4678" s="54" t="s">
        <v>2</v>
      </c>
      <c r="AG4678" s="54" t="s">
        <v>2</v>
      </c>
    </row>
    <row r="4679" ht="15.75" customHeight="1">
      <c r="B4679" s="56"/>
      <c r="U4679" s="46" t="str">
        <f t="array" ref="U4679">IF($D4679="","",IFERROR(_xlfn.XLOOKUP($D4679,'TIR店舗一覧'!$D:$D,'TIR店舗一覧'!$E:$E,""),""))</f>
        <v/>
      </c>
      <c r="V4679" s="54" t="s">
        <v>2</v>
      </c>
      <c r="W4679" s="54" t="s">
        <v>2</v>
      </c>
      <c r="X4679" s="54" t="s">
        <v>2</v>
      </c>
      <c r="Y4679" s="54" t="s">
        <v>2</v>
      </c>
      <c r="Z4679" s="54" t="s">
        <v>2</v>
      </c>
      <c r="AA4679" s="54" t="s">
        <v>2</v>
      </c>
      <c r="AB4679" s="54" t="s">
        <v>2</v>
      </c>
      <c r="AC4679" s="54" t="s">
        <v>2</v>
      </c>
      <c r="AD4679" s="54" t="s">
        <v>2</v>
      </c>
      <c r="AE4679" s="54" t="s">
        <v>2</v>
      </c>
      <c r="AF4679" s="54" t="s">
        <v>2</v>
      </c>
      <c r="AG4679" s="54" t="s">
        <v>2</v>
      </c>
    </row>
    <row r="4680" ht="15.75" customHeight="1">
      <c r="B4680" s="56"/>
      <c r="U4680" s="46" t="str">
        <f t="array" ref="U4680">IF($D4680="","",IFERROR(_xlfn.XLOOKUP($D4680,'TIR店舗一覧'!$D:$D,'TIR店舗一覧'!$E:$E,""),""))</f>
        <v/>
      </c>
      <c r="V4680" s="54" t="s">
        <v>2</v>
      </c>
      <c r="W4680" s="54" t="s">
        <v>2</v>
      </c>
      <c r="X4680" s="54" t="s">
        <v>2</v>
      </c>
      <c r="Y4680" s="54" t="s">
        <v>2</v>
      </c>
      <c r="Z4680" s="54" t="s">
        <v>2</v>
      </c>
      <c r="AA4680" s="54" t="s">
        <v>2</v>
      </c>
      <c r="AB4680" s="54" t="s">
        <v>2</v>
      </c>
      <c r="AC4680" s="54" t="s">
        <v>2</v>
      </c>
      <c r="AD4680" s="54" t="s">
        <v>2</v>
      </c>
      <c r="AE4680" s="54" t="s">
        <v>2</v>
      </c>
      <c r="AF4680" s="54" t="s">
        <v>2</v>
      </c>
      <c r="AG4680" s="54" t="s">
        <v>2</v>
      </c>
    </row>
    <row r="4681" ht="15.75" customHeight="1">
      <c r="B4681" s="56"/>
      <c r="U4681" s="46" t="str">
        <f t="array" ref="U4681">IF($D4681="","",IFERROR(_xlfn.XLOOKUP($D4681,'TIR店舗一覧'!$D:$D,'TIR店舗一覧'!$E:$E,""),""))</f>
        <v/>
      </c>
      <c r="V4681" s="54" t="s">
        <v>2</v>
      </c>
      <c r="W4681" s="54" t="s">
        <v>2</v>
      </c>
      <c r="X4681" s="54" t="s">
        <v>2</v>
      </c>
      <c r="Y4681" s="54" t="s">
        <v>2</v>
      </c>
      <c r="Z4681" s="54" t="s">
        <v>2</v>
      </c>
      <c r="AA4681" s="54" t="s">
        <v>2</v>
      </c>
      <c r="AB4681" s="54" t="s">
        <v>2</v>
      </c>
      <c r="AC4681" s="54" t="s">
        <v>2</v>
      </c>
      <c r="AD4681" s="54" t="s">
        <v>2</v>
      </c>
      <c r="AE4681" s="54" t="s">
        <v>2</v>
      </c>
      <c r="AF4681" s="54" t="s">
        <v>2</v>
      </c>
      <c r="AG4681" s="54" t="s">
        <v>2</v>
      </c>
    </row>
    <row r="4682" ht="15.75" customHeight="1">
      <c r="B4682" s="56"/>
      <c r="U4682" s="46" t="str">
        <f t="array" ref="U4682">IF($D4682="","",IFERROR(_xlfn.XLOOKUP($D4682,'TIR店舗一覧'!$D:$D,'TIR店舗一覧'!$E:$E,""),""))</f>
        <v/>
      </c>
      <c r="V4682" s="54" t="s">
        <v>2</v>
      </c>
      <c r="W4682" s="54" t="s">
        <v>2</v>
      </c>
      <c r="X4682" s="54" t="s">
        <v>2</v>
      </c>
      <c r="Y4682" s="54" t="s">
        <v>2</v>
      </c>
      <c r="Z4682" s="54" t="s">
        <v>2</v>
      </c>
      <c r="AA4682" s="54" t="s">
        <v>2</v>
      </c>
      <c r="AB4682" s="54" t="s">
        <v>2</v>
      </c>
      <c r="AC4682" s="54" t="s">
        <v>2</v>
      </c>
      <c r="AD4682" s="54" t="s">
        <v>2</v>
      </c>
      <c r="AE4682" s="54" t="s">
        <v>2</v>
      </c>
      <c r="AF4682" s="54" t="s">
        <v>2</v>
      </c>
      <c r="AG4682" s="54" t="s">
        <v>2</v>
      </c>
    </row>
    <row r="4683" ht="15.75" customHeight="1">
      <c r="B4683" s="56"/>
      <c r="U4683" s="46" t="str">
        <f t="array" ref="U4683">IF($D4683="","",IFERROR(_xlfn.XLOOKUP($D4683,'TIR店舗一覧'!$D:$D,'TIR店舗一覧'!$E:$E,""),""))</f>
        <v/>
      </c>
      <c r="V4683" s="54" t="s">
        <v>2</v>
      </c>
      <c r="W4683" s="54" t="s">
        <v>2</v>
      </c>
      <c r="X4683" s="54" t="s">
        <v>2</v>
      </c>
      <c r="Y4683" s="54" t="s">
        <v>2</v>
      </c>
      <c r="Z4683" s="54" t="s">
        <v>2</v>
      </c>
      <c r="AA4683" s="54" t="s">
        <v>2</v>
      </c>
      <c r="AB4683" s="54" t="s">
        <v>2</v>
      </c>
      <c r="AC4683" s="54" t="s">
        <v>2</v>
      </c>
      <c r="AD4683" s="54" t="s">
        <v>2</v>
      </c>
      <c r="AE4683" s="54" t="s">
        <v>2</v>
      </c>
      <c r="AF4683" s="54" t="s">
        <v>2</v>
      </c>
      <c r="AG4683" s="54" t="s">
        <v>2</v>
      </c>
    </row>
    <row r="4684" ht="15.75" customHeight="1">
      <c r="B4684" s="56"/>
      <c r="U4684" s="46" t="str">
        <f t="array" ref="U4684">IF($D4684="","",IFERROR(_xlfn.XLOOKUP($D4684,'TIR店舗一覧'!$D:$D,'TIR店舗一覧'!$E:$E,""),""))</f>
        <v/>
      </c>
      <c r="V4684" s="54" t="s">
        <v>2</v>
      </c>
      <c r="W4684" s="54" t="s">
        <v>2</v>
      </c>
      <c r="X4684" s="54" t="s">
        <v>2</v>
      </c>
      <c r="Y4684" s="54" t="s">
        <v>2</v>
      </c>
      <c r="Z4684" s="54" t="s">
        <v>2</v>
      </c>
      <c r="AA4684" s="54" t="s">
        <v>2</v>
      </c>
      <c r="AB4684" s="54" t="s">
        <v>2</v>
      </c>
      <c r="AC4684" s="54" t="s">
        <v>2</v>
      </c>
      <c r="AD4684" s="54" t="s">
        <v>2</v>
      </c>
      <c r="AE4684" s="54" t="s">
        <v>2</v>
      </c>
      <c r="AF4684" s="54" t="s">
        <v>2</v>
      </c>
      <c r="AG4684" s="54" t="s">
        <v>2</v>
      </c>
    </row>
    <row r="4685" ht="15.75" customHeight="1">
      <c r="B4685" s="56"/>
      <c r="U4685" s="46" t="str">
        <f t="array" ref="U4685">IF($D4685="","",IFERROR(_xlfn.XLOOKUP($D4685,'TIR店舗一覧'!$D:$D,'TIR店舗一覧'!$E:$E,""),""))</f>
        <v/>
      </c>
      <c r="V4685" s="54" t="s">
        <v>2</v>
      </c>
      <c r="W4685" s="54" t="s">
        <v>2</v>
      </c>
      <c r="X4685" s="54" t="s">
        <v>2</v>
      </c>
      <c r="Y4685" s="54" t="s">
        <v>2</v>
      </c>
      <c r="Z4685" s="54" t="s">
        <v>2</v>
      </c>
      <c r="AA4685" s="54" t="s">
        <v>2</v>
      </c>
      <c r="AB4685" s="54" t="s">
        <v>2</v>
      </c>
      <c r="AC4685" s="54" t="s">
        <v>2</v>
      </c>
      <c r="AD4685" s="54" t="s">
        <v>2</v>
      </c>
      <c r="AE4685" s="54" t="s">
        <v>2</v>
      </c>
      <c r="AF4685" s="54" t="s">
        <v>2</v>
      </c>
      <c r="AG4685" s="54" t="s">
        <v>2</v>
      </c>
    </row>
    <row r="4686" ht="15.75" customHeight="1">
      <c r="B4686" s="56"/>
      <c r="U4686" s="46" t="str">
        <f t="array" ref="U4686">IF($D4686="","",IFERROR(_xlfn.XLOOKUP($D4686,'TIR店舗一覧'!$D:$D,'TIR店舗一覧'!$E:$E,""),""))</f>
        <v/>
      </c>
      <c r="V4686" s="54" t="s">
        <v>2</v>
      </c>
      <c r="W4686" s="54" t="s">
        <v>2</v>
      </c>
      <c r="X4686" s="54" t="s">
        <v>2</v>
      </c>
      <c r="Y4686" s="54" t="s">
        <v>2</v>
      </c>
      <c r="Z4686" s="54" t="s">
        <v>2</v>
      </c>
      <c r="AA4686" s="54" t="s">
        <v>2</v>
      </c>
      <c r="AB4686" s="54" t="s">
        <v>2</v>
      </c>
      <c r="AC4686" s="54" t="s">
        <v>2</v>
      </c>
      <c r="AD4686" s="54" t="s">
        <v>2</v>
      </c>
      <c r="AE4686" s="54" t="s">
        <v>2</v>
      </c>
      <c r="AF4686" s="54" t="s">
        <v>2</v>
      </c>
      <c r="AG4686" s="54" t="s">
        <v>2</v>
      </c>
    </row>
    <row r="4687" ht="15.75" customHeight="1">
      <c r="B4687" s="56"/>
      <c r="U4687" s="46" t="str">
        <f t="array" ref="U4687">IF($D4687="","",IFERROR(_xlfn.XLOOKUP($D4687,'TIR店舗一覧'!$D:$D,'TIR店舗一覧'!$E:$E,""),""))</f>
        <v/>
      </c>
      <c r="V4687" s="54" t="s">
        <v>2</v>
      </c>
      <c r="W4687" s="54" t="s">
        <v>2</v>
      </c>
      <c r="X4687" s="54" t="s">
        <v>2</v>
      </c>
      <c r="Y4687" s="54" t="s">
        <v>2</v>
      </c>
      <c r="Z4687" s="54" t="s">
        <v>2</v>
      </c>
      <c r="AA4687" s="54" t="s">
        <v>2</v>
      </c>
      <c r="AB4687" s="54" t="s">
        <v>2</v>
      </c>
      <c r="AC4687" s="54" t="s">
        <v>2</v>
      </c>
      <c r="AD4687" s="54" t="s">
        <v>2</v>
      </c>
      <c r="AE4687" s="54" t="s">
        <v>2</v>
      </c>
      <c r="AF4687" s="54" t="s">
        <v>2</v>
      </c>
      <c r="AG4687" s="54" t="s">
        <v>2</v>
      </c>
    </row>
    <row r="4688" ht="15.75" customHeight="1">
      <c r="B4688" s="56"/>
      <c r="U4688" s="46" t="str">
        <f t="array" ref="U4688">IF($D4688="","",IFERROR(_xlfn.XLOOKUP($D4688,'TIR店舗一覧'!$D:$D,'TIR店舗一覧'!$E:$E,""),""))</f>
        <v/>
      </c>
      <c r="V4688" s="54" t="s">
        <v>2</v>
      </c>
      <c r="W4688" s="54" t="s">
        <v>2</v>
      </c>
      <c r="X4688" s="54" t="s">
        <v>2</v>
      </c>
      <c r="Y4688" s="54" t="s">
        <v>2</v>
      </c>
      <c r="Z4688" s="54" t="s">
        <v>2</v>
      </c>
      <c r="AA4688" s="54" t="s">
        <v>2</v>
      </c>
      <c r="AB4688" s="54" t="s">
        <v>2</v>
      </c>
      <c r="AC4688" s="54" t="s">
        <v>2</v>
      </c>
      <c r="AD4688" s="54" t="s">
        <v>2</v>
      </c>
      <c r="AE4688" s="54" t="s">
        <v>2</v>
      </c>
      <c r="AF4688" s="54" t="s">
        <v>2</v>
      </c>
      <c r="AG4688" s="54" t="s">
        <v>2</v>
      </c>
    </row>
    <row r="4689" ht="15.75" customHeight="1">
      <c r="B4689" s="56"/>
      <c r="U4689" s="46" t="str">
        <f t="array" ref="U4689">IF($D4689="","",IFERROR(_xlfn.XLOOKUP($D4689,'TIR店舗一覧'!$D:$D,'TIR店舗一覧'!$E:$E,""),""))</f>
        <v/>
      </c>
      <c r="V4689" s="54" t="s">
        <v>2</v>
      </c>
      <c r="W4689" s="54" t="s">
        <v>2</v>
      </c>
      <c r="X4689" s="54" t="s">
        <v>2</v>
      </c>
      <c r="Y4689" s="54" t="s">
        <v>2</v>
      </c>
      <c r="Z4689" s="54" t="s">
        <v>2</v>
      </c>
      <c r="AA4689" s="54" t="s">
        <v>2</v>
      </c>
      <c r="AB4689" s="54" t="s">
        <v>2</v>
      </c>
      <c r="AC4689" s="54" t="s">
        <v>2</v>
      </c>
      <c r="AD4689" s="54" t="s">
        <v>2</v>
      </c>
      <c r="AE4689" s="54" t="s">
        <v>2</v>
      </c>
      <c r="AF4689" s="54" t="s">
        <v>2</v>
      </c>
      <c r="AG4689" s="54" t="s">
        <v>2</v>
      </c>
    </row>
    <row r="4690" ht="15.75" customHeight="1">
      <c r="B4690" s="56"/>
      <c r="U4690" s="46" t="str">
        <f t="array" ref="U4690">IF($D4690="","",IFERROR(_xlfn.XLOOKUP($D4690,'TIR店舗一覧'!$D:$D,'TIR店舗一覧'!$E:$E,""),""))</f>
        <v/>
      </c>
      <c r="V4690" s="54" t="s">
        <v>2</v>
      </c>
      <c r="W4690" s="54" t="s">
        <v>2</v>
      </c>
      <c r="X4690" s="54" t="s">
        <v>2</v>
      </c>
      <c r="Y4690" s="54" t="s">
        <v>2</v>
      </c>
      <c r="Z4690" s="54" t="s">
        <v>2</v>
      </c>
      <c r="AA4690" s="54" t="s">
        <v>2</v>
      </c>
      <c r="AB4690" s="54" t="s">
        <v>2</v>
      </c>
      <c r="AC4690" s="54" t="s">
        <v>2</v>
      </c>
      <c r="AD4690" s="54" t="s">
        <v>2</v>
      </c>
      <c r="AE4690" s="54" t="s">
        <v>2</v>
      </c>
      <c r="AF4690" s="54" t="s">
        <v>2</v>
      </c>
      <c r="AG4690" s="54" t="s">
        <v>2</v>
      </c>
    </row>
    <row r="4691" ht="15.75" customHeight="1">
      <c r="B4691" s="56"/>
      <c r="U4691" s="46" t="str">
        <f t="array" ref="U4691">IF($D4691="","",IFERROR(_xlfn.XLOOKUP($D4691,'TIR店舗一覧'!$D:$D,'TIR店舗一覧'!$E:$E,""),""))</f>
        <v/>
      </c>
      <c r="V4691" s="54" t="s">
        <v>2</v>
      </c>
      <c r="W4691" s="54" t="s">
        <v>2</v>
      </c>
      <c r="X4691" s="54" t="s">
        <v>2</v>
      </c>
      <c r="Y4691" s="54" t="s">
        <v>2</v>
      </c>
      <c r="Z4691" s="54" t="s">
        <v>2</v>
      </c>
      <c r="AA4691" s="54" t="s">
        <v>2</v>
      </c>
      <c r="AB4691" s="54" t="s">
        <v>2</v>
      </c>
      <c r="AC4691" s="54" t="s">
        <v>2</v>
      </c>
      <c r="AD4691" s="54" t="s">
        <v>2</v>
      </c>
      <c r="AE4691" s="54" t="s">
        <v>2</v>
      </c>
      <c r="AF4691" s="54" t="s">
        <v>2</v>
      </c>
      <c r="AG4691" s="54" t="s">
        <v>2</v>
      </c>
    </row>
    <row r="4692" ht="15.75" customHeight="1">
      <c r="B4692" s="56"/>
      <c r="U4692" s="46" t="str">
        <f t="array" ref="U4692">IF($D4692="","",IFERROR(_xlfn.XLOOKUP($D4692,'TIR店舗一覧'!$D:$D,'TIR店舗一覧'!$E:$E,""),""))</f>
        <v/>
      </c>
      <c r="V4692" s="54" t="s">
        <v>2</v>
      </c>
      <c r="W4692" s="54" t="s">
        <v>2</v>
      </c>
      <c r="X4692" s="54" t="s">
        <v>2</v>
      </c>
      <c r="Y4692" s="54" t="s">
        <v>2</v>
      </c>
      <c r="Z4692" s="54" t="s">
        <v>2</v>
      </c>
      <c r="AA4692" s="54" t="s">
        <v>2</v>
      </c>
      <c r="AB4692" s="54" t="s">
        <v>2</v>
      </c>
      <c r="AC4692" s="54" t="s">
        <v>2</v>
      </c>
      <c r="AD4692" s="54" t="s">
        <v>2</v>
      </c>
      <c r="AE4692" s="54" t="s">
        <v>2</v>
      </c>
      <c r="AF4692" s="54" t="s">
        <v>2</v>
      </c>
      <c r="AG4692" s="54" t="s">
        <v>2</v>
      </c>
    </row>
    <row r="4693" ht="15.75" customHeight="1">
      <c r="B4693" s="56"/>
      <c r="U4693" s="46" t="str">
        <f t="array" ref="U4693">IF($D4693="","",IFERROR(_xlfn.XLOOKUP($D4693,'TIR店舗一覧'!$D:$D,'TIR店舗一覧'!$E:$E,""),""))</f>
        <v/>
      </c>
      <c r="V4693" s="54" t="s">
        <v>2</v>
      </c>
      <c r="W4693" s="54" t="s">
        <v>2</v>
      </c>
      <c r="X4693" s="54" t="s">
        <v>2</v>
      </c>
      <c r="Y4693" s="54" t="s">
        <v>2</v>
      </c>
      <c r="Z4693" s="54" t="s">
        <v>2</v>
      </c>
      <c r="AA4693" s="54" t="s">
        <v>2</v>
      </c>
      <c r="AB4693" s="54" t="s">
        <v>2</v>
      </c>
      <c r="AC4693" s="54" t="s">
        <v>2</v>
      </c>
      <c r="AD4693" s="54" t="s">
        <v>2</v>
      </c>
      <c r="AE4693" s="54" t="s">
        <v>2</v>
      </c>
      <c r="AF4693" s="54" t="s">
        <v>2</v>
      </c>
      <c r="AG4693" s="54" t="s">
        <v>2</v>
      </c>
    </row>
    <row r="4694" ht="15.75" customHeight="1">
      <c r="B4694" s="56"/>
      <c r="U4694" s="46" t="str">
        <f t="array" ref="U4694">IF($D4694="","",IFERROR(_xlfn.XLOOKUP($D4694,'TIR店舗一覧'!$D:$D,'TIR店舗一覧'!$E:$E,""),""))</f>
        <v/>
      </c>
      <c r="V4694" s="54" t="s">
        <v>2</v>
      </c>
      <c r="W4694" s="54" t="s">
        <v>2</v>
      </c>
      <c r="X4694" s="54" t="s">
        <v>2</v>
      </c>
      <c r="Y4694" s="54" t="s">
        <v>2</v>
      </c>
      <c r="Z4694" s="54" t="s">
        <v>2</v>
      </c>
      <c r="AA4694" s="54" t="s">
        <v>2</v>
      </c>
      <c r="AB4694" s="54" t="s">
        <v>2</v>
      </c>
      <c r="AC4694" s="54" t="s">
        <v>2</v>
      </c>
      <c r="AD4694" s="54" t="s">
        <v>2</v>
      </c>
      <c r="AE4694" s="54" t="s">
        <v>2</v>
      </c>
      <c r="AF4694" s="54" t="s">
        <v>2</v>
      </c>
      <c r="AG4694" s="54" t="s">
        <v>2</v>
      </c>
    </row>
    <row r="4695" ht="15.75" customHeight="1">
      <c r="B4695" s="56"/>
      <c r="U4695" s="46" t="str">
        <f t="array" ref="U4695">IF($D4695="","",IFERROR(_xlfn.XLOOKUP($D4695,'TIR店舗一覧'!$D:$D,'TIR店舗一覧'!$E:$E,""),""))</f>
        <v/>
      </c>
      <c r="V4695" s="54" t="s">
        <v>2</v>
      </c>
      <c r="W4695" s="54" t="s">
        <v>2</v>
      </c>
      <c r="X4695" s="54" t="s">
        <v>2</v>
      </c>
      <c r="Y4695" s="54" t="s">
        <v>2</v>
      </c>
      <c r="Z4695" s="54" t="s">
        <v>2</v>
      </c>
      <c r="AA4695" s="54" t="s">
        <v>2</v>
      </c>
      <c r="AB4695" s="54" t="s">
        <v>2</v>
      </c>
      <c r="AC4695" s="54" t="s">
        <v>2</v>
      </c>
      <c r="AD4695" s="54" t="s">
        <v>2</v>
      </c>
      <c r="AE4695" s="54" t="s">
        <v>2</v>
      </c>
      <c r="AF4695" s="54" t="s">
        <v>2</v>
      </c>
      <c r="AG4695" s="54" t="s">
        <v>2</v>
      </c>
    </row>
    <row r="4696" ht="15.75" customHeight="1">
      <c r="B4696" s="56"/>
      <c r="U4696" s="46" t="str">
        <f t="array" ref="U4696">IF($D4696="","",IFERROR(_xlfn.XLOOKUP($D4696,'TIR店舗一覧'!$D:$D,'TIR店舗一覧'!$E:$E,""),""))</f>
        <v/>
      </c>
      <c r="V4696" s="54" t="s">
        <v>2</v>
      </c>
      <c r="W4696" s="54" t="s">
        <v>2</v>
      </c>
      <c r="X4696" s="54" t="s">
        <v>2</v>
      </c>
      <c r="Y4696" s="54" t="s">
        <v>2</v>
      </c>
      <c r="Z4696" s="54" t="s">
        <v>2</v>
      </c>
      <c r="AA4696" s="54" t="s">
        <v>2</v>
      </c>
      <c r="AB4696" s="54" t="s">
        <v>2</v>
      </c>
      <c r="AC4696" s="54" t="s">
        <v>2</v>
      </c>
      <c r="AD4696" s="54" t="s">
        <v>2</v>
      </c>
      <c r="AE4696" s="54" t="s">
        <v>2</v>
      </c>
      <c r="AF4696" s="54" t="s">
        <v>2</v>
      </c>
      <c r="AG4696" s="54" t="s">
        <v>2</v>
      </c>
    </row>
    <row r="4697" ht="15.75" customHeight="1">
      <c r="B4697" s="56"/>
      <c r="U4697" s="46" t="str">
        <f t="array" ref="U4697">IF($D4697="","",IFERROR(_xlfn.XLOOKUP($D4697,'TIR店舗一覧'!$D:$D,'TIR店舗一覧'!$E:$E,""),""))</f>
        <v/>
      </c>
      <c r="V4697" s="54" t="s">
        <v>2</v>
      </c>
      <c r="W4697" s="54" t="s">
        <v>2</v>
      </c>
      <c r="X4697" s="54" t="s">
        <v>2</v>
      </c>
      <c r="Y4697" s="54" t="s">
        <v>2</v>
      </c>
      <c r="Z4697" s="54" t="s">
        <v>2</v>
      </c>
      <c r="AA4697" s="54" t="s">
        <v>2</v>
      </c>
      <c r="AB4697" s="54" t="s">
        <v>2</v>
      </c>
      <c r="AC4697" s="54" t="s">
        <v>2</v>
      </c>
      <c r="AD4697" s="54" t="s">
        <v>2</v>
      </c>
      <c r="AE4697" s="54" t="s">
        <v>2</v>
      </c>
      <c r="AF4697" s="54" t="s">
        <v>2</v>
      </c>
      <c r="AG4697" s="54" t="s">
        <v>2</v>
      </c>
    </row>
    <row r="4698" ht="15.75" customHeight="1">
      <c r="B4698" s="56"/>
      <c r="U4698" s="46" t="str">
        <f t="array" ref="U4698">IF($D4698="","",IFERROR(_xlfn.XLOOKUP($D4698,'TIR店舗一覧'!$D:$D,'TIR店舗一覧'!$E:$E,""),""))</f>
        <v/>
      </c>
      <c r="V4698" s="54" t="s">
        <v>2</v>
      </c>
      <c r="W4698" s="54" t="s">
        <v>2</v>
      </c>
      <c r="X4698" s="54" t="s">
        <v>2</v>
      </c>
      <c r="Y4698" s="54" t="s">
        <v>2</v>
      </c>
      <c r="Z4698" s="54" t="s">
        <v>2</v>
      </c>
      <c r="AA4698" s="54" t="s">
        <v>2</v>
      </c>
      <c r="AB4698" s="54" t="s">
        <v>2</v>
      </c>
      <c r="AC4698" s="54" t="s">
        <v>2</v>
      </c>
      <c r="AD4698" s="54" t="s">
        <v>2</v>
      </c>
      <c r="AE4698" s="54" t="s">
        <v>2</v>
      </c>
      <c r="AF4698" s="54" t="s">
        <v>2</v>
      </c>
      <c r="AG4698" s="54" t="s">
        <v>2</v>
      </c>
    </row>
    <row r="4699" ht="15.75" customHeight="1">
      <c r="B4699" s="56"/>
      <c r="U4699" s="46" t="str">
        <f t="array" ref="U4699">IF($D4699="","",IFERROR(_xlfn.XLOOKUP($D4699,'TIR店舗一覧'!$D:$D,'TIR店舗一覧'!$E:$E,""),""))</f>
        <v/>
      </c>
      <c r="V4699" s="54" t="s">
        <v>2</v>
      </c>
      <c r="W4699" s="54" t="s">
        <v>2</v>
      </c>
      <c r="X4699" s="54" t="s">
        <v>2</v>
      </c>
      <c r="Y4699" s="54" t="s">
        <v>2</v>
      </c>
      <c r="Z4699" s="54" t="s">
        <v>2</v>
      </c>
      <c r="AA4699" s="54" t="s">
        <v>2</v>
      </c>
      <c r="AB4699" s="54" t="s">
        <v>2</v>
      </c>
      <c r="AC4699" s="54" t="s">
        <v>2</v>
      </c>
      <c r="AD4699" s="54" t="s">
        <v>2</v>
      </c>
      <c r="AE4699" s="54" t="s">
        <v>2</v>
      </c>
      <c r="AF4699" s="54" t="s">
        <v>2</v>
      </c>
      <c r="AG4699" s="54" t="s">
        <v>2</v>
      </c>
    </row>
    <row r="4700" ht="15.75" customHeight="1">
      <c r="B4700" s="56"/>
      <c r="U4700" s="46" t="str">
        <f t="array" ref="U4700">IF($D4700="","",IFERROR(_xlfn.XLOOKUP($D4700,'TIR店舗一覧'!$D:$D,'TIR店舗一覧'!$E:$E,""),""))</f>
        <v/>
      </c>
      <c r="V4700" s="54" t="s">
        <v>2</v>
      </c>
      <c r="W4700" s="54" t="s">
        <v>2</v>
      </c>
      <c r="X4700" s="54" t="s">
        <v>2</v>
      </c>
      <c r="Y4700" s="54" t="s">
        <v>2</v>
      </c>
      <c r="Z4700" s="54" t="s">
        <v>2</v>
      </c>
      <c r="AA4700" s="54" t="s">
        <v>2</v>
      </c>
      <c r="AB4700" s="54" t="s">
        <v>2</v>
      </c>
      <c r="AC4700" s="54" t="s">
        <v>2</v>
      </c>
      <c r="AD4700" s="54" t="s">
        <v>2</v>
      </c>
      <c r="AE4700" s="54" t="s">
        <v>2</v>
      </c>
      <c r="AF4700" s="54" t="s">
        <v>2</v>
      </c>
      <c r="AG4700" s="54" t="s">
        <v>2</v>
      </c>
    </row>
    <row r="4701" ht="15.75" customHeight="1">
      <c r="B4701" s="56"/>
      <c r="U4701" s="46" t="str">
        <f t="array" ref="U4701">IF($D4701="","",IFERROR(_xlfn.XLOOKUP($D4701,'TIR店舗一覧'!$D:$D,'TIR店舗一覧'!$E:$E,""),""))</f>
        <v/>
      </c>
      <c r="V4701" s="54" t="s">
        <v>2</v>
      </c>
      <c r="W4701" s="54" t="s">
        <v>2</v>
      </c>
      <c r="X4701" s="54" t="s">
        <v>2</v>
      </c>
      <c r="Y4701" s="54" t="s">
        <v>2</v>
      </c>
      <c r="Z4701" s="54" t="s">
        <v>2</v>
      </c>
      <c r="AA4701" s="54" t="s">
        <v>2</v>
      </c>
      <c r="AB4701" s="54" t="s">
        <v>2</v>
      </c>
      <c r="AC4701" s="54" t="s">
        <v>2</v>
      </c>
      <c r="AD4701" s="54" t="s">
        <v>2</v>
      </c>
      <c r="AE4701" s="54" t="s">
        <v>2</v>
      </c>
      <c r="AF4701" s="54" t="s">
        <v>2</v>
      </c>
      <c r="AG4701" s="54" t="s">
        <v>2</v>
      </c>
    </row>
    <row r="4702" ht="15.75" customHeight="1">
      <c r="B4702" s="56"/>
      <c r="U4702" s="46" t="str">
        <f t="array" ref="U4702">IF($D4702="","",IFERROR(_xlfn.XLOOKUP($D4702,'TIR店舗一覧'!$D:$D,'TIR店舗一覧'!$E:$E,""),""))</f>
        <v/>
      </c>
      <c r="V4702" s="54" t="s">
        <v>2</v>
      </c>
      <c r="W4702" s="54" t="s">
        <v>2</v>
      </c>
      <c r="X4702" s="54" t="s">
        <v>2</v>
      </c>
      <c r="Y4702" s="54" t="s">
        <v>2</v>
      </c>
      <c r="Z4702" s="54" t="s">
        <v>2</v>
      </c>
      <c r="AA4702" s="54" t="s">
        <v>2</v>
      </c>
      <c r="AB4702" s="54" t="s">
        <v>2</v>
      </c>
      <c r="AC4702" s="54" t="s">
        <v>2</v>
      </c>
      <c r="AD4702" s="54" t="s">
        <v>2</v>
      </c>
      <c r="AE4702" s="54" t="s">
        <v>2</v>
      </c>
      <c r="AF4702" s="54" t="s">
        <v>2</v>
      </c>
      <c r="AG4702" s="54" t="s">
        <v>2</v>
      </c>
    </row>
    <row r="4703" ht="15.75" customHeight="1">
      <c r="B4703" s="56"/>
      <c r="U4703" s="46" t="str">
        <f t="array" ref="U4703">IF($D4703="","",IFERROR(_xlfn.XLOOKUP($D4703,'TIR店舗一覧'!$D:$D,'TIR店舗一覧'!$E:$E,""),""))</f>
        <v/>
      </c>
      <c r="V4703" s="54" t="s">
        <v>2</v>
      </c>
      <c r="W4703" s="54" t="s">
        <v>2</v>
      </c>
      <c r="X4703" s="54" t="s">
        <v>2</v>
      </c>
      <c r="Y4703" s="54" t="s">
        <v>2</v>
      </c>
      <c r="Z4703" s="54" t="s">
        <v>2</v>
      </c>
      <c r="AA4703" s="54" t="s">
        <v>2</v>
      </c>
      <c r="AB4703" s="54" t="s">
        <v>2</v>
      </c>
      <c r="AC4703" s="54" t="s">
        <v>2</v>
      </c>
      <c r="AD4703" s="54" t="s">
        <v>2</v>
      </c>
      <c r="AE4703" s="54" t="s">
        <v>2</v>
      </c>
      <c r="AF4703" s="54" t="s">
        <v>2</v>
      </c>
      <c r="AG4703" s="54" t="s">
        <v>2</v>
      </c>
    </row>
    <row r="4704" ht="15.75" customHeight="1">
      <c r="B4704" s="56"/>
      <c r="U4704" s="46" t="str">
        <f t="array" ref="U4704">IF($D4704="","",IFERROR(_xlfn.XLOOKUP($D4704,'TIR店舗一覧'!$D:$D,'TIR店舗一覧'!$E:$E,""),""))</f>
        <v/>
      </c>
      <c r="V4704" s="54" t="s">
        <v>2</v>
      </c>
      <c r="W4704" s="54" t="s">
        <v>2</v>
      </c>
      <c r="X4704" s="54" t="s">
        <v>2</v>
      </c>
      <c r="Y4704" s="54" t="s">
        <v>2</v>
      </c>
      <c r="Z4704" s="54" t="s">
        <v>2</v>
      </c>
      <c r="AA4704" s="54" t="s">
        <v>2</v>
      </c>
      <c r="AB4704" s="54" t="s">
        <v>2</v>
      </c>
      <c r="AC4704" s="54" t="s">
        <v>2</v>
      </c>
      <c r="AD4704" s="54" t="s">
        <v>2</v>
      </c>
      <c r="AE4704" s="54" t="s">
        <v>2</v>
      </c>
      <c r="AF4704" s="54" t="s">
        <v>2</v>
      </c>
      <c r="AG4704" s="54" t="s">
        <v>2</v>
      </c>
    </row>
    <row r="4705" ht="15.75" customHeight="1">
      <c r="B4705" s="56"/>
      <c r="U4705" s="46" t="str">
        <f t="array" ref="U4705">IF($D4705="","",IFERROR(_xlfn.XLOOKUP($D4705,'TIR店舗一覧'!$D:$D,'TIR店舗一覧'!$E:$E,""),""))</f>
        <v/>
      </c>
      <c r="V4705" s="54" t="s">
        <v>2</v>
      </c>
      <c r="W4705" s="54" t="s">
        <v>2</v>
      </c>
      <c r="X4705" s="54" t="s">
        <v>2</v>
      </c>
      <c r="Y4705" s="54" t="s">
        <v>2</v>
      </c>
      <c r="Z4705" s="54" t="s">
        <v>2</v>
      </c>
      <c r="AA4705" s="54" t="s">
        <v>2</v>
      </c>
      <c r="AB4705" s="54" t="s">
        <v>2</v>
      </c>
      <c r="AC4705" s="54" t="s">
        <v>2</v>
      </c>
      <c r="AD4705" s="54" t="s">
        <v>2</v>
      </c>
      <c r="AE4705" s="54" t="s">
        <v>2</v>
      </c>
      <c r="AF4705" s="54" t="s">
        <v>2</v>
      </c>
      <c r="AG4705" s="54" t="s">
        <v>2</v>
      </c>
    </row>
    <row r="4706" ht="15.75" customHeight="1">
      <c r="B4706" s="56"/>
      <c r="U4706" s="46" t="str">
        <f t="array" ref="U4706">IF($D4706="","",IFERROR(_xlfn.XLOOKUP($D4706,'TIR店舗一覧'!$D:$D,'TIR店舗一覧'!$E:$E,""),""))</f>
        <v/>
      </c>
      <c r="V4706" s="54" t="s">
        <v>2</v>
      </c>
      <c r="W4706" s="54" t="s">
        <v>2</v>
      </c>
      <c r="X4706" s="54" t="s">
        <v>2</v>
      </c>
      <c r="Y4706" s="54" t="s">
        <v>2</v>
      </c>
      <c r="Z4706" s="54" t="s">
        <v>2</v>
      </c>
      <c r="AA4706" s="54" t="s">
        <v>2</v>
      </c>
      <c r="AB4706" s="54" t="s">
        <v>2</v>
      </c>
      <c r="AC4706" s="54" t="s">
        <v>2</v>
      </c>
      <c r="AD4706" s="54" t="s">
        <v>2</v>
      </c>
      <c r="AE4706" s="54" t="s">
        <v>2</v>
      </c>
      <c r="AF4706" s="54" t="s">
        <v>2</v>
      </c>
      <c r="AG4706" s="54" t="s">
        <v>2</v>
      </c>
    </row>
    <row r="4707" ht="15.75" customHeight="1">
      <c r="B4707" s="56"/>
      <c r="U4707" s="46" t="str">
        <f t="array" ref="U4707">IF($D4707="","",IFERROR(_xlfn.XLOOKUP($D4707,'TIR店舗一覧'!$D:$D,'TIR店舗一覧'!$E:$E,""),""))</f>
        <v/>
      </c>
      <c r="V4707" s="54" t="s">
        <v>2</v>
      </c>
      <c r="W4707" s="54" t="s">
        <v>2</v>
      </c>
      <c r="X4707" s="54" t="s">
        <v>2</v>
      </c>
      <c r="Y4707" s="54" t="s">
        <v>2</v>
      </c>
      <c r="Z4707" s="54" t="s">
        <v>2</v>
      </c>
      <c r="AA4707" s="54" t="s">
        <v>2</v>
      </c>
      <c r="AB4707" s="54" t="s">
        <v>2</v>
      </c>
      <c r="AC4707" s="54" t="s">
        <v>2</v>
      </c>
      <c r="AD4707" s="54" t="s">
        <v>2</v>
      </c>
      <c r="AE4707" s="54" t="s">
        <v>2</v>
      </c>
      <c r="AF4707" s="54" t="s">
        <v>2</v>
      </c>
      <c r="AG4707" s="54" t="s">
        <v>2</v>
      </c>
    </row>
    <row r="4708" ht="15.75" customHeight="1">
      <c r="B4708" s="56"/>
      <c r="U4708" s="46" t="str">
        <f t="array" ref="U4708">IF($D4708="","",IFERROR(_xlfn.XLOOKUP($D4708,'TIR店舗一覧'!$D:$D,'TIR店舗一覧'!$E:$E,""),""))</f>
        <v/>
      </c>
      <c r="V4708" s="54" t="s">
        <v>2</v>
      </c>
      <c r="W4708" s="54" t="s">
        <v>2</v>
      </c>
      <c r="X4708" s="54" t="s">
        <v>2</v>
      </c>
      <c r="Y4708" s="54" t="s">
        <v>2</v>
      </c>
      <c r="Z4708" s="54" t="s">
        <v>2</v>
      </c>
      <c r="AA4708" s="54" t="s">
        <v>2</v>
      </c>
      <c r="AB4708" s="54" t="s">
        <v>2</v>
      </c>
      <c r="AC4708" s="54" t="s">
        <v>2</v>
      </c>
      <c r="AD4708" s="54" t="s">
        <v>2</v>
      </c>
      <c r="AE4708" s="54" t="s">
        <v>2</v>
      </c>
      <c r="AF4708" s="54" t="s">
        <v>2</v>
      </c>
      <c r="AG4708" s="54" t="s">
        <v>2</v>
      </c>
    </row>
    <row r="4709" ht="15.75" customHeight="1">
      <c r="B4709" s="56"/>
      <c r="U4709" s="46" t="str">
        <f t="array" ref="U4709">IF($D4709="","",IFERROR(_xlfn.XLOOKUP($D4709,'TIR店舗一覧'!$D:$D,'TIR店舗一覧'!$E:$E,""),""))</f>
        <v/>
      </c>
      <c r="V4709" s="54" t="s">
        <v>2</v>
      </c>
      <c r="W4709" s="54" t="s">
        <v>2</v>
      </c>
      <c r="X4709" s="54" t="s">
        <v>2</v>
      </c>
      <c r="Y4709" s="54" t="s">
        <v>2</v>
      </c>
      <c r="Z4709" s="54" t="s">
        <v>2</v>
      </c>
      <c r="AA4709" s="54" t="s">
        <v>2</v>
      </c>
      <c r="AB4709" s="54" t="s">
        <v>2</v>
      </c>
      <c r="AC4709" s="54" t="s">
        <v>2</v>
      </c>
      <c r="AD4709" s="54" t="s">
        <v>2</v>
      </c>
      <c r="AE4709" s="54" t="s">
        <v>2</v>
      </c>
      <c r="AF4709" s="54" t="s">
        <v>2</v>
      </c>
      <c r="AG4709" s="54" t="s">
        <v>2</v>
      </c>
    </row>
    <row r="4710" ht="15.75" customHeight="1">
      <c r="B4710" s="56"/>
      <c r="U4710" s="46" t="str">
        <f t="array" ref="U4710">IF($D4710="","",IFERROR(_xlfn.XLOOKUP($D4710,'TIR店舗一覧'!$D:$D,'TIR店舗一覧'!$E:$E,""),""))</f>
        <v/>
      </c>
      <c r="V4710" s="54" t="s">
        <v>2</v>
      </c>
      <c r="W4710" s="54" t="s">
        <v>2</v>
      </c>
      <c r="X4710" s="54" t="s">
        <v>2</v>
      </c>
      <c r="Y4710" s="54" t="s">
        <v>2</v>
      </c>
      <c r="Z4710" s="54" t="s">
        <v>2</v>
      </c>
      <c r="AA4710" s="54" t="s">
        <v>2</v>
      </c>
      <c r="AB4710" s="54" t="s">
        <v>2</v>
      </c>
      <c r="AC4710" s="54" t="s">
        <v>2</v>
      </c>
      <c r="AD4710" s="54" t="s">
        <v>2</v>
      </c>
      <c r="AE4710" s="54" t="s">
        <v>2</v>
      </c>
      <c r="AF4710" s="54" t="s">
        <v>2</v>
      </c>
      <c r="AG4710" s="54" t="s">
        <v>2</v>
      </c>
    </row>
    <row r="4711" ht="15.75" customHeight="1">
      <c r="B4711" s="56"/>
      <c r="U4711" s="46" t="str">
        <f t="array" ref="U4711">IF($D4711="","",IFERROR(_xlfn.XLOOKUP($D4711,'TIR店舗一覧'!$D:$D,'TIR店舗一覧'!$E:$E,""),""))</f>
        <v/>
      </c>
      <c r="V4711" s="54" t="s">
        <v>2</v>
      </c>
      <c r="W4711" s="54" t="s">
        <v>2</v>
      </c>
      <c r="X4711" s="54" t="s">
        <v>2</v>
      </c>
      <c r="Y4711" s="54" t="s">
        <v>2</v>
      </c>
      <c r="Z4711" s="54" t="s">
        <v>2</v>
      </c>
      <c r="AA4711" s="54" t="s">
        <v>2</v>
      </c>
      <c r="AB4711" s="54" t="s">
        <v>2</v>
      </c>
      <c r="AC4711" s="54" t="s">
        <v>2</v>
      </c>
      <c r="AD4711" s="54" t="s">
        <v>2</v>
      </c>
      <c r="AE4711" s="54" t="s">
        <v>2</v>
      </c>
      <c r="AF4711" s="54" t="s">
        <v>2</v>
      </c>
      <c r="AG4711" s="54" t="s">
        <v>2</v>
      </c>
    </row>
    <row r="4712" ht="15.75" customHeight="1">
      <c r="B4712" s="56"/>
      <c r="U4712" s="46" t="str">
        <f t="array" ref="U4712">IF($D4712="","",IFERROR(_xlfn.XLOOKUP($D4712,'TIR店舗一覧'!$D:$D,'TIR店舗一覧'!$E:$E,""),""))</f>
        <v/>
      </c>
      <c r="V4712" s="54" t="s">
        <v>2</v>
      </c>
      <c r="W4712" s="54" t="s">
        <v>2</v>
      </c>
      <c r="X4712" s="54" t="s">
        <v>2</v>
      </c>
      <c r="Y4712" s="54" t="s">
        <v>2</v>
      </c>
      <c r="Z4712" s="54" t="s">
        <v>2</v>
      </c>
      <c r="AA4712" s="54" t="s">
        <v>2</v>
      </c>
      <c r="AB4712" s="54" t="s">
        <v>2</v>
      </c>
      <c r="AC4712" s="54" t="s">
        <v>2</v>
      </c>
      <c r="AD4712" s="54" t="s">
        <v>2</v>
      </c>
      <c r="AE4712" s="54" t="s">
        <v>2</v>
      </c>
      <c r="AF4712" s="54" t="s">
        <v>2</v>
      </c>
      <c r="AG4712" s="54" t="s">
        <v>2</v>
      </c>
    </row>
    <row r="4713" ht="15.75" customHeight="1">
      <c r="B4713" s="56"/>
      <c r="U4713" s="46" t="str">
        <f t="array" ref="U4713">IF($D4713="","",IFERROR(_xlfn.XLOOKUP($D4713,'TIR店舗一覧'!$D:$D,'TIR店舗一覧'!$E:$E,""),""))</f>
        <v/>
      </c>
      <c r="V4713" s="54" t="s">
        <v>2</v>
      </c>
      <c r="W4713" s="54" t="s">
        <v>2</v>
      </c>
      <c r="X4713" s="54" t="s">
        <v>2</v>
      </c>
      <c r="Y4713" s="54" t="s">
        <v>2</v>
      </c>
      <c r="Z4713" s="54" t="s">
        <v>2</v>
      </c>
      <c r="AA4713" s="54" t="s">
        <v>2</v>
      </c>
      <c r="AB4713" s="54" t="s">
        <v>2</v>
      </c>
      <c r="AC4713" s="54" t="s">
        <v>2</v>
      </c>
      <c r="AD4713" s="54" t="s">
        <v>2</v>
      </c>
      <c r="AE4713" s="54" t="s">
        <v>2</v>
      </c>
      <c r="AF4713" s="54" t="s">
        <v>2</v>
      </c>
      <c r="AG4713" s="54" t="s">
        <v>2</v>
      </c>
    </row>
    <row r="4714" ht="15.75" customHeight="1">
      <c r="B4714" s="56"/>
      <c r="U4714" s="46" t="str">
        <f t="array" ref="U4714">IF($D4714="","",IFERROR(_xlfn.XLOOKUP($D4714,'TIR店舗一覧'!$D:$D,'TIR店舗一覧'!$E:$E,""),""))</f>
        <v/>
      </c>
      <c r="V4714" s="54" t="s">
        <v>2</v>
      </c>
      <c r="W4714" s="54" t="s">
        <v>2</v>
      </c>
      <c r="X4714" s="54" t="s">
        <v>2</v>
      </c>
      <c r="Y4714" s="54" t="s">
        <v>2</v>
      </c>
      <c r="Z4714" s="54" t="s">
        <v>2</v>
      </c>
      <c r="AA4714" s="54" t="s">
        <v>2</v>
      </c>
      <c r="AB4714" s="54" t="s">
        <v>2</v>
      </c>
      <c r="AC4714" s="54" t="s">
        <v>2</v>
      </c>
      <c r="AD4714" s="54" t="s">
        <v>2</v>
      </c>
      <c r="AE4714" s="54" t="s">
        <v>2</v>
      </c>
      <c r="AF4714" s="54" t="s">
        <v>2</v>
      </c>
      <c r="AG4714" s="54" t="s">
        <v>2</v>
      </c>
    </row>
    <row r="4715" ht="15.75" customHeight="1">
      <c r="B4715" s="56"/>
      <c r="U4715" s="46" t="str">
        <f t="array" ref="U4715">IF($D4715="","",IFERROR(_xlfn.XLOOKUP($D4715,'TIR店舗一覧'!$D:$D,'TIR店舗一覧'!$E:$E,""),""))</f>
        <v/>
      </c>
      <c r="V4715" s="54" t="s">
        <v>2</v>
      </c>
      <c r="W4715" s="54" t="s">
        <v>2</v>
      </c>
      <c r="X4715" s="54" t="s">
        <v>2</v>
      </c>
      <c r="Y4715" s="54" t="s">
        <v>2</v>
      </c>
      <c r="Z4715" s="54" t="s">
        <v>2</v>
      </c>
      <c r="AA4715" s="54" t="s">
        <v>2</v>
      </c>
      <c r="AB4715" s="54" t="s">
        <v>2</v>
      </c>
      <c r="AC4715" s="54" t="s">
        <v>2</v>
      </c>
      <c r="AD4715" s="54" t="s">
        <v>2</v>
      </c>
      <c r="AE4715" s="54" t="s">
        <v>2</v>
      </c>
      <c r="AF4715" s="54" t="s">
        <v>2</v>
      </c>
      <c r="AG4715" s="54" t="s">
        <v>2</v>
      </c>
    </row>
    <row r="4716" ht="15.75" customHeight="1">
      <c r="B4716" s="56"/>
      <c r="U4716" s="46" t="str">
        <f t="array" ref="U4716">IF($D4716="","",IFERROR(_xlfn.XLOOKUP($D4716,'TIR店舗一覧'!$D:$D,'TIR店舗一覧'!$E:$E,""),""))</f>
        <v/>
      </c>
      <c r="V4716" s="54" t="s">
        <v>2</v>
      </c>
      <c r="W4716" s="54" t="s">
        <v>2</v>
      </c>
      <c r="X4716" s="54" t="s">
        <v>2</v>
      </c>
      <c r="Y4716" s="54" t="s">
        <v>2</v>
      </c>
      <c r="Z4716" s="54" t="s">
        <v>2</v>
      </c>
      <c r="AA4716" s="54" t="s">
        <v>2</v>
      </c>
      <c r="AB4716" s="54" t="s">
        <v>2</v>
      </c>
      <c r="AC4716" s="54" t="s">
        <v>2</v>
      </c>
      <c r="AD4716" s="54" t="s">
        <v>2</v>
      </c>
      <c r="AE4716" s="54" t="s">
        <v>2</v>
      </c>
      <c r="AF4716" s="54" t="s">
        <v>2</v>
      </c>
      <c r="AG4716" s="54" t="s">
        <v>2</v>
      </c>
    </row>
    <row r="4717" ht="15.75" customHeight="1">
      <c r="B4717" s="56"/>
      <c r="U4717" s="46" t="str">
        <f t="array" ref="U4717">IF($D4717="","",IFERROR(_xlfn.XLOOKUP($D4717,'TIR店舗一覧'!$D:$D,'TIR店舗一覧'!$E:$E,""),""))</f>
        <v/>
      </c>
      <c r="V4717" s="54" t="s">
        <v>2</v>
      </c>
      <c r="W4717" s="54" t="s">
        <v>2</v>
      </c>
      <c r="X4717" s="54" t="s">
        <v>2</v>
      </c>
      <c r="Y4717" s="54" t="s">
        <v>2</v>
      </c>
      <c r="Z4717" s="54" t="s">
        <v>2</v>
      </c>
      <c r="AA4717" s="54" t="s">
        <v>2</v>
      </c>
      <c r="AB4717" s="54" t="s">
        <v>2</v>
      </c>
      <c r="AC4717" s="54" t="s">
        <v>2</v>
      </c>
      <c r="AD4717" s="54" t="s">
        <v>2</v>
      </c>
      <c r="AE4717" s="54" t="s">
        <v>2</v>
      </c>
      <c r="AF4717" s="54" t="s">
        <v>2</v>
      </c>
      <c r="AG4717" s="54" t="s">
        <v>2</v>
      </c>
    </row>
    <row r="4718" ht="15.75" customHeight="1">
      <c r="B4718" s="56"/>
      <c r="U4718" s="46" t="str">
        <f t="array" ref="U4718">IF($D4718="","",IFERROR(_xlfn.XLOOKUP($D4718,'TIR店舗一覧'!$D:$D,'TIR店舗一覧'!$E:$E,""),""))</f>
        <v/>
      </c>
      <c r="V4718" s="54" t="s">
        <v>2</v>
      </c>
      <c r="W4718" s="54" t="s">
        <v>2</v>
      </c>
      <c r="X4718" s="54" t="s">
        <v>2</v>
      </c>
      <c r="Y4718" s="54" t="s">
        <v>2</v>
      </c>
      <c r="Z4718" s="54" t="s">
        <v>2</v>
      </c>
      <c r="AA4718" s="54" t="s">
        <v>2</v>
      </c>
      <c r="AB4718" s="54" t="s">
        <v>2</v>
      </c>
      <c r="AC4718" s="54" t="s">
        <v>2</v>
      </c>
      <c r="AD4718" s="54" t="s">
        <v>2</v>
      </c>
      <c r="AE4718" s="54" t="s">
        <v>2</v>
      </c>
      <c r="AF4718" s="54" t="s">
        <v>2</v>
      </c>
      <c r="AG4718" s="54" t="s">
        <v>2</v>
      </c>
    </row>
    <row r="4719" ht="15.75" customHeight="1">
      <c r="B4719" s="56"/>
      <c r="U4719" s="46" t="str">
        <f t="array" ref="U4719">IF($D4719="","",IFERROR(_xlfn.XLOOKUP($D4719,'TIR店舗一覧'!$D:$D,'TIR店舗一覧'!$E:$E,""),""))</f>
        <v/>
      </c>
      <c r="V4719" s="54" t="s">
        <v>2</v>
      </c>
      <c r="W4719" s="54" t="s">
        <v>2</v>
      </c>
      <c r="X4719" s="54" t="s">
        <v>2</v>
      </c>
      <c r="Y4719" s="54" t="s">
        <v>2</v>
      </c>
      <c r="Z4719" s="54" t="s">
        <v>2</v>
      </c>
      <c r="AA4719" s="54" t="s">
        <v>2</v>
      </c>
      <c r="AB4719" s="54" t="s">
        <v>2</v>
      </c>
      <c r="AC4719" s="54" t="s">
        <v>2</v>
      </c>
      <c r="AD4719" s="54" t="s">
        <v>2</v>
      </c>
      <c r="AE4719" s="54" t="s">
        <v>2</v>
      </c>
      <c r="AF4719" s="54" t="s">
        <v>2</v>
      </c>
      <c r="AG4719" s="54" t="s">
        <v>2</v>
      </c>
    </row>
    <row r="4720" ht="15.75" customHeight="1">
      <c r="B4720" s="56"/>
      <c r="U4720" s="46" t="str">
        <f t="array" ref="U4720">IF($D4720="","",IFERROR(_xlfn.XLOOKUP($D4720,'TIR店舗一覧'!$D:$D,'TIR店舗一覧'!$E:$E,""),""))</f>
        <v/>
      </c>
      <c r="V4720" s="54" t="s">
        <v>2</v>
      </c>
      <c r="W4720" s="54" t="s">
        <v>2</v>
      </c>
      <c r="X4720" s="54" t="s">
        <v>2</v>
      </c>
      <c r="Y4720" s="54" t="s">
        <v>2</v>
      </c>
      <c r="Z4720" s="54" t="s">
        <v>2</v>
      </c>
      <c r="AA4720" s="54" t="s">
        <v>2</v>
      </c>
      <c r="AB4720" s="54" t="s">
        <v>2</v>
      </c>
      <c r="AC4720" s="54" t="s">
        <v>2</v>
      </c>
      <c r="AD4720" s="54" t="s">
        <v>2</v>
      </c>
      <c r="AE4720" s="54" t="s">
        <v>2</v>
      </c>
      <c r="AF4720" s="54" t="s">
        <v>2</v>
      </c>
      <c r="AG4720" s="54" t="s">
        <v>2</v>
      </c>
    </row>
    <row r="4721" ht="15.75" customHeight="1">
      <c r="B4721" s="56"/>
      <c r="U4721" s="46" t="str">
        <f t="array" ref="U4721">IF($D4721="","",IFERROR(_xlfn.XLOOKUP($D4721,'TIR店舗一覧'!$D:$D,'TIR店舗一覧'!$E:$E,""),""))</f>
        <v/>
      </c>
      <c r="V4721" s="54" t="s">
        <v>2</v>
      </c>
      <c r="W4721" s="54" t="s">
        <v>2</v>
      </c>
      <c r="X4721" s="54" t="s">
        <v>2</v>
      </c>
      <c r="Y4721" s="54" t="s">
        <v>2</v>
      </c>
      <c r="Z4721" s="54" t="s">
        <v>2</v>
      </c>
      <c r="AA4721" s="54" t="s">
        <v>2</v>
      </c>
      <c r="AB4721" s="54" t="s">
        <v>2</v>
      </c>
      <c r="AC4721" s="54" t="s">
        <v>2</v>
      </c>
      <c r="AD4721" s="54" t="s">
        <v>2</v>
      </c>
      <c r="AE4721" s="54" t="s">
        <v>2</v>
      </c>
      <c r="AF4721" s="54" t="s">
        <v>2</v>
      </c>
      <c r="AG4721" s="54" t="s">
        <v>2</v>
      </c>
    </row>
    <row r="4722" ht="15.75" customHeight="1">
      <c r="B4722" s="56"/>
      <c r="U4722" s="46" t="str">
        <f t="array" ref="U4722">IF($D4722="","",IFERROR(_xlfn.XLOOKUP($D4722,'TIR店舗一覧'!$D:$D,'TIR店舗一覧'!$E:$E,""),""))</f>
        <v/>
      </c>
      <c r="V4722" s="54" t="s">
        <v>2</v>
      </c>
      <c r="W4722" s="54" t="s">
        <v>2</v>
      </c>
      <c r="X4722" s="54" t="s">
        <v>2</v>
      </c>
      <c r="Y4722" s="54" t="s">
        <v>2</v>
      </c>
      <c r="Z4722" s="54" t="s">
        <v>2</v>
      </c>
      <c r="AA4722" s="54" t="s">
        <v>2</v>
      </c>
      <c r="AB4722" s="54" t="s">
        <v>2</v>
      </c>
      <c r="AC4722" s="54" t="s">
        <v>2</v>
      </c>
      <c r="AD4722" s="54" t="s">
        <v>2</v>
      </c>
      <c r="AE4722" s="54" t="s">
        <v>2</v>
      </c>
      <c r="AF4722" s="54" t="s">
        <v>2</v>
      </c>
      <c r="AG4722" s="54" t="s">
        <v>2</v>
      </c>
    </row>
    <row r="4723" ht="15.75" customHeight="1">
      <c r="B4723" s="56"/>
      <c r="U4723" s="46" t="str">
        <f t="array" ref="U4723">IF($D4723="","",IFERROR(_xlfn.XLOOKUP($D4723,'TIR店舗一覧'!$D:$D,'TIR店舗一覧'!$E:$E,""),""))</f>
        <v/>
      </c>
      <c r="V4723" s="54" t="s">
        <v>2</v>
      </c>
      <c r="W4723" s="54" t="s">
        <v>2</v>
      </c>
      <c r="X4723" s="54" t="s">
        <v>2</v>
      </c>
      <c r="Y4723" s="54" t="s">
        <v>2</v>
      </c>
      <c r="Z4723" s="54" t="s">
        <v>2</v>
      </c>
      <c r="AA4723" s="54" t="s">
        <v>2</v>
      </c>
      <c r="AB4723" s="54" t="s">
        <v>2</v>
      </c>
      <c r="AC4723" s="54" t="s">
        <v>2</v>
      </c>
      <c r="AD4723" s="54" t="s">
        <v>2</v>
      </c>
      <c r="AE4723" s="54" t="s">
        <v>2</v>
      </c>
      <c r="AF4723" s="54" t="s">
        <v>2</v>
      </c>
      <c r="AG4723" s="54" t="s">
        <v>2</v>
      </c>
    </row>
    <row r="4724" ht="15.75" customHeight="1">
      <c r="B4724" s="56"/>
      <c r="U4724" s="46" t="str">
        <f t="array" ref="U4724">IF($D4724="","",IFERROR(_xlfn.XLOOKUP($D4724,'TIR店舗一覧'!$D:$D,'TIR店舗一覧'!$E:$E,""),""))</f>
        <v/>
      </c>
      <c r="V4724" s="54" t="s">
        <v>2</v>
      </c>
      <c r="W4724" s="54" t="s">
        <v>2</v>
      </c>
      <c r="X4724" s="54" t="s">
        <v>2</v>
      </c>
      <c r="Y4724" s="54" t="s">
        <v>2</v>
      </c>
      <c r="Z4724" s="54" t="s">
        <v>2</v>
      </c>
      <c r="AA4724" s="54" t="s">
        <v>2</v>
      </c>
      <c r="AB4724" s="54" t="s">
        <v>2</v>
      </c>
      <c r="AC4724" s="54" t="s">
        <v>2</v>
      </c>
      <c r="AD4724" s="54" t="s">
        <v>2</v>
      </c>
      <c r="AE4724" s="54" t="s">
        <v>2</v>
      </c>
      <c r="AF4724" s="54" t="s">
        <v>2</v>
      </c>
      <c r="AG4724" s="54" t="s">
        <v>2</v>
      </c>
    </row>
    <row r="4725" ht="15.75" customHeight="1">
      <c r="B4725" s="56"/>
      <c r="U4725" s="46" t="str">
        <f t="array" ref="U4725">IF($D4725="","",IFERROR(_xlfn.XLOOKUP($D4725,'TIR店舗一覧'!$D:$D,'TIR店舗一覧'!$E:$E,""),""))</f>
        <v/>
      </c>
      <c r="V4725" s="54" t="s">
        <v>2</v>
      </c>
      <c r="W4725" s="54" t="s">
        <v>2</v>
      </c>
      <c r="X4725" s="54" t="s">
        <v>2</v>
      </c>
      <c r="Y4725" s="54" t="s">
        <v>2</v>
      </c>
      <c r="Z4725" s="54" t="s">
        <v>2</v>
      </c>
      <c r="AA4725" s="54" t="s">
        <v>2</v>
      </c>
      <c r="AB4725" s="54" t="s">
        <v>2</v>
      </c>
      <c r="AC4725" s="54" t="s">
        <v>2</v>
      </c>
      <c r="AD4725" s="54" t="s">
        <v>2</v>
      </c>
      <c r="AE4725" s="54" t="s">
        <v>2</v>
      </c>
      <c r="AF4725" s="54" t="s">
        <v>2</v>
      </c>
      <c r="AG4725" s="54" t="s">
        <v>2</v>
      </c>
    </row>
    <row r="4726" ht="15.75" customHeight="1">
      <c r="B4726" s="56"/>
      <c r="U4726" s="46" t="str">
        <f t="array" ref="U4726">IF($D4726="","",IFERROR(_xlfn.XLOOKUP($D4726,'TIR店舗一覧'!$D:$D,'TIR店舗一覧'!$E:$E,""),""))</f>
        <v/>
      </c>
      <c r="V4726" s="54" t="s">
        <v>2</v>
      </c>
      <c r="W4726" s="54" t="s">
        <v>2</v>
      </c>
      <c r="X4726" s="54" t="s">
        <v>2</v>
      </c>
      <c r="Y4726" s="54" t="s">
        <v>2</v>
      </c>
      <c r="Z4726" s="54" t="s">
        <v>2</v>
      </c>
      <c r="AA4726" s="54" t="s">
        <v>2</v>
      </c>
      <c r="AB4726" s="54" t="s">
        <v>2</v>
      </c>
      <c r="AC4726" s="54" t="s">
        <v>2</v>
      </c>
      <c r="AD4726" s="54" t="s">
        <v>2</v>
      </c>
      <c r="AE4726" s="54" t="s">
        <v>2</v>
      </c>
      <c r="AF4726" s="54" t="s">
        <v>2</v>
      </c>
      <c r="AG4726" s="54" t="s">
        <v>2</v>
      </c>
    </row>
    <row r="4727" ht="15.75" customHeight="1">
      <c r="B4727" s="56"/>
      <c r="U4727" s="46" t="str">
        <f t="array" ref="U4727">IF($D4727="","",IFERROR(_xlfn.XLOOKUP($D4727,'TIR店舗一覧'!$D:$D,'TIR店舗一覧'!$E:$E,""),""))</f>
        <v/>
      </c>
      <c r="V4727" s="54" t="s">
        <v>2</v>
      </c>
      <c r="W4727" s="54" t="s">
        <v>2</v>
      </c>
      <c r="X4727" s="54" t="s">
        <v>2</v>
      </c>
      <c r="Y4727" s="54" t="s">
        <v>2</v>
      </c>
      <c r="Z4727" s="54" t="s">
        <v>2</v>
      </c>
      <c r="AA4727" s="54" t="s">
        <v>2</v>
      </c>
      <c r="AB4727" s="54" t="s">
        <v>2</v>
      </c>
      <c r="AC4727" s="54" t="s">
        <v>2</v>
      </c>
      <c r="AD4727" s="54" t="s">
        <v>2</v>
      </c>
      <c r="AE4727" s="54" t="s">
        <v>2</v>
      </c>
      <c r="AF4727" s="54" t="s">
        <v>2</v>
      </c>
      <c r="AG4727" s="54" t="s">
        <v>2</v>
      </c>
    </row>
    <row r="4728" ht="15.75" customHeight="1">
      <c r="B4728" s="56"/>
      <c r="U4728" s="46" t="str">
        <f t="array" ref="U4728">IF($D4728="","",IFERROR(_xlfn.XLOOKUP($D4728,'TIR店舗一覧'!$D:$D,'TIR店舗一覧'!$E:$E,""),""))</f>
        <v/>
      </c>
      <c r="V4728" s="54" t="s">
        <v>2</v>
      </c>
      <c r="W4728" s="54" t="s">
        <v>2</v>
      </c>
      <c r="X4728" s="54" t="s">
        <v>2</v>
      </c>
      <c r="Y4728" s="54" t="s">
        <v>2</v>
      </c>
      <c r="Z4728" s="54" t="s">
        <v>2</v>
      </c>
      <c r="AA4728" s="54" t="s">
        <v>2</v>
      </c>
      <c r="AB4728" s="54" t="s">
        <v>2</v>
      </c>
      <c r="AC4728" s="54" t="s">
        <v>2</v>
      </c>
      <c r="AD4728" s="54" t="s">
        <v>2</v>
      </c>
      <c r="AE4728" s="54" t="s">
        <v>2</v>
      </c>
      <c r="AF4728" s="54" t="s">
        <v>2</v>
      </c>
      <c r="AG4728" s="54" t="s">
        <v>2</v>
      </c>
    </row>
    <row r="4729" ht="15.75" customHeight="1">
      <c r="B4729" s="56"/>
      <c r="U4729" s="46" t="str">
        <f t="array" ref="U4729">IF($D4729="","",IFERROR(_xlfn.XLOOKUP($D4729,'TIR店舗一覧'!$D:$D,'TIR店舗一覧'!$E:$E,""),""))</f>
        <v/>
      </c>
      <c r="V4729" s="54" t="s">
        <v>2</v>
      </c>
      <c r="W4729" s="54" t="s">
        <v>2</v>
      </c>
      <c r="X4729" s="54" t="s">
        <v>2</v>
      </c>
      <c r="Y4729" s="54" t="s">
        <v>2</v>
      </c>
      <c r="Z4729" s="54" t="s">
        <v>2</v>
      </c>
      <c r="AA4729" s="54" t="s">
        <v>2</v>
      </c>
      <c r="AB4729" s="54" t="s">
        <v>2</v>
      </c>
      <c r="AC4729" s="54" t="s">
        <v>2</v>
      </c>
      <c r="AD4729" s="54" t="s">
        <v>2</v>
      </c>
      <c r="AE4729" s="54" t="s">
        <v>2</v>
      </c>
      <c r="AF4729" s="54" t="s">
        <v>2</v>
      </c>
      <c r="AG4729" s="54" t="s">
        <v>2</v>
      </c>
    </row>
    <row r="4730" ht="15.75" customHeight="1">
      <c r="B4730" s="56"/>
      <c r="U4730" s="46" t="str">
        <f t="array" ref="U4730">IF($D4730="","",IFERROR(_xlfn.XLOOKUP($D4730,'TIR店舗一覧'!$D:$D,'TIR店舗一覧'!$E:$E,""),""))</f>
        <v/>
      </c>
      <c r="V4730" s="54" t="s">
        <v>2</v>
      </c>
      <c r="W4730" s="54" t="s">
        <v>2</v>
      </c>
      <c r="X4730" s="54" t="s">
        <v>2</v>
      </c>
      <c r="Y4730" s="54" t="s">
        <v>2</v>
      </c>
      <c r="Z4730" s="54" t="s">
        <v>2</v>
      </c>
      <c r="AA4730" s="54" t="s">
        <v>2</v>
      </c>
      <c r="AB4730" s="54" t="s">
        <v>2</v>
      </c>
      <c r="AC4730" s="54" t="s">
        <v>2</v>
      </c>
      <c r="AD4730" s="54" t="s">
        <v>2</v>
      </c>
      <c r="AE4730" s="54" t="s">
        <v>2</v>
      </c>
      <c r="AF4730" s="54" t="s">
        <v>2</v>
      </c>
      <c r="AG4730" s="54" t="s">
        <v>2</v>
      </c>
    </row>
    <row r="4731" ht="15.75" customHeight="1">
      <c r="B4731" s="56"/>
      <c r="U4731" s="46" t="str">
        <f t="array" ref="U4731">IF($D4731="","",IFERROR(_xlfn.XLOOKUP($D4731,'TIR店舗一覧'!$D:$D,'TIR店舗一覧'!$E:$E,""),""))</f>
        <v/>
      </c>
      <c r="V4731" s="54" t="s">
        <v>2</v>
      </c>
      <c r="W4731" s="54" t="s">
        <v>2</v>
      </c>
      <c r="X4731" s="54" t="s">
        <v>2</v>
      </c>
      <c r="Y4731" s="54" t="s">
        <v>2</v>
      </c>
      <c r="Z4731" s="54" t="s">
        <v>2</v>
      </c>
      <c r="AA4731" s="54" t="s">
        <v>2</v>
      </c>
      <c r="AB4731" s="54" t="s">
        <v>2</v>
      </c>
      <c r="AC4731" s="54" t="s">
        <v>2</v>
      </c>
      <c r="AD4731" s="54" t="s">
        <v>2</v>
      </c>
      <c r="AE4731" s="54" t="s">
        <v>2</v>
      </c>
      <c r="AF4731" s="54" t="s">
        <v>2</v>
      </c>
      <c r="AG4731" s="54" t="s">
        <v>2</v>
      </c>
    </row>
    <row r="4732" ht="15.75" customHeight="1">
      <c r="B4732" s="56"/>
      <c r="U4732" s="46" t="str">
        <f t="array" ref="U4732">IF($D4732="","",IFERROR(_xlfn.XLOOKUP($D4732,'TIR店舗一覧'!$D:$D,'TIR店舗一覧'!$E:$E,""),""))</f>
        <v/>
      </c>
      <c r="V4732" s="54" t="s">
        <v>2</v>
      </c>
      <c r="W4732" s="54" t="s">
        <v>2</v>
      </c>
      <c r="X4732" s="54" t="s">
        <v>2</v>
      </c>
      <c r="Y4732" s="54" t="s">
        <v>2</v>
      </c>
      <c r="Z4732" s="54" t="s">
        <v>2</v>
      </c>
      <c r="AA4732" s="54" t="s">
        <v>2</v>
      </c>
      <c r="AB4732" s="54" t="s">
        <v>2</v>
      </c>
      <c r="AC4732" s="54" t="s">
        <v>2</v>
      </c>
      <c r="AD4732" s="54" t="s">
        <v>2</v>
      </c>
      <c r="AE4732" s="54" t="s">
        <v>2</v>
      </c>
      <c r="AF4732" s="54" t="s">
        <v>2</v>
      </c>
      <c r="AG4732" s="54" t="s">
        <v>2</v>
      </c>
    </row>
    <row r="4733" ht="15.75" customHeight="1">
      <c r="B4733" s="56"/>
      <c r="U4733" s="46" t="str">
        <f t="array" ref="U4733">IF($D4733="","",IFERROR(_xlfn.XLOOKUP($D4733,'TIR店舗一覧'!$D:$D,'TIR店舗一覧'!$E:$E,""),""))</f>
        <v/>
      </c>
      <c r="V4733" s="54" t="s">
        <v>2</v>
      </c>
      <c r="W4733" s="54" t="s">
        <v>2</v>
      </c>
      <c r="X4733" s="54" t="s">
        <v>2</v>
      </c>
      <c r="Y4733" s="54" t="s">
        <v>2</v>
      </c>
      <c r="Z4733" s="54" t="s">
        <v>2</v>
      </c>
      <c r="AA4733" s="54" t="s">
        <v>2</v>
      </c>
      <c r="AB4733" s="54" t="s">
        <v>2</v>
      </c>
      <c r="AC4733" s="54" t="s">
        <v>2</v>
      </c>
      <c r="AD4733" s="54" t="s">
        <v>2</v>
      </c>
      <c r="AE4733" s="54" t="s">
        <v>2</v>
      </c>
      <c r="AF4733" s="54" t="s">
        <v>2</v>
      </c>
      <c r="AG4733" s="54" t="s">
        <v>2</v>
      </c>
    </row>
    <row r="4734" ht="15.75" customHeight="1">
      <c r="B4734" s="56"/>
      <c r="U4734" s="46" t="str">
        <f t="array" ref="U4734">IF($D4734="","",IFERROR(_xlfn.XLOOKUP($D4734,'TIR店舗一覧'!$D:$D,'TIR店舗一覧'!$E:$E,""),""))</f>
        <v/>
      </c>
      <c r="V4734" s="54" t="s">
        <v>2</v>
      </c>
      <c r="W4734" s="54" t="s">
        <v>2</v>
      </c>
      <c r="X4734" s="54" t="s">
        <v>2</v>
      </c>
      <c r="Y4734" s="54" t="s">
        <v>2</v>
      </c>
      <c r="Z4734" s="54" t="s">
        <v>2</v>
      </c>
      <c r="AA4734" s="54" t="s">
        <v>2</v>
      </c>
      <c r="AB4734" s="54" t="s">
        <v>2</v>
      </c>
      <c r="AC4734" s="54" t="s">
        <v>2</v>
      </c>
      <c r="AD4734" s="54" t="s">
        <v>2</v>
      </c>
      <c r="AE4734" s="54" t="s">
        <v>2</v>
      </c>
      <c r="AF4734" s="54" t="s">
        <v>2</v>
      </c>
      <c r="AG4734" s="54" t="s">
        <v>2</v>
      </c>
    </row>
    <row r="4735" ht="15.75" customHeight="1">
      <c r="B4735" s="56"/>
      <c r="U4735" s="46" t="str">
        <f t="array" ref="U4735">IF($D4735="","",IFERROR(_xlfn.XLOOKUP($D4735,'TIR店舗一覧'!$D:$D,'TIR店舗一覧'!$E:$E,""),""))</f>
        <v/>
      </c>
      <c r="V4735" s="54" t="s">
        <v>2</v>
      </c>
      <c r="W4735" s="54" t="s">
        <v>2</v>
      </c>
      <c r="X4735" s="54" t="s">
        <v>2</v>
      </c>
      <c r="Y4735" s="54" t="s">
        <v>2</v>
      </c>
      <c r="Z4735" s="54" t="s">
        <v>2</v>
      </c>
      <c r="AA4735" s="54" t="s">
        <v>2</v>
      </c>
      <c r="AB4735" s="54" t="s">
        <v>2</v>
      </c>
      <c r="AC4735" s="54" t="s">
        <v>2</v>
      </c>
      <c r="AD4735" s="54" t="s">
        <v>2</v>
      </c>
      <c r="AE4735" s="54" t="s">
        <v>2</v>
      </c>
      <c r="AF4735" s="54" t="s">
        <v>2</v>
      </c>
      <c r="AG4735" s="54" t="s">
        <v>2</v>
      </c>
    </row>
    <row r="4736" ht="15.75" customHeight="1">
      <c r="B4736" s="56"/>
      <c r="U4736" s="46" t="str">
        <f t="array" ref="U4736">IF($D4736="","",IFERROR(_xlfn.XLOOKUP($D4736,'TIR店舗一覧'!$D:$D,'TIR店舗一覧'!$E:$E,""),""))</f>
        <v/>
      </c>
      <c r="V4736" s="54" t="s">
        <v>2</v>
      </c>
      <c r="W4736" s="54" t="s">
        <v>2</v>
      </c>
      <c r="X4736" s="54" t="s">
        <v>2</v>
      </c>
      <c r="Y4736" s="54" t="s">
        <v>2</v>
      </c>
      <c r="Z4736" s="54" t="s">
        <v>2</v>
      </c>
      <c r="AA4736" s="54" t="s">
        <v>2</v>
      </c>
      <c r="AB4736" s="54" t="s">
        <v>2</v>
      </c>
      <c r="AC4736" s="54" t="s">
        <v>2</v>
      </c>
      <c r="AD4736" s="54" t="s">
        <v>2</v>
      </c>
      <c r="AE4736" s="54" t="s">
        <v>2</v>
      </c>
      <c r="AF4736" s="54" t="s">
        <v>2</v>
      </c>
      <c r="AG4736" s="54" t="s">
        <v>2</v>
      </c>
    </row>
    <row r="4737" ht="15.75" customHeight="1">
      <c r="B4737" s="56"/>
      <c r="U4737" s="46" t="str">
        <f t="array" ref="U4737">IF($D4737="","",IFERROR(_xlfn.XLOOKUP($D4737,'TIR店舗一覧'!$D:$D,'TIR店舗一覧'!$E:$E,""),""))</f>
        <v/>
      </c>
      <c r="V4737" s="54" t="s">
        <v>2</v>
      </c>
      <c r="W4737" s="54" t="s">
        <v>2</v>
      </c>
      <c r="X4737" s="54" t="s">
        <v>2</v>
      </c>
      <c r="Y4737" s="54" t="s">
        <v>2</v>
      </c>
      <c r="Z4737" s="54" t="s">
        <v>2</v>
      </c>
      <c r="AA4737" s="54" t="s">
        <v>2</v>
      </c>
      <c r="AB4737" s="54" t="s">
        <v>2</v>
      </c>
      <c r="AC4737" s="54" t="s">
        <v>2</v>
      </c>
      <c r="AD4737" s="54" t="s">
        <v>2</v>
      </c>
      <c r="AE4737" s="54" t="s">
        <v>2</v>
      </c>
      <c r="AF4737" s="54" t="s">
        <v>2</v>
      </c>
      <c r="AG4737" s="54" t="s">
        <v>2</v>
      </c>
    </row>
    <row r="4738" ht="15.75" customHeight="1">
      <c r="B4738" s="56"/>
      <c r="U4738" s="46" t="str">
        <f t="array" ref="U4738">IF($D4738="","",IFERROR(_xlfn.XLOOKUP($D4738,'TIR店舗一覧'!$D:$D,'TIR店舗一覧'!$E:$E,""),""))</f>
        <v/>
      </c>
      <c r="V4738" s="54" t="s">
        <v>2</v>
      </c>
      <c r="W4738" s="54" t="s">
        <v>2</v>
      </c>
      <c r="X4738" s="54" t="s">
        <v>2</v>
      </c>
      <c r="Y4738" s="54" t="s">
        <v>2</v>
      </c>
      <c r="Z4738" s="54" t="s">
        <v>2</v>
      </c>
      <c r="AA4738" s="54" t="s">
        <v>2</v>
      </c>
      <c r="AB4738" s="54" t="s">
        <v>2</v>
      </c>
      <c r="AC4738" s="54" t="s">
        <v>2</v>
      </c>
      <c r="AD4738" s="54" t="s">
        <v>2</v>
      </c>
      <c r="AE4738" s="54" t="s">
        <v>2</v>
      </c>
      <c r="AF4738" s="54" t="s">
        <v>2</v>
      </c>
      <c r="AG4738" s="54" t="s">
        <v>2</v>
      </c>
    </row>
    <row r="4739" ht="15.75" customHeight="1">
      <c r="B4739" s="56"/>
      <c r="U4739" s="46" t="str">
        <f t="array" ref="U4739">IF($D4739="","",IFERROR(_xlfn.XLOOKUP($D4739,'TIR店舗一覧'!$D:$D,'TIR店舗一覧'!$E:$E,""),""))</f>
        <v/>
      </c>
      <c r="V4739" s="54" t="s">
        <v>2</v>
      </c>
      <c r="W4739" s="54" t="s">
        <v>2</v>
      </c>
      <c r="X4739" s="54" t="s">
        <v>2</v>
      </c>
      <c r="Y4739" s="54" t="s">
        <v>2</v>
      </c>
      <c r="Z4739" s="54" t="s">
        <v>2</v>
      </c>
      <c r="AA4739" s="54" t="s">
        <v>2</v>
      </c>
      <c r="AB4739" s="54" t="s">
        <v>2</v>
      </c>
      <c r="AC4739" s="54" t="s">
        <v>2</v>
      </c>
      <c r="AD4739" s="54" t="s">
        <v>2</v>
      </c>
      <c r="AE4739" s="54" t="s">
        <v>2</v>
      </c>
      <c r="AF4739" s="54" t="s">
        <v>2</v>
      </c>
      <c r="AG4739" s="54" t="s">
        <v>2</v>
      </c>
    </row>
    <row r="4740" ht="15.75" customHeight="1">
      <c r="B4740" s="56"/>
      <c r="U4740" s="46" t="str">
        <f t="array" ref="U4740">IF($D4740="","",IFERROR(_xlfn.XLOOKUP($D4740,'TIR店舗一覧'!$D:$D,'TIR店舗一覧'!$E:$E,""),""))</f>
        <v/>
      </c>
      <c r="V4740" s="54" t="s">
        <v>2</v>
      </c>
      <c r="W4740" s="54" t="s">
        <v>2</v>
      </c>
      <c r="X4740" s="54" t="s">
        <v>2</v>
      </c>
      <c r="Y4740" s="54" t="s">
        <v>2</v>
      </c>
      <c r="Z4740" s="54" t="s">
        <v>2</v>
      </c>
      <c r="AA4740" s="54" t="s">
        <v>2</v>
      </c>
      <c r="AB4740" s="54" t="s">
        <v>2</v>
      </c>
      <c r="AC4740" s="54" t="s">
        <v>2</v>
      </c>
      <c r="AD4740" s="54" t="s">
        <v>2</v>
      </c>
      <c r="AE4740" s="54" t="s">
        <v>2</v>
      </c>
      <c r="AF4740" s="54" t="s">
        <v>2</v>
      </c>
      <c r="AG4740" s="54" t="s">
        <v>2</v>
      </c>
    </row>
    <row r="4741" ht="15.75" customHeight="1">
      <c r="B4741" s="56"/>
      <c r="U4741" s="46" t="str">
        <f t="array" ref="U4741">IF($D4741="","",IFERROR(_xlfn.XLOOKUP($D4741,'TIR店舗一覧'!$D:$D,'TIR店舗一覧'!$E:$E,""),""))</f>
        <v/>
      </c>
      <c r="V4741" s="54" t="s">
        <v>2</v>
      </c>
      <c r="W4741" s="54" t="s">
        <v>2</v>
      </c>
      <c r="X4741" s="54" t="s">
        <v>2</v>
      </c>
      <c r="Y4741" s="54" t="s">
        <v>2</v>
      </c>
      <c r="Z4741" s="54" t="s">
        <v>2</v>
      </c>
      <c r="AA4741" s="54" t="s">
        <v>2</v>
      </c>
      <c r="AB4741" s="54" t="s">
        <v>2</v>
      </c>
      <c r="AC4741" s="54" t="s">
        <v>2</v>
      </c>
      <c r="AD4741" s="54" t="s">
        <v>2</v>
      </c>
      <c r="AE4741" s="54" t="s">
        <v>2</v>
      </c>
      <c r="AF4741" s="54" t="s">
        <v>2</v>
      </c>
      <c r="AG4741" s="54" t="s">
        <v>2</v>
      </c>
    </row>
    <row r="4742" ht="15.75" customHeight="1">
      <c r="B4742" s="56"/>
      <c r="U4742" s="46" t="str">
        <f t="array" ref="U4742">IF($D4742="","",IFERROR(_xlfn.XLOOKUP($D4742,'TIR店舗一覧'!$D:$D,'TIR店舗一覧'!$E:$E,""),""))</f>
        <v/>
      </c>
      <c r="V4742" s="54" t="s">
        <v>2</v>
      </c>
      <c r="W4742" s="54" t="s">
        <v>2</v>
      </c>
      <c r="X4742" s="54" t="s">
        <v>2</v>
      </c>
      <c r="Y4742" s="54" t="s">
        <v>2</v>
      </c>
      <c r="Z4742" s="54" t="s">
        <v>2</v>
      </c>
      <c r="AA4742" s="54" t="s">
        <v>2</v>
      </c>
      <c r="AB4742" s="54" t="s">
        <v>2</v>
      </c>
      <c r="AC4742" s="54" t="s">
        <v>2</v>
      </c>
      <c r="AD4742" s="54" t="s">
        <v>2</v>
      </c>
      <c r="AE4742" s="54" t="s">
        <v>2</v>
      </c>
      <c r="AF4742" s="54" t="s">
        <v>2</v>
      </c>
      <c r="AG4742" s="54" t="s">
        <v>2</v>
      </c>
    </row>
    <row r="4743" ht="15.75" customHeight="1">
      <c r="B4743" s="56"/>
      <c r="U4743" s="46" t="str">
        <f t="array" ref="U4743">IF($D4743="","",IFERROR(_xlfn.XLOOKUP($D4743,'TIR店舗一覧'!$D:$D,'TIR店舗一覧'!$E:$E,""),""))</f>
        <v/>
      </c>
      <c r="V4743" s="54" t="s">
        <v>2</v>
      </c>
      <c r="W4743" s="54" t="s">
        <v>2</v>
      </c>
      <c r="X4743" s="54" t="s">
        <v>2</v>
      </c>
      <c r="Y4743" s="54" t="s">
        <v>2</v>
      </c>
      <c r="Z4743" s="54" t="s">
        <v>2</v>
      </c>
      <c r="AA4743" s="54" t="s">
        <v>2</v>
      </c>
      <c r="AB4743" s="54" t="s">
        <v>2</v>
      </c>
      <c r="AC4743" s="54" t="s">
        <v>2</v>
      </c>
      <c r="AD4743" s="54" t="s">
        <v>2</v>
      </c>
      <c r="AE4743" s="54" t="s">
        <v>2</v>
      </c>
      <c r="AF4743" s="54" t="s">
        <v>2</v>
      </c>
      <c r="AG4743" s="54" t="s">
        <v>2</v>
      </c>
    </row>
    <row r="4744" ht="15.75" customHeight="1">
      <c r="B4744" s="56"/>
      <c r="U4744" s="46" t="str">
        <f t="array" ref="U4744">IF($D4744="","",IFERROR(_xlfn.XLOOKUP($D4744,'TIR店舗一覧'!$D:$D,'TIR店舗一覧'!$E:$E,""),""))</f>
        <v/>
      </c>
      <c r="V4744" s="54" t="s">
        <v>2</v>
      </c>
      <c r="W4744" s="54" t="s">
        <v>2</v>
      </c>
      <c r="X4744" s="54" t="s">
        <v>2</v>
      </c>
      <c r="Y4744" s="54" t="s">
        <v>2</v>
      </c>
      <c r="Z4744" s="54" t="s">
        <v>2</v>
      </c>
      <c r="AA4744" s="54" t="s">
        <v>2</v>
      </c>
      <c r="AB4744" s="54" t="s">
        <v>2</v>
      </c>
      <c r="AC4744" s="54" t="s">
        <v>2</v>
      </c>
      <c r="AD4744" s="54" t="s">
        <v>2</v>
      </c>
      <c r="AE4744" s="54" t="s">
        <v>2</v>
      </c>
      <c r="AF4744" s="54" t="s">
        <v>2</v>
      </c>
      <c r="AG4744" s="54" t="s">
        <v>2</v>
      </c>
    </row>
    <row r="4745" ht="15.75" customHeight="1">
      <c r="B4745" s="56"/>
      <c r="U4745" s="46" t="str">
        <f t="array" ref="U4745">IF($D4745="","",IFERROR(_xlfn.XLOOKUP($D4745,'TIR店舗一覧'!$D:$D,'TIR店舗一覧'!$E:$E,""),""))</f>
        <v/>
      </c>
      <c r="V4745" s="54" t="s">
        <v>2</v>
      </c>
      <c r="W4745" s="54" t="s">
        <v>2</v>
      </c>
      <c r="X4745" s="54" t="s">
        <v>2</v>
      </c>
      <c r="Y4745" s="54" t="s">
        <v>2</v>
      </c>
      <c r="Z4745" s="54" t="s">
        <v>2</v>
      </c>
      <c r="AA4745" s="54" t="s">
        <v>2</v>
      </c>
      <c r="AB4745" s="54" t="s">
        <v>2</v>
      </c>
      <c r="AC4745" s="54" t="s">
        <v>2</v>
      </c>
      <c r="AD4745" s="54" t="s">
        <v>2</v>
      </c>
      <c r="AE4745" s="54" t="s">
        <v>2</v>
      </c>
      <c r="AF4745" s="54" t="s">
        <v>2</v>
      </c>
      <c r="AG4745" s="54" t="s">
        <v>2</v>
      </c>
    </row>
    <row r="4746" ht="15.75" customHeight="1">
      <c r="B4746" s="56"/>
      <c r="U4746" s="46" t="str">
        <f t="array" ref="U4746">IF($D4746="","",IFERROR(_xlfn.XLOOKUP($D4746,'TIR店舗一覧'!$D:$D,'TIR店舗一覧'!$E:$E,""),""))</f>
        <v/>
      </c>
      <c r="V4746" s="54" t="s">
        <v>2</v>
      </c>
      <c r="W4746" s="54" t="s">
        <v>2</v>
      </c>
      <c r="X4746" s="54" t="s">
        <v>2</v>
      </c>
      <c r="Y4746" s="54" t="s">
        <v>2</v>
      </c>
      <c r="Z4746" s="54" t="s">
        <v>2</v>
      </c>
      <c r="AA4746" s="54" t="s">
        <v>2</v>
      </c>
      <c r="AB4746" s="54" t="s">
        <v>2</v>
      </c>
      <c r="AC4746" s="54" t="s">
        <v>2</v>
      </c>
      <c r="AD4746" s="54" t="s">
        <v>2</v>
      </c>
      <c r="AE4746" s="54" t="s">
        <v>2</v>
      </c>
      <c r="AF4746" s="54" t="s">
        <v>2</v>
      </c>
      <c r="AG4746" s="54" t="s">
        <v>2</v>
      </c>
    </row>
    <row r="4747" ht="15.75" customHeight="1">
      <c r="B4747" s="56"/>
      <c r="U4747" s="46" t="str">
        <f t="array" ref="U4747">IF($D4747="","",IFERROR(_xlfn.XLOOKUP($D4747,'TIR店舗一覧'!$D:$D,'TIR店舗一覧'!$E:$E,""),""))</f>
        <v/>
      </c>
      <c r="V4747" s="54" t="s">
        <v>2</v>
      </c>
      <c r="W4747" s="54" t="s">
        <v>2</v>
      </c>
      <c r="X4747" s="54" t="s">
        <v>2</v>
      </c>
      <c r="Y4747" s="54" t="s">
        <v>2</v>
      </c>
      <c r="Z4747" s="54" t="s">
        <v>2</v>
      </c>
      <c r="AA4747" s="54" t="s">
        <v>2</v>
      </c>
      <c r="AB4747" s="54" t="s">
        <v>2</v>
      </c>
      <c r="AC4747" s="54" t="s">
        <v>2</v>
      </c>
      <c r="AD4747" s="54" t="s">
        <v>2</v>
      </c>
      <c r="AE4747" s="54" t="s">
        <v>2</v>
      </c>
      <c r="AF4747" s="54" t="s">
        <v>2</v>
      </c>
      <c r="AG4747" s="54" t="s">
        <v>2</v>
      </c>
    </row>
    <row r="4748" ht="15.75" customHeight="1">
      <c r="B4748" s="56"/>
      <c r="U4748" s="46" t="str">
        <f t="array" ref="U4748">IF($D4748="","",IFERROR(_xlfn.XLOOKUP($D4748,'TIR店舗一覧'!$D:$D,'TIR店舗一覧'!$E:$E,""),""))</f>
        <v/>
      </c>
      <c r="V4748" s="54" t="s">
        <v>2</v>
      </c>
      <c r="W4748" s="54" t="s">
        <v>2</v>
      </c>
      <c r="X4748" s="54" t="s">
        <v>2</v>
      </c>
      <c r="Y4748" s="54" t="s">
        <v>2</v>
      </c>
      <c r="Z4748" s="54" t="s">
        <v>2</v>
      </c>
      <c r="AA4748" s="54" t="s">
        <v>2</v>
      </c>
      <c r="AB4748" s="54" t="s">
        <v>2</v>
      </c>
      <c r="AC4748" s="54" t="s">
        <v>2</v>
      </c>
      <c r="AD4748" s="54" t="s">
        <v>2</v>
      </c>
      <c r="AE4748" s="54" t="s">
        <v>2</v>
      </c>
      <c r="AF4748" s="54" t="s">
        <v>2</v>
      </c>
      <c r="AG4748" s="54" t="s">
        <v>2</v>
      </c>
    </row>
    <row r="4749" ht="15.75" customHeight="1">
      <c r="B4749" s="56"/>
      <c r="U4749" s="46" t="str">
        <f t="array" ref="U4749">IF($D4749="","",IFERROR(_xlfn.XLOOKUP($D4749,'TIR店舗一覧'!$D:$D,'TIR店舗一覧'!$E:$E,""),""))</f>
        <v/>
      </c>
      <c r="V4749" s="54" t="s">
        <v>2</v>
      </c>
      <c r="W4749" s="54" t="s">
        <v>2</v>
      </c>
      <c r="X4749" s="54" t="s">
        <v>2</v>
      </c>
      <c r="Y4749" s="54" t="s">
        <v>2</v>
      </c>
      <c r="Z4749" s="54" t="s">
        <v>2</v>
      </c>
      <c r="AA4749" s="54" t="s">
        <v>2</v>
      </c>
      <c r="AB4749" s="54" t="s">
        <v>2</v>
      </c>
      <c r="AC4749" s="54" t="s">
        <v>2</v>
      </c>
      <c r="AD4749" s="54" t="s">
        <v>2</v>
      </c>
      <c r="AE4749" s="54" t="s">
        <v>2</v>
      </c>
      <c r="AF4749" s="54" t="s">
        <v>2</v>
      </c>
      <c r="AG4749" s="54" t="s">
        <v>2</v>
      </c>
    </row>
    <row r="4750" ht="15.75" customHeight="1">
      <c r="B4750" s="56"/>
      <c r="U4750" s="46" t="str">
        <f t="array" ref="U4750">IF($D4750="","",IFERROR(_xlfn.XLOOKUP($D4750,'TIR店舗一覧'!$D:$D,'TIR店舗一覧'!$E:$E,""),""))</f>
        <v/>
      </c>
      <c r="V4750" s="54" t="s">
        <v>2</v>
      </c>
      <c r="W4750" s="54" t="s">
        <v>2</v>
      </c>
      <c r="X4750" s="54" t="s">
        <v>2</v>
      </c>
      <c r="Y4750" s="54" t="s">
        <v>2</v>
      </c>
      <c r="Z4750" s="54" t="s">
        <v>2</v>
      </c>
      <c r="AA4750" s="54" t="s">
        <v>2</v>
      </c>
      <c r="AB4750" s="54" t="s">
        <v>2</v>
      </c>
      <c r="AC4750" s="54" t="s">
        <v>2</v>
      </c>
      <c r="AD4750" s="54" t="s">
        <v>2</v>
      </c>
      <c r="AE4750" s="54" t="s">
        <v>2</v>
      </c>
      <c r="AF4750" s="54" t="s">
        <v>2</v>
      </c>
      <c r="AG4750" s="54" t="s">
        <v>2</v>
      </c>
    </row>
    <row r="4751" ht="15.75" customHeight="1">
      <c r="B4751" s="56"/>
      <c r="U4751" s="46" t="str">
        <f t="array" ref="U4751">IF($D4751="","",IFERROR(_xlfn.XLOOKUP($D4751,'TIR店舗一覧'!$D:$D,'TIR店舗一覧'!$E:$E,""),""))</f>
        <v/>
      </c>
      <c r="V4751" s="54" t="s">
        <v>2</v>
      </c>
      <c r="W4751" s="54" t="s">
        <v>2</v>
      </c>
      <c r="X4751" s="54" t="s">
        <v>2</v>
      </c>
      <c r="Y4751" s="54" t="s">
        <v>2</v>
      </c>
      <c r="Z4751" s="54" t="s">
        <v>2</v>
      </c>
      <c r="AA4751" s="54" t="s">
        <v>2</v>
      </c>
      <c r="AB4751" s="54" t="s">
        <v>2</v>
      </c>
      <c r="AC4751" s="54" t="s">
        <v>2</v>
      </c>
      <c r="AD4751" s="54" t="s">
        <v>2</v>
      </c>
      <c r="AE4751" s="54" t="s">
        <v>2</v>
      </c>
      <c r="AF4751" s="54" t="s">
        <v>2</v>
      </c>
      <c r="AG4751" s="54" t="s">
        <v>2</v>
      </c>
    </row>
    <row r="4752" ht="15.75" customHeight="1">
      <c r="B4752" s="56"/>
      <c r="U4752" s="46" t="str">
        <f t="array" ref="U4752">IF($D4752="","",IFERROR(_xlfn.XLOOKUP($D4752,'TIR店舗一覧'!$D:$D,'TIR店舗一覧'!$E:$E,""),""))</f>
        <v/>
      </c>
      <c r="V4752" s="54" t="s">
        <v>2</v>
      </c>
      <c r="W4752" s="54" t="s">
        <v>2</v>
      </c>
      <c r="X4752" s="54" t="s">
        <v>2</v>
      </c>
      <c r="Y4752" s="54" t="s">
        <v>2</v>
      </c>
      <c r="Z4752" s="54" t="s">
        <v>2</v>
      </c>
      <c r="AA4752" s="54" t="s">
        <v>2</v>
      </c>
      <c r="AB4752" s="54" t="s">
        <v>2</v>
      </c>
      <c r="AC4752" s="54" t="s">
        <v>2</v>
      </c>
      <c r="AD4752" s="54" t="s">
        <v>2</v>
      </c>
      <c r="AE4752" s="54" t="s">
        <v>2</v>
      </c>
      <c r="AF4752" s="54" t="s">
        <v>2</v>
      </c>
      <c r="AG4752" s="54" t="s">
        <v>2</v>
      </c>
    </row>
    <row r="4753" ht="15.75" customHeight="1">
      <c r="B4753" s="56"/>
      <c r="U4753" s="46" t="str">
        <f t="array" ref="U4753">IF($D4753="","",IFERROR(_xlfn.XLOOKUP($D4753,'TIR店舗一覧'!$D:$D,'TIR店舗一覧'!$E:$E,""),""))</f>
        <v/>
      </c>
      <c r="V4753" s="54" t="s">
        <v>2</v>
      </c>
      <c r="W4753" s="54" t="s">
        <v>2</v>
      </c>
      <c r="X4753" s="54" t="s">
        <v>2</v>
      </c>
      <c r="Y4753" s="54" t="s">
        <v>2</v>
      </c>
      <c r="Z4753" s="54" t="s">
        <v>2</v>
      </c>
      <c r="AA4753" s="54" t="s">
        <v>2</v>
      </c>
      <c r="AB4753" s="54" t="s">
        <v>2</v>
      </c>
      <c r="AC4753" s="54" t="s">
        <v>2</v>
      </c>
      <c r="AD4753" s="54" t="s">
        <v>2</v>
      </c>
      <c r="AE4753" s="54" t="s">
        <v>2</v>
      </c>
      <c r="AF4753" s="54" t="s">
        <v>2</v>
      </c>
      <c r="AG4753" s="54" t="s">
        <v>2</v>
      </c>
    </row>
    <row r="4754" ht="15.75" customHeight="1">
      <c r="B4754" s="56"/>
      <c r="U4754" s="46" t="str">
        <f t="array" ref="U4754">IF($D4754="","",IFERROR(_xlfn.XLOOKUP($D4754,'TIR店舗一覧'!$D:$D,'TIR店舗一覧'!$E:$E,""),""))</f>
        <v/>
      </c>
      <c r="V4754" s="54" t="s">
        <v>2</v>
      </c>
      <c r="W4754" s="54" t="s">
        <v>2</v>
      </c>
      <c r="X4754" s="54" t="s">
        <v>2</v>
      </c>
      <c r="Y4754" s="54" t="s">
        <v>2</v>
      </c>
      <c r="Z4754" s="54" t="s">
        <v>2</v>
      </c>
      <c r="AA4754" s="54" t="s">
        <v>2</v>
      </c>
      <c r="AB4754" s="54" t="s">
        <v>2</v>
      </c>
      <c r="AC4754" s="54" t="s">
        <v>2</v>
      </c>
      <c r="AD4754" s="54" t="s">
        <v>2</v>
      </c>
      <c r="AE4754" s="54" t="s">
        <v>2</v>
      </c>
      <c r="AF4754" s="54" t="s">
        <v>2</v>
      </c>
      <c r="AG4754" s="54" t="s">
        <v>2</v>
      </c>
    </row>
    <row r="4755" ht="15.75" customHeight="1">
      <c r="B4755" s="56"/>
      <c r="U4755" s="46" t="str">
        <f t="array" ref="U4755">IF($D4755="","",IFERROR(_xlfn.XLOOKUP($D4755,'TIR店舗一覧'!$D:$D,'TIR店舗一覧'!$E:$E,""),""))</f>
        <v/>
      </c>
      <c r="V4755" s="54" t="s">
        <v>2</v>
      </c>
      <c r="W4755" s="54" t="s">
        <v>2</v>
      </c>
      <c r="X4755" s="54" t="s">
        <v>2</v>
      </c>
      <c r="Y4755" s="54" t="s">
        <v>2</v>
      </c>
      <c r="Z4755" s="54" t="s">
        <v>2</v>
      </c>
      <c r="AA4755" s="54" t="s">
        <v>2</v>
      </c>
      <c r="AB4755" s="54" t="s">
        <v>2</v>
      </c>
      <c r="AC4755" s="54" t="s">
        <v>2</v>
      </c>
      <c r="AD4755" s="54" t="s">
        <v>2</v>
      </c>
      <c r="AE4755" s="54" t="s">
        <v>2</v>
      </c>
      <c r="AF4755" s="54" t="s">
        <v>2</v>
      </c>
      <c r="AG4755" s="54" t="s">
        <v>2</v>
      </c>
    </row>
    <row r="4756" ht="15.75" customHeight="1">
      <c r="B4756" s="56"/>
      <c r="U4756" s="46" t="str">
        <f t="array" ref="U4756">IF($D4756="","",IFERROR(_xlfn.XLOOKUP($D4756,'TIR店舗一覧'!$D:$D,'TIR店舗一覧'!$E:$E,""),""))</f>
        <v/>
      </c>
      <c r="V4756" s="54" t="s">
        <v>2</v>
      </c>
      <c r="W4756" s="54" t="s">
        <v>2</v>
      </c>
      <c r="X4756" s="54" t="s">
        <v>2</v>
      </c>
      <c r="Y4756" s="54" t="s">
        <v>2</v>
      </c>
      <c r="Z4756" s="54" t="s">
        <v>2</v>
      </c>
      <c r="AA4756" s="54" t="s">
        <v>2</v>
      </c>
      <c r="AB4756" s="54" t="s">
        <v>2</v>
      </c>
      <c r="AC4756" s="54" t="s">
        <v>2</v>
      </c>
      <c r="AD4756" s="54" t="s">
        <v>2</v>
      </c>
      <c r="AE4756" s="54" t="s">
        <v>2</v>
      </c>
      <c r="AF4756" s="54" t="s">
        <v>2</v>
      </c>
      <c r="AG4756" s="54" t="s">
        <v>2</v>
      </c>
    </row>
    <row r="4757" ht="15.75" customHeight="1">
      <c r="B4757" s="56"/>
      <c r="U4757" s="46" t="str">
        <f t="array" ref="U4757">IF($D4757="","",IFERROR(_xlfn.XLOOKUP($D4757,'TIR店舗一覧'!$D:$D,'TIR店舗一覧'!$E:$E,""),""))</f>
        <v/>
      </c>
      <c r="V4757" s="54" t="s">
        <v>2</v>
      </c>
      <c r="W4757" s="54" t="s">
        <v>2</v>
      </c>
      <c r="X4757" s="54" t="s">
        <v>2</v>
      </c>
      <c r="Y4757" s="54" t="s">
        <v>2</v>
      </c>
      <c r="Z4757" s="54" t="s">
        <v>2</v>
      </c>
      <c r="AA4757" s="54" t="s">
        <v>2</v>
      </c>
      <c r="AB4757" s="54" t="s">
        <v>2</v>
      </c>
      <c r="AC4757" s="54" t="s">
        <v>2</v>
      </c>
      <c r="AD4757" s="54" t="s">
        <v>2</v>
      </c>
      <c r="AE4757" s="54" t="s">
        <v>2</v>
      </c>
      <c r="AF4757" s="54" t="s">
        <v>2</v>
      </c>
      <c r="AG4757" s="54" t="s">
        <v>2</v>
      </c>
    </row>
    <row r="4758" ht="15.75" customHeight="1">
      <c r="B4758" s="56"/>
      <c r="U4758" s="46" t="str">
        <f t="array" ref="U4758">IF($D4758="","",IFERROR(_xlfn.XLOOKUP($D4758,'TIR店舗一覧'!$D:$D,'TIR店舗一覧'!$E:$E,""),""))</f>
        <v/>
      </c>
      <c r="V4758" s="54" t="s">
        <v>2</v>
      </c>
      <c r="W4758" s="54" t="s">
        <v>2</v>
      </c>
      <c r="X4758" s="54" t="s">
        <v>2</v>
      </c>
      <c r="Y4758" s="54" t="s">
        <v>2</v>
      </c>
      <c r="Z4758" s="54" t="s">
        <v>2</v>
      </c>
      <c r="AA4758" s="54" t="s">
        <v>2</v>
      </c>
      <c r="AB4758" s="54" t="s">
        <v>2</v>
      </c>
      <c r="AC4758" s="54" t="s">
        <v>2</v>
      </c>
      <c r="AD4758" s="54" t="s">
        <v>2</v>
      </c>
      <c r="AE4758" s="54" t="s">
        <v>2</v>
      </c>
      <c r="AF4758" s="54" t="s">
        <v>2</v>
      </c>
      <c r="AG4758" s="54" t="s">
        <v>2</v>
      </c>
    </row>
    <row r="4759" ht="15.75" customHeight="1">
      <c r="B4759" s="56"/>
      <c r="U4759" s="46" t="str">
        <f t="array" ref="U4759">IF($D4759="","",IFERROR(_xlfn.XLOOKUP($D4759,'TIR店舗一覧'!$D:$D,'TIR店舗一覧'!$E:$E,""),""))</f>
        <v/>
      </c>
      <c r="V4759" s="54" t="s">
        <v>2</v>
      </c>
      <c r="W4759" s="54" t="s">
        <v>2</v>
      </c>
      <c r="X4759" s="54" t="s">
        <v>2</v>
      </c>
      <c r="Y4759" s="54" t="s">
        <v>2</v>
      </c>
      <c r="Z4759" s="54" t="s">
        <v>2</v>
      </c>
      <c r="AA4759" s="54" t="s">
        <v>2</v>
      </c>
      <c r="AB4759" s="54" t="s">
        <v>2</v>
      </c>
      <c r="AC4759" s="54" t="s">
        <v>2</v>
      </c>
      <c r="AD4759" s="54" t="s">
        <v>2</v>
      </c>
      <c r="AE4759" s="54" t="s">
        <v>2</v>
      </c>
      <c r="AF4759" s="54" t="s">
        <v>2</v>
      </c>
      <c r="AG4759" s="54" t="s">
        <v>2</v>
      </c>
    </row>
    <row r="4760" ht="15.75" customHeight="1">
      <c r="B4760" s="56"/>
      <c r="U4760" s="46" t="str">
        <f t="array" ref="U4760">IF($D4760="","",IFERROR(_xlfn.XLOOKUP($D4760,'TIR店舗一覧'!$D:$D,'TIR店舗一覧'!$E:$E,""),""))</f>
        <v/>
      </c>
      <c r="V4760" s="54" t="s">
        <v>2</v>
      </c>
      <c r="W4760" s="54" t="s">
        <v>2</v>
      </c>
      <c r="X4760" s="54" t="s">
        <v>2</v>
      </c>
      <c r="Y4760" s="54" t="s">
        <v>2</v>
      </c>
      <c r="Z4760" s="54" t="s">
        <v>2</v>
      </c>
      <c r="AA4760" s="54" t="s">
        <v>2</v>
      </c>
      <c r="AB4760" s="54" t="s">
        <v>2</v>
      </c>
      <c r="AC4760" s="54" t="s">
        <v>2</v>
      </c>
      <c r="AD4760" s="54" t="s">
        <v>2</v>
      </c>
      <c r="AE4760" s="54" t="s">
        <v>2</v>
      </c>
      <c r="AF4760" s="54" t="s">
        <v>2</v>
      </c>
      <c r="AG4760" s="54" t="s">
        <v>2</v>
      </c>
    </row>
    <row r="4761" ht="15.75" customHeight="1">
      <c r="B4761" s="56"/>
      <c r="U4761" s="46" t="str">
        <f t="array" ref="U4761">IF($D4761="","",IFERROR(_xlfn.XLOOKUP($D4761,'TIR店舗一覧'!$D:$D,'TIR店舗一覧'!$E:$E,""),""))</f>
        <v/>
      </c>
      <c r="V4761" s="54" t="s">
        <v>2</v>
      </c>
      <c r="W4761" s="54" t="s">
        <v>2</v>
      </c>
      <c r="X4761" s="54" t="s">
        <v>2</v>
      </c>
      <c r="Y4761" s="54" t="s">
        <v>2</v>
      </c>
      <c r="Z4761" s="54" t="s">
        <v>2</v>
      </c>
      <c r="AA4761" s="54" t="s">
        <v>2</v>
      </c>
      <c r="AB4761" s="54" t="s">
        <v>2</v>
      </c>
      <c r="AC4761" s="54" t="s">
        <v>2</v>
      </c>
      <c r="AD4761" s="54" t="s">
        <v>2</v>
      </c>
      <c r="AE4761" s="54" t="s">
        <v>2</v>
      </c>
      <c r="AF4761" s="54" t="s">
        <v>2</v>
      </c>
      <c r="AG4761" s="54" t="s">
        <v>2</v>
      </c>
    </row>
    <row r="4762" ht="15.75" customHeight="1">
      <c r="B4762" s="56"/>
      <c r="U4762" s="46" t="str">
        <f t="array" ref="U4762">IF($D4762="","",IFERROR(_xlfn.XLOOKUP($D4762,'TIR店舗一覧'!$D:$D,'TIR店舗一覧'!$E:$E,""),""))</f>
        <v/>
      </c>
      <c r="V4762" s="54" t="s">
        <v>2</v>
      </c>
      <c r="W4762" s="54" t="s">
        <v>2</v>
      </c>
      <c r="X4762" s="54" t="s">
        <v>2</v>
      </c>
      <c r="Y4762" s="54" t="s">
        <v>2</v>
      </c>
      <c r="Z4762" s="54" t="s">
        <v>2</v>
      </c>
      <c r="AA4762" s="54" t="s">
        <v>2</v>
      </c>
      <c r="AB4762" s="54" t="s">
        <v>2</v>
      </c>
      <c r="AC4762" s="54" t="s">
        <v>2</v>
      </c>
      <c r="AD4762" s="54" t="s">
        <v>2</v>
      </c>
      <c r="AE4762" s="54" t="s">
        <v>2</v>
      </c>
      <c r="AF4762" s="54" t="s">
        <v>2</v>
      </c>
      <c r="AG4762" s="54" t="s">
        <v>2</v>
      </c>
    </row>
    <row r="4763" ht="15.75" customHeight="1">
      <c r="B4763" s="56"/>
      <c r="U4763" s="46" t="str">
        <f t="array" ref="U4763">IF($D4763="","",IFERROR(_xlfn.XLOOKUP($D4763,'TIR店舗一覧'!$D:$D,'TIR店舗一覧'!$E:$E,""),""))</f>
        <v/>
      </c>
      <c r="V4763" s="54" t="s">
        <v>2</v>
      </c>
      <c r="W4763" s="54" t="s">
        <v>2</v>
      </c>
      <c r="X4763" s="54" t="s">
        <v>2</v>
      </c>
      <c r="Y4763" s="54" t="s">
        <v>2</v>
      </c>
      <c r="Z4763" s="54" t="s">
        <v>2</v>
      </c>
      <c r="AA4763" s="54" t="s">
        <v>2</v>
      </c>
      <c r="AB4763" s="54" t="s">
        <v>2</v>
      </c>
      <c r="AC4763" s="54" t="s">
        <v>2</v>
      </c>
      <c r="AD4763" s="54" t="s">
        <v>2</v>
      </c>
      <c r="AE4763" s="54" t="s">
        <v>2</v>
      </c>
      <c r="AF4763" s="54" t="s">
        <v>2</v>
      </c>
      <c r="AG4763" s="54" t="s">
        <v>2</v>
      </c>
    </row>
    <row r="4764" ht="15.75" customHeight="1">
      <c r="B4764" s="56"/>
      <c r="U4764" s="46" t="str">
        <f t="array" ref="U4764">IF($D4764="","",IFERROR(_xlfn.XLOOKUP($D4764,'TIR店舗一覧'!$D:$D,'TIR店舗一覧'!$E:$E,""),""))</f>
        <v/>
      </c>
      <c r="V4764" s="54" t="s">
        <v>2</v>
      </c>
      <c r="W4764" s="54" t="s">
        <v>2</v>
      </c>
      <c r="X4764" s="54" t="s">
        <v>2</v>
      </c>
      <c r="Y4764" s="54" t="s">
        <v>2</v>
      </c>
      <c r="Z4764" s="54" t="s">
        <v>2</v>
      </c>
      <c r="AA4764" s="54" t="s">
        <v>2</v>
      </c>
      <c r="AB4764" s="54" t="s">
        <v>2</v>
      </c>
      <c r="AC4764" s="54" t="s">
        <v>2</v>
      </c>
      <c r="AD4764" s="54" t="s">
        <v>2</v>
      </c>
      <c r="AE4764" s="54" t="s">
        <v>2</v>
      </c>
      <c r="AF4764" s="54" t="s">
        <v>2</v>
      </c>
      <c r="AG4764" s="54" t="s">
        <v>2</v>
      </c>
    </row>
    <row r="4765" ht="15.75" customHeight="1">
      <c r="B4765" s="56"/>
      <c r="U4765" s="46" t="str">
        <f t="array" ref="U4765">IF($D4765="","",IFERROR(_xlfn.XLOOKUP($D4765,'TIR店舗一覧'!$D:$D,'TIR店舗一覧'!$E:$E,""),""))</f>
        <v/>
      </c>
      <c r="V4765" s="54" t="s">
        <v>2</v>
      </c>
      <c r="W4765" s="54" t="s">
        <v>2</v>
      </c>
      <c r="X4765" s="54" t="s">
        <v>2</v>
      </c>
      <c r="Y4765" s="54" t="s">
        <v>2</v>
      </c>
      <c r="Z4765" s="54" t="s">
        <v>2</v>
      </c>
      <c r="AA4765" s="54" t="s">
        <v>2</v>
      </c>
      <c r="AB4765" s="54" t="s">
        <v>2</v>
      </c>
      <c r="AC4765" s="54" t="s">
        <v>2</v>
      </c>
      <c r="AD4765" s="54" t="s">
        <v>2</v>
      </c>
      <c r="AE4765" s="54" t="s">
        <v>2</v>
      </c>
      <c r="AF4765" s="54" t="s">
        <v>2</v>
      </c>
      <c r="AG4765" s="54" t="s">
        <v>2</v>
      </c>
    </row>
    <row r="4766" ht="15.75" customHeight="1">
      <c r="B4766" s="56"/>
      <c r="U4766" s="46" t="str">
        <f t="array" ref="U4766">IF($D4766="","",IFERROR(_xlfn.XLOOKUP($D4766,'TIR店舗一覧'!$D:$D,'TIR店舗一覧'!$E:$E,""),""))</f>
        <v/>
      </c>
      <c r="V4766" s="54" t="s">
        <v>2</v>
      </c>
      <c r="W4766" s="54" t="s">
        <v>2</v>
      </c>
      <c r="X4766" s="54" t="s">
        <v>2</v>
      </c>
      <c r="Y4766" s="54" t="s">
        <v>2</v>
      </c>
      <c r="Z4766" s="54" t="s">
        <v>2</v>
      </c>
      <c r="AA4766" s="54" t="s">
        <v>2</v>
      </c>
      <c r="AB4766" s="54" t="s">
        <v>2</v>
      </c>
      <c r="AC4766" s="54" t="s">
        <v>2</v>
      </c>
      <c r="AD4766" s="54" t="s">
        <v>2</v>
      </c>
      <c r="AE4766" s="54" t="s">
        <v>2</v>
      </c>
      <c r="AF4766" s="54" t="s">
        <v>2</v>
      </c>
      <c r="AG4766" s="54" t="s">
        <v>2</v>
      </c>
    </row>
    <row r="4767" ht="15.75" customHeight="1">
      <c r="B4767" s="56"/>
      <c r="U4767" s="46" t="str">
        <f t="array" ref="U4767">IF($D4767="","",IFERROR(_xlfn.XLOOKUP($D4767,'TIR店舗一覧'!$D:$D,'TIR店舗一覧'!$E:$E,""),""))</f>
        <v/>
      </c>
      <c r="V4767" s="54" t="s">
        <v>2</v>
      </c>
      <c r="W4767" s="54" t="s">
        <v>2</v>
      </c>
      <c r="X4767" s="54" t="s">
        <v>2</v>
      </c>
      <c r="Y4767" s="54" t="s">
        <v>2</v>
      </c>
      <c r="Z4767" s="54" t="s">
        <v>2</v>
      </c>
      <c r="AA4767" s="54" t="s">
        <v>2</v>
      </c>
      <c r="AB4767" s="54" t="s">
        <v>2</v>
      </c>
      <c r="AC4767" s="54" t="s">
        <v>2</v>
      </c>
      <c r="AD4767" s="54" t="s">
        <v>2</v>
      </c>
      <c r="AE4767" s="54" t="s">
        <v>2</v>
      </c>
      <c r="AF4767" s="54" t="s">
        <v>2</v>
      </c>
      <c r="AG4767" s="54" t="s">
        <v>2</v>
      </c>
    </row>
    <row r="4768" ht="15.75" customHeight="1">
      <c r="B4768" s="56"/>
      <c r="U4768" s="46" t="str">
        <f t="array" ref="U4768">IF($D4768="","",IFERROR(_xlfn.XLOOKUP($D4768,'TIR店舗一覧'!$D:$D,'TIR店舗一覧'!$E:$E,""),""))</f>
        <v/>
      </c>
      <c r="V4768" s="54" t="s">
        <v>2</v>
      </c>
      <c r="W4768" s="54" t="s">
        <v>2</v>
      </c>
      <c r="X4768" s="54" t="s">
        <v>2</v>
      </c>
      <c r="Y4768" s="54" t="s">
        <v>2</v>
      </c>
      <c r="Z4768" s="54" t="s">
        <v>2</v>
      </c>
      <c r="AA4768" s="54" t="s">
        <v>2</v>
      </c>
      <c r="AB4768" s="54" t="s">
        <v>2</v>
      </c>
      <c r="AC4768" s="54" t="s">
        <v>2</v>
      </c>
      <c r="AD4768" s="54" t="s">
        <v>2</v>
      </c>
      <c r="AE4768" s="54" t="s">
        <v>2</v>
      </c>
      <c r="AF4768" s="54" t="s">
        <v>2</v>
      </c>
      <c r="AG4768" s="54" t="s">
        <v>2</v>
      </c>
    </row>
    <row r="4769" ht="15.75" customHeight="1">
      <c r="B4769" s="56"/>
      <c r="U4769" s="46" t="str">
        <f t="array" ref="U4769">IF($D4769="","",IFERROR(_xlfn.XLOOKUP($D4769,'TIR店舗一覧'!$D:$D,'TIR店舗一覧'!$E:$E,""),""))</f>
        <v/>
      </c>
      <c r="V4769" s="54" t="s">
        <v>2</v>
      </c>
      <c r="W4769" s="54" t="s">
        <v>2</v>
      </c>
      <c r="X4769" s="54" t="s">
        <v>2</v>
      </c>
      <c r="Y4769" s="54" t="s">
        <v>2</v>
      </c>
      <c r="Z4769" s="54" t="s">
        <v>2</v>
      </c>
      <c r="AA4769" s="54" t="s">
        <v>2</v>
      </c>
      <c r="AB4769" s="54" t="s">
        <v>2</v>
      </c>
      <c r="AC4769" s="54" t="s">
        <v>2</v>
      </c>
      <c r="AD4769" s="54" t="s">
        <v>2</v>
      </c>
      <c r="AE4769" s="54" t="s">
        <v>2</v>
      </c>
      <c r="AF4769" s="54" t="s">
        <v>2</v>
      </c>
      <c r="AG4769" s="54" t="s">
        <v>2</v>
      </c>
    </row>
    <row r="4770" ht="15.75" customHeight="1">
      <c r="B4770" s="56"/>
      <c r="U4770" s="46" t="str">
        <f t="array" ref="U4770">IF($D4770="","",IFERROR(_xlfn.XLOOKUP($D4770,'TIR店舗一覧'!$D:$D,'TIR店舗一覧'!$E:$E,""),""))</f>
        <v/>
      </c>
      <c r="V4770" s="54" t="s">
        <v>2</v>
      </c>
      <c r="W4770" s="54" t="s">
        <v>2</v>
      </c>
      <c r="X4770" s="54" t="s">
        <v>2</v>
      </c>
      <c r="Y4770" s="54" t="s">
        <v>2</v>
      </c>
      <c r="Z4770" s="54" t="s">
        <v>2</v>
      </c>
      <c r="AA4770" s="54" t="s">
        <v>2</v>
      </c>
      <c r="AB4770" s="54" t="s">
        <v>2</v>
      </c>
      <c r="AC4770" s="54" t="s">
        <v>2</v>
      </c>
      <c r="AD4770" s="54" t="s">
        <v>2</v>
      </c>
      <c r="AE4770" s="54" t="s">
        <v>2</v>
      </c>
      <c r="AF4770" s="54" t="s">
        <v>2</v>
      </c>
      <c r="AG4770" s="54" t="s">
        <v>2</v>
      </c>
    </row>
    <row r="4771" ht="15.75" customHeight="1">
      <c r="B4771" s="56"/>
      <c r="U4771" s="46" t="str">
        <f t="array" ref="U4771">IF($D4771="","",IFERROR(_xlfn.XLOOKUP($D4771,'TIR店舗一覧'!$D:$D,'TIR店舗一覧'!$E:$E,""),""))</f>
        <v/>
      </c>
      <c r="V4771" s="54" t="s">
        <v>2</v>
      </c>
      <c r="W4771" s="54" t="s">
        <v>2</v>
      </c>
      <c r="X4771" s="54" t="s">
        <v>2</v>
      </c>
      <c r="Y4771" s="54" t="s">
        <v>2</v>
      </c>
      <c r="Z4771" s="54" t="s">
        <v>2</v>
      </c>
      <c r="AA4771" s="54" t="s">
        <v>2</v>
      </c>
      <c r="AB4771" s="54" t="s">
        <v>2</v>
      </c>
      <c r="AC4771" s="54" t="s">
        <v>2</v>
      </c>
      <c r="AD4771" s="54" t="s">
        <v>2</v>
      </c>
      <c r="AE4771" s="54" t="s">
        <v>2</v>
      </c>
      <c r="AF4771" s="54" t="s">
        <v>2</v>
      </c>
      <c r="AG4771" s="54" t="s">
        <v>2</v>
      </c>
    </row>
    <row r="4772" ht="15.75" customHeight="1">
      <c r="B4772" s="56"/>
      <c r="U4772" s="46" t="str">
        <f t="array" ref="U4772">IF($D4772="","",IFERROR(_xlfn.XLOOKUP($D4772,'TIR店舗一覧'!$D:$D,'TIR店舗一覧'!$E:$E,""),""))</f>
        <v/>
      </c>
      <c r="V4772" s="54" t="s">
        <v>2</v>
      </c>
      <c r="W4772" s="54" t="s">
        <v>2</v>
      </c>
      <c r="X4772" s="54" t="s">
        <v>2</v>
      </c>
      <c r="Y4772" s="54" t="s">
        <v>2</v>
      </c>
      <c r="Z4772" s="54" t="s">
        <v>2</v>
      </c>
      <c r="AA4772" s="54" t="s">
        <v>2</v>
      </c>
      <c r="AB4772" s="54" t="s">
        <v>2</v>
      </c>
      <c r="AC4772" s="54" t="s">
        <v>2</v>
      </c>
      <c r="AD4772" s="54" t="s">
        <v>2</v>
      </c>
      <c r="AE4772" s="54" t="s">
        <v>2</v>
      </c>
      <c r="AF4772" s="54" t="s">
        <v>2</v>
      </c>
      <c r="AG4772" s="54" t="s">
        <v>2</v>
      </c>
    </row>
    <row r="4773" ht="15.75" customHeight="1">
      <c r="B4773" s="56"/>
      <c r="U4773" s="46" t="str">
        <f t="array" ref="U4773">IF($D4773="","",IFERROR(_xlfn.XLOOKUP($D4773,'TIR店舗一覧'!$D:$D,'TIR店舗一覧'!$E:$E,""),""))</f>
        <v/>
      </c>
      <c r="V4773" s="54" t="s">
        <v>2</v>
      </c>
      <c r="W4773" s="54" t="s">
        <v>2</v>
      </c>
      <c r="X4773" s="54" t="s">
        <v>2</v>
      </c>
      <c r="Y4773" s="54" t="s">
        <v>2</v>
      </c>
      <c r="Z4773" s="54" t="s">
        <v>2</v>
      </c>
      <c r="AA4773" s="54" t="s">
        <v>2</v>
      </c>
      <c r="AB4773" s="54" t="s">
        <v>2</v>
      </c>
      <c r="AC4773" s="54" t="s">
        <v>2</v>
      </c>
      <c r="AD4773" s="54" t="s">
        <v>2</v>
      </c>
      <c r="AE4773" s="54" t="s">
        <v>2</v>
      </c>
      <c r="AF4773" s="54" t="s">
        <v>2</v>
      </c>
      <c r="AG4773" s="54" t="s">
        <v>2</v>
      </c>
    </row>
    <row r="4774" ht="15.75" customHeight="1">
      <c r="B4774" s="56"/>
      <c r="U4774" s="46" t="str">
        <f t="array" ref="U4774">IF($D4774="","",IFERROR(_xlfn.XLOOKUP($D4774,'TIR店舗一覧'!$D:$D,'TIR店舗一覧'!$E:$E,""),""))</f>
        <v/>
      </c>
      <c r="V4774" s="54" t="s">
        <v>2</v>
      </c>
      <c r="W4774" s="54" t="s">
        <v>2</v>
      </c>
      <c r="X4774" s="54" t="s">
        <v>2</v>
      </c>
      <c r="Y4774" s="54" t="s">
        <v>2</v>
      </c>
      <c r="Z4774" s="54" t="s">
        <v>2</v>
      </c>
      <c r="AA4774" s="54" t="s">
        <v>2</v>
      </c>
      <c r="AB4774" s="54" t="s">
        <v>2</v>
      </c>
      <c r="AC4774" s="54" t="s">
        <v>2</v>
      </c>
      <c r="AD4774" s="54" t="s">
        <v>2</v>
      </c>
      <c r="AE4774" s="54" t="s">
        <v>2</v>
      </c>
      <c r="AF4774" s="54" t="s">
        <v>2</v>
      </c>
      <c r="AG4774" s="54" t="s">
        <v>2</v>
      </c>
    </row>
    <row r="4775" ht="15.75" customHeight="1">
      <c r="B4775" s="56"/>
      <c r="U4775" s="46" t="str">
        <f t="array" ref="U4775">IF($D4775="","",IFERROR(_xlfn.XLOOKUP($D4775,'TIR店舗一覧'!$D:$D,'TIR店舗一覧'!$E:$E,""),""))</f>
        <v/>
      </c>
      <c r="V4775" s="54" t="s">
        <v>2</v>
      </c>
      <c r="W4775" s="54" t="s">
        <v>2</v>
      </c>
      <c r="X4775" s="54" t="s">
        <v>2</v>
      </c>
      <c r="Y4775" s="54" t="s">
        <v>2</v>
      </c>
      <c r="Z4775" s="54" t="s">
        <v>2</v>
      </c>
      <c r="AA4775" s="54" t="s">
        <v>2</v>
      </c>
      <c r="AB4775" s="54" t="s">
        <v>2</v>
      </c>
      <c r="AC4775" s="54" t="s">
        <v>2</v>
      </c>
      <c r="AD4775" s="54" t="s">
        <v>2</v>
      </c>
      <c r="AE4775" s="54" t="s">
        <v>2</v>
      </c>
      <c r="AF4775" s="54" t="s">
        <v>2</v>
      </c>
      <c r="AG4775" s="54" t="s">
        <v>2</v>
      </c>
    </row>
    <row r="4776" ht="15.75" customHeight="1">
      <c r="B4776" s="56"/>
      <c r="U4776" s="46" t="str">
        <f t="array" ref="U4776">IF($D4776="","",IFERROR(_xlfn.XLOOKUP($D4776,'TIR店舗一覧'!$D:$D,'TIR店舗一覧'!$E:$E,""),""))</f>
        <v/>
      </c>
      <c r="V4776" s="54" t="s">
        <v>2</v>
      </c>
      <c r="W4776" s="54" t="s">
        <v>2</v>
      </c>
      <c r="X4776" s="54" t="s">
        <v>2</v>
      </c>
      <c r="Y4776" s="54" t="s">
        <v>2</v>
      </c>
      <c r="Z4776" s="54" t="s">
        <v>2</v>
      </c>
      <c r="AA4776" s="54" t="s">
        <v>2</v>
      </c>
      <c r="AB4776" s="54" t="s">
        <v>2</v>
      </c>
      <c r="AC4776" s="54" t="s">
        <v>2</v>
      </c>
      <c r="AD4776" s="54" t="s">
        <v>2</v>
      </c>
      <c r="AE4776" s="54" t="s">
        <v>2</v>
      </c>
      <c r="AF4776" s="54" t="s">
        <v>2</v>
      </c>
      <c r="AG4776" s="54" t="s">
        <v>2</v>
      </c>
    </row>
    <row r="4777" ht="15.75" customHeight="1">
      <c r="B4777" s="56"/>
      <c r="U4777" s="46" t="str">
        <f t="array" ref="U4777">IF($D4777="","",IFERROR(_xlfn.XLOOKUP($D4777,'TIR店舗一覧'!$D:$D,'TIR店舗一覧'!$E:$E,""),""))</f>
        <v/>
      </c>
      <c r="V4777" s="54" t="s">
        <v>2</v>
      </c>
      <c r="W4777" s="54" t="s">
        <v>2</v>
      </c>
      <c r="X4777" s="54" t="s">
        <v>2</v>
      </c>
      <c r="Y4777" s="54" t="s">
        <v>2</v>
      </c>
      <c r="Z4777" s="54" t="s">
        <v>2</v>
      </c>
      <c r="AA4777" s="54" t="s">
        <v>2</v>
      </c>
      <c r="AB4777" s="54" t="s">
        <v>2</v>
      </c>
      <c r="AC4777" s="54" t="s">
        <v>2</v>
      </c>
      <c r="AD4777" s="54" t="s">
        <v>2</v>
      </c>
      <c r="AE4777" s="54" t="s">
        <v>2</v>
      </c>
      <c r="AF4777" s="54" t="s">
        <v>2</v>
      </c>
      <c r="AG4777" s="54" t="s">
        <v>2</v>
      </c>
    </row>
    <row r="4778" ht="15.75" customHeight="1">
      <c r="B4778" s="56"/>
      <c r="U4778" s="46" t="str">
        <f t="array" ref="U4778">IF($D4778="","",IFERROR(_xlfn.XLOOKUP($D4778,'TIR店舗一覧'!$D:$D,'TIR店舗一覧'!$E:$E,""),""))</f>
        <v/>
      </c>
      <c r="V4778" s="54" t="s">
        <v>2</v>
      </c>
      <c r="W4778" s="54" t="s">
        <v>2</v>
      </c>
      <c r="X4778" s="54" t="s">
        <v>2</v>
      </c>
      <c r="Y4778" s="54" t="s">
        <v>2</v>
      </c>
      <c r="Z4778" s="54" t="s">
        <v>2</v>
      </c>
      <c r="AA4778" s="54" t="s">
        <v>2</v>
      </c>
      <c r="AB4778" s="54" t="s">
        <v>2</v>
      </c>
      <c r="AC4778" s="54" t="s">
        <v>2</v>
      </c>
      <c r="AD4778" s="54" t="s">
        <v>2</v>
      </c>
      <c r="AE4778" s="54" t="s">
        <v>2</v>
      </c>
      <c r="AF4778" s="54" t="s">
        <v>2</v>
      </c>
      <c r="AG4778" s="54" t="s">
        <v>2</v>
      </c>
    </row>
    <row r="4779" ht="15.75" customHeight="1">
      <c r="B4779" s="56"/>
      <c r="U4779" s="46" t="str">
        <f t="array" ref="U4779">IF($D4779="","",IFERROR(_xlfn.XLOOKUP($D4779,'TIR店舗一覧'!$D:$D,'TIR店舗一覧'!$E:$E,""),""))</f>
        <v/>
      </c>
      <c r="V4779" s="54" t="s">
        <v>2</v>
      </c>
      <c r="W4779" s="54" t="s">
        <v>2</v>
      </c>
      <c r="X4779" s="54" t="s">
        <v>2</v>
      </c>
      <c r="Y4779" s="54" t="s">
        <v>2</v>
      </c>
      <c r="Z4779" s="54" t="s">
        <v>2</v>
      </c>
      <c r="AA4779" s="54" t="s">
        <v>2</v>
      </c>
      <c r="AB4779" s="54" t="s">
        <v>2</v>
      </c>
      <c r="AC4779" s="54" t="s">
        <v>2</v>
      </c>
      <c r="AD4779" s="54" t="s">
        <v>2</v>
      </c>
      <c r="AE4779" s="54" t="s">
        <v>2</v>
      </c>
      <c r="AF4779" s="54" t="s">
        <v>2</v>
      </c>
      <c r="AG4779" s="54" t="s">
        <v>2</v>
      </c>
    </row>
    <row r="4780" ht="15.75" customHeight="1">
      <c r="B4780" s="56"/>
      <c r="U4780" s="46" t="str">
        <f t="array" ref="U4780">IF($D4780="","",IFERROR(_xlfn.XLOOKUP($D4780,'TIR店舗一覧'!$D:$D,'TIR店舗一覧'!$E:$E,""),""))</f>
        <v/>
      </c>
      <c r="V4780" s="54" t="s">
        <v>2</v>
      </c>
      <c r="W4780" s="54" t="s">
        <v>2</v>
      </c>
      <c r="X4780" s="54" t="s">
        <v>2</v>
      </c>
      <c r="Y4780" s="54" t="s">
        <v>2</v>
      </c>
      <c r="Z4780" s="54" t="s">
        <v>2</v>
      </c>
      <c r="AA4780" s="54" t="s">
        <v>2</v>
      </c>
      <c r="AB4780" s="54" t="s">
        <v>2</v>
      </c>
      <c r="AC4780" s="54" t="s">
        <v>2</v>
      </c>
      <c r="AD4780" s="54" t="s">
        <v>2</v>
      </c>
      <c r="AE4780" s="54" t="s">
        <v>2</v>
      </c>
      <c r="AF4780" s="54" t="s">
        <v>2</v>
      </c>
      <c r="AG4780" s="54" t="s">
        <v>2</v>
      </c>
    </row>
    <row r="4781" ht="15.75" customHeight="1">
      <c r="B4781" s="56"/>
      <c r="U4781" s="46" t="str">
        <f t="array" ref="U4781">IF($D4781="","",IFERROR(_xlfn.XLOOKUP($D4781,'TIR店舗一覧'!$D:$D,'TIR店舗一覧'!$E:$E,""),""))</f>
        <v/>
      </c>
      <c r="V4781" s="54" t="s">
        <v>2</v>
      </c>
      <c r="W4781" s="54" t="s">
        <v>2</v>
      </c>
      <c r="X4781" s="54" t="s">
        <v>2</v>
      </c>
      <c r="Y4781" s="54" t="s">
        <v>2</v>
      </c>
      <c r="Z4781" s="54" t="s">
        <v>2</v>
      </c>
      <c r="AA4781" s="54" t="s">
        <v>2</v>
      </c>
      <c r="AB4781" s="54" t="s">
        <v>2</v>
      </c>
      <c r="AC4781" s="54" t="s">
        <v>2</v>
      </c>
      <c r="AD4781" s="54" t="s">
        <v>2</v>
      </c>
      <c r="AE4781" s="54" t="s">
        <v>2</v>
      </c>
      <c r="AF4781" s="54" t="s">
        <v>2</v>
      </c>
      <c r="AG4781" s="54" t="s">
        <v>2</v>
      </c>
    </row>
    <row r="4782" ht="15.75" customHeight="1">
      <c r="B4782" s="56"/>
      <c r="U4782" s="46" t="str">
        <f t="array" ref="U4782">IF($D4782="","",IFERROR(_xlfn.XLOOKUP($D4782,'TIR店舗一覧'!$D:$D,'TIR店舗一覧'!$E:$E,""),""))</f>
        <v/>
      </c>
      <c r="V4782" s="54" t="s">
        <v>2</v>
      </c>
      <c r="W4782" s="54" t="s">
        <v>2</v>
      </c>
      <c r="X4782" s="54" t="s">
        <v>2</v>
      </c>
      <c r="Y4782" s="54" t="s">
        <v>2</v>
      </c>
      <c r="Z4782" s="54" t="s">
        <v>2</v>
      </c>
      <c r="AA4782" s="54" t="s">
        <v>2</v>
      </c>
      <c r="AB4782" s="54" t="s">
        <v>2</v>
      </c>
      <c r="AC4782" s="54" t="s">
        <v>2</v>
      </c>
      <c r="AD4782" s="54" t="s">
        <v>2</v>
      </c>
      <c r="AE4782" s="54" t="s">
        <v>2</v>
      </c>
      <c r="AF4782" s="54" t="s">
        <v>2</v>
      </c>
      <c r="AG4782" s="54" t="s">
        <v>2</v>
      </c>
    </row>
    <row r="4783" ht="15.75" customHeight="1">
      <c r="B4783" s="56"/>
      <c r="U4783" s="46" t="str">
        <f t="array" ref="U4783">IF($D4783="","",IFERROR(_xlfn.XLOOKUP($D4783,'TIR店舗一覧'!$D:$D,'TIR店舗一覧'!$E:$E,""),""))</f>
        <v/>
      </c>
      <c r="V4783" s="54" t="s">
        <v>2</v>
      </c>
      <c r="W4783" s="54" t="s">
        <v>2</v>
      </c>
      <c r="X4783" s="54" t="s">
        <v>2</v>
      </c>
      <c r="Y4783" s="54" t="s">
        <v>2</v>
      </c>
      <c r="Z4783" s="54" t="s">
        <v>2</v>
      </c>
      <c r="AA4783" s="54" t="s">
        <v>2</v>
      </c>
      <c r="AB4783" s="54" t="s">
        <v>2</v>
      </c>
      <c r="AC4783" s="54" t="s">
        <v>2</v>
      </c>
      <c r="AD4783" s="54" t="s">
        <v>2</v>
      </c>
      <c r="AE4783" s="54" t="s">
        <v>2</v>
      </c>
      <c r="AF4783" s="54" t="s">
        <v>2</v>
      </c>
      <c r="AG4783" s="54" t="s">
        <v>2</v>
      </c>
    </row>
    <row r="4784" ht="15.75" customHeight="1">
      <c r="B4784" s="56"/>
      <c r="U4784" s="46" t="str">
        <f t="array" ref="U4784">IF($D4784="","",IFERROR(_xlfn.XLOOKUP($D4784,'TIR店舗一覧'!$D:$D,'TIR店舗一覧'!$E:$E,""),""))</f>
        <v/>
      </c>
      <c r="V4784" s="54" t="s">
        <v>2</v>
      </c>
      <c r="W4784" s="54" t="s">
        <v>2</v>
      </c>
      <c r="X4784" s="54" t="s">
        <v>2</v>
      </c>
      <c r="Y4784" s="54" t="s">
        <v>2</v>
      </c>
      <c r="Z4784" s="54" t="s">
        <v>2</v>
      </c>
      <c r="AA4784" s="54" t="s">
        <v>2</v>
      </c>
      <c r="AB4784" s="54" t="s">
        <v>2</v>
      </c>
      <c r="AC4784" s="54" t="s">
        <v>2</v>
      </c>
      <c r="AD4784" s="54" t="s">
        <v>2</v>
      </c>
      <c r="AE4784" s="54" t="s">
        <v>2</v>
      </c>
      <c r="AF4784" s="54" t="s">
        <v>2</v>
      </c>
      <c r="AG4784" s="54" t="s">
        <v>2</v>
      </c>
    </row>
    <row r="4785" ht="15.75" customHeight="1">
      <c r="B4785" s="56"/>
      <c r="U4785" s="46" t="str">
        <f t="array" ref="U4785">IF($D4785="","",IFERROR(_xlfn.XLOOKUP($D4785,'TIR店舗一覧'!$D:$D,'TIR店舗一覧'!$E:$E,""),""))</f>
        <v/>
      </c>
      <c r="V4785" s="54" t="s">
        <v>2</v>
      </c>
      <c r="W4785" s="54" t="s">
        <v>2</v>
      </c>
      <c r="X4785" s="54" t="s">
        <v>2</v>
      </c>
      <c r="Y4785" s="54" t="s">
        <v>2</v>
      </c>
      <c r="Z4785" s="54" t="s">
        <v>2</v>
      </c>
      <c r="AA4785" s="54" t="s">
        <v>2</v>
      </c>
      <c r="AB4785" s="54" t="s">
        <v>2</v>
      </c>
      <c r="AC4785" s="54" t="s">
        <v>2</v>
      </c>
      <c r="AD4785" s="54" t="s">
        <v>2</v>
      </c>
      <c r="AE4785" s="54" t="s">
        <v>2</v>
      </c>
      <c r="AF4785" s="54" t="s">
        <v>2</v>
      </c>
      <c r="AG4785" s="54" t="s">
        <v>2</v>
      </c>
    </row>
    <row r="4786" ht="15.75" customHeight="1">
      <c r="B4786" s="56"/>
      <c r="U4786" s="46" t="str">
        <f t="array" ref="U4786">IF($D4786="","",IFERROR(_xlfn.XLOOKUP($D4786,'TIR店舗一覧'!$D:$D,'TIR店舗一覧'!$E:$E,""),""))</f>
        <v/>
      </c>
      <c r="V4786" s="54" t="s">
        <v>2</v>
      </c>
      <c r="W4786" s="54" t="s">
        <v>2</v>
      </c>
      <c r="X4786" s="54" t="s">
        <v>2</v>
      </c>
      <c r="Y4786" s="54" t="s">
        <v>2</v>
      </c>
      <c r="Z4786" s="54" t="s">
        <v>2</v>
      </c>
      <c r="AA4786" s="54" t="s">
        <v>2</v>
      </c>
      <c r="AB4786" s="54" t="s">
        <v>2</v>
      </c>
      <c r="AC4786" s="54" t="s">
        <v>2</v>
      </c>
      <c r="AD4786" s="54" t="s">
        <v>2</v>
      </c>
      <c r="AE4786" s="54" t="s">
        <v>2</v>
      </c>
      <c r="AF4786" s="54" t="s">
        <v>2</v>
      </c>
      <c r="AG4786" s="54" t="s">
        <v>2</v>
      </c>
    </row>
    <row r="4787" ht="15.75" customHeight="1">
      <c r="B4787" s="56"/>
      <c r="U4787" s="46" t="str">
        <f t="array" ref="U4787">IF($D4787="","",IFERROR(_xlfn.XLOOKUP($D4787,'TIR店舗一覧'!$D:$D,'TIR店舗一覧'!$E:$E,""),""))</f>
        <v/>
      </c>
      <c r="V4787" s="54" t="s">
        <v>2</v>
      </c>
      <c r="W4787" s="54" t="s">
        <v>2</v>
      </c>
      <c r="X4787" s="54" t="s">
        <v>2</v>
      </c>
      <c r="Y4787" s="54" t="s">
        <v>2</v>
      </c>
      <c r="Z4787" s="54" t="s">
        <v>2</v>
      </c>
      <c r="AA4787" s="54" t="s">
        <v>2</v>
      </c>
      <c r="AB4787" s="54" t="s">
        <v>2</v>
      </c>
      <c r="AC4787" s="54" t="s">
        <v>2</v>
      </c>
      <c r="AD4787" s="54" t="s">
        <v>2</v>
      </c>
      <c r="AE4787" s="54" t="s">
        <v>2</v>
      </c>
      <c r="AF4787" s="54" t="s">
        <v>2</v>
      </c>
      <c r="AG4787" s="54" t="s">
        <v>2</v>
      </c>
    </row>
    <row r="4788" ht="15.75" customHeight="1">
      <c r="B4788" s="56"/>
      <c r="U4788" s="46" t="str">
        <f t="array" ref="U4788">IF($D4788="","",IFERROR(_xlfn.XLOOKUP($D4788,'TIR店舗一覧'!$D:$D,'TIR店舗一覧'!$E:$E,""),""))</f>
        <v/>
      </c>
      <c r="V4788" s="54" t="s">
        <v>2</v>
      </c>
      <c r="W4788" s="54" t="s">
        <v>2</v>
      </c>
      <c r="X4788" s="54" t="s">
        <v>2</v>
      </c>
      <c r="Y4788" s="54" t="s">
        <v>2</v>
      </c>
      <c r="Z4788" s="54" t="s">
        <v>2</v>
      </c>
      <c r="AA4788" s="54" t="s">
        <v>2</v>
      </c>
      <c r="AB4788" s="54" t="s">
        <v>2</v>
      </c>
      <c r="AC4788" s="54" t="s">
        <v>2</v>
      </c>
      <c r="AD4788" s="54" t="s">
        <v>2</v>
      </c>
      <c r="AE4788" s="54" t="s">
        <v>2</v>
      </c>
      <c r="AF4788" s="54" t="s">
        <v>2</v>
      </c>
      <c r="AG4788" s="54" t="s">
        <v>2</v>
      </c>
    </row>
    <row r="4789" ht="15.75" customHeight="1">
      <c r="B4789" s="56"/>
      <c r="U4789" s="46" t="str">
        <f t="array" ref="U4789">IF($D4789="","",IFERROR(_xlfn.XLOOKUP($D4789,'TIR店舗一覧'!$D:$D,'TIR店舗一覧'!$E:$E,""),""))</f>
        <v/>
      </c>
      <c r="V4789" s="54" t="s">
        <v>2</v>
      </c>
      <c r="W4789" s="54" t="s">
        <v>2</v>
      </c>
      <c r="X4789" s="54" t="s">
        <v>2</v>
      </c>
      <c r="Y4789" s="54" t="s">
        <v>2</v>
      </c>
      <c r="Z4789" s="54" t="s">
        <v>2</v>
      </c>
      <c r="AA4789" s="54" t="s">
        <v>2</v>
      </c>
      <c r="AB4789" s="54" t="s">
        <v>2</v>
      </c>
      <c r="AC4789" s="54" t="s">
        <v>2</v>
      </c>
      <c r="AD4789" s="54" t="s">
        <v>2</v>
      </c>
      <c r="AE4789" s="54" t="s">
        <v>2</v>
      </c>
      <c r="AF4789" s="54" t="s">
        <v>2</v>
      </c>
      <c r="AG4789" s="54" t="s">
        <v>2</v>
      </c>
    </row>
    <row r="4790" ht="15.75" customHeight="1">
      <c r="B4790" s="56"/>
      <c r="U4790" s="46" t="str">
        <f t="array" ref="U4790">IF($D4790="","",IFERROR(_xlfn.XLOOKUP($D4790,'TIR店舗一覧'!$D:$D,'TIR店舗一覧'!$E:$E,""),""))</f>
        <v/>
      </c>
      <c r="V4790" s="54" t="s">
        <v>2</v>
      </c>
      <c r="W4790" s="54" t="s">
        <v>2</v>
      </c>
      <c r="X4790" s="54" t="s">
        <v>2</v>
      </c>
      <c r="Y4790" s="54" t="s">
        <v>2</v>
      </c>
      <c r="Z4790" s="54" t="s">
        <v>2</v>
      </c>
      <c r="AA4790" s="54" t="s">
        <v>2</v>
      </c>
      <c r="AB4790" s="54" t="s">
        <v>2</v>
      </c>
      <c r="AC4790" s="54" t="s">
        <v>2</v>
      </c>
      <c r="AD4790" s="54" t="s">
        <v>2</v>
      </c>
      <c r="AE4790" s="54" t="s">
        <v>2</v>
      </c>
      <c r="AF4790" s="54" t="s">
        <v>2</v>
      </c>
      <c r="AG4790" s="54" t="s">
        <v>2</v>
      </c>
    </row>
    <row r="4791" ht="15.75" customHeight="1">
      <c r="B4791" s="56"/>
      <c r="U4791" s="46" t="str">
        <f t="array" ref="U4791">IF($D4791="","",IFERROR(_xlfn.XLOOKUP($D4791,'TIR店舗一覧'!$D:$D,'TIR店舗一覧'!$E:$E,""),""))</f>
        <v/>
      </c>
      <c r="V4791" s="54" t="s">
        <v>2</v>
      </c>
      <c r="W4791" s="54" t="s">
        <v>2</v>
      </c>
      <c r="X4791" s="54" t="s">
        <v>2</v>
      </c>
      <c r="Y4791" s="54" t="s">
        <v>2</v>
      </c>
      <c r="Z4791" s="54" t="s">
        <v>2</v>
      </c>
      <c r="AA4791" s="54" t="s">
        <v>2</v>
      </c>
      <c r="AB4791" s="54" t="s">
        <v>2</v>
      </c>
      <c r="AC4791" s="54" t="s">
        <v>2</v>
      </c>
      <c r="AD4791" s="54" t="s">
        <v>2</v>
      </c>
      <c r="AE4791" s="54" t="s">
        <v>2</v>
      </c>
      <c r="AF4791" s="54" t="s">
        <v>2</v>
      </c>
      <c r="AG4791" s="54" t="s">
        <v>2</v>
      </c>
    </row>
    <row r="4792" ht="15.75" customHeight="1">
      <c r="B4792" s="56"/>
      <c r="U4792" s="46" t="str">
        <f t="array" ref="U4792">IF($D4792="","",IFERROR(_xlfn.XLOOKUP($D4792,'TIR店舗一覧'!$D:$D,'TIR店舗一覧'!$E:$E,""),""))</f>
        <v/>
      </c>
      <c r="V4792" s="54" t="s">
        <v>2</v>
      </c>
      <c r="W4792" s="54" t="s">
        <v>2</v>
      </c>
      <c r="X4792" s="54" t="s">
        <v>2</v>
      </c>
      <c r="Y4792" s="54" t="s">
        <v>2</v>
      </c>
      <c r="Z4792" s="54" t="s">
        <v>2</v>
      </c>
      <c r="AA4792" s="54" t="s">
        <v>2</v>
      </c>
      <c r="AB4792" s="54" t="s">
        <v>2</v>
      </c>
      <c r="AC4792" s="54" t="s">
        <v>2</v>
      </c>
      <c r="AD4792" s="54" t="s">
        <v>2</v>
      </c>
      <c r="AE4792" s="54" t="s">
        <v>2</v>
      </c>
      <c r="AF4792" s="54" t="s">
        <v>2</v>
      </c>
      <c r="AG4792" s="54" t="s">
        <v>2</v>
      </c>
    </row>
    <row r="4793" ht="15.75" customHeight="1">
      <c r="B4793" s="56"/>
      <c r="U4793" s="46" t="str">
        <f t="array" ref="U4793">IF($D4793="","",IFERROR(_xlfn.XLOOKUP($D4793,'TIR店舗一覧'!$D:$D,'TIR店舗一覧'!$E:$E,""),""))</f>
        <v/>
      </c>
      <c r="V4793" s="54" t="s">
        <v>2</v>
      </c>
      <c r="W4793" s="54" t="s">
        <v>2</v>
      </c>
      <c r="X4793" s="54" t="s">
        <v>2</v>
      </c>
      <c r="Y4793" s="54" t="s">
        <v>2</v>
      </c>
      <c r="Z4793" s="54" t="s">
        <v>2</v>
      </c>
      <c r="AA4793" s="54" t="s">
        <v>2</v>
      </c>
      <c r="AB4793" s="54" t="s">
        <v>2</v>
      </c>
      <c r="AC4793" s="54" t="s">
        <v>2</v>
      </c>
      <c r="AD4793" s="54" t="s">
        <v>2</v>
      </c>
      <c r="AE4793" s="54" t="s">
        <v>2</v>
      </c>
      <c r="AF4793" s="54" t="s">
        <v>2</v>
      </c>
      <c r="AG4793" s="54" t="s">
        <v>2</v>
      </c>
    </row>
    <row r="4794" ht="15.75" customHeight="1">
      <c r="B4794" s="56"/>
      <c r="U4794" s="46" t="str">
        <f t="array" ref="U4794">IF($D4794="","",IFERROR(_xlfn.XLOOKUP($D4794,'TIR店舗一覧'!$D:$D,'TIR店舗一覧'!$E:$E,""),""))</f>
        <v/>
      </c>
      <c r="V4794" s="54" t="s">
        <v>2</v>
      </c>
      <c r="W4794" s="54" t="s">
        <v>2</v>
      </c>
      <c r="X4794" s="54" t="s">
        <v>2</v>
      </c>
      <c r="Y4794" s="54" t="s">
        <v>2</v>
      </c>
      <c r="Z4794" s="54" t="s">
        <v>2</v>
      </c>
      <c r="AA4794" s="54" t="s">
        <v>2</v>
      </c>
      <c r="AB4794" s="54" t="s">
        <v>2</v>
      </c>
      <c r="AC4794" s="54" t="s">
        <v>2</v>
      </c>
      <c r="AD4794" s="54" t="s">
        <v>2</v>
      </c>
      <c r="AE4794" s="54" t="s">
        <v>2</v>
      </c>
      <c r="AF4794" s="54" t="s">
        <v>2</v>
      </c>
      <c r="AG4794" s="54" t="s">
        <v>2</v>
      </c>
    </row>
    <row r="4795" ht="15.75" customHeight="1">
      <c r="B4795" s="56"/>
      <c r="U4795" s="46" t="str">
        <f t="array" ref="U4795">IF($D4795="","",IFERROR(_xlfn.XLOOKUP($D4795,'TIR店舗一覧'!$D:$D,'TIR店舗一覧'!$E:$E,""),""))</f>
        <v/>
      </c>
      <c r="V4795" s="54" t="s">
        <v>2</v>
      </c>
      <c r="W4795" s="54" t="s">
        <v>2</v>
      </c>
      <c r="X4795" s="54" t="s">
        <v>2</v>
      </c>
      <c r="Y4795" s="54" t="s">
        <v>2</v>
      </c>
      <c r="Z4795" s="54" t="s">
        <v>2</v>
      </c>
      <c r="AA4795" s="54" t="s">
        <v>2</v>
      </c>
      <c r="AB4795" s="54" t="s">
        <v>2</v>
      </c>
      <c r="AC4795" s="54" t="s">
        <v>2</v>
      </c>
      <c r="AD4795" s="54" t="s">
        <v>2</v>
      </c>
      <c r="AE4795" s="54" t="s">
        <v>2</v>
      </c>
      <c r="AF4795" s="54" t="s">
        <v>2</v>
      </c>
      <c r="AG4795" s="54" t="s">
        <v>2</v>
      </c>
    </row>
    <row r="4796" ht="15.75" customHeight="1">
      <c r="B4796" s="56"/>
      <c r="U4796" s="46" t="str">
        <f t="array" ref="U4796">IF($D4796="","",IFERROR(_xlfn.XLOOKUP($D4796,'TIR店舗一覧'!$D:$D,'TIR店舗一覧'!$E:$E,""),""))</f>
        <v/>
      </c>
      <c r="V4796" s="54" t="s">
        <v>2</v>
      </c>
      <c r="W4796" s="54" t="s">
        <v>2</v>
      </c>
      <c r="X4796" s="54" t="s">
        <v>2</v>
      </c>
      <c r="Y4796" s="54" t="s">
        <v>2</v>
      </c>
      <c r="Z4796" s="54" t="s">
        <v>2</v>
      </c>
      <c r="AA4796" s="54" t="s">
        <v>2</v>
      </c>
      <c r="AB4796" s="54" t="s">
        <v>2</v>
      </c>
      <c r="AC4796" s="54" t="s">
        <v>2</v>
      </c>
      <c r="AD4796" s="54" t="s">
        <v>2</v>
      </c>
      <c r="AE4796" s="54" t="s">
        <v>2</v>
      </c>
      <c r="AF4796" s="54" t="s">
        <v>2</v>
      </c>
      <c r="AG4796" s="54" t="s">
        <v>2</v>
      </c>
    </row>
    <row r="4797" ht="15.75" customHeight="1">
      <c r="B4797" s="56"/>
      <c r="U4797" s="46" t="str">
        <f t="array" ref="U4797">IF($D4797="","",IFERROR(_xlfn.XLOOKUP($D4797,'TIR店舗一覧'!$D:$D,'TIR店舗一覧'!$E:$E,""),""))</f>
        <v/>
      </c>
      <c r="V4797" s="54" t="s">
        <v>2</v>
      </c>
      <c r="W4797" s="54" t="s">
        <v>2</v>
      </c>
      <c r="X4797" s="54" t="s">
        <v>2</v>
      </c>
      <c r="Y4797" s="54" t="s">
        <v>2</v>
      </c>
      <c r="Z4797" s="54" t="s">
        <v>2</v>
      </c>
      <c r="AA4797" s="54" t="s">
        <v>2</v>
      </c>
      <c r="AB4797" s="54" t="s">
        <v>2</v>
      </c>
      <c r="AC4797" s="54" t="s">
        <v>2</v>
      </c>
      <c r="AD4797" s="54" t="s">
        <v>2</v>
      </c>
      <c r="AE4797" s="54" t="s">
        <v>2</v>
      </c>
      <c r="AF4797" s="54" t="s">
        <v>2</v>
      </c>
      <c r="AG4797" s="54" t="s">
        <v>2</v>
      </c>
    </row>
    <row r="4798" ht="15.75" customHeight="1">
      <c r="B4798" s="56"/>
      <c r="U4798" s="46" t="str">
        <f t="array" ref="U4798">IF($D4798="","",IFERROR(_xlfn.XLOOKUP($D4798,'TIR店舗一覧'!$D:$D,'TIR店舗一覧'!$E:$E,""),""))</f>
        <v/>
      </c>
      <c r="V4798" s="54" t="s">
        <v>2</v>
      </c>
      <c r="W4798" s="54" t="s">
        <v>2</v>
      </c>
      <c r="X4798" s="54" t="s">
        <v>2</v>
      </c>
      <c r="Y4798" s="54" t="s">
        <v>2</v>
      </c>
      <c r="Z4798" s="54" t="s">
        <v>2</v>
      </c>
      <c r="AA4798" s="54" t="s">
        <v>2</v>
      </c>
      <c r="AB4798" s="54" t="s">
        <v>2</v>
      </c>
      <c r="AC4798" s="54" t="s">
        <v>2</v>
      </c>
      <c r="AD4798" s="54" t="s">
        <v>2</v>
      </c>
      <c r="AE4798" s="54" t="s">
        <v>2</v>
      </c>
      <c r="AF4798" s="54" t="s">
        <v>2</v>
      </c>
      <c r="AG4798" s="54" t="s">
        <v>2</v>
      </c>
    </row>
    <row r="4799" ht="15.75" customHeight="1">
      <c r="B4799" s="56"/>
      <c r="U4799" s="46" t="str">
        <f t="array" ref="U4799">IF($D4799="","",IFERROR(_xlfn.XLOOKUP($D4799,'TIR店舗一覧'!$D:$D,'TIR店舗一覧'!$E:$E,""),""))</f>
        <v/>
      </c>
      <c r="V4799" s="54" t="s">
        <v>2</v>
      </c>
      <c r="W4799" s="54" t="s">
        <v>2</v>
      </c>
      <c r="X4799" s="54" t="s">
        <v>2</v>
      </c>
      <c r="Y4799" s="54" t="s">
        <v>2</v>
      </c>
      <c r="Z4799" s="54" t="s">
        <v>2</v>
      </c>
      <c r="AA4799" s="54" t="s">
        <v>2</v>
      </c>
      <c r="AB4799" s="54" t="s">
        <v>2</v>
      </c>
      <c r="AC4799" s="54" t="s">
        <v>2</v>
      </c>
      <c r="AD4799" s="54" t="s">
        <v>2</v>
      </c>
      <c r="AE4799" s="54" t="s">
        <v>2</v>
      </c>
      <c r="AF4799" s="54" t="s">
        <v>2</v>
      </c>
      <c r="AG4799" s="54" t="s">
        <v>2</v>
      </c>
    </row>
    <row r="4800" ht="15.75" customHeight="1">
      <c r="B4800" s="56"/>
      <c r="U4800" s="46" t="str">
        <f t="array" ref="U4800">IF($D4800="","",IFERROR(_xlfn.XLOOKUP($D4800,'TIR店舗一覧'!$D:$D,'TIR店舗一覧'!$E:$E,""),""))</f>
        <v/>
      </c>
      <c r="V4800" s="54" t="s">
        <v>2</v>
      </c>
      <c r="W4800" s="54" t="s">
        <v>2</v>
      </c>
      <c r="X4800" s="54" t="s">
        <v>2</v>
      </c>
      <c r="Y4800" s="54" t="s">
        <v>2</v>
      </c>
      <c r="Z4800" s="54" t="s">
        <v>2</v>
      </c>
      <c r="AA4800" s="54" t="s">
        <v>2</v>
      </c>
      <c r="AB4800" s="54" t="s">
        <v>2</v>
      </c>
      <c r="AC4800" s="54" t="s">
        <v>2</v>
      </c>
      <c r="AD4800" s="54" t="s">
        <v>2</v>
      </c>
      <c r="AE4800" s="54" t="s">
        <v>2</v>
      </c>
      <c r="AF4800" s="54" t="s">
        <v>2</v>
      </c>
      <c r="AG4800" s="54" t="s">
        <v>2</v>
      </c>
    </row>
    <row r="4801" ht="15.75" customHeight="1">
      <c r="B4801" s="56"/>
      <c r="U4801" s="46" t="str">
        <f t="array" ref="U4801">IF($D4801="","",IFERROR(_xlfn.XLOOKUP($D4801,'TIR店舗一覧'!$D:$D,'TIR店舗一覧'!$E:$E,""),""))</f>
        <v/>
      </c>
      <c r="V4801" s="54" t="s">
        <v>2</v>
      </c>
      <c r="W4801" s="54" t="s">
        <v>2</v>
      </c>
      <c r="X4801" s="54" t="s">
        <v>2</v>
      </c>
      <c r="Y4801" s="54" t="s">
        <v>2</v>
      </c>
      <c r="Z4801" s="54" t="s">
        <v>2</v>
      </c>
      <c r="AA4801" s="54" t="s">
        <v>2</v>
      </c>
      <c r="AB4801" s="54" t="s">
        <v>2</v>
      </c>
      <c r="AC4801" s="54" t="s">
        <v>2</v>
      </c>
      <c r="AD4801" s="54" t="s">
        <v>2</v>
      </c>
      <c r="AE4801" s="54" t="s">
        <v>2</v>
      </c>
      <c r="AF4801" s="54" t="s">
        <v>2</v>
      </c>
      <c r="AG4801" s="54" t="s">
        <v>2</v>
      </c>
    </row>
    <row r="4802" ht="15.75" customHeight="1">
      <c r="B4802" s="56"/>
      <c r="U4802" s="46" t="str">
        <f t="array" ref="U4802">IF($D4802="","",IFERROR(_xlfn.XLOOKUP($D4802,'TIR店舗一覧'!$D:$D,'TIR店舗一覧'!$E:$E,""),""))</f>
        <v/>
      </c>
      <c r="V4802" s="54" t="s">
        <v>2</v>
      </c>
      <c r="W4802" s="54" t="s">
        <v>2</v>
      </c>
      <c r="X4802" s="54" t="s">
        <v>2</v>
      </c>
      <c r="Y4802" s="54" t="s">
        <v>2</v>
      </c>
      <c r="Z4802" s="54" t="s">
        <v>2</v>
      </c>
      <c r="AA4802" s="54" t="s">
        <v>2</v>
      </c>
      <c r="AB4802" s="54" t="s">
        <v>2</v>
      </c>
      <c r="AC4802" s="54" t="s">
        <v>2</v>
      </c>
      <c r="AD4802" s="54" t="s">
        <v>2</v>
      </c>
      <c r="AE4802" s="54" t="s">
        <v>2</v>
      </c>
      <c r="AF4802" s="54" t="s">
        <v>2</v>
      </c>
      <c r="AG4802" s="54" t="s">
        <v>2</v>
      </c>
    </row>
    <row r="4803" ht="15.75" customHeight="1">
      <c r="B4803" s="56"/>
      <c r="U4803" s="46" t="str">
        <f t="array" ref="U4803">IF($D4803="","",IFERROR(_xlfn.XLOOKUP($D4803,'TIR店舗一覧'!$D:$D,'TIR店舗一覧'!$E:$E,""),""))</f>
        <v/>
      </c>
      <c r="V4803" s="54" t="s">
        <v>2</v>
      </c>
      <c r="W4803" s="54" t="s">
        <v>2</v>
      </c>
      <c r="X4803" s="54" t="s">
        <v>2</v>
      </c>
      <c r="Y4803" s="54" t="s">
        <v>2</v>
      </c>
      <c r="Z4803" s="54" t="s">
        <v>2</v>
      </c>
      <c r="AA4803" s="54" t="s">
        <v>2</v>
      </c>
      <c r="AB4803" s="54" t="s">
        <v>2</v>
      </c>
      <c r="AC4803" s="54" t="s">
        <v>2</v>
      </c>
      <c r="AD4803" s="54" t="s">
        <v>2</v>
      </c>
      <c r="AE4803" s="54" t="s">
        <v>2</v>
      </c>
      <c r="AF4803" s="54" t="s">
        <v>2</v>
      </c>
      <c r="AG4803" s="54" t="s">
        <v>2</v>
      </c>
    </row>
    <row r="4804" ht="15.75" customHeight="1">
      <c r="B4804" s="56"/>
      <c r="U4804" s="46" t="str">
        <f t="array" ref="U4804">IF($D4804="","",IFERROR(_xlfn.XLOOKUP($D4804,'TIR店舗一覧'!$D:$D,'TIR店舗一覧'!$E:$E,""),""))</f>
        <v/>
      </c>
      <c r="V4804" s="54" t="s">
        <v>2</v>
      </c>
      <c r="W4804" s="54" t="s">
        <v>2</v>
      </c>
      <c r="X4804" s="54" t="s">
        <v>2</v>
      </c>
      <c r="Y4804" s="54" t="s">
        <v>2</v>
      </c>
      <c r="Z4804" s="54" t="s">
        <v>2</v>
      </c>
      <c r="AA4804" s="54" t="s">
        <v>2</v>
      </c>
      <c r="AB4804" s="54" t="s">
        <v>2</v>
      </c>
      <c r="AC4804" s="54" t="s">
        <v>2</v>
      </c>
      <c r="AD4804" s="54" t="s">
        <v>2</v>
      </c>
      <c r="AE4804" s="54" t="s">
        <v>2</v>
      </c>
      <c r="AF4804" s="54" t="s">
        <v>2</v>
      </c>
      <c r="AG4804" s="54" t="s">
        <v>2</v>
      </c>
    </row>
    <row r="4805" ht="15.75" customHeight="1">
      <c r="B4805" s="56"/>
      <c r="U4805" s="46" t="str">
        <f t="array" ref="U4805">IF($D4805="","",IFERROR(_xlfn.XLOOKUP($D4805,'TIR店舗一覧'!$D:$D,'TIR店舗一覧'!$E:$E,""),""))</f>
        <v/>
      </c>
      <c r="V4805" s="54" t="s">
        <v>2</v>
      </c>
      <c r="W4805" s="54" t="s">
        <v>2</v>
      </c>
      <c r="X4805" s="54" t="s">
        <v>2</v>
      </c>
      <c r="Y4805" s="54" t="s">
        <v>2</v>
      </c>
      <c r="Z4805" s="54" t="s">
        <v>2</v>
      </c>
      <c r="AA4805" s="54" t="s">
        <v>2</v>
      </c>
      <c r="AB4805" s="54" t="s">
        <v>2</v>
      </c>
      <c r="AC4805" s="54" t="s">
        <v>2</v>
      </c>
      <c r="AD4805" s="54" t="s">
        <v>2</v>
      </c>
      <c r="AE4805" s="54" t="s">
        <v>2</v>
      </c>
      <c r="AF4805" s="54" t="s">
        <v>2</v>
      </c>
      <c r="AG4805" s="54" t="s">
        <v>2</v>
      </c>
    </row>
    <row r="4806" ht="15.75" customHeight="1">
      <c r="B4806" s="56"/>
      <c r="U4806" s="46" t="str">
        <f t="array" ref="U4806">IF($D4806="","",IFERROR(_xlfn.XLOOKUP($D4806,'TIR店舗一覧'!$D:$D,'TIR店舗一覧'!$E:$E,""),""))</f>
        <v/>
      </c>
      <c r="V4806" s="54" t="s">
        <v>2</v>
      </c>
      <c r="W4806" s="54" t="s">
        <v>2</v>
      </c>
      <c r="X4806" s="54" t="s">
        <v>2</v>
      </c>
      <c r="Y4806" s="54" t="s">
        <v>2</v>
      </c>
      <c r="Z4806" s="54" t="s">
        <v>2</v>
      </c>
      <c r="AA4806" s="54" t="s">
        <v>2</v>
      </c>
      <c r="AB4806" s="54" t="s">
        <v>2</v>
      </c>
      <c r="AC4806" s="54" t="s">
        <v>2</v>
      </c>
      <c r="AD4806" s="54" t="s">
        <v>2</v>
      </c>
      <c r="AE4806" s="54" t="s">
        <v>2</v>
      </c>
      <c r="AF4806" s="54" t="s">
        <v>2</v>
      </c>
      <c r="AG4806" s="54" t="s">
        <v>2</v>
      </c>
    </row>
    <row r="4807" ht="15.75" customHeight="1">
      <c r="B4807" s="56"/>
      <c r="U4807" s="46" t="str">
        <f t="array" ref="U4807">IF($D4807="","",IFERROR(_xlfn.XLOOKUP($D4807,'TIR店舗一覧'!$D:$D,'TIR店舗一覧'!$E:$E,""),""))</f>
        <v/>
      </c>
      <c r="V4807" s="54" t="s">
        <v>2</v>
      </c>
      <c r="W4807" s="54" t="s">
        <v>2</v>
      </c>
      <c r="X4807" s="54" t="s">
        <v>2</v>
      </c>
      <c r="Y4807" s="54" t="s">
        <v>2</v>
      </c>
      <c r="Z4807" s="54" t="s">
        <v>2</v>
      </c>
      <c r="AA4807" s="54" t="s">
        <v>2</v>
      </c>
      <c r="AB4807" s="54" t="s">
        <v>2</v>
      </c>
      <c r="AC4807" s="54" t="s">
        <v>2</v>
      </c>
      <c r="AD4807" s="54" t="s">
        <v>2</v>
      </c>
      <c r="AE4807" s="54" t="s">
        <v>2</v>
      </c>
      <c r="AF4807" s="54" t="s">
        <v>2</v>
      </c>
      <c r="AG4807" s="54" t="s">
        <v>2</v>
      </c>
    </row>
    <row r="4808" ht="15.75" customHeight="1">
      <c r="B4808" s="56"/>
      <c r="U4808" s="46" t="str">
        <f t="array" ref="U4808">IF($D4808="","",IFERROR(_xlfn.XLOOKUP($D4808,'TIR店舗一覧'!$D:$D,'TIR店舗一覧'!$E:$E,""),""))</f>
        <v/>
      </c>
      <c r="V4808" s="54" t="s">
        <v>2</v>
      </c>
      <c r="W4808" s="54" t="s">
        <v>2</v>
      </c>
      <c r="X4808" s="54" t="s">
        <v>2</v>
      </c>
      <c r="Y4808" s="54" t="s">
        <v>2</v>
      </c>
      <c r="Z4808" s="54" t="s">
        <v>2</v>
      </c>
      <c r="AA4808" s="54" t="s">
        <v>2</v>
      </c>
      <c r="AB4808" s="54" t="s">
        <v>2</v>
      </c>
      <c r="AC4808" s="54" t="s">
        <v>2</v>
      </c>
      <c r="AD4808" s="54" t="s">
        <v>2</v>
      </c>
      <c r="AE4808" s="54" t="s">
        <v>2</v>
      </c>
      <c r="AF4808" s="54" t="s">
        <v>2</v>
      </c>
      <c r="AG4808" s="54" t="s">
        <v>2</v>
      </c>
    </row>
    <row r="4809" ht="15.75" customHeight="1">
      <c r="B4809" s="56"/>
      <c r="U4809" s="46" t="str">
        <f t="array" ref="U4809">IF($D4809="","",IFERROR(_xlfn.XLOOKUP($D4809,'TIR店舗一覧'!$D:$D,'TIR店舗一覧'!$E:$E,""),""))</f>
        <v/>
      </c>
      <c r="V4809" s="54" t="s">
        <v>2</v>
      </c>
      <c r="W4809" s="54" t="s">
        <v>2</v>
      </c>
      <c r="X4809" s="54" t="s">
        <v>2</v>
      </c>
      <c r="Y4809" s="54" t="s">
        <v>2</v>
      </c>
      <c r="Z4809" s="54" t="s">
        <v>2</v>
      </c>
      <c r="AA4809" s="54" t="s">
        <v>2</v>
      </c>
      <c r="AB4809" s="54" t="s">
        <v>2</v>
      </c>
      <c r="AC4809" s="54" t="s">
        <v>2</v>
      </c>
      <c r="AD4809" s="54" t="s">
        <v>2</v>
      </c>
      <c r="AE4809" s="54" t="s">
        <v>2</v>
      </c>
      <c r="AF4809" s="54" t="s">
        <v>2</v>
      </c>
      <c r="AG4809" s="54" t="s">
        <v>2</v>
      </c>
    </row>
    <row r="4810" ht="15.75" customHeight="1">
      <c r="B4810" s="56"/>
      <c r="U4810" s="46" t="str">
        <f t="array" ref="U4810">IF($D4810="","",IFERROR(_xlfn.XLOOKUP($D4810,'TIR店舗一覧'!$D:$D,'TIR店舗一覧'!$E:$E,""),""))</f>
        <v/>
      </c>
      <c r="V4810" s="54" t="s">
        <v>2</v>
      </c>
      <c r="W4810" s="54" t="s">
        <v>2</v>
      </c>
      <c r="X4810" s="54" t="s">
        <v>2</v>
      </c>
      <c r="Y4810" s="54" t="s">
        <v>2</v>
      </c>
      <c r="Z4810" s="54" t="s">
        <v>2</v>
      </c>
      <c r="AA4810" s="54" t="s">
        <v>2</v>
      </c>
      <c r="AB4810" s="54" t="s">
        <v>2</v>
      </c>
      <c r="AC4810" s="54" t="s">
        <v>2</v>
      </c>
      <c r="AD4810" s="54" t="s">
        <v>2</v>
      </c>
      <c r="AE4810" s="54" t="s">
        <v>2</v>
      </c>
      <c r="AF4810" s="54" t="s">
        <v>2</v>
      </c>
      <c r="AG4810" s="54" t="s">
        <v>2</v>
      </c>
    </row>
    <row r="4811" ht="15.75" customHeight="1">
      <c r="B4811" s="56"/>
      <c r="U4811" s="46" t="str">
        <f t="array" ref="U4811">IF($D4811="","",IFERROR(_xlfn.XLOOKUP($D4811,'TIR店舗一覧'!$D:$D,'TIR店舗一覧'!$E:$E,""),""))</f>
        <v/>
      </c>
      <c r="V4811" s="54" t="s">
        <v>2</v>
      </c>
      <c r="W4811" s="54" t="s">
        <v>2</v>
      </c>
      <c r="X4811" s="54" t="s">
        <v>2</v>
      </c>
      <c r="Y4811" s="54" t="s">
        <v>2</v>
      </c>
      <c r="Z4811" s="54" t="s">
        <v>2</v>
      </c>
      <c r="AA4811" s="54" t="s">
        <v>2</v>
      </c>
      <c r="AB4811" s="54" t="s">
        <v>2</v>
      </c>
      <c r="AC4811" s="54" t="s">
        <v>2</v>
      </c>
      <c r="AD4811" s="54" t="s">
        <v>2</v>
      </c>
      <c r="AE4811" s="54" t="s">
        <v>2</v>
      </c>
      <c r="AF4811" s="54" t="s">
        <v>2</v>
      </c>
      <c r="AG4811" s="54" t="s">
        <v>2</v>
      </c>
    </row>
    <row r="4812" ht="15.75" customHeight="1">
      <c r="B4812" s="56"/>
      <c r="U4812" s="46" t="str">
        <f t="array" ref="U4812">IF($D4812="","",IFERROR(_xlfn.XLOOKUP($D4812,'TIR店舗一覧'!$D:$D,'TIR店舗一覧'!$E:$E,""),""))</f>
        <v/>
      </c>
      <c r="V4812" s="54" t="s">
        <v>2</v>
      </c>
      <c r="W4812" s="54" t="s">
        <v>2</v>
      </c>
      <c r="X4812" s="54" t="s">
        <v>2</v>
      </c>
      <c r="Y4812" s="54" t="s">
        <v>2</v>
      </c>
      <c r="Z4812" s="54" t="s">
        <v>2</v>
      </c>
      <c r="AA4812" s="54" t="s">
        <v>2</v>
      </c>
      <c r="AB4812" s="54" t="s">
        <v>2</v>
      </c>
      <c r="AC4812" s="54" t="s">
        <v>2</v>
      </c>
      <c r="AD4812" s="54" t="s">
        <v>2</v>
      </c>
      <c r="AE4812" s="54" t="s">
        <v>2</v>
      </c>
      <c r="AF4812" s="54" t="s">
        <v>2</v>
      </c>
      <c r="AG4812" s="54" t="s">
        <v>2</v>
      </c>
    </row>
    <row r="4813" ht="15.75" customHeight="1">
      <c r="B4813" s="56"/>
      <c r="U4813" s="46" t="str">
        <f t="array" ref="U4813">IF($D4813="","",IFERROR(_xlfn.XLOOKUP($D4813,'TIR店舗一覧'!$D:$D,'TIR店舗一覧'!$E:$E,""),""))</f>
        <v/>
      </c>
      <c r="V4813" s="54" t="s">
        <v>2</v>
      </c>
      <c r="W4813" s="54" t="s">
        <v>2</v>
      </c>
      <c r="X4813" s="54" t="s">
        <v>2</v>
      </c>
      <c r="Y4813" s="54" t="s">
        <v>2</v>
      </c>
      <c r="Z4813" s="54" t="s">
        <v>2</v>
      </c>
      <c r="AA4813" s="54" t="s">
        <v>2</v>
      </c>
      <c r="AB4813" s="54" t="s">
        <v>2</v>
      </c>
      <c r="AC4813" s="54" t="s">
        <v>2</v>
      </c>
      <c r="AD4813" s="54" t="s">
        <v>2</v>
      </c>
      <c r="AE4813" s="54" t="s">
        <v>2</v>
      </c>
      <c r="AF4813" s="54" t="s">
        <v>2</v>
      </c>
      <c r="AG4813" s="54" t="s">
        <v>2</v>
      </c>
    </row>
    <row r="4814" ht="15.75" customHeight="1">
      <c r="B4814" s="56"/>
      <c r="U4814" s="46" t="str">
        <f t="array" ref="U4814">IF($D4814="","",IFERROR(_xlfn.XLOOKUP($D4814,'TIR店舗一覧'!$D:$D,'TIR店舗一覧'!$E:$E,""),""))</f>
        <v/>
      </c>
      <c r="V4814" s="54" t="s">
        <v>2</v>
      </c>
      <c r="W4814" s="54" t="s">
        <v>2</v>
      </c>
      <c r="X4814" s="54" t="s">
        <v>2</v>
      </c>
      <c r="Y4814" s="54" t="s">
        <v>2</v>
      </c>
      <c r="Z4814" s="54" t="s">
        <v>2</v>
      </c>
      <c r="AA4814" s="54" t="s">
        <v>2</v>
      </c>
      <c r="AB4814" s="54" t="s">
        <v>2</v>
      </c>
      <c r="AC4814" s="54" t="s">
        <v>2</v>
      </c>
      <c r="AD4814" s="54" t="s">
        <v>2</v>
      </c>
      <c r="AE4814" s="54" t="s">
        <v>2</v>
      </c>
      <c r="AF4814" s="54" t="s">
        <v>2</v>
      </c>
      <c r="AG4814" s="54" t="s">
        <v>2</v>
      </c>
    </row>
    <row r="4815" ht="15.75" customHeight="1">
      <c r="B4815" s="56"/>
      <c r="U4815" s="46" t="str">
        <f t="array" ref="U4815">IF($D4815="","",IFERROR(_xlfn.XLOOKUP($D4815,'TIR店舗一覧'!$D:$D,'TIR店舗一覧'!$E:$E,""),""))</f>
        <v/>
      </c>
      <c r="V4815" s="54" t="s">
        <v>2</v>
      </c>
      <c r="W4815" s="54" t="s">
        <v>2</v>
      </c>
      <c r="X4815" s="54" t="s">
        <v>2</v>
      </c>
      <c r="Y4815" s="54" t="s">
        <v>2</v>
      </c>
      <c r="Z4815" s="54" t="s">
        <v>2</v>
      </c>
      <c r="AA4815" s="54" t="s">
        <v>2</v>
      </c>
      <c r="AB4815" s="54" t="s">
        <v>2</v>
      </c>
      <c r="AC4815" s="54" t="s">
        <v>2</v>
      </c>
      <c r="AD4815" s="54" t="s">
        <v>2</v>
      </c>
      <c r="AE4815" s="54" t="s">
        <v>2</v>
      </c>
      <c r="AF4815" s="54" t="s">
        <v>2</v>
      </c>
      <c r="AG4815" s="54" t="s">
        <v>2</v>
      </c>
    </row>
    <row r="4816" ht="15.75" customHeight="1">
      <c r="B4816" s="56"/>
      <c r="U4816" s="46" t="str">
        <f t="array" ref="U4816">IF($D4816="","",IFERROR(_xlfn.XLOOKUP($D4816,'TIR店舗一覧'!$D:$D,'TIR店舗一覧'!$E:$E,""),""))</f>
        <v/>
      </c>
      <c r="V4816" s="54" t="s">
        <v>2</v>
      </c>
      <c r="W4816" s="54" t="s">
        <v>2</v>
      </c>
      <c r="X4816" s="54" t="s">
        <v>2</v>
      </c>
      <c r="Y4816" s="54" t="s">
        <v>2</v>
      </c>
      <c r="Z4816" s="54" t="s">
        <v>2</v>
      </c>
      <c r="AA4816" s="54" t="s">
        <v>2</v>
      </c>
      <c r="AB4816" s="54" t="s">
        <v>2</v>
      </c>
      <c r="AC4816" s="54" t="s">
        <v>2</v>
      </c>
      <c r="AD4816" s="54" t="s">
        <v>2</v>
      </c>
      <c r="AE4816" s="54" t="s">
        <v>2</v>
      </c>
      <c r="AF4816" s="54" t="s">
        <v>2</v>
      </c>
      <c r="AG4816" s="54" t="s">
        <v>2</v>
      </c>
    </row>
    <row r="4817" ht="15.75" customHeight="1">
      <c r="B4817" s="56"/>
      <c r="U4817" s="46" t="str">
        <f t="array" ref="U4817">IF($D4817="","",IFERROR(_xlfn.XLOOKUP($D4817,'TIR店舗一覧'!$D:$D,'TIR店舗一覧'!$E:$E,""),""))</f>
        <v/>
      </c>
      <c r="V4817" s="54" t="s">
        <v>2</v>
      </c>
      <c r="W4817" s="54" t="s">
        <v>2</v>
      </c>
      <c r="X4817" s="54" t="s">
        <v>2</v>
      </c>
      <c r="Y4817" s="54" t="s">
        <v>2</v>
      </c>
      <c r="Z4817" s="54" t="s">
        <v>2</v>
      </c>
      <c r="AA4817" s="54" t="s">
        <v>2</v>
      </c>
      <c r="AB4817" s="54" t="s">
        <v>2</v>
      </c>
      <c r="AC4817" s="54" t="s">
        <v>2</v>
      </c>
      <c r="AD4817" s="54" t="s">
        <v>2</v>
      </c>
      <c r="AE4817" s="54" t="s">
        <v>2</v>
      </c>
      <c r="AF4817" s="54" t="s">
        <v>2</v>
      </c>
      <c r="AG4817" s="54" t="s">
        <v>2</v>
      </c>
    </row>
    <row r="4818" ht="15.75" customHeight="1">
      <c r="B4818" s="56"/>
      <c r="U4818" s="46" t="str">
        <f t="array" ref="U4818">IF($D4818="","",IFERROR(_xlfn.XLOOKUP($D4818,'TIR店舗一覧'!$D:$D,'TIR店舗一覧'!$E:$E,""),""))</f>
        <v/>
      </c>
      <c r="V4818" s="54" t="s">
        <v>2</v>
      </c>
      <c r="W4818" s="54" t="s">
        <v>2</v>
      </c>
      <c r="X4818" s="54" t="s">
        <v>2</v>
      </c>
      <c r="Y4818" s="54" t="s">
        <v>2</v>
      </c>
      <c r="Z4818" s="54" t="s">
        <v>2</v>
      </c>
      <c r="AA4818" s="54" t="s">
        <v>2</v>
      </c>
      <c r="AB4818" s="54" t="s">
        <v>2</v>
      </c>
      <c r="AC4818" s="54" t="s">
        <v>2</v>
      </c>
      <c r="AD4818" s="54" t="s">
        <v>2</v>
      </c>
      <c r="AE4818" s="54" t="s">
        <v>2</v>
      </c>
      <c r="AF4818" s="54" t="s">
        <v>2</v>
      </c>
      <c r="AG4818" s="54" t="s">
        <v>2</v>
      </c>
    </row>
    <row r="4819" ht="15.75" customHeight="1">
      <c r="B4819" s="56"/>
      <c r="U4819" s="46" t="str">
        <f t="array" ref="U4819">IF($D4819="","",IFERROR(_xlfn.XLOOKUP($D4819,'TIR店舗一覧'!$D:$D,'TIR店舗一覧'!$E:$E,""),""))</f>
        <v/>
      </c>
      <c r="V4819" s="54" t="s">
        <v>2</v>
      </c>
      <c r="W4819" s="54" t="s">
        <v>2</v>
      </c>
      <c r="X4819" s="54" t="s">
        <v>2</v>
      </c>
      <c r="Y4819" s="54" t="s">
        <v>2</v>
      </c>
      <c r="Z4819" s="54" t="s">
        <v>2</v>
      </c>
      <c r="AA4819" s="54" t="s">
        <v>2</v>
      </c>
      <c r="AB4819" s="54" t="s">
        <v>2</v>
      </c>
      <c r="AC4819" s="54" t="s">
        <v>2</v>
      </c>
      <c r="AD4819" s="54" t="s">
        <v>2</v>
      </c>
      <c r="AE4819" s="54" t="s">
        <v>2</v>
      </c>
      <c r="AF4819" s="54" t="s">
        <v>2</v>
      </c>
      <c r="AG4819" s="54" t="s">
        <v>2</v>
      </c>
    </row>
    <row r="4820" ht="15.75" customHeight="1">
      <c r="B4820" s="56"/>
      <c r="U4820" s="46" t="str">
        <f t="array" ref="U4820">IF($D4820="","",IFERROR(_xlfn.XLOOKUP($D4820,'TIR店舗一覧'!$D:$D,'TIR店舗一覧'!$E:$E,""),""))</f>
        <v/>
      </c>
      <c r="V4820" s="54" t="s">
        <v>2</v>
      </c>
      <c r="W4820" s="54" t="s">
        <v>2</v>
      </c>
      <c r="X4820" s="54" t="s">
        <v>2</v>
      </c>
      <c r="Y4820" s="54" t="s">
        <v>2</v>
      </c>
      <c r="Z4820" s="54" t="s">
        <v>2</v>
      </c>
      <c r="AA4820" s="54" t="s">
        <v>2</v>
      </c>
      <c r="AB4820" s="54" t="s">
        <v>2</v>
      </c>
      <c r="AC4820" s="54" t="s">
        <v>2</v>
      </c>
      <c r="AD4820" s="54" t="s">
        <v>2</v>
      </c>
      <c r="AE4820" s="54" t="s">
        <v>2</v>
      </c>
      <c r="AF4820" s="54" t="s">
        <v>2</v>
      </c>
      <c r="AG4820" s="54" t="s">
        <v>2</v>
      </c>
    </row>
    <row r="4821" ht="15.75" customHeight="1">
      <c r="B4821" s="56"/>
      <c r="U4821" s="46" t="str">
        <f t="array" ref="U4821">IF($D4821="","",IFERROR(_xlfn.XLOOKUP($D4821,'TIR店舗一覧'!$D:$D,'TIR店舗一覧'!$E:$E,""),""))</f>
        <v/>
      </c>
      <c r="V4821" s="54" t="s">
        <v>2</v>
      </c>
      <c r="W4821" s="54" t="s">
        <v>2</v>
      </c>
      <c r="X4821" s="54" t="s">
        <v>2</v>
      </c>
      <c r="Y4821" s="54" t="s">
        <v>2</v>
      </c>
      <c r="Z4821" s="54" t="s">
        <v>2</v>
      </c>
      <c r="AA4821" s="54" t="s">
        <v>2</v>
      </c>
      <c r="AB4821" s="54" t="s">
        <v>2</v>
      </c>
      <c r="AC4821" s="54" t="s">
        <v>2</v>
      </c>
      <c r="AD4821" s="54" t="s">
        <v>2</v>
      </c>
      <c r="AE4821" s="54" t="s">
        <v>2</v>
      </c>
      <c r="AF4821" s="54" t="s">
        <v>2</v>
      </c>
      <c r="AG4821" s="54" t="s">
        <v>2</v>
      </c>
    </row>
    <row r="4822" ht="15.75" customHeight="1">
      <c r="B4822" s="56"/>
      <c r="U4822" s="46" t="str">
        <f t="array" ref="U4822">IF($D4822="","",IFERROR(_xlfn.XLOOKUP($D4822,'TIR店舗一覧'!$D:$D,'TIR店舗一覧'!$E:$E,""),""))</f>
        <v/>
      </c>
      <c r="V4822" s="54" t="s">
        <v>2</v>
      </c>
      <c r="W4822" s="54" t="s">
        <v>2</v>
      </c>
      <c r="X4822" s="54" t="s">
        <v>2</v>
      </c>
      <c r="Y4822" s="54" t="s">
        <v>2</v>
      </c>
      <c r="Z4822" s="54" t="s">
        <v>2</v>
      </c>
      <c r="AA4822" s="54" t="s">
        <v>2</v>
      </c>
      <c r="AB4822" s="54" t="s">
        <v>2</v>
      </c>
      <c r="AC4822" s="54" t="s">
        <v>2</v>
      </c>
      <c r="AD4822" s="54" t="s">
        <v>2</v>
      </c>
      <c r="AE4822" s="54" t="s">
        <v>2</v>
      </c>
      <c r="AF4822" s="54" t="s">
        <v>2</v>
      </c>
      <c r="AG4822" s="54" t="s">
        <v>2</v>
      </c>
    </row>
    <row r="4823" ht="15.75" customHeight="1">
      <c r="B4823" s="56"/>
      <c r="U4823" s="46" t="str">
        <f t="array" ref="U4823">IF($D4823="","",IFERROR(_xlfn.XLOOKUP($D4823,'TIR店舗一覧'!$D:$D,'TIR店舗一覧'!$E:$E,""),""))</f>
        <v/>
      </c>
      <c r="V4823" s="54" t="s">
        <v>2</v>
      </c>
      <c r="W4823" s="54" t="s">
        <v>2</v>
      </c>
      <c r="X4823" s="54" t="s">
        <v>2</v>
      </c>
      <c r="Y4823" s="54" t="s">
        <v>2</v>
      </c>
      <c r="Z4823" s="54" t="s">
        <v>2</v>
      </c>
      <c r="AA4823" s="54" t="s">
        <v>2</v>
      </c>
      <c r="AB4823" s="54" t="s">
        <v>2</v>
      </c>
      <c r="AC4823" s="54" t="s">
        <v>2</v>
      </c>
      <c r="AD4823" s="54" t="s">
        <v>2</v>
      </c>
      <c r="AE4823" s="54" t="s">
        <v>2</v>
      </c>
      <c r="AF4823" s="54" t="s">
        <v>2</v>
      </c>
      <c r="AG4823" s="54" t="s">
        <v>2</v>
      </c>
    </row>
    <row r="4824" ht="15.75" customHeight="1">
      <c r="B4824" s="56"/>
      <c r="U4824" s="46" t="str">
        <f t="array" ref="U4824">IF($D4824="","",IFERROR(_xlfn.XLOOKUP($D4824,'TIR店舗一覧'!$D:$D,'TIR店舗一覧'!$E:$E,""),""))</f>
        <v/>
      </c>
      <c r="V4824" s="54" t="s">
        <v>2</v>
      </c>
      <c r="W4824" s="54" t="s">
        <v>2</v>
      </c>
      <c r="X4824" s="54" t="s">
        <v>2</v>
      </c>
      <c r="Y4824" s="54" t="s">
        <v>2</v>
      </c>
      <c r="Z4824" s="54" t="s">
        <v>2</v>
      </c>
      <c r="AA4824" s="54" t="s">
        <v>2</v>
      </c>
      <c r="AB4824" s="54" t="s">
        <v>2</v>
      </c>
      <c r="AC4824" s="54" t="s">
        <v>2</v>
      </c>
      <c r="AD4824" s="54" t="s">
        <v>2</v>
      </c>
      <c r="AE4824" s="54" t="s">
        <v>2</v>
      </c>
      <c r="AF4824" s="54" t="s">
        <v>2</v>
      </c>
      <c r="AG4824" s="54" t="s">
        <v>2</v>
      </c>
    </row>
    <row r="4825" ht="15.75" customHeight="1">
      <c r="B4825" s="56"/>
      <c r="U4825" s="46" t="str">
        <f t="array" ref="U4825">IF($D4825="","",IFERROR(_xlfn.XLOOKUP($D4825,'TIR店舗一覧'!$D:$D,'TIR店舗一覧'!$E:$E,""),""))</f>
        <v/>
      </c>
      <c r="V4825" s="54" t="s">
        <v>2</v>
      </c>
      <c r="W4825" s="54" t="s">
        <v>2</v>
      </c>
      <c r="X4825" s="54" t="s">
        <v>2</v>
      </c>
      <c r="Y4825" s="54" t="s">
        <v>2</v>
      </c>
      <c r="Z4825" s="54" t="s">
        <v>2</v>
      </c>
      <c r="AA4825" s="54" t="s">
        <v>2</v>
      </c>
      <c r="AB4825" s="54" t="s">
        <v>2</v>
      </c>
      <c r="AC4825" s="54" t="s">
        <v>2</v>
      </c>
      <c r="AD4825" s="54" t="s">
        <v>2</v>
      </c>
      <c r="AE4825" s="54" t="s">
        <v>2</v>
      </c>
      <c r="AF4825" s="54" t="s">
        <v>2</v>
      </c>
      <c r="AG4825" s="54" t="s">
        <v>2</v>
      </c>
    </row>
    <row r="4826" ht="15.75" customHeight="1">
      <c r="B4826" s="56"/>
      <c r="U4826" s="46" t="str">
        <f t="array" ref="U4826">IF($D4826="","",IFERROR(_xlfn.XLOOKUP($D4826,'TIR店舗一覧'!$D:$D,'TIR店舗一覧'!$E:$E,""),""))</f>
        <v/>
      </c>
      <c r="V4826" s="54" t="s">
        <v>2</v>
      </c>
      <c r="W4826" s="54" t="s">
        <v>2</v>
      </c>
      <c r="X4826" s="54" t="s">
        <v>2</v>
      </c>
      <c r="Y4826" s="54" t="s">
        <v>2</v>
      </c>
      <c r="Z4826" s="54" t="s">
        <v>2</v>
      </c>
      <c r="AA4826" s="54" t="s">
        <v>2</v>
      </c>
      <c r="AB4826" s="54" t="s">
        <v>2</v>
      </c>
      <c r="AC4826" s="54" t="s">
        <v>2</v>
      </c>
      <c r="AD4826" s="54" t="s">
        <v>2</v>
      </c>
      <c r="AE4826" s="54" t="s">
        <v>2</v>
      </c>
      <c r="AF4826" s="54" t="s">
        <v>2</v>
      </c>
      <c r="AG4826" s="54" t="s">
        <v>2</v>
      </c>
    </row>
    <row r="4827" ht="15.75" customHeight="1">
      <c r="B4827" s="56"/>
      <c r="U4827" s="46" t="str">
        <f t="array" ref="U4827">IF($D4827="","",IFERROR(_xlfn.XLOOKUP($D4827,'TIR店舗一覧'!$D:$D,'TIR店舗一覧'!$E:$E,""),""))</f>
        <v/>
      </c>
      <c r="V4827" s="54" t="s">
        <v>2</v>
      </c>
      <c r="W4827" s="54" t="s">
        <v>2</v>
      </c>
      <c r="X4827" s="54" t="s">
        <v>2</v>
      </c>
      <c r="Y4827" s="54" t="s">
        <v>2</v>
      </c>
      <c r="Z4827" s="54" t="s">
        <v>2</v>
      </c>
      <c r="AA4827" s="54" t="s">
        <v>2</v>
      </c>
      <c r="AB4827" s="54" t="s">
        <v>2</v>
      </c>
      <c r="AC4827" s="54" t="s">
        <v>2</v>
      </c>
      <c r="AD4827" s="54" t="s">
        <v>2</v>
      </c>
      <c r="AE4827" s="54" t="s">
        <v>2</v>
      </c>
      <c r="AF4827" s="54" t="s">
        <v>2</v>
      </c>
      <c r="AG4827" s="54" t="s">
        <v>2</v>
      </c>
    </row>
    <row r="4828" ht="15.75" customHeight="1">
      <c r="B4828" s="56"/>
      <c r="U4828" s="46" t="str">
        <f t="array" ref="U4828">IF($D4828="","",IFERROR(_xlfn.XLOOKUP($D4828,'TIR店舗一覧'!$D:$D,'TIR店舗一覧'!$E:$E,""),""))</f>
        <v/>
      </c>
      <c r="V4828" s="54" t="s">
        <v>2</v>
      </c>
      <c r="W4828" s="54" t="s">
        <v>2</v>
      </c>
      <c r="X4828" s="54" t="s">
        <v>2</v>
      </c>
      <c r="Y4828" s="54" t="s">
        <v>2</v>
      </c>
      <c r="Z4828" s="54" t="s">
        <v>2</v>
      </c>
      <c r="AA4828" s="54" t="s">
        <v>2</v>
      </c>
      <c r="AB4828" s="54" t="s">
        <v>2</v>
      </c>
      <c r="AC4828" s="54" t="s">
        <v>2</v>
      </c>
      <c r="AD4828" s="54" t="s">
        <v>2</v>
      </c>
      <c r="AE4828" s="54" t="s">
        <v>2</v>
      </c>
      <c r="AF4828" s="54" t="s">
        <v>2</v>
      </c>
      <c r="AG4828" s="54" t="s">
        <v>2</v>
      </c>
    </row>
    <row r="4829" ht="15.75" customHeight="1">
      <c r="B4829" s="56"/>
      <c r="U4829" s="46" t="str">
        <f t="array" ref="U4829">IF($D4829="","",IFERROR(_xlfn.XLOOKUP($D4829,'TIR店舗一覧'!$D:$D,'TIR店舗一覧'!$E:$E,""),""))</f>
        <v/>
      </c>
      <c r="V4829" s="54" t="s">
        <v>2</v>
      </c>
      <c r="W4829" s="54" t="s">
        <v>2</v>
      </c>
      <c r="X4829" s="54" t="s">
        <v>2</v>
      </c>
      <c r="Y4829" s="54" t="s">
        <v>2</v>
      </c>
      <c r="Z4829" s="54" t="s">
        <v>2</v>
      </c>
      <c r="AA4829" s="54" t="s">
        <v>2</v>
      </c>
      <c r="AB4829" s="54" t="s">
        <v>2</v>
      </c>
      <c r="AC4829" s="54" t="s">
        <v>2</v>
      </c>
      <c r="AD4829" s="54" t="s">
        <v>2</v>
      </c>
      <c r="AE4829" s="54" t="s">
        <v>2</v>
      </c>
      <c r="AF4829" s="54" t="s">
        <v>2</v>
      </c>
      <c r="AG4829" s="54" t="s">
        <v>2</v>
      </c>
    </row>
    <row r="4830" ht="15.75" customHeight="1">
      <c r="B4830" s="56"/>
      <c r="U4830" s="46" t="str">
        <f t="array" ref="U4830">IF($D4830="","",IFERROR(_xlfn.XLOOKUP($D4830,'TIR店舗一覧'!$D:$D,'TIR店舗一覧'!$E:$E,""),""))</f>
        <v/>
      </c>
      <c r="V4830" s="54" t="s">
        <v>2</v>
      </c>
      <c r="W4830" s="54" t="s">
        <v>2</v>
      </c>
      <c r="X4830" s="54" t="s">
        <v>2</v>
      </c>
      <c r="Y4830" s="54" t="s">
        <v>2</v>
      </c>
      <c r="Z4830" s="54" t="s">
        <v>2</v>
      </c>
      <c r="AA4830" s="54" t="s">
        <v>2</v>
      </c>
      <c r="AB4830" s="54" t="s">
        <v>2</v>
      </c>
      <c r="AC4830" s="54" t="s">
        <v>2</v>
      </c>
      <c r="AD4830" s="54" t="s">
        <v>2</v>
      </c>
      <c r="AE4830" s="54" t="s">
        <v>2</v>
      </c>
      <c r="AF4830" s="54" t="s">
        <v>2</v>
      </c>
      <c r="AG4830" s="54" t="s">
        <v>2</v>
      </c>
    </row>
    <row r="4831" ht="15.75" customHeight="1">
      <c r="B4831" s="56"/>
      <c r="U4831" s="46" t="str">
        <f t="array" ref="U4831">IF($D4831="","",IFERROR(_xlfn.XLOOKUP($D4831,'TIR店舗一覧'!$D:$D,'TIR店舗一覧'!$E:$E,""),""))</f>
        <v/>
      </c>
      <c r="V4831" s="54" t="s">
        <v>2</v>
      </c>
      <c r="W4831" s="54" t="s">
        <v>2</v>
      </c>
      <c r="X4831" s="54" t="s">
        <v>2</v>
      </c>
      <c r="Y4831" s="54" t="s">
        <v>2</v>
      </c>
      <c r="Z4831" s="54" t="s">
        <v>2</v>
      </c>
      <c r="AA4831" s="54" t="s">
        <v>2</v>
      </c>
      <c r="AB4831" s="54" t="s">
        <v>2</v>
      </c>
      <c r="AC4831" s="54" t="s">
        <v>2</v>
      </c>
      <c r="AD4831" s="54" t="s">
        <v>2</v>
      </c>
      <c r="AE4831" s="54" t="s">
        <v>2</v>
      </c>
      <c r="AF4831" s="54" t="s">
        <v>2</v>
      </c>
      <c r="AG4831" s="54" t="s">
        <v>2</v>
      </c>
    </row>
    <row r="4832" ht="15.75" customHeight="1">
      <c r="B4832" s="56"/>
      <c r="U4832" s="46" t="str">
        <f t="array" ref="U4832">IF($D4832="","",IFERROR(_xlfn.XLOOKUP($D4832,'TIR店舗一覧'!$D:$D,'TIR店舗一覧'!$E:$E,""),""))</f>
        <v/>
      </c>
      <c r="V4832" s="54" t="s">
        <v>2</v>
      </c>
      <c r="W4832" s="54" t="s">
        <v>2</v>
      </c>
      <c r="X4832" s="54" t="s">
        <v>2</v>
      </c>
      <c r="Y4832" s="54" t="s">
        <v>2</v>
      </c>
      <c r="Z4832" s="54" t="s">
        <v>2</v>
      </c>
      <c r="AA4832" s="54" t="s">
        <v>2</v>
      </c>
      <c r="AB4832" s="54" t="s">
        <v>2</v>
      </c>
      <c r="AC4832" s="54" t="s">
        <v>2</v>
      </c>
      <c r="AD4832" s="54" t="s">
        <v>2</v>
      </c>
      <c r="AE4832" s="54" t="s">
        <v>2</v>
      </c>
      <c r="AF4832" s="54" t="s">
        <v>2</v>
      </c>
      <c r="AG4832" s="54" t="s">
        <v>2</v>
      </c>
    </row>
    <row r="4833" ht="15.75" customHeight="1">
      <c r="B4833" s="56"/>
      <c r="U4833" s="46" t="str">
        <f t="array" ref="U4833">IF($D4833="","",IFERROR(_xlfn.XLOOKUP($D4833,'TIR店舗一覧'!$D:$D,'TIR店舗一覧'!$E:$E,""),""))</f>
        <v/>
      </c>
      <c r="V4833" s="54" t="s">
        <v>2</v>
      </c>
      <c r="W4833" s="54" t="s">
        <v>2</v>
      </c>
      <c r="X4833" s="54" t="s">
        <v>2</v>
      </c>
      <c r="Y4833" s="54" t="s">
        <v>2</v>
      </c>
      <c r="Z4833" s="54" t="s">
        <v>2</v>
      </c>
      <c r="AA4833" s="54" t="s">
        <v>2</v>
      </c>
      <c r="AB4833" s="54" t="s">
        <v>2</v>
      </c>
      <c r="AC4833" s="54" t="s">
        <v>2</v>
      </c>
      <c r="AD4833" s="54" t="s">
        <v>2</v>
      </c>
      <c r="AE4833" s="54" t="s">
        <v>2</v>
      </c>
      <c r="AF4833" s="54" t="s">
        <v>2</v>
      </c>
      <c r="AG4833" s="54" t="s">
        <v>2</v>
      </c>
    </row>
    <row r="4834" ht="15.75" customHeight="1">
      <c r="B4834" s="56"/>
      <c r="U4834" s="46" t="str">
        <f t="array" ref="U4834">IF($D4834="","",IFERROR(_xlfn.XLOOKUP($D4834,'TIR店舗一覧'!$D:$D,'TIR店舗一覧'!$E:$E,""),""))</f>
        <v/>
      </c>
      <c r="V4834" s="54" t="s">
        <v>2</v>
      </c>
      <c r="W4834" s="54" t="s">
        <v>2</v>
      </c>
      <c r="X4834" s="54" t="s">
        <v>2</v>
      </c>
      <c r="Y4834" s="54" t="s">
        <v>2</v>
      </c>
      <c r="Z4834" s="54" t="s">
        <v>2</v>
      </c>
      <c r="AA4834" s="54" t="s">
        <v>2</v>
      </c>
      <c r="AB4834" s="54" t="s">
        <v>2</v>
      </c>
      <c r="AC4834" s="54" t="s">
        <v>2</v>
      </c>
      <c r="AD4834" s="54" t="s">
        <v>2</v>
      </c>
      <c r="AE4834" s="54" t="s">
        <v>2</v>
      </c>
      <c r="AF4834" s="54" t="s">
        <v>2</v>
      </c>
      <c r="AG4834" s="54" t="s">
        <v>2</v>
      </c>
    </row>
    <row r="4835" ht="15.75" customHeight="1">
      <c r="B4835" s="56"/>
      <c r="U4835" s="46" t="str">
        <f t="array" ref="U4835">IF($D4835="","",IFERROR(_xlfn.XLOOKUP($D4835,'TIR店舗一覧'!$D:$D,'TIR店舗一覧'!$E:$E,""),""))</f>
        <v/>
      </c>
      <c r="V4835" s="54" t="s">
        <v>2</v>
      </c>
      <c r="W4835" s="54" t="s">
        <v>2</v>
      </c>
      <c r="X4835" s="54" t="s">
        <v>2</v>
      </c>
      <c r="Y4835" s="54" t="s">
        <v>2</v>
      </c>
      <c r="Z4835" s="54" t="s">
        <v>2</v>
      </c>
      <c r="AA4835" s="54" t="s">
        <v>2</v>
      </c>
      <c r="AB4835" s="54" t="s">
        <v>2</v>
      </c>
      <c r="AC4835" s="54" t="s">
        <v>2</v>
      </c>
      <c r="AD4835" s="54" t="s">
        <v>2</v>
      </c>
      <c r="AE4835" s="54" t="s">
        <v>2</v>
      </c>
      <c r="AF4835" s="54" t="s">
        <v>2</v>
      </c>
      <c r="AG4835" s="54" t="s">
        <v>2</v>
      </c>
    </row>
    <row r="4836" ht="15.75" customHeight="1">
      <c r="B4836" s="56"/>
      <c r="U4836" s="46" t="str">
        <f t="array" ref="U4836">IF($D4836="","",IFERROR(_xlfn.XLOOKUP($D4836,'TIR店舗一覧'!$D:$D,'TIR店舗一覧'!$E:$E,""),""))</f>
        <v/>
      </c>
      <c r="V4836" s="54" t="s">
        <v>2</v>
      </c>
      <c r="W4836" s="54" t="s">
        <v>2</v>
      </c>
      <c r="X4836" s="54" t="s">
        <v>2</v>
      </c>
      <c r="Y4836" s="54" t="s">
        <v>2</v>
      </c>
      <c r="Z4836" s="54" t="s">
        <v>2</v>
      </c>
      <c r="AA4836" s="54" t="s">
        <v>2</v>
      </c>
      <c r="AB4836" s="54" t="s">
        <v>2</v>
      </c>
      <c r="AC4836" s="54" t="s">
        <v>2</v>
      </c>
      <c r="AD4836" s="54" t="s">
        <v>2</v>
      </c>
      <c r="AE4836" s="54" t="s">
        <v>2</v>
      </c>
      <c r="AF4836" s="54" t="s">
        <v>2</v>
      </c>
      <c r="AG4836" s="54" t="s">
        <v>2</v>
      </c>
    </row>
    <row r="4837" ht="15.75" customHeight="1">
      <c r="B4837" s="56"/>
      <c r="U4837" s="46" t="str">
        <f t="array" ref="U4837">IF($D4837="","",IFERROR(_xlfn.XLOOKUP($D4837,'TIR店舗一覧'!$D:$D,'TIR店舗一覧'!$E:$E,""),""))</f>
        <v/>
      </c>
      <c r="V4837" s="54" t="s">
        <v>2</v>
      </c>
      <c r="W4837" s="54" t="s">
        <v>2</v>
      </c>
      <c r="X4837" s="54" t="s">
        <v>2</v>
      </c>
      <c r="Y4837" s="54" t="s">
        <v>2</v>
      </c>
      <c r="Z4837" s="54" t="s">
        <v>2</v>
      </c>
      <c r="AA4837" s="54" t="s">
        <v>2</v>
      </c>
      <c r="AB4837" s="54" t="s">
        <v>2</v>
      </c>
      <c r="AC4837" s="54" t="s">
        <v>2</v>
      </c>
      <c r="AD4837" s="54" t="s">
        <v>2</v>
      </c>
      <c r="AE4837" s="54" t="s">
        <v>2</v>
      </c>
      <c r="AF4837" s="54" t="s">
        <v>2</v>
      </c>
      <c r="AG4837" s="54" t="s">
        <v>2</v>
      </c>
    </row>
    <row r="4838" ht="15.75" customHeight="1">
      <c r="B4838" s="56"/>
      <c r="U4838" s="46" t="str">
        <f t="array" ref="U4838">IF($D4838="","",IFERROR(_xlfn.XLOOKUP($D4838,'TIR店舗一覧'!$D:$D,'TIR店舗一覧'!$E:$E,""),""))</f>
        <v/>
      </c>
      <c r="V4838" s="54" t="s">
        <v>2</v>
      </c>
      <c r="W4838" s="54" t="s">
        <v>2</v>
      </c>
      <c r="X4838" s="54" t="s">
        <v>2</v>
      </c>
      <c r="Y4838" s="54" t="s">
        <v>2</v>
      </c>
      <c r="Z4838" s="54" t="s">
        <v>2</v>
      </c>
      <c r="AA4838" s="54" t="s">
        <v>2</v>
      </c>
      <c r="AB4838" s="54" t="s">
        <v>2</v>
      </c>
      <c r="AC4838" s="54" t="s">
        <v>2</v>
      </c>
      <c r="AD4838" s="54" t="s">
        <v>2</v>
      </c>
      <c r="AE4838" s="54" t="s">
        <v>2</v>
      </c>
      <c r="AF4838" s="54" t="s">
        <v>2</v>
      </c>
      <c r="AG4838" s="54" t="s">
        <v>2</v>
      </c>
    </row>
    <row r="4839" ht="15.75" customHeight="1">
      <c r="B4839" s="56"/>
      <c r="U4839" s="46" t="str">
        <f t="array" ref="U4839">IF($D4839="","",IFERROR(_xlfn.XLOOKUP($D4839,'TIR店舗一覧'!$D:$D,'TIR店舗一覧'!$E:$E,""),""))</f>
        <v/>
      </c>
      <c r="V4839" s="54" t="s">
        <v>2</v>
      </c>
      <c r="W4839" s="54" t="s">
        <v>2</v>
      </c>
      <c r="X4839" s="54" t="s">
        <v>2</v>
      </c>
      <c r="Y4839" s="54" t="s">
        <v>2</v>
      </c>
      <c r="Z4839" s="54" t="s">
        <v>2</v>
      </c>
      <c r="AA4839" s="54" t="s">
        <v>2</v>
      </c>
      <c r="AB4839" s="54" t="s">
        <v>2</v>
      </c>
      <c r="AC4839" s="54" t="s">
        <v>2</v>
      </c>
      <c r="AD4839" s="54" t="s">
        <v>2</v>
      </c>
      <c r="AE4839" s="54" t="s">
        <v>2</v>
      </c>
      <c r="AF4839" s="54" t="s">
        <v>2</v>
      </c>
      <c r="AG4839" s="54" t="s">
        <v>2</v>
      </c>
    </row>
    <row r="4840" ht="15.75" customHeight="1">
      <c r="B4840" s="56"/>
      <c r="U4840" s="46" t="str">
        <f t="array" ref="U4840">IF($D4840="","",IFERROR(_xlfn.XLOOKUP($D4840,'TIR店舗一覧'!$D:$D,'TIR店舗一覧'!$E:$E,""),""))</f>
        <v/>
      </c>
      <c r="V4840" s="54" t="s">
        <v>2</v>
      </c>
      <c r="W4840" s="54" t="s">
        <v>2</v>
      </c>
      <c r="X4840" s="54" t="s">
        <v>2</v>
      </c>
      <c r="Y4840" s="54" t="s">
        <v>2</v>
      </c>
      <c r="Z4840" s="54" t="s">
        <v>2</v>
      </c>
      <c r="AA4840" s="54" t="s">
        <v>2</v>
      </c>
      <c r="AB4840" s="54" t="s">
        <v>2</v>
      </c>
      <c r="AC4840" s="54" t="s">
        <v>2</v>
      </c>
      <c r="AD4840" s="54" t="s">
        <v>2</v>
      </c>
      <c r="AE4840" s="54" t="s">
        <v>2</v>
      </c>
      <c r="AF4840" s="54" t="s">
        <v>2</v>
      </c>
      <c r="AG4840" s="54" t="s">
        <v>2</v>
      </c>
    </row>
    <row r="4841" ht="15.75" customHeight="1">
      <c r="B4841" s="56"/>
      <c r="U4841" s="46" t="str">
        <f t="array" ref="U4841">IF($D4841="","",IFERROR(_xlfn.XLOOKUP($D4841,'TIR店舗一覧'!$D:$D,'TIR店舗一覧'!$E:$E,""),""))</f>
        <v/>
      </c>
      <c r="V4841" s="54" t="s">
        <v>2</v>
      </c>
      <c r="W4841" s="54" t="s">
        <v>2</v>
      </c>
      <c r="X4841" s="54" t="s">
        <v>2</v>
      </c>
      <c r="Y4841" s="54" t="s">
        <v>2</v>
      </c>
      <c r="Z4841" s="54" t="s">
        <v>2</v>
      </c>
      <c r="AA4841" s="54" t="s">
        <v>2</v>
      </c>
      <c r="AB4841" s="54" t="s">
        <v>2</v>
      </c>
      <c r="AC4841" s="54" t="s">
        <v>2</v>
      </c>
      <c r="AD4841" s="54" t="s">
        <v>2</v>
      </c>
      <c r="AE4841" s="54" t="s">
        <v>2</v>
      </c>
      <c r="AF4841" s="54" t="s">
        <v>2</v>
      </c>
      <c r="AG4841" s="54" t="s">
        <v>2</v>
      </c>
    </row>
    <row r="4842" ht="15.75" customHeight="1">
      <c r="B4842" s="56"/>
      <c r="U4842" s="46" t="str">
        <f t="array" ref="U4842">IF($D4842="","",IFERROR(_xlfn.XLOOKUP($D4842,'TIR店舗一覧'!$D:$D,'TIR店舗一覧'!$E:$E,""),""))</f>
        <v/>
      </c>
      <c r="V4842" s="54" t="s">
        <v>2</v>
      </c>
      <c r="W4842" s="54" t="s">
        <v>2</v>
      </c>
      <c r="X4842" s="54" t="s">
        <v>2</v>
      </c>
      <c r="Y4842" s="54" t="s">
        <v>2</v>
      </c>
      <c r="Z4842" s="54" t="s">
        <v>2</v>
      </c>
      <c r="AA4842" s="54" t="s">
        <v>2</v>
      </c>
      <c r="AB4842" s="54" t="s">
        <v>2</v>
      </c>
      <c r="AC4842" s="54" t="s">
        <v>2</v>
      </c>
      <c r="AD4842" s="54" t="s">
        <v>2</v>
      </c>
      <c r="AE4842" s="54" t="s">
        <v>2</v>
      </c>
      <c r="AF4842" s="54" t="s">
        <v>2</v>
      </c>
      <c r="AG4842" s="54" t="s">
        <v>2</v>
      </c>
    </row>
    <row r="4843" ht="15.75" customHeight="1">
      <c r="B4843" s="56"/>
      <c r="U4843" s="46" t="str">
        <f t="array" ref="U4843">IF($D4843="","",IFERROR(_xlfn.XLOOKUP($D4843,'TIR店舗一覧'!$D:$D,'TIR店舗一覧'!$E:$E,""),""))</f>
        <v/>
      </c>
      <c r="V4843" s="54" t="s">
        <v>2</v>
      </c>
      <c r="W4843" s="54" t="s">
        <v>2</v>
      </c>
      <c r="X4843" s="54" t="s">
        <v>2</v>
      </c>
      <c r="Y4843" s="54" t="s">
        <v>2</v>
      </c>
      <c r="Z4843" s="54" t="s">
        <v>2</v>
      </c>
      <c r="AA4843" s="54" t="s">
        <v>2</v>
      </c>
      <c r="AB4843" s="54" t="s">
        <v>2</v>
      </c>
      <c r="AC4843" s="54" t="s">
        <v>2</v>
      </c>
      <c r="AD4843" s="54" t="s">
        <v>2</v>
      </c>
      <c r="AE4843" s="54" t="s">
        <v>2</v>
      </c>
      <c r="AF4843" s="54" t="s">
        <v>2</v>
      </c>
      <c r="AG4843" s="54" t="s">
        <v>2</v>
      </c>
    </row>
    <row r="4844" ht="15.75" customHeight="1">
      <c r="B4844" s="56"/>
      <c r="U4844" s="46" t="str">
        <f t="array" ref="U4844">IF($D4844="","",IFERROR(_xlfn.XLOOKUP($D4844,'TIR店舗一覧'!$D:$D,'TIR店舗一覧'!$E:$E,""),""))</f>
        <v/>
      </c>
      <c r="V4844" s="54" t="s">
        <v>2</v>
      </c>
      <c r="W4844" s="54" t="s">
        <v>2</v>
      </c>
      <c r="X4844" s="54" t="s">
        <v>2</v>
      </c>
      <c r="Y4844" s="54" t="s">
        <v>2</v>
      </c>
      <c r="Z4844" s="54" t="s">
        <v>2</v>
      </c>
      <c r="AA4844" s="54" t="s">
        <v>2</v>
      </c>
      <c r="AB4844" s="54" t="s">
        <v>2</v>
      </c>
      <c r="AC4844" s="54" t="s">
        <v>2</v>
      </c>
      <c r="AD4844" s="54" t="s">
        <v>2</v>
      </c>
      <c r="AE4844" s="54" t="s">
        <v>2</v>
      </c>
      <c r="AF4844" s="54" t="s">
        <v>2</v>
      </c>
      <c r="AG4844" s="54" t="s">
        <v>2</v>
      </c>
    </row>
    <row r="4845" ht="15.75" customHeight="1">
      <c r="B4845" s="56"/>
      <c r="U4845" s="46" t="str">
        <f t="array" ref="U4845">IF($D4845="","",IFERROR(_xlfn.XLOOKUP($D4845,'TIR店舗一覧'!$D:$D,'TIR店舗一覧'!$E:$E,""),""))</f>
        <v/>
      </c>
      <c r="V4845" s="54" t="s">
        <v>2</v>
      </c>
      <c r="W4845" s="54" t="s">
        <v>2</v>
      </c>
      <c r="X4845" s="54" t="s">
        <v>2</v>
      </c>
      <c r="Y4845" s="54" t="s">
        <v>2</v>
      </c>
      <c r="Z4845" s="54" t="s">
        <v>2</v>
      </c>
      <c r="AA4845" s="54" t="s">
        <v>2</v>
      </c>
      <c r="AB4845" s="54" t="s">
        <v>2</v>
      </c>
      <c r="AC4845" s="54" t="s">
        <v>2</v>
      </c>
      <c r="AD4845" s="54" t="s">
        <v>2</v>
      </c>
      <c r="AE4845" s="54" t="s">
        <v>2</v>
      </c>
      <c r="AF4845" s="54" t="s">
        <v>2</v>
      </c>
      <c r="AG4845" s="54" t="s">
        <v>2</v>
      </c>
    </row>
    <row r="4846" ht="15.75" customHeight="1">
      <c r="B4846" s="56"/>
      <c r="U4846" s="46" t="str">
        <f t="array" ref="U4846">IF($D4846="","",IFERROR(_xlfn.XLOOKUP($D4846,'TIR店舗一覧'!$D:$D,'TIR店舗一覧'!$E:$E,""),""))</f>
        <v/>
      </c>
      <c r="V4846" s="54" t="s">
        <v>2</v>
      </c>
      <c r="W4846" s="54" t="s">
        <v>2</v>
      </c>
      <c r="X4846" s="54" t="s">
        <v>2</v>
      </c>
      <c r="Y4846" s="54" t="s">
        <v>2</v>
      </c>
      <c r="Z4846" s="54" t="s">
        <v>2</v>
      </c>
      <c r="AA4846" s="54" t="s">
        <v>2</v>
      </c>
      <c r="AB4846" s="54" t="s">
        <v>2</v>
      </c>
      <c r="AC4846" s="54" t="s">
        <v>2</v>
      </c>
      <c r="AD4846" s="54" t="s">
        <v>2</v>
      </c>
      <c r="AE4846" s="54" t="s">
        <v>2</v>
      </c>
      <c r="AF4846" s="54" t="s">
        <v>2</v>
      </c>
      <c r="AG4846" s="54" t="s">
        <v>2</v>
      </c>
    </row>
    <row r="4847" ht="15.75" customHeight="1">
      <c r="B4847" s="56"/>
      <c r="U4847" s="46" t="str">
        <f t="array" ref="U4847">IF($D4847="","",IFERROR(_xlfn.XLOOKUP($D4847,'TIR店舗一覧'!$D:$D,'TIR店舗一覧'!$E:$E,""),""))</f>
        <v/>
      </c>
      <c r="V4847" s="54" t="s">
        <v>2</v>
      </c>
      <c r="W4847" s="54" t="s">
        <v>2</v>
      </c>
      <c r="X4847" s="54" t="s">
        <v>2</v>
      </c>
      <c r="Y4847" s="54" t="s">
        <v>2</v>
      </c>
      <c r="Z4847" s="54" t="s">
        <v>2</v>
      </c>
      <c r="AA4847" s="54" t="s">
        <v>2</v>
      </c>
      <c r="AB4847" s="54" t="s">
        <v>2</v>
      </c>
      <c r="AC4847" s="54" t="s">
        <v>2</v>
      </c>
      <c r="AD4847" s="54" t="s">
        <v>2</v>
      </c>
      <c r="AE4847" s="54" t="s">
        <v>2</v>
      </c>
      <c r="AF4847" s="54" t="s">
        <v>2</v>
      </c>
      <c r="AG4847" s="54" t="s">
        <v>2</v>
      </c>
    </row>
    <row r="4848" ht="15.75" customHeight="1">
      <c r="B4848" s="56"/>
      <c r="U4848" s="46" t="str">
        <f t="array" ref="U4848">IF($D4848="","",IFERROR(_xlfn.XLOOKUP($D4848,'TIR店舗一覧'!$D:$D,'TIR店舗一覧'!$E:$E,""),""))</f>
        <v/>
      </c>
      <c r="V4848" s="54" t="s">
        <v>2</v>
      </c>
      <c r="W4848" s="54" t="s">
        <v>2</v>
      </c>
      <c r="X4848" s="54" t="s">
        <v>2</v>
      </c>
      <c r="Y4848" s="54" t="s">
        <v>2</v>
      </c>
      <c r="Z4848" s="54" t="s">
        <v>2</v>
      </c>
      <c r="AA4848" s="54" t="s">
        <v>2</v>
      </c>
      <c r="AB4848" s="54" t="s">
        <v>2</v>
      </c>
      <c r="AC4848" s="54" t="s">
        <v>2</v>
      </c>
      <c r="AD4848" s="54" t="s">
        <v>2</v>
      </c>
      <c r="AE4848" s="54" t="s">
        <v>2</v>
      </c>
      <c r="AF4848" s="54" t="s">
        <v>2</v>
      </c>
      <c r="AG4848" s="54" t="s">
        <v>2</v>
      </c>
    </row>
    <row r="4849" ht="15.75" customHeight="1">
      <c r="B4849" s="56"/>
      <c r="U4849" s="46" t="str">
        <f t="array" ref="U4849">IF($D4849="","",IFERROR(_xlfn.XLOOKUP($D4849,'TIR店舗一覧'!$D:$D,'TIR店舗一覧'!$E:$E,""),""))</f>
        <v/>
      </c>
      <c r="V4849" s="54" t="s">
        <v>2</v>
      </c>
      <c r="W4849" s="54" t="s">
        <v>2</v>
      </c>
      <c r="X4849" s="54" t="s">
        <v>2</v>
      </c>
      <c r="Y4849" s="54" t="s">
        <v>2</v>
      </c>
      <c r="Z4849" s="54" t="s">
        <v>2</v>
      </c>
      <c r="AA4849" s="54" t="s">
        <v>2</v>
      </c>
      <c r="AB4849" s="54" t="s">
        <v>2</v>
      </c>
      <c r="AC4849" s="54" t="s">
        <v>2</v>
      </c>
      <c r="AD4849" s="54" t="s">
        <v>2</v>
      </c>
      <c r="AE4849" s="54" t="s">
        <v>2</v>
      </c>
      <c r="AF4849" s="54" t="s">
        <v>2</v>
      </c>
      <c r="AG4849" s="54" t="s">
        <v>2</v>
      </c>
    </row>
    <row r="4850" ht="15.75" customHeight="1">
      <c r="B4850" s="56"/>
      <c r="U4850" s="46" t="str">
        <f t="array" ref="U4850">IF($D4850="","",IFERROR(_xlfn.XLOOKUP($D4850,'TIR店舗一覧'!$D:$D,'TIR店舗一覧'!$E:$E,""),""))</f>
        <v/>
      </c>
      <c r="V4850" s="54" t="s">
        <v>2</v>
      </c>
      <c r="W4850" s="54" t="s">
        <v>2</v>
      </c>
      <c r="X4850" s="54" t="s">
        <v>2</v>
      </c>
      <c r="Y4850" s="54" t="s">
        <v>2</v>
      </c>
      <c r="Z4850" s="54" t="s">
        <v>2</v>
      </c>
      <c r="AA4850" s="54" t="s">
        <v>2</v>
      </c>
      <c r="AB4850" s="54" t="s">
        <v>2</v>
      </c>
      <c r="AC4850" s="54" t="s">
        <v>2</v>
      </c>
      <c r="AD4850" s="54" t="s">
        <v>2</v>
      </c>
      <c r="AE4850" s="54" t="s">
        <v>2</v>
      </c>
      <c r="AF4850" s="54" t="s">
        <v>2</v>
      </c>
      <c r="AG4850" s="54" t="s">
        <v>2</v>
      </c>
    </row>
    <row r="4851" ht="15.75" customHeight="1">
      <c r="B4851" s="56"/>
      <c r="U4851" s="46" t="str">
        <f t="array" ref="U4851">IF($D4851="","",IFERROR(_xlfn.XLOOKUP($D4851,'TIR店舗一覧'!$D:$D,'TIR店舗一覧'!$E:$E,""),""))</f>
        <v/>
      </c>
      <c r="V4851" s="54" t="s">
        <v>2</v>
      </c>
      <c r="W4851" s="54" t="s">
        <v>2</v>
      </c>
      <c r="X4851" s="54" t="s">
        <v>2</v>
      </c>
      <c r="Y4851" s="54" t="s">
        <v>2</v>
      </c>
      <c r="Z4851" s="54" t="s">
        <v>2</v>
      </c>
      <c r="AA4851" s="54" t="s">
        <v>2</v>
      </c>
      <c r="AB4851" s="54" t="s">
        <v>2</v>
      </c>
      <c r="AC4851" s="54" t="s">
        <v>2</v>
      </c>
      <c r="AD4851" s="54" t="s">
        <v>2</v>
      </c>
      <c r="AE4851" s="54" t="s">
        <v>2</v>
      </c>
      <c r="AF4851" s="54" t="s">
        <v>2</v>
      </c>
      <c r="AG4851" s="54" t="s">
        <v>2</v>
      </c>
    </row>
    <row r="4852" ht="15.75" customHeight="1">
      <c r="B4852" s="56"/>
      <c r="U4852" s="46" t="str">
        <f t="array" ref="U4852">IF($D4852="","",IFERROR(_xlfn.XLOOKUP($D4852,'TIR店舗一覧'!$D:$D,'TIR店舗一覧'!$E:$E,""),""))</f>
        <v/>
      </c>
      <c r="V4852" s="54" t="s">
        <v>2</v>
      </c>
      <c r="W4852" s="54" t="s">
        <v>2</v>
      </c>
      <c r="X4852" s="54" t="s">
        <v>2</v>
      </c>
      <c r="Y4852" s="54" t="s">
        <v>2</v>
      </c>
      <c r="Z4852" s="54" t="s">
        <v>2</v>
      </c>
      <c r="AA4852" s="54" t="s">
        <v>2</v>
      </c>
      <c r="AB4852" s="54" t="s">
        <v>2</v>
      </c>
      <c r="AC4852" s="54" t="s">
        <v>2</v>
      </c>
      <c r="AD4852" s="54" t="s">
        <v>2</v>
      </c>
      <c r="AE4852" s="54" t="s">
        <v>2</v>
      </c>
      <c r="AF4852" s="54" t="s">
        <v>2</v>
      </c>
      <c r="AG4852" s="54" t="s">
        <v>2</v>
      </c>
    </row>
    <row r="4853" ht="15.75" customHeight="1">
      <c r="B4853" s="56"/>
      <c r="U4853" s="46" t="str">
        <f t="array" ref="U4853">IF($D4853="","",IFERROR(_xlfn.XLOOKUP($D4853,'TIR店舗一覧'!$D:$D,'TIR店舗一覧'!$E:$E,""),""))</f>
        <v/>
      </c>
      <c r="V4853" s="54" t="s">
        <v>2</v>
      </c>
      <c r="W4853" s="54" t="s">
        <v>2</v>
      </c>
      <c r="X4853" s="54" t="s">
        <v>2</v>
      </c>
      <c r="Y4853" s="54" t="s">
        <v>2</v>
      </c>
      <c r="Z4853" s="54" t="s">
        <v>2</v>
      </c>
      <c r="AA4853" s="54" t="s">
        <v>2</v>
      </c>
      <c r="AB4853" s="54" t="s">
        <v>2</v>
      </c>
      <c r="AC4853" s="54" t="s">
        <v>2</v>
      </c>
      <c r="AD4853" s="54" t="s">
        <v>2</v>
      </c>
      <c r="AE4853" s="54" t="s">
        <v>2</v>
      </c>
      <c r="AF4853" s="54" t="s">
        <v>2</v>
      </c>
      <c r="AG4853" s="54" t="s">
        <v>2</v>
      </c>
    </row>
    <row r="4854" ht="15.75" customHeight="1">
      <c r="B4854" s="56"/>
      <c r="U4854" s="46" t="str">
        <f t="array" ref="U4854">IF($D4854="","",IFERROR(_xlfn.XLOOKUP($D4854,'TIR店舗一覧'!$D:$D,'TIR店舗一覧'!$E:$E,""),""))</f>
        <v/>
      </c>
      <c r="V4854" s="54" t="s">
        <v>2</v>
      </c>
      <c r="W4854" s="54" t="s">
        <v>2</v>
      </c>
      <c r="X4854" s="54" t="s">
        <v>2</v>
      </c>
      <c r="Y4854" s="54" t="s">
        <v>2</v>
      </c>
      <c r="Z4854" s="54" t="s">
        <v>2</v>
      </c>
      <c r="AA4854" s="54" t="s">
        <v>2</v>
      </c>
      <c r="AB4854" s="54" t="s">
        <v>2</v>
      </c>
      <c r="AC4854" s="54" t="s">
        <v>2</v>
      </c>
      <c r="AD4854" s="54" t="s">
        <v>2</v>
      </c>
      <c r="AE4854" s="54" t="s">
        <v>2</v>
      </c>
      <c r="AF4854" s="54" t="s">
        <v>2</v>
      </c>
      <c r="AG4854" s="54" t="s">
        <v>2</v>
      </c>
    </row>
    <row r="4855" ht="15.75" customHeight="1">
      <c r="B4855" s="56"/>
      <c r="U4855" s="46" t="str">
        <f t="array" ref="U4855">IF($D4855="","",IFERROR(_xlfn.XLOOKUP($D4855,'TIR店舗一覧'!$D:$D,'TIR店舗一覧'!$E:$E,""),""))</f>
        <v/>
      </c>
      <c r="V4855" s="54" t="s">
        <v>2</v>
      </c>
      <c r="W4855" s="54" t="s">
        <v>2</v>
      </c>
      <c r="X4855" s="54" t="s">
        <v>2</v>
      </c>
      <c r="Y4855" s="54" t="s">
        <v>2</v>
      </c>
      <c r="Z4855" s="54" t="s">
        <v>2</v>
      </c>
      <c r="AA4855" s="54" t="s">
        <v>2</v>
      </c>
      <c r="AB4855" s="54" t="s">
        <v>2</v>
      </c>
      <c r="AC4855" s="54" t="s">
        <v>2</v>
      </c>
      <c r="AD4855" s="54" t="s">
        <v>2</v>
      </c>
      <c r="AE4855" s="54" t="s">
        <v>2</v>
      </c>
      <c r="AF4855" s="54" t="s">
        <v>2</v>
      </c>
      <c r="AG4855" s="54" t="s">
        <v>2</v>
      </c>
    </row>
    <row r="4856" ht="15.75" customHeight="1">
      <c r="B4856" s="56"/>
      <c r="U4856" s="46" t="str">
        <f t="array" ref="U4856">IF($D4856="","",IFERROR(_xlfn.XLOOKUP($D4856,'TIR店舗一覧'!$D:$D,'TIR店舗一覧'!$E:$E,""),""))</f>
        <v/>
      </c>
      <c r="V4856" s="54" t="s">
        <v>2</v>
      </c>
      <c r="W4856" s="54" t="s">
        <v>2</v>
      </c>
      <c r="X4856" s="54" t="s">
        <v>2</v>
      </c>
      <c r="Y4856" s="54" t="s">
        <v>2</v>
      </c>
      <c r="Z4856" s="54" t="s">
        <v>2</v>
      </c>
      <c r="AA4856" s="54" t="s">
        <v>2</v>
      </c>
      <c r="AB4856" s="54" t="s">
        <v>2</v>
      </c>
      <c r="AC4856" s="54" t="s">
        <v>2</v>
      </c>
      <c r="AD4856" s="54" t="s">
        <v>2</v>
      </c>
      <c r="AE4856" s="54" t="s">
        <v>2</v>
      </c>
      <c r="AF4856" s="54" t="s">
        <v>2</v>
      </c>
      <c r="AG4856" s="54" t="s">
        <v>2</v>
      </c>
    </row>
    <row r="4857" ht="15.75" customHeight="1">
      <c r="B4857" s="56"/>
      <c r="U4857" s="46" t="str">
        <f t="array" ref="U4857">IF($D4857="","",IFERROR(_xlfn.XLOOKUP($D4857,'TIR店舗一覧'!$D:$D,'TIR店舗一覧'!$E:$E,""),""))</f>
        <v/>
      </c>
      <c r="V4857" s="54" t="s">
        <v>2</v>
      </c>
      <c r="W4857" s="54" t="s">
        <v>2</v>
      </c>
      <c r="X4857" s="54" t="s">
        <v>2</v>
      </c>
      <c r="Y4857" s="54" t="s">
        <v>2</v>
      </c>
      <c r="Z4857" s="54" t="s">
        <v>2</v>
      </c>
      <c r="AA4857" s="54" t="s">
        <v>2</v>
      </c>
      <c r="AB4857" s="54" t="s">
        <v>2</v>
      </c>
      <c r="AC4857" s="54" t="s">
        <v>2</v>
      </c>
      <c r="AD4857" s="54" t="s">
        <v>2</v>
      </c>
      <c r="AE4857" s="54" t="s">
        <v>2</v>
      </c>
      <c r="AF4857" s="54" t="s">
        <v>2</v>
      </c>
      <c r="AG4857" s="54" t="s">
        <v>2</v>
      </c>
    </row>
    <row r="4858" ht="15.75" customHeight="1">
      <c r="B4858" s="56"/>
      <c r="U4858" s="46" t="str">
        <f t="array" ref="U4858">IF($D4858="","",IFERROR(_xlfn.XLOOKUP($D4858,'TIR店舗一覧'!$D:$D,'TIR店舗一覧'!$E:$E,""),""))</f>
        <v/>
      </c>
      <c r="V4858" s="54" t="s">
        <v>2</v>
      </c>
      <c r="W4858" s="54" t="s">
        <v>2</v>
      </c>
      <c r="X4858" s="54" t="s">
        <v>2</v>
      </c>
      <c r="Y4858" s="54" t="s">
        <v>2</v>
      </c>
      <c r="Z4858" s="54" t="s">
        <v>2</v>
      </c>
      <c r="AA4858" s="54" t="s">
        <v>2</v>
      </c>
      <c r="AB4858" s="54" t="s">
        <v>2</v>
      </c>
      <c r="AC4858" s="54" t="s">
        <v>2</v>
      </c>
      <c r="AD4858" s="54" t="s">
        <v>2</v>
      </c>
      <c r="AE4858" s="54" t="s">
        <v>2</v>
      </c>
      <c r="AF4858" s="54" t="s">
        <v>2</v>
      </c>
      <c r="AG4858" s="54" t="s">
        <v>2</v>
      </c>
    </row>
    <row r="4859" ht="15.75" customHeight="1">
      <c r="B4859" s="56"/>
      <c r="U4859" s="46" t="str">
        <f t="array" ref="U4859">IF($D4859="","",IFERROR(_xlfn.XLOOKUP($D4859,'TIR店舗一覧'!$D:$D,'TIR店舗一覧'!$E:$E,""),""))</f>
        <v/>
      </c>
      <c r="V4859" s="54" t="s">
        <v>2</v>
      </c>
      <c r="W4859" s="54" t="s">
        <v>2</v>
      </c>
      <c r="X4859" s="54" t="s">
        <v>2</v>
      </c>
      <c r="Y4859" s="54" t="s">
        <v>2</v>
      </c>
      <c r="Z4859" s="54" t="s">
        <v>2</v>
      </c>
      <c r="AA4859" s="54" t="s">
        <v>2</v>
      </c>
      <c r="AB4859" s="54" t="s">
        <v>2</v>
      </c>
      <c r="AC4859" s="54" t="s">
        <v>2</v>
      </c>
      <c r="AD4859" s="54" t="s">
        <v>2</v>
      </c>
      <c r="AE4859" s="54" t="s">
        <v>2</v>
      </c>
      <c r="AF4859" s="54" t="s">
        <v>2</v>
      </c>
      <c r="AG4859" s="54" t="s">
        <v>2</v>
      </c>
    </row>
    <row r="4860" ht="15.75" customHeight="1">
      <c r="B4860" s="56"/>
      <c r="U4860" s="46" t="str">
        <f t="array" ref="U4860">IF($D4860="","",IFERROR(_xlfn.XLOOKUP($D4860,'TIR店舗一覧'!$D:$D,'TIR店舗一覧'!$E:$E,""),""))</f>
        <v/>
      </c>
      <c r="V4860" s="54" t="s">
        <v>2</v>
      </c>
      <c r="W4860" s="54" t="s">
        <v>2</v>
      </c>
      <c r="X4860" s="54" t="s">
        <v>2</v>
      </c>
      <c r="Y4860" s="54" t="s">
        <v>2</v>
      </c>
      <c r="Z4860" s="54" t="s">
        <v>2</v>
      </c>
      <c r="AA4860" s="54" t="s">
        <v>2</v>
      </c>
      <c r="AB4860" s="54" t="s">
        <v>2</v>
      </c>
      <c r="AC4860" s="54" t="s">
        <v>2</v>
      </c>
      <c r="AD4860" s="54" t="s">
        <v>2</v>
      </c>
      <c r="AE4860" s="54" t="s">
        <v>2</v>
      </c>
      <c r="AF4860" s="54" t="s">
        <v>2</v>
      </c>
      <c r="AG4860" s="54" t="s">
        <v>2</v>
      </c>
    </row>
    <row r="4861" ht="15.75" customHeight="1">
      <c r="B4861" s="56"/>
      <c r="U4861" s="46" t="str">
        <f t="array" ref="U4861">IF($D4861="","",IFERROR(_xlfn.XLOOKUP($D4861,'TIR店舗一覧'!$D:$D,'TIR店舗一覧'!$E:$E,""),""))</f>
        <v/>
      </c>
      <c r="V4861" s="54" t="s">
        <v>2</v>
      </c>
      <c r="W4861" s="54" t="s">
        <v>2</v>
      </c>
      <c r="X4861" s="54" t="s">
        <v>2</v>
      </c>
      <c r="Y4861" s="54" t="s">
        <v>2</v>
      </c>
      <c r="Z4861" s="54" t="s">
        <v>2</v>
      </c>
      <c r="AA4861" s="54" t="s">
        <v>2</v>
      </c>
      <c r="AB4861" s="54" t="s">
        <v>2</v>
      </c>
      <c r="AC4861" s="54" t="s">
        <v>2</v>
      </c>
      <c r="AD4861" s="54" t="s">
        <v>2</v>
      </c>
      <c r="AE4861" s="54" t="s">
        <v>2</v>
      </c>
      <c r="AF4861" s="54" t="s">
        <v>2</v>
      </c>
      <c r="AG4861" s="54" t="s">
        <v>2</v>
      </c>
    </row>
    <row r="4862" ht="15.75" customHeight="1">
      <c r="B4862" s="56"/>
      <c r="U4862" s="46" t="str">
        <f t="array" ref="U4862">IF($D4862="","",IFERROR(_xlfn.XLOOKUP($D4862,'TIR店舗一覧'!$D:$D,'TIR店舗一覧'!$E:$E,""),""))</f>
        <v/>
      </c>
      <c r="V4862" s="54" t="s">
        <v>2</v>
      </c>
      <c r="W4862" s="54" t="s">
        <v>2</v>
      </c>
      <c r="X4862" s="54" t="s">
        <v>2</v>
      </c>
      <c r="Y4862" s="54" t="s">
        <v>2</v>
      </c>
      <c r="Z4862" s="54" t="s">
        <v>2</v>
      </c>
      <c r="AA4862" s="54" t="s">
        <v>2</v>
      </c>
      <c r="AB4862" s="54" t="s">
        <v>2</v>
      </c>
      <c r="AC4862" s="54" t="s">
        <v>2</v>
      </c>
      <c r="AD4862" s="54" t="s">
        <v>2</v>
      </c>
      <c r="AE4862" s="54" t="s">
        <v>2</v>
      </c>
      <c r="AF4862" s="54" t="s">
        <v>2</v>
      </c>
      <c r="AG4862" s="54" t="s">
        <v>2</v>
      </c>
    </row>
    <row r="4863" ht="15.75" customHeight="1">
      <c r="B4863" s="56"/>
      <c r="U4863" s="46" t="str">
        <f t="array" ref="U4863">IF($D4863="","",IFERROR(_xlfn.XLOOKUP($D4863,'TIR店舗一覧'!$D:$D,'TIR店舗一覧'!$E:$E,""),""))</f>
        <v/>
      </c>
      <c r="V4863" s="54" t="s">
        <v>2</v>
      </c>
      <c r="W4863" s="54" t="s">
        <v>2</v>
      </c>
      <c r="X4863" s="54" t="s">
        <v>2</v>
      </c>
      <c r="Y4863" s="54" t="s">
        <v>2</v>
      </c>
      <c r="Z4863" s="54" t="s">
        <v>2</v>
      </c>
      <c r="AA4863" s="54" t="s">
        <v>2</v>
      </c>
      <c r="AB4863" s="54" t="s">
        <v>2</v>
      </c>
      <c r="AC4863" s="54" t="s">
        <v>2</v>
      </c>
      <c r="AD4863" s="54" t="s">
        <v>2</v>
      </c>
      <c r="AE4863" s="54" t="s">
        <v>2</v>
      </c>
      <c r="AF4863" s="54" t="s">
        <v>2</v>
      </c>
      <c r="AG4863" s="54" t="s">
        <v>2</v>
      </c>
    </row>
    <row r="4864" ht="15.75" customHeight="1">
      <c r="B4864" s="56"/>
      <c r="U4864" s="46" t="str">
        <f t="array" ref="U4864">IF($D4864="","",IFERROR(_xlfn.XLOOKUP($D4864,'TIR店舗一覧'!$D:$D,'TIR店舗一覧'!$E:$E,""),""))</f>
        <v/>
      </c>
      <c r="V4864" s="54" t="s">
        <v>2</v>
      </c>
      <c r="W4864" s="54" t="s">
        <v>2</v>
      </c>
      <c r="X4864" s="54" t="s">
        <v>2</v>
      </c>
      <c r="Y4864" s="54" t="s">
        <v>2</v>
      </c>
      <c r="Z4864" s="54" t="s">
        <v>2</v>
      </c>
      <c r="AA4864" s="54" t="s">
        <v>2</v>
      </c>
      <c r="AB4864" s="54" t="s">
        <v>2</v>
      </c>
      <c r="AC4864" s="54" t="s">
        <v>2</v>
      </c>
      <c r="AD4864" s="54" t="s">
        <v>2</v>
      </c>
      <c r="AE4864" s="54" t="s">
        <v>2</v>
      </c>
      <c r="AF4864" s="54" t="s">
        <v>2</v>
      </c>
      <c r="AG4864" s="54" t="s">
        <v>2</v>
      </c>
    </row>
    <row r="4865" ht="15.75" customHeight="1">
      <c r="B4865" s="56"/>
      <c r="U4865" s="46" t="str">
        <f t="array" ref="U4865">IF($D4865="","",IFERROR(_xlfn.XLOOKUP($D4865,'TIR店舗一覧'!$D:$D,'TIR店舗一覧'!$E:$E,""),""))</f>
        <v/>
      </c>
      <c r="V4865" s="54" t="s">
        <v>2</v>
      </c>
      <c r="W4865" s="54" t="s">
        <v>2</v>
      </c>
      <c r="X4865" s="54" t="s">
        <v>2</v>
      </c>
      <c r="Y4865" s="54" t="s">
        <v>2</v>
      </c>
      <c r="Z4865" s="54" t="s">
        <v>2</v>
      </c>
      <c r="AA4865" s="54" t="s">
        <v>2</v>
      </c>
      <c r="AB4865" s="54" t="s">
        <v>2</v>
      </c>
      <c r="AC4865" s="54" t="s">
        <v>2</v>
      </c>
      <c r="AD4865" s="54" t="s">
        <v>2</v>
      </c>
      <c r="AE4865" s="54" t="s">
        <v>2</v>
      </c>
      <c r="AF4865" s="54" t="s">
        <v>2</v>
      </c>
      <c r="AG4865" s="54" t="s">
        <v>2</v>
      </c>
    </row>
    <row r="4866" ht="15.75" customHeight="1">
      <c r="B4866" s="56"/>
      <c r="U4866" s="46" t="str">
        <f t="array" ref="U4866">IF($D4866="","",IFERROR(_xlfn.XLOOKUP($D4866,'TIR店舗一覧'!$D:$D,'TIR店舗一覧'!$E:$E,""),""))</f>
        <v/>
      </c>
      <c r="V4866" s="54" t="s">
        <v>2</v>
      </c>
      <c r="W4866" s="54" t="s">
        <v>2</v>
      </c>
      <c r="X4866" s="54" t="s">
        <v>2</v>
      </c>
      <c r="Y4866" s="54" t="s">
        <v>2</v>
      </c>
      <c r="Z4866" s="54" t="s">
        <v>2</v>
      </c>
      <c r="AA4866" s="54" t="s">
        <v>2</v>
      </c>
      <c r="AB4866" s="54" t="s">
        <v>2</v>
      </c>
      <c r="AC4866" s="54" t="s">
        <v>2</v>
      </c>
      <c r="AD4866" s="54" t="s">
        <v>2</v>
      </c>
      <c r="AE4866" s="54" t="s">
        <v>2</v>
      </c>
      <c r="AF4866" s="54" t="s">
        <v>2</v>
      </c>
      <c r="AG4866" s="54" t="s">
        <v>2</v>
      </c>
    </row>
    <row r="4867" ht="15.75" customHeight="1">
      <c r="B4867" s="56"/>
      <c r="U4867" s="46" t="str">
        <f t="array" ref="U4867">IF($D4867="","",IFERROR(_xlfn.XLOOKUP($D4867,'TIR店舗一覧'!$D:$D,'TIR店舗一覧'!$E:$E,""),""))</f>
        <v/>
      </c>
      <c r="V4867" s="54" t="s">
        <v>2</v>
      </c>
      <c r="W4867" s="54" t="s">
        <v>2</v>
      </c>
      <c r="X4867" s="54" t="s">
        <v>2</v>
      </c>
      <c r="Y4867" s="54" t="s">
        <v>2</v>
      </c>
      <c r="Z4867" s="54" t="s">
        <v>2</v>
      </c>
      <c r="AA4867" s="54" t="s">
        <v>2</v>
      </c>
      <c r="AB4867" s="54" t="s">
        <v>2</v>
      </c>
      <c r="AC4867" s="54" t="s">
        <v>2</v>
      </c>
      <c r="AD4867" s="54" t="s">
        <v>2</v>
      </c>
      <c r="AE4867" s="54" t="s">
        <v>2</v>
      </c>
      <c r="AF4867" s="54" t="s">
        <v>2</v>
      </c>
      <c r="AG4867" s="54" t="s">
        <v>2</v>
      </c>
    </row>
    <row r="4868" ht="15.75" customHeight="1">
      <c r="B4868" s="56"/>
      <c r="U4868" s="46" t="str">
        <f t="array" ref="U4868">IF($D4868="","",IFERROR(_xlfn.XLOOKUP($D4868,'TIR店舗一覧'!$D:$D,'TIR店舗一覧'!$E:$E,""),""))</f>
        <v/>
      </c>
      <c r="V4868" s="54" t="s">
        <v>2</v>
      </c>
      <c r="W4868" s="54" t="s">
        <v>2</v>
      </c>
      <c r="X4868" s="54" t="s">
        <v>2</v>
      </c>
      <c r="Y4868" s="54" t="s">
        <v>2</v>
      </c>
      <c r="Z4868" s="54" t="s">
        <v>2</v>
      </c>
      <c r="AA4868" s="54" t="s">
        <v>2</v>
      </c>
      <c r="AB4868" s="54" t="s">
        <v>2</v>
      </c>
      <c r="AC4868" s="54" t="s">
        <v>2</v>
      </c>
      <c r="AD4868" s="54" t="s">
        <v>2</v>
      </c>
      <c r="AE4868" s="54" t="s">
        <v>2</v>
      </c>
      <c r="AF4868" s="54" t="s">
        <v>2</v>
      </c>
      <c r="AG4868" s="54" t="s">
        <v>2</v>
      </c>
    </row>
    <row r="4869" ht="15.75" customHeight="1">
      <c r="B4869" s="56"/>
      <c r="U4869" s="46" t="str">
        <f t="array" ref="U4869">IF($D4869="","",IFERROR(_xlfn.XLOOKUP($D4869,'TIR店舗一覧'!$D:$D,'TIR店舗一覧'!$E:$E,""),""))</f>
        <v/>
      </c>
      <c r="V4869" s="54" t="s">
        <v>2</v>
      </c>
      <c r="W4869" s="54" t="s">
        <v>2</v>
      </c>
      <c r="X4869" s="54" t="s">
        <v>2</v>
      </c>
      <c r="Y4869" s="54" t="s">
        <v>2</v>
      </c>
      <c r="Z4869" s="54" t="s">
        <v>2</v>
      </c>
      <c r="AA4869" s="54" t="s">
        <v>2</v>
      </c>
      <c r="AB4869" s="54" t="s">
        <v>2</v>
      </c>
      <c r="AC4869" s="54" t="s">
        <v>2</v>
      </c>
      <c r="AD4869" s="54" t="s">
        <v>2</v>
      </c>
      <c r="AE4869" s="54" t="s">
        <v>2</v>
      </c>
      <c r="AF4869" s="54" t="s">
        <v>2</v>
      </c>
      <c r="AG4869" s="54" t="s">
        <v>2</v>
      </c>
    </row>
    <row r="4870" ht="15.75" customHeight="1">
      <c r="B4870" s="56"/>
      <c r="U4870" s="46" t="str">
        <f t="array" ref="U4870">IF($D4870="","",IFERROR(_xlfn.XLOOKUP($D4870,'TIR店舗一覧'!$D:$D,'TIR店舗一覧'!$E:$E,""),""))</f>
        <v/>
      </c>
      <c r="V4870" s="54" t="s">
        <v>2</v>
      </c>
      <c r="W4870" s="54" t="s">
        <v>2</v>
      </c>
      <c r="X4870" s="54" t="s">
        <v>2</v>
      </c>
      <c r="Y4870" s="54" t="s">
        <v>2</v>
      </c>
      <c r="Z4870" s="54" t="s">
        <v>2</v>
      </c>
      <c r="AA4870" s="54" t="s">
        <v>2</v>
      </c>
      <c r="AB4870" s="54" t="s">
        <v>2</v>
      </c>
      <c r="AC4870" s="54" t="s">
        <v>2</v>
      </c>
      <c r="AD4870" s="54" t="s">
        <v>2</v>
      </c>
      <c r="AE4870" s="54" t="s">
        <v>2</v>
      </c>
      <c r="AF4870" s="54" t="s">
        <v>2</v>
      </c>
      <c r="AG4870" s="54" t="s">
        <v>2</v>
      </c>
    </row>
    <row r="4871" ht="15.75" customHeight="1">
      <c r="B4871" s="56"/>
      <c r="U4871" s="46" t="str">
        <f t="array" ref="U4871">IF($D4871="","",IFERROR(_xlfn.XLOOKUP($D4871,'TIR店舗一覧'!$D:$D,'TIR店舗一覧'!$E:$E,""),""))</f>
        <v/>
      </c>
      <c r="V4871" s="54" t="s">
        <v>2</v>
      </c>
      <c r="W4871" s="54" t="s">
        <v>2</v>
      </c>
      <c r="X4871" s="54" t="s">
        <v>2</v>
      </c>
      <c r="Y4871" s="54" t="s">
        <v>2</v>
      </c>
      <c r="Z4871" s="54" t="s">
        <v>2</v>
      </c>
      <c r="AA4871" s="54" t="s">
        <v>2</v>
      </c>
      <c r="AB4871" s="54" t="s">
        <v>2</v>
      </c>
      <c r="AC4871" s="54" t="s">
        <v>2</v>
      </c>
      <c r="AD4871" s="54" t="s">
        <v>2</v>
      </c>
      <c r="AE4871" s="54" t="s">
        <v>2</v>
      </c>
      <c r="AF4871" s="54" t="s">
        <v>2</v>
      </c>
      <c r="AG4871" s="54" t="s">
        <v>2</v>
      </c>
    </row>
    <row r="4872" ht="15.75" customHeight="1">
      <c r="B4872" s="56"/>
      <c r="U4872" s="46" t="str">
        <f t="array" ref="U4872">IF($D4872="","",IFERROR(_xlfn.XLOOKUP($D4872,'TIR店舗一覧'!$D:$D,'TIR店舗一覧'!$E:$E,""),""))</f>
        <v/>
      </c>
      <c r="V4872" s="54" t="s">
        <v>2</v>
      </c>
      <c r="W4872" s="54" t="s">
        <v>2</v>
      </c>
      <c r="X4872" s="54" t="s">
        <v>2</v>
      </c>
      <c r="Y4872" s="54" t="s">
        <v>2</v>
      </c>
      <c r="Z4872" s="54" t="s">
        <v>2</v>
      </c>
      <c r="AA4872" s="54" t="s">
        <v>2</v>
      </c>
      <c r="AB4872" s="54" t="s">
        <v>2</v>
      </c>
      <c r="AC4872" s="54" t="s">
        <v>2</v>
      </c>
      <c r="AD4872" s="54" t="s">
        <v>2</v>
      </c>
      <c r="AE4872" s="54" t="s">
        <v>2</v>
      </c>
      <c r="AF4872" s="54" t="s">
        <v>2</v>
      </c>
      <c r="AG4872" s="54" t="s">
        <v>2</v>
      </c>
    </row>
    <row r="4873" ht="15.75" customHeight="1">
      <c r="B4873" s="56"/>
      <c r="U4873" s="46" t="str">
        <f t="array" ref="U4873">IF($D4873="","",IFERROR(_xlfn.XLOOKUP($D4873,'TIR店舗一覧'!$D:$D,'TIR店舗一覧'!$E:$E,""),""))</f>
        <v/>
      </c>
      <c r="V4873" s="54" t="s">
        <v>2</v>
      </c>
      <c r="W4873" s="54" t="s">
        <v>2</v>
      </c>
      <c r="X4873" s="54" t="s">
        <v>2</v>
      </c>
      <c r="Y4873" s="54" t="s">
        <v>2</v>
      </c>
      <c r="Z4873" s="54" t="s">
        <v>2</v>
      </c>
      <c r="AA4873" s="54" t="s">
        <v>2</v>
      </c>
      <c r="AB4873" s="54" t="s">
        <v>2</v>
      </c>
      <c r="AC4873" s="54" t="s">
        <v>2</v>
      </c>
      <c r="AD4873" s="54" t="s">
        <v>2</v>
      </c>
      <c r="AE4873" s="54" t="s">
        <v>2</v>
      </c>
      <c r="AF4873" s="54" t="s">
        <v>2</v>
      </c>
      <c r="AG4873" s="54" t="s">
        <v>2</v>
      </c>
    </row>
    <row r="4874" ht="15.75" customHeight="1">
      <c r="B4874" s="56"/>
      <c r="U4874" s="46" t="str">
        <f t="array" ref="U4874">IF($D4874="","",IFERROR(_xlfn.XLOOKUP($D4874,'TIR店舗一覧'!$D:$D,'TIR店舗一覧'!$E:$E,""),""))</f>
        <v/>
      </c>
      <c r="V4874" s="54" t="s">
        <v>2</v>
      </c>
      <c r="W4874" s="54" t="s">
        <v>2</v>
      </c>
      <c r="X4874" s="54" t="s">
        <v>2</v>
      </c>
      <c r="Y4874" s="54" t="s">
        <v>2</v>
      </c>
      <c r="Z4874" s="54" t="s">
        <v>2</v>
      </c>
      <c r="AA4874" s="54" t="s">
        <v>2</v>
      </c>
      <c r="AB4874" s="54" t="s">
        <v>2</v>
      </c>
      <c r="AC4874" s="54" t="s">
        <v>2</v>
      </c>
      <c r="AD4874" s="54" t="s">
        <v>2</v>
      </c>
      <c r="AE4874" s="54" t="s">
        <v>2</v>
      </c>
      <c r="AF4874" s="54" t="s">
        <v>2</v>
      </c>
      <c r="AG4874" s="54" t="s">
        <v>2</v>
      </c>
    </row>
    <row r="4875" ht="15.75" customHeight="1">
      <c r="B4875" s="56"/>
      <c r="U4875" s="46" t="str">
        <f t="array" ref="U4875">IF($D4875="","",IFERROR(_xlfn.XLOOKUP($D4875,'TIR店舗一覧'!$D:$D,'TIR店舗一覧'!$E:$E,""),""))</f>
        <v/>
      </c>
      <c r="V4875" s="54" t="s">
        <v>2</v>
      </c>
      <c r="W4875" s="54" t="s">
        <v>2</v>
      </c>
      <c r="X4875" s="54" t="s">
        <v>2</v>
      </c>
      <c r="Y4875" s="54" t="s">
        <v>2</v>
      </c>
      <c r="Z4875" s="54" t="s">
        <v>2</v>
      </c>
      <c r="AA4875" s="54" t="s">
        <v>2</v>
      </c>
      <c r="AB4875" s="54" t="s">
        <v>2</v>
      </c>
      <c r="AC4875" s="54" t="s">
        <v>2</v>
      </c>
      <c r="AD4875" s="54" t="s">
        <v>2</v>
      </c>
      <c r="AE4875" s="54" t="s">
        <v>2</v>
      </c>
      <c r="AF4875" s="54" t="s">
        <v>2</v>
      </c>
      <c r="AG4875" s="54" t="s">
        <v>2</v>
      </c>
    </row>
    <row r="4876" ht="15.75" customHeight="1">
      <c r="B4876" s="56"/>
      <c r="U4876" s="46" t="str">
        <f t="array" ref="U4876">IF($D4876="","",IFERROR(_xlfn.XLOOKUP($D4876,'TIR店舗一覧'!$D:$D,'TIR店舗一覧'!$E:$E,""),""))</f>
        <v/>
      </c>
      <c r="V4876" s="54" t="s">
        <v>2</v>
      </c>
      <c r="W4876" s="54" t="s">
        <v>2</v>
      </c>
      <c r="X4876" s="54" t="s">
        <v>2</v>
      </c>
      <c r="Y4876" s="54" t="s">
        <v>2</v>
      </c>
      <c r="Z4876" s="54" t="s">
        <v>2</v>
      </c>
      <c r="AA4876" s="54" t="s">
        <v>2</v>
      </c>
      <c r="AB4876" s="54" t="s">
        <v>2</v>
      </c>
      <c r="AC4876" s="54" t="s">
        <v>2</v>
      </c>
      <c r="AD4876" s="54" t="s">
        <v>2</v>
      </c>
      <c r="AE4876" s="54" t="s">
        <v>2</v>
      </c>
      <c r="AF4876" s="54" t="s">
        <v>2</v>
      </c>
      <c r="AG4876" s="54" t="s">
        <v>2</v>
      </c>
    </row>
    <row r="4877" ht="15.75" customHeight="1">
      <c r="B4877" s="56"/>
      <c r="U4877" s="46" t="str">
        <f t="array" ref="U4877">IF($D4877="","",IFERROR(_xlfn.XLOOKUP($D4877,'TIR店舗一覧'!$D:$D,'TIR店舗一覧'!$E:$E,""),""))</f>
        <v/>
      </c>
      <c r="V4877" s="54" t="s">
        <v>2</v>
      </c>
      <c r="W4877" s="54" t="s">
        <v>2</v>
      </c>
      <c r="X4877" s="54" t="s">
        <v>2</v>
      </c>
      <c r="Y4877" s="54" t="s">
        <v>2</v>
      </c>
      <c r="Z4877" s="54" t="s">
        <v>2</v>
      </c>
      <c r="AA4877" s="54" t="s">
        <v>2</v>
      </c>
      <c r="AB4877" s="54" t="s">
        <v>2</v>
      </c>
      <c r="AC4877" s="54" t="s">
        <v>2</v>
      </c>
      <c r="AD4877" s="54" t="s">
        <v>2</v>
      </c>
      <c r="AE4877" s="54" t="s">
        <v>2</v>
      </c>
      <c r="AF4877" s="54" t="s">
        <v>2</v>
      </c>
      <c r="AG4877" s="54" t="s">
        <v>2</v>
      </c>
    </row>
    <row r="4878" ht="15.75" customHeight="1">
      <c r="B4878" s="56"/>
      <c r="U4878" s="46" t="str">
        <f t="array" ref="U4878">IF($D4878="","",IFERROR(_xlfn.XLOOKUP($D4878,'TIR店舗一覧'!$D:$D,'TIR店舗一覧'!$E:$E,""),""))</f>
        <v/>
      </c>
      <c r="V4878" s="54" t="s">
        <v>2</v>
      </c>
      <c r="W4878" s="54" t="s">
        <v>2</v>
      </c>
      <c r="X4878" s="54" t="s">
        <v>2</v>
      </c>
      <c r="Y4878" s="54" t="s">
        <v>2</v>
      </c>
      <c r="Z4878" s="54" t="s">
        <v>2</v>
      </c>
      <c r="AA4878" s="54" t="s">
        <v>2</v>
      </c>
      <c r="AB4878" s="54" t="s">
        <v>2</v>
      </c>
      <c r="AC4878" s="54" t="s">
        <v>2</v>
      </c>
      <c r="AD4878" s="54" t="s">
        <v>2</v>
      </c>
      <c r="AE4878" s="54" t="s">
        <v>2</v>
      </c>
      <c r="AF4878" s="54" t="s">
        <v>2</v>
      </c>
      <c r="AG4878" s="54" t="s">
        <v>2</v>
      </c>
    </row>
    <row r="4879" ht="15.75" customHeight="1">
      <c r="B4879" s="56"/>
      <c r="U4879" s="46" t="str">
        <f t="array" ref="U4879">IF($D4879="","",IFERROR(_xlfn.XLOOKUP($D4879,'TIR店舗一覧'!$D:$D,'TIR店舗一覧'!$E:$E,""),""))</f>
        <v/>
      </c>
      <c r="V4879" s="54" t="s">
        <v>2</v>
      </c>
      <c r="W4879" s="54" t="s">
        <v>2</v>
      </c>
      <c r="X4879" s="54" t="s">
        <v>2</v>
      </c>
      <c r="Y4879" s="54" t="s">
        <v>2</v>
      </c>
      <c r="Z4879" s="54" t="s">
        <v>2</v>
      </c>
      <c r="AA4879" s="54" t="s">
        <v>2</v>
      </c>
      <c r="AB4879" s="54" t="s">
        <v>2</v>
      </c>
      <c r="AC4879" s="54" t="s">
        <v>2</v>
      </c>
      <c r="AD4879" s="54" t="s">
        <v>2</v>
      </c>
      <c r="AE4879" s="54" t="s">
        <v>2</v>
      </c>
      <c r="AF4879" s="54" t="s">
        <v>2</v>
      </c>
      <c r="AG4879" s="54" t="s">
        <v>2</v>
      </c>
    </row>
    <row r="4880" ht="15.75" customHeight="1">
      <c r="B4880" s="56"/>
      <c r="U4880" s="46" t="str">
        <f t="array" ref="U4880">IF($D4880="","",IFERROR(_xlfn.XLOOKUP($D4880,'TIR店舗一覧'!$D:$D,'TIR店舗一覧'!$E:$E,""),""))</f>
        <v/>
      </c>
      <c r="V4880" s="54" t="s">
        <v>2</v>
      </c>
      <c r="W4880" s="54" t="s">
        <v>2</v>
      </c>
      <c r="X4880" s="54" t="s">
        <v>2</v>
      </c>
      <c r="Y4880" s="54" t="s">
        <v>2</v>
      </c>
      <c r="Z4880" s="54" t="s">
        <v>2</v>
      </c>
      <c r="AA4880" s="54" t="s">
        <v>2</v>
      </c>
      <c r="AB4880" s="54" t="s">
        <v>2</v>
      </c>
      <c r="AC4880" s="54" t="s">
        <v>2</v>
      </c>
      <c r="AD4880" s="54" t="s">
        <v>2</v>
      </c>
      <c r="AE4880" s="54" t="s">
        <v>2</v>
      </c>
      <c r="AF4880" s="54" t="s">
        <v>2</v>
      </c>
      <c r="AG4880" s="54" t="s">
        <v>2</v>
      </c>
    </row>
    <row r="4881" ht="15.75" customHeight="1">
      <c r="B4881" s="56"/>
      <c r="U4881" s="46" t="str">
        <f t="array" ref="U4881">IF($D4881="","",IFERROR(_xlfn.XLOOKUP($D4881,'TIR店舗一覧'!$D:$D,'TIR店舗一覧'!$E:$E,""),""))</f>
        <v/>
      </c>
      <c r="V4881" s="54" t="s">
        <v>2</v>
      </c>
      <c r="W4881" s="54" t="s">
        <v>2</v>
      </c>
      <c r="X4881" s="54" t="s">
        <v>2</v>
      </c>
      <c r="Y4881" s="54" t="s">
        <v>2</v>
      </c>
      <c r="Z4881" s="54" t="s">
        <v>2</v>
      </c>
      <c r="AA4881" s="54" t="s">
        <v>2</v>
      </c>
      <c r="AB4881" s="54" t="s">
        <v>2</v>
      </c>
      <c r="AC4881" s="54" t="s">
        <v>2</v>
      </c>
      <c r="AD4881" s="54" t="s">
        <v>2</v>
      </c>
      <c r="AE4881" s="54" t="s">
        <v>2</v>
      </c>
      <c r="AF4881" s="54" t="s">
        <v>2</v>
      </c>
      <c r="AG4881" s="54" t="s">
        <v>2</v>
      </c>
    </row>
    <row r="4882" ht="15.75" customHeight="1">
      <c r="B4882" s="56"/>
      <c r="U4882" s="46" t="str">
        <f t="array" ref="U4882">IF($D4882="","",IFERROR(_xlfn.XLOOKUP($D4882,'TIR店舗一覧'!$D:$D,'TIR店舗一覧'!$E:$E,""),""))</f>
        <v/>
      </c>
      <c r="V4882" s="54" t="s">
        <v>2</v>
      </c>
      <c r="W4882" s="54" t="s">
        <v>2</v>
      </c>
      <c r="X4882" s="54" t="s">
        <v>2</v>
      </c>
      <c r="Y4882" s="54" t="s">
        <v>2</v>
      </c>
      <c r="Z4882" s="54" t="s">
        <v>2</v>
      </c>
      <c r="AA4882" s="54" t="s">
        <v>2</v>
      </c>
      <c r="AB4882" s="54" t="s">
        <v>2</v>
      </c>
      <c r="AC4882" s="54" t="s">
        <v>2</v>
      </c>
      <c r="AD4882" s="54" t="s">
        <v>2</v>
      </c>
      <c r="AE4882" s="54" t="s">
        <v>2</v>
      </c>
      <c r="AF4882" s="54" t="s">
        <v>2</v>
      </c>
      <c r="AG4882" s="54" t="s">
        <v>2</v>
      </c>
    </row>
    <row r="4883" ht="15.75" customHeight="1">
      <c r="B4883" s="56"/>
      <c r="U4883" s="46" t="str">
        <f t="array" ref="U4883">IF($D4883="","",IFERROR(_xlfn.XLOOKUP($D4883,'TIR店舗一覧'!$D:$D,'TIR店舗一覧'!$E:$E,""),""))</f>
        <v/>
      </c>
      <c r="V4883" s="54" t="s">
        <v>2</v>
      </c>
      <c r="W4883" s="54" t="s">
        <v>2</v>
      </c>
      <c r="X4883" s="54" t="s">
        <v>2</v>
      </c>
      <c r="Y4883" s="54" t="s">
        <v>2</v>
      </c>
      <c r="Z4883" s="54" t="s">
        <v>2</v>
      </c>
      <c r="AA4883" s="54" t="s">
        <v>2</v>
      </c>
      <c r="AB4883" s="54" t="s">
        <v>2</v>
      </c>
      <c r="AC4883" s="54" t="s">
        <v>2</v>
      </c>
      <c r="AD4883" s="54" t="s">
        <v>2</v>
      </c>
      <c r="AE4883" s="54" t="s">
        <v>2</v>
      </c>
      <c r="AF4883" s="54" t="s">
        <v>2</v>
      </c>
      <c r="AG4883" s="54" t="s">
        <v>2</v>
      </c>
    </row>
    <row r="4884" ht="15.75" customHeight="1">
      <c r="B4884" s="56"/>
      <c r="U4884" s="46" t="str">
        <f t="array" ref="U4884">IF($D4884="","",IFERROR(_xlfn.XLOOKUP($D4884,'TIR店舗一覧'!$D:$D,'TIR店舗一覧'!$E:$E,""),""))</f>
        <v/>
      </c>
      <c r="V4884" s="54" t="s">
        <v>2</v>
      </c>
      <c r="W4884" s="54" t="s">
        <v>2</v>
      </c>
      <c r="X4884" s="54" t="s">
        <v>2</v>
      </c>
      <c r="Y4884" s="54" t="s">
        <v>2</v>
      </c>
      <c r="Z4884" s="54" t="s">
        <v>2</v>
      </c>
      <c r="AA4884" s="54" t="s">
        <v>2</v>
      </c>
      <c r="AB4884" s="54" t="s">
        <v>2</v>
      </c>
      <c r="AC4884" s="54" t="s">
        <v>2</v>
      </c>
      <c r="AD4884" s="54" t="s">
        <v>2</v>
      </c>
      <c r="AE4884" s="54" t="s">
        <v>2</v>
      </c>
      <c r="AF4884" s="54" t="s">
        <v>2</v>
      </c>
      <c r="AG4884" s="54" t="s">
        <v>2</v>
      </c>
    </row>
    <row r="4885" ht="15.75" customHeight="1">
      <c r="B4885" s="56"/>
      <c r="U4885" s="46" t="str">
        <f t="array" ref="U4885">IF($D4885="","",IFERROR(_xlfn.XLOOKUP($D4885,'TIR店舗一覧'!$D:$D,'TIR店舗一覧'!$E:$E,""),""))</f>
        <v/>
      </c>
      <c r="V4885" s="54" t="s">
        <v>2</v>
      </c>
      <c r="W4885" s="54" t="s">
        <v>2</v>
      </c>
      <c r="X4885" s="54" t="s">
        <v>2</v>
      </c>
      <c r="Y4885" s="54" t="s">
        <v>2</v>
      </c>
      <c r="Z4885" s="54" t="s">
        <v>2</v>
      </c>
      <c r="AA4885" s="54" t="s">
        <v>2</v>
      </c>
      <c r="AB4885" s="54" t="s">
        <v>2</v>
      </c>
      <c r="AC4885" s="54" t="s">
        <v>2</v>
      </c>
      <c r="AD4885" s="54" t="s">
        <v>2</v>
      </c>
      <c r="AE4885" s="54" t="s">
        <v>2</v>
      </c>
      <c r="AF4885" s="54" t="s">
        <v>2</v>
      </c>
      <c r="AG4885" s="54" t="s">
        <v>2</v>
      </c>
    </row>
    <row r="4886" ht="15.75" customHeight="1">
      <c r="B4886" s="56"/>
      <c r="U4886" s="46" t="str">
        <f t="array" ref="U4886">IF($D4886="","",IFERROR(_xlfn.XLOOKUP($D4886,'TIR店舗一覧'!$D:$D,'TIR店舗一覧'!$E:$E,""),""))</f>
        <v/>
      </c>
      <c r="V4886" s="54" t="s">
        <v>2</v>
      </c>
      <c r="W4886" s="54" t="s">
        <v>2</v>
      </c>
      <c r="X4886" s="54" t="s">
        <v>2</v>
      </c>
      <c r="Y4886" s="54" t="s">
        <v>2</v>
      </c>
      <c r="Z4886" s="54" t="s">
        <v>2</v>
      </c>
      <c r="AA4886" s="54" t="s">
        <v>2</v>
      </c>
      <c r="AB4886" s="54" t="s">
        <v>2</v>
      </c>
      <c r="AC4886" s="54" t="s">
        <v>2</v>
      </c>
      <c r="AD4886" s="54" t="s">
        <v>2</v>
      </c>
      <c r="AE4886" s="54" t="s">
        <v>2</v>
      </c>
      <c r="AF4886" s="54" t="s">
        <v>2</v>
      </c>
      <c r="AG4886" s="54" t="s">
        <v>2</v>
      </c>
    </row>
    <row r="4887" ht="15.75" customHeight="1">
      <c r="B4887" s="56"/>
      <c r="U4887" s="46" t="str">
        <f t="array" ref="U4887">IF($D4887="","",IFERROR(_xlfn.XLOOKUP($D4887,'TIR店舗一覧'!$D:$D,'TIR店舗一覧'!$E:$E,""),""))</f>
        <v/>
      </c>
      <c r="V4887" s="54" t="s">
        <v>2</v>
      </c>
      <c r="W4887" s="54" t="s">
        <v>2</v>
      </c>
      <c r="X4887" s="54" t="s">
        <v>2</v>
      </c>
      <c r="Y4887" s="54" t="s">
        <v>2</v>
      </c>
      <c r="Z4887" s="54" t="s">
        <v>2</v>
      </c>
      <c r="AA4887" s="54" t="s">
        <v>2</v>
      </c>
      <c r="AB4887" s="54" t="s">
        <v>2</v>
      </c>
      <c r="AC4887" s="54" t="s">
        <v>2</v>
      </c>
      <c r="AD4887" s="54" t="s">
        <v>2</v>
      </c>
      <c r="AE4887" s="54" t="s">
        <v>2</v>
      </c>
      <c r="AF4887" s="54" t="s">
        <v>2</v>
      </c>
      <c r="AG4887" s="54" t="s">
        <v>2</v>
      </c>
    </row>
    <row r="4888" ht="15.75" customHeight="1">
      <c r="B4888" s="56"/>
      <c r="U4888" s="46" t="str">
        <f t="array" ref="U4888">IF($D4888="","",IFERROR(_xlfn.XLOOKUP($D4888,'TIR店舗一覧'!$D:$D,'TIR店舗一覧'!$E:$E,""),""))</f>
        <v/>
      </c>
      <c r="V4888" s="54" t="s">
        <v>2</v>
      </c>
      <c r="W4888" s="54" t="s">
        <v>2</v>
      </c>
      <c r="X4888" s="54" t="s">
        <v>2</v>
      </c>
      <c r="Y4888" s="54" t="s">
        <v>2</v>
      </c>
      <c r="Z4888" s="54" t="s">
        <v>2</v>
      </c>
      <c r="AA4888" s="54" t="s">
        <v>2</v>
      </c>
      <c r="AB4888" s="54" t="s">
        <v>2</v>
      </c>
      <c r="AC4888" s="54" t="s">
        <v>2</v>
      </c>
      <c r="AD4888" s="54" t="s">
        <v>2</v>
      </c>
      <c r="AE4888" s="54" t="s">
        <v>2</v>
      </c>
      <c r="AF4888" s="54" t="s">
        <v>2</v>
      </c>
      <c r="AG4888" s="54" t="s">
        <v>2</v>
      </c>
    </row>
    <row r="4889" ht="15.75" customHeight="1">
      <c r="B4889" s="56"/>
      <c r="U4889" s="46" t="str">
        <f t="array" ref="U4889">IF($D4889="","",IFERROR(_xlfn.XLOOKUP($D4889,'TIR店舗一覧'!$D:$D,'TIR店舗一覧'!$E:$E,""),""))</f>
        <v/>
      </c>
      <c r="V4889" s="54" t="s">
        <v>2</v>
      </c>
      <c r="W4889" s="54" t="s">
        <v>2</v>
      </c>
      <c r="X4889" s="54" t="s">
        <v>2</v>
      </c>
      <c r="Y4889" s="54" t="s">
        <v>2</v>
      </c>
      <c r="Z4889" s="54" t="s">
        <v>2</v>
      </c>
      <c r="AA4889" s="54" t="s">
        <v>2</v>
      </c>
      <c r="AB4889" s="54" t="s">
        <v>2</v>
      </c>
      <c r="AC4889" s="54" t="s">
        <v>2</v>
      </c>
      <c r="AD4889" s="54" t="s">
        <v>2</v>
      </c>
      <c r="AE4889" s="54" t="s">
        <v>2</v>
      </c>
      <c r="AF4889" s="54" t="s">
        <v>2</v>
      </c>
      <c r="AG4889" s="54" t="s">
        <v>2</v>
      </c>
    </row>
    <row r="4890" ht="15.75" customHeight="1">
      <c r="B4890" s="56"/>
      <c r="U4890" s="46" t="str">
        <f t="array" ref="U4890">IF($D4890="","",IFERROR(_xlfn.XLOOKUP($D4890,'TIR店舗一覧'!$D:$D,'TIR店舗一覧'!$E:$E,""),""))</f>
        <v/>
      </c>
      <c r="V4890" s="54" t="s">
        <v>2</v>
      </c>
      <c r="W4890" s="54" t="s">
        <v>2</v>
      </c>
      <c r="X4890" s="54" t="s">
        <v>2</v>
      </c>
      <c r="Y4890" s="54" t="s">
        <v>2</v>
      </c>
      <c r="Z4890" s="54" t="s">
        <v>2</v>
      </c>
      <c r="AA4890" s="54" t="s">
        <v>2</v>
      </c>
      <c r="AB4890" s="54" t="s">
        <v>2</v>
      </c>
      <c r="AC4890" s="54" t="s">
        <v>2</v>
      </c>
      <c r="AD4890" s="54" t="s">
        <v>2</v>
      </c>
      <c r="AE4890" s="54" t="s">
        <v>2</v>
      </c>
      <c r="AF4890" s="54" t="s">
        <v>2</v>
      </c>
      <c r="AG4890" s="54" t="s">
        <v>2</v>
      </c>
    </row>
    <row r="4891" ht="15.75" customHeight="1">
      <c r="B4891" s="56"/>
      <c r="U4891" s="46" t="str">
        <f t="array" ref="U4891">IF($D4891="","",IFERROR(_xlfn.XLOOKUP($D4891,'TIR店舗一覧'!$D:$D,'TIR店舗一覧'!$E:$E,""),""))</f>
        <v/>
      </c>
      <c r="V4891" s="54" t="s">
        <v>2</v>
      </c>
      <c r="W4891" s="54" t="s">
        <v>2</v>
      </c>
      <c r="X4891" s="54" t="s">
        <v>2</v>
      </c>
      <c r="Y4891" s="54" t="s">
        <v>2</v>
      </c>
      <c r="Z4891" s="54" t="s">
        <v>2</v>
      </c>
      <c r="AA4891" s="54" t="s">
        <v>2</v>
      </c>
      <c r="AB4891" s="54" t="s">
        <v>2</v>
      </c>
      <c r="AC4891" s="54" t="s">
        <v>2</v>
      </c>
      <c r="AD4891" s="54" t="s">
        <v>2</v>
      </c>
      <c r="AE4891" s="54" t="s">
        <v>2</v>
      </c>
      <c r="AF4891" s="54" t="s">
        <v>2</v>
      </c>
      <c r="AG4891" s="54" t="s">
        <v>2</v>
      </c>
    </row>
    <row r="4892" ht="15.75" customHeight="1">
      <c r="B4892" s="56"/>
      <c r="U4892" s="46" t="str">
        <f t="array" ref="U4892">IF($D4892="","",IFERROR(_xlfn.XLOOKUP($D4892,'TIR店舗一覧'!$D:$D,'TIR店舗一覧'!$E:$E,""),""))</f>
        <v/>
      </c>
      <c r="V4892" s="54" t="s">
        <v>2</v>
      </c>
      <c r="W4892" s="54" t="s">
        <v>2</v>
      </c>
      <c r="X4892" s="54" t="s">
        <v>2</v>
      </c>
      <c r="Y4892" s="54" t="s">
        <v>2</v>
      </c>
      <c r="Z4892" s="54" t="s">
        <v>2</v>
      </c>
      <c r="AA4892" s="54" t="s">
        <v>2</v>
      </c>
      <c r="AB4892" s="54" t="s">
        <v>2</v>
      </c>
      <c r="AC4892" s="54" t="s">
        <v>2</v>
      </c>
      <c r="AD4892" s="54" t="s">
        <v>2</v>
      </c>
      <c r="AE4892" s="54" t="s">
        <v>2</v>
      </c>
      <c r="AF4892" s="54" t="s">
        <v>2</v>
      </c>
      <c r="AG4892" s="54" t="s">
        <v>2</v>
      </c>
    </row>
    <row r="4893" ht="15.75" customHeight="1">
      <c r="B4893" s="56"/>
      <c r="U4893" s="46" t="str">
        <f t="array" ref="U4893">IF($D4893="","",IFERROR(_xlfn.XLOOKUP($D4893,'TIR店舗一覧'!$D:$D,'TIR店舗一覧'!$E:$E,""),""))</f>
        <v/>
      </c>
      <c r="V4893" s="54" t="s">
        <v>2</v>
      </c>
      <c r="W4893" s="54" t="s">
        <v>2</v>
      </c>
      <c r="X4893" s="54" t="s">
        <v>2</v>
      </c>
      <c r="Y4893" s="54" t="s">
        <v>2</v>
      </c>
      <c r="Z4893" s="54" t="s">
        <v>2</v>
      </c>
      <c r="AA4893" s="54" t="s">
        <v>2</v>
      </c>
      <c r="AB4893" s="54" t="s">
        <v>2</v>
      </c>
      <c r="AC4893" s="54" t="s">
        <v>2</v>
      </c>
      <c r="AD4893" s="54" t="s">
        <v>2</v>
      </c>
      <c r="AE4893" s="54" t="s">
        <v>2</v>
      </c>
      <c r="AF4893" s="54" t="s">
        <v>2</v>
      </c>
      <c r="AG4893" s="54" t="s">
        <v>2</v>
      </c>
    </row>
    <row r="4894" ht="15.75" customHeight="1">
      <c r="B4894" s="56"/>
      <c r="U4894" s="46" t="str">
        <f t="array" ref="U4894">IF($D4894="","",IFERROR(_xlfn.XLOOKUP($D4894,'TIR店舗一覧'!$D:$D,'TIR店舗一覧'!$E:$E,""),""))</f>
        <v/>
      </c>
      <c r="V4894" s="54" t="s">
        <v>2</v>
      </c>
      <c r="W4894" s="54" t="s">
        <v>2</v>
      </c>
      <c r="X4894" s="54" t="s">
        <v>2</v>
      </c>
      <c r="Y4894" s="54" t="s">
        <v>2</v>
      </c>
      <c r="Z4894" s="54" t="s">
        <v>2</v>
      </c>
      <c r="AA4894" s="54" t="s">
        <v>2</v>
      </c>
      <c r="AB4894" s="54" t="s">
        <v>2</v>
      </c>
      <c r="AC4894" s="54" t="s">
        <v>2</v>
      </c>
      <c r="AD4894" s="54" t="s">
        <v>2</v>
      </c>
      <c r="AE4894" s="54" t="s">
        <v>2</v>
      </c>
      <c r="AF4894" s="54" t="s">
        <v>2</v>
      </c>
      <c r="AG4894" s="54" t="s">
        <v>2</v>
      </c>
    </row>
    <row r="4895" ht="15.75" customHeight="1">
      <c r="B4895" s="56"/>
      <c r="U4895" s="46" t="str">
        <f t="array" ref="U4895">IF($D4895="","",IFERROR(_xlfn.XLOOKUP($D4895,'TIR店舗一覧'!$D:$D,'TIR店舗一覧'!$E:$E,""),""))</f>
        <v/>
      </c>
      <c r="V4895" s="54" t="s">
        <v>2</v>
      </c>
      <c r="W4895" s="54" t="s">
        <v>2</v>
      </c>
      <c r="X4895" s="54" t="s">
        <v>2</v>
      </c>
      <c r="Y4895" s="54" t="s">
        <v>2</v>
      </c>
      <c r="Z4895" s="54" t="s">
        <v>2</v>
      </c>
      <c r="AA4895" s="54" t="s">
        <v>2</v>
      </c>
      <c r="AB4895" s="54" t="s">
        <v>2</v>
      </c>
      <c r="AC4895" s="54" t="s">
        <v>2</v>
      </c>
      <c r="AD4895" s="54" t="s">
        <v>2</v>
      </c>
      <c r="AE4895" s="54" t="s">
        <v>2</v>
      </c>
      <c r="AF4895" s="54" t="s">
        <v>2</v>
      </c>
      <c r="AG4895" s="54" t="s">
        <v>2</v>
      </c>
    </row>
    <row r="4896" ht="15.75" customHeight="1">
      <c r="B4896" s="56"/>
      <c r="U4896" s="46" t="str">
        <f t="array" ref="U4896">IF($D4896="","",IFERROR(_xlfn.XLOOKUP($D4896,'TIR店舗一覧'!$D:$D,'TIR店舗一覧'!$E:$E,""),""))</f>
        <v/>
      </c>
      <c r="V4896" s="54" t="s">
        <v>2</v>
      </c>
      <c r="W4896" s="54" t="s">
        <v>2</v>
      </c>
      <c r="X4896" s="54" t="s">
        <v>2</v>
      </c>
      <c r="Y4896" s="54" t="s">
        <v>2</v>
      </c>
      <c r="Z4896" s="54" t="s">
        <v>2</v>
      </c>
      <c r="AA4896" s="54" t="s">
        <v>2</v>
      </c>
      <c r="AB4896" s="54" t="s">
        <v>2</v>
      </c>
      <c r="AC4896" s="54" t="s">
        <v>2</v>
      </c>
      <c r="AD4896" s="54" t="s">
        <v>2</v>
      </c>
      <c r="AE4896" s="54" t="s">
        <v>2</v>
      </c>
      <c r="AF4896" s="54" t="s">
        <v>2</v>
      </c>
      <c r="AG4896" s="54" t="s">
        <v>2</v>
      </c>
    </row>
    <row r="4897" ht="15.75" customHeight="1">
      <c r="B4897" s="56"/>
      <c r="U4897" s="46" t="str">
        <f t="array" ref="U4897">IF($D4897="","",IFERROR(_xlfn.XLOOKUP($D4897,'TIR店舗一覧'!$D:$D,'TIR店舗一覧'!$E:$E,""),""))</f>
        <v/>
      </c>
      <c r="V4897" s="54" t="s">
        <v>2</v>
      </c>
      <c r="W4897" s="54" t="s">
        <v>2</v>
      </c>
      <c r="X4897" s="54" t="s">
        <v>2</v>
      </c>
      <c r="Y4897" s="54" t="s">
        <v>2</v>
      </c>
      <c r="Z4897" s="54" t="s">
        <v>2</v>
      </c>
      <c r="AA4897" s="54" t="s">
        <v>2</v>
      </c>
      <c r="AB4897" s="54" t="s">
        <v>2</v>
      </c>
      <c r="AC4897" s="54" t="s">
        <v>2</v>
      </c>
      <c r="AD4897" s="54" t="s">
        <v>2</v>
      </c>
      <c r="AE4897" s="54" t="s">
        <v>2</v>
      </c>
      <c r="AF4897" s="54" t="s">
        <v>2</v>
      </c>
      <c r="AG4897" s="54" t="s">
        <v>2</v>
      </c>
    </row>
    <row r="4898" ht="15.75" customHeight="1">
      <c r="B4898" s="56"/>
      <c r="U4898" s="46" t="str">
        <f t="array" ref="U4898">IF($D4898="","",IFERROR(_xlfn.XLOOKUP($D4898,'TIR店舗一覧'!$D:$D,'TIR店舗一覧'!$E:$E,""),""))</f>
        <v/>
      </c>
      <c r="V4898" s="54" t="s">
        <v>2</v>
      </c>
      <c r="W4898" s="54" t="s">
        <v>2</v>
      </c>
      <c r="X4898" s="54" t="s">
        <v>2</v>
      </c>
      <c r="Y4898" s="54" t="s">
        <v>2</v>
      </c>
      <c r="Z4898" s="54" t="s">
        <v>2</v>
      </c>
      <c r="AA4898" s="54" t="s">
        <v>2</v>
      </c>
      <c r="AB4898" s="54" t="s">
        <v>2</v>
      </c>
      <c r="AC4898" s="54" t="s">
        <v>2</v>
      </c>
      <c r="AD4898" s="54" t="s">
        <v>2</v>
      </c>
      <c r="AE4898" s="54" t="s">
        <v>2</v>
      </c>
      <c r="AF4898" s="54" t="s">
        <v>2</v>
      </c>
      <c r="AG4898" s="54" t="s">
        <v>2</v>
      </c>
    </row>
    <row r="4899" ht="15.75" customHeight="1">
      <c r="B4899" s="56"/>
      <c r="U4899" s="46" t="str">
        <f t="array" ref="U4899">IF($D4899="","",IFERROR(_xlfn.XLOOKUP($D4899,'TIR店舗一覧'!$D:$D,'TIR店舗一覧'!$E:$E,""),""))</f>
        <v/>
      </c>
      <c r="V4899" s="54" t="s">
        <v>2</v>
      </c>
      <c r="W4899" s="54" t="s">
        <v>2</v>
      </c>
      <c r="X4899" s="54" t="s">
        <v>2</v>
      </c>
      <c r="Y4899" s="54" t="s">
        <v>2</v>
      </c>
      <c r="Z4899" s="54" t="s">
        <v>2</v>
      </c>
      <c r="AA4899" s="54" t="s">
        <v>2</v>
      </c>
      <c r="AB4899" s="54" t="s">
        <v>2</v>
      </c>
      <c r="AC4899" s="54" t="s">
        <v>2</v>
      </c>
      <c r="AD4899" s="54" t="s">
        <v>2</v>
      </c>
      <c r="AE4899" s="54" t="s">
        <v>2</v>
      </c>
      <c r="AF4899" s="54" t="s">
        <v>2</v>
      </c>
      <c r="AG4899" s="54" t="s">
        <v>2</v>
      </c>
    </row>
    <row r="4900" ht="15.75" customHeight="1">
      <c r="B4900" s="56"/>
      <c r="U4900" s="46" t="str">
        <f t="array" ref="U4900">IF($D4900="","",IFERROR(_xlfn.XLOOKUP($D4900,'TIR店舗一覧'!$D:$D,'TIR店舗一覧'!$E:$E,""),""))</f>
        <v/>
      </c>
      <c r="V4900" s="54" t="s">
        <v>2</v>
      </c>
      <c r="W4900" s="54" t="s">
        <v>2</v>
      </c>
      <c r="X4900" s="54" t="s">
        <v>2</v>
      </c>
      <c r="Y4900" s="54" t="s">
        <v>2</v>
      </c>
      <c r="Z4900" s="54" t="s">
        <v>2</v>
      </c>
      <c r="AA4900" s="54" t="s">
        <v>2</v>
      </c>
      <c r="AB4900" s="54" t="s">
        <v>2</v>
      </c>
      <c r="AC4900" s="54" t="s">
        <v>2</v>
      </c>
      <c r="AD4900" s="54" t="s">
        <v>2</v>
      </c>
      <c r="AE4900" s="54" t="s">
        <v>2</v>
      </c>
      <c r="AF4900" s="54" t="s">
        <v>2</v>
      </c>
      <c r="AG4900" s="54" t="s">
        <v>2</v>
      </c>
    </row>
    <row r="4901" ht="15.75" customHeight="1">
      <c r="B4901" s="56"/>
      <c r="U4901" s="46" t="str">
        <f t="array" ref="U4901">IF($D4901="","",IFERROR(_xlfn.XLOOKUP($D4901,'TIR店舗一覧'!$D:$D,'TIR店舗一覧'!$E:$E,""),""))</f>
        <v/>
      </c>
      <c r="V4901" s="54" t="s">
        <v>2</v>
      </c>
      <c r="W4901" s="54" t="s">
        <v>2</v>
      </c>
      <c r="X4901" s="54" t="s">
        <v>2</v>
      </c>
      <c r="Y4901" s="54" t="s">
        <v>2</v>
      </c>
      <c r="Z4901" s="54" t="s">
        <v>2</v>
      </c>
      <c r="AA4901" s="54" t="s">
        <v>2</v>
      </c>
      <c r="AB4901" s="54" t="s">
        <v>2</v>
      </c>
      <c r="AC4901" s="54" t="s">
        <v>2</v>
      </c>
      <c r="AD4901" s="54" t="s">
        <v>2</v>
      </c>
      <c r="AE4901" s="54" t="s">
        <v>2</v>
      </c>
      <c r="AF4901" s="54" t="s">
        <v>2</v>
      </c>
      <c r="AG4901" s="54" t="s">
        <v>2</v>
      </c>
    </row>
    <row r="4902" ht="15.75" customHeight="1">
      <c r="B4902" s="56"/>
      <c r="U4902" s="46" t="str">
        <f t="array" ref="U4902">IF($D4902="","",IFERROR(_xlfn.XLOOKUP($D4902,'TIR店舗一覧'!$D:$D,'TIR店舗一覧'!$E:$E,""),""))</f>
        <v/>
      </c>
      <c r="V4902" s="54" t="s">
        <v>2</v>
      </c>
      <c r="W4902" s="54" t="s">
        <v>2</v>
      </c>
      <c r="X4902" s="54" t="s">
        <v>2</v>
      </c>
      <c r="Y4902" s="54" t="s">
        <v>2</v>
      </c>
      <c r="Z4902" s="54" t="s">
        <v>2</v>
      </c>
      <c r="AA4902" s="54" t="s">
        <v>2</v>
      </c>
      <c r="AB4902" s="54" t="s">
        <v>2</v>
      </c>
      <c r="AC4902" s="54" t="s">
        <v>2</v>
      </c>
      <c r="AD4902" s="54" t="s">
        <v>2</v>
      </c>
      <c r="AE4902" s="54" t="s">
        <v>2</v>
      </c>
      <c r="AF4902" s="54" t="s">
        <v>2</v>
      </c>
      <c r="AG4902" s="54" t="s">
        <v>2</v>
      </c>
    </row>
    <row r="4903" ht="15.75" customHeight="1">
      <c r="B4903" s="56"/>
      <c r="U4903" s="46" t="str">
        <f t="array" ref="U4903">IF($D4903="","",IFERROR(_xlfn.XLOOKUP($D4903,'TIR店舗一覧'!$D:$D,'TIR店舗一覧'!$E:$E,""),""))</f>
        <v/>
      </c>
      <c r="V4903" s="54" t="s">
        <v>2</v>
      </c>
      <c r="W4903" s="54" t="s">
        <v>2</v>
      </c>
      <c r="X4903" s="54" t="s">
        <v>2</v>
      </c>
      <c r="Y4903" s="54" t="s">
        <v>2</v>
      </c>
      <c r="Z4903" s="54" t="s">
        <v>2</v>
      </c>
      <c r="AA4903" s="54" t="s">
        <v>2</v>
      </c>
      <c r="AB4903" s="54" t="s">
        <v>2</v>
      </c>
      <c r="AC4903" s="54" t="s">
        <v>2</v>
      </c>
      <c r="AD4903" s="54" t="s">
        <v>2</v>
      </c>
      <c r="AE4903" s="54" t="s">
        <v>2</v>
      </c>
      <c r="AF4903" s="54" t="s">
        <v>2</v>
      </c>
      <c r="AG4903" s="54" t="s">
        <v>2</v>
      </c>
    </row>
    <row r="4904" ht="15.75" customHeight="1">
      <c r="B4904" s="56"/>
      <c r="U4904" s="46" t="str">
        <f t="array" ref="U4904">IF($D4904="","",IFERROR(_xlfn.XLOOKUP($D4904,'TIR店舗一覧'!$D:$D,'TIR店舗一覧'!$E:$E,""),""))</f>
        <v/>
      </c>
      <c r="V4904" s="54" t="s">
        <v>2</v>
      </c>
      <c r="W4904" s="54" t="s">
        <v>2</v>
      </c>
      <c r="X4904" s="54" t="s">
        <v>2</v>
      </c>
      <c r="Y4904" s="54" t="s">
        <v>2</v>
      </c>
      <c r="Z4904" s="54" t="s">
        <v>2</v>
      </c>
      <c r="AA4904" s="54" t="s">
        <v>2</v>
      </c>
      <c r="AB4904" s="54" t="s">
        <v>2</v>
      </c>
      <c r="AC4904" s="54" t="s">
        <v>2</v>
      </c>
      <c r="AD4904" s="54" t="s">
        <v>2</v>
      </c>
      <c r="AE4904" s="54" t="s">
        <v>2</v>
      </c>
      <c r="AF4904" s="54" t="s">
        <v>2</v>
      </c>
      <c r="AG4904" s="54" t="s">
        <v>2</v>
      </c>
    </row>
    <row r="4905" ht="15.75" customHeight="1">
      <c r="B4905" s="56"/>
      <c r="U4905" s="46" t="str">
        <f t="array" ref="U4905">IF($D4905="","",IFERROR(_xlfn.XLOOKUP($D4905,'TIR店舗一覧'!$D:$D,'TIR店舗一覧'!$E:$E,""),""))</f>
        <v/>
      </c>
      <c r="V4905" s="54" t="s">
        <v>2</v>
      </c>
      <c r="W4905" s="54" t="s">
        <v>2</v>
      </c>
      <c r="X4905" s="54" t="s">
        <v>2</v>
      </c>
      <c r="Y4905" s="54" t="s">
        <v>2</v>
      </c>
      <c r="Z4905" s="54" t="s">
        <v>2</v>
      </c>
      <c r="AA4905" s="54" t="s">
        <v>2</v>
      </c>
      <c r="AB4905" s="54" t="s">
        <v>2</v>
      </c>
      <c r="AC4905" s="54" t="s">
        <v>2</v>
      </c>
      <c r="AD4905" s="54" t="s">
        <v>2</v>
      </c>
      <c r="AE4905" s="54" t="s">
        <v>2</v>
      </c>
      <c r="AF4905" s="54" t="s">
        <v>2</v>
      </c>
      <c r="AG4905" s="54" t="s">
        <v>2</v>
      </c>
    </row>
    <row r="4906" ht="15.75" customHeight="1">
      <c r="B4906" s="56"/>
      <c r="U4906" s="46" t="str">
        <f t="array" ref="U4906">IF($D4906="","",IFERROR(_xlfn.XLOOKUP($D4906,'TIR店舗一覧'!$D:$D,'TIR店舗一覧'!$E:$E,""),""))</f>
        <v/>
      </c>
      <c r="V4906" s="54" t="s">
        <v>2</v>
      </c>
      <c r="W4906" s="54" t="s">
        <v>2</v>
      </c>
      <c r="X4906" s="54" t="s">
        <v>2</v>
      </c>
      <c r="Y4906" s="54" t="s">
        <v>2</v>
      </c>
      <c r="Z4906" s="54" t="s">
        <v>2</v>
      </c>
      <c r="AA4906" s="54" t="s">
        <v>2</v>
      </c>
      <c r="AB4906" s="54" t="s">
        <v>2</v>
      </c>
      <c r="AC4906" s="54" t="s">
        <v>2</v>
      </c>
      <c r="AD4906" s="54" t="s">
        <v>2</v>
      </c>
      <c r="AE4906" s="54" t="s">
        <v>2</v>
      </c>
      <c r="AF4906" s="54" t="s">
        <v>2</v>
      </c>
      <c r="AG4906" s="54" t="s">
        <v>2</v>
      </c>
    </row>
    <row r="4907" ht="15.75" customHeight="1">
      <c r="B4907" s="56"/>
      <c r="U4907" s="46" t="str">
        <f t="array" ref="U4907">IF($D4907="","",IFERROR(_xlfn.XLOOKUP($D4907,'TIR店舗一覧'!$D:$D,'TIR店舗一覧'!$E:$E,""),""))</f>
        <v/>
      </c>
      <c r="V4907" s="54" t="s">
        <v>2</v>
      </c>
      <c r="W4907" s="54" t="s">
        <v>2</v>
      </c>
      <c r="X4907" s="54" t="s">
        <v>2</v>
      </c>
      <c r="Y4907" s="54" t="s">
        <v>2</v>
      </c>
      <c r="Z4907" s="54" t="s">
        <v>2</v>
      </c>
      <c r="AA4907" s="54" t="s">
        <v>2</v>
      </c>
      <c r="AB4907" s="54" t="s">
        <v>2</v>
      </c>
      <c r="AC4907" s="54" t="s">
        <v>2</v>
      </c>
      <c r="AD4907" s="54" t="s">
        <v>2</v>
      </c>
      <c r="AE4907" s="54" t="s">
        <v>2</v>
      </c>
      <c r="AF4907" s="54" t="s">
        <v>2</v>
      </c>
      <c r="AG4907" s="54" t="s">
        <v>2</v>
      </c>
    </row>
    <row r="4908" ht="15.75" customHeight="1">
      <c r="B4908" s="56"/>
      <c r="U4908" s="46" t="str">
        <f t="array" ref="U4908">IF($D4908="","",IFERROR(_xlfn.XLOOKUP($D4908,'TIR店舗一覧'!$D:$D,'TIR店舗一覧'!$E:$E,""),""))</f>
        <v/>
      </c>
      <c r="V4908" s="54" t="s">
        <v>2</v>
      </c>
      <c r="W4908" s="54" t="s">
        <v>2</v>
      </c>
      <c r="X4908" s="54" t="s">
        <v>2</v>
      </c>
      <c r="Y4908" s="54" t="s">
        <v>2</v>
      </c>
      <c r="Z4908" s="54" t="s">
        <v>2</v>
      </c>
      <c r="AA4908" s="54" t="s">
        <v>2</v>
      </c>
      <c r="AB4908" s="54" t="s">
        <v>2</v>
      </c>
      <c r="AC4908" s="54" t="s">
        <v>2</v>
      </c>
      <c r="AD4908" s="54" t="s">
        <v>2</v>
      </c>
      <c r="AE4908" s="54" t="s">
        <v>2</v>
      </c>
      <c r="AF4908" s="54" t="s">
        <v>2</v>
      </c>
      <c r="AG4908" s="54" t="s">
        <v>2</v>
      </c>
    </row>
    <row r="4909" ht="15.75" customHeight="1">
      <c r="B4909" s="56"/>
      <c r="U4909" s="46" t="str">
        <f t="array" ref="U4909">IF($D4909="","",IFERROR(_xlfn.XLOOKUP($D4909,'TIR店舗一覧'!$D:$D,'TIR店舗一覧'!$E:$E,""),""))</f>
        <v/>
      </c>
      <c r="V4909" s="54" t="s">
        <v>2</v>
      </c>
      <c r="W4909" s="54" t="s">
        <v>2</v>
      </c>
      <c r="X4909" s="54" t="s">
        <v>2</v>
      </c>
      <c r="Y4909" s="54" t="s">
        <v>2</v>
      </c>
      <c r="Z4909" s="54" t="s">
        <v>2</v>
      </c>
      <c r="AA4909" s="54" t="s">
        <v>2</v>
      </c>
      <c r="AB4909" s="54" t="s">
        <v>2</v>
      </c>
      <c r="AC4909" s="54" t="s">
        <v>2</v>
      </c>
      <c r="AD4909" s="54" t="s">
        <v>2</v>
      </c>
      <c r="AE4909" s="54" t="s">
        <v>2</v>
      </c>
      <c r="AF4909" s="54" t="s">
        <v>2</v>
      </c>
      <c r="AG4909" s="54" t="s">
        <v>2</v>
      </c>
    </row>
    <row r="4910" ht="15.75" customHeight="1">
      <c r="B4910" s="56"/>
      <c r="U4910" s="46" t="str">
        <f t="array" ref="U4910">IF($D4910="","",IFERROR(_xlfn.XLOOKUP($D4910,'TIR店舗一覧'!$D:$D,'TIR店舗一覧'!$E:$E,""),""))</f>
        <v/>
      </c>
      <c r="V4910" s="54" t="s">
        <v>2</v>
      </c>
      <c r="W4910" s="54" t="s">
        <v>2</v>
      </c>
      <c r="X4910" s="54" t="s">
        <v>2</v>
      </c>
      <c r="Y4910" s="54" t="s">
        <v>2</v>
      </c>
      <c r="Z4910" s="54" t="s">
        <v>2</v>
      </c>
      <c r="AA4910" s="54" t="s">
        <v>2</v>
      </c>
      <c r="AB4910" s="54" t="s">
        <v>2</v>
      </c>
      <c r="AC4910" s="54" t="s">
        <v>2</v>
      </c>
      <c r="AD4910" s="54" t="s">
        <v>2</v>
      </c>
      <c r="AE4910" s="54" t="s">
        <v>2</v>
      </c>
      <c r="AF4910" s="54" t="s">
        <v>2</v>
      </c>
      <c r="AG4910" s="54" t="s">
        <v>2</v>
      </c>
    </row>
    <row r="4911" ht="15.75" customHeight="1">
      <c r="B4911" s="56"/>
      <c r="U4911" s="46" t="str">
        <f t="array" ref="U4911">IF($D4911="","",IFERROR(_xlfn.XLOOKUP($D4911,'TIR店舗一覧'!$D:$D,'TIR店舗一覧'!$E:$E,""),""))</f>
        <v/>
      </c>
      <c r="V4911" s="54" t="s">
        <v>2</v>
      </c>
      <c r="W4911" s="54" t="s">
        <v>2</v>
      </c>
      <c r="X4911" s="54" t="s">
        <v>2</v>
      </c>
      <c r="Y4911" s="54" t="s">
        <v>2</v>
      </c>
      <c r="Z4911" s="54" t="s">
        <v>2</v>
      </c>
      <c r="AA4911" s="54" t="s">
        <v>2</v>
      </c>
      <c r="AB4911" s="54" t="s">
        <v>2</v>
      </c>
      <c r="AC4911" s="54" t="s">
        <v>2</v>
      </c>
      <c r="AD4911" s="54" t="s">
        <v>2</v>
      </c>
      <c r="AE4911" s="54" t="s">
        <v>2</v>
      </c>
      <c r="AF4911" s="54" t="s">
        <v>2</v>
      </c>
      <c r="AG4911" s="54" t="s">
        <v>2</v>
      </c>
    </row>
    <row r="4912" ht="15.75" customHeight="1">
      <c r="B4912" s="56"/>
      <c r="U4912" s="46" t="str">
        <f t="array" ref="U4912">IF($D4912="","",IFERROR(_xlfn.XLOOKUP($D4912,'TIR店舗一覧'!$D:$D,'TIR店舗一覧'!$E:$E,""),""))</f>
        <v/>
      </c>
      <c r="V4912" s="54" t="s">
        <v>2</v>
      </c>
      <c r="W4912" s="54" t="s">
        <v>2</v>
      </c>
      <c r="X4912" s="54" t="s">
        <v>2</v>
      </c>
      <c r="Y4912" s="54" t="s">
        <v>2</v>
      </c>
      <c r="Z4912" s="54" t="s">
        <v>2</v>
      </c>
      <c r="AA4912" s="54" t="s">
        <v>2</v>
      </c>
      <c r="AB4912" s="54" t="s">
        <v>2</v>
      </c>
      <c r="AC4912" s="54" t="s">
        <v>2</v>
      </c>
      <c r="AD4912" s="54" t="s">
        <v>2</v>
      </c>
      <c r="AE4912" s="54" t="s">
        <v>2</v>
      </c>
      <c r="AF4912" s="54" t="s">
        <v>2</v>
      </c>
      <c r="AG4912" s="54" t="s">
        <v>2</v>
      </c>
    </row>
    <row r="4913" ht="15.75" customHeight="1">
      <c r="B4913" s="56"/>
      <c r="U4913" s="46" t="str">
        <f t="array" ref="U4913">IF($D4913="","",IFERROR(_xlfn.XLOOKUP($D4913,'TIR店舗一覧'!$D:$D,'TIR店舗一覧'!$E:$E,""),""))</f>
        <v/>
      </c>
      <c r="V4913" s="54" t="s">
        <v>2</v>
      </c>
      <c r="W4913" s="54" t="s">
        <v>2</v>
      </c>
      <c r="X4913" s="54" t="s">
        <v>2</v>
      </c>
      <c r="Y4913" s="54" t="s">
        <v>2</v>
      </c>
      <c r="Z4913" s="54" t="s">
        <v>2</v>
      </c>
      <c r="AA4913" s="54" t="s">
        <v>2</v>
      </c>
      <c r="AB4913" s="54" t="s">
        <v>2</v>
      </c>
      <c r="AC4913" s="54" t="s">
        <v>2</v>
      </c>
      <c r="AD4913" s="54" t="s">
        <v>2</v>
      </c>
      <c r="AE4913" s="54" t="s">
        <v>2</v>
      </c>
      <c r="AF4913" s="54" t="s">
        <v>2</v>
      </c>
      <c r="AG4913" s="54" t="s">
        <v>2</v>
      </c>
    </row>
    <row r="4914" ht="15.75" customHeight="1">
      <c r="B4914" s="56"/>
      <c r="U4914" s="46" t="str">
        <f t="array" ref="U4914">IF($D4914="","",IFERROR(_xlfn.XLOOKUP($D4914,'TIR店舗一覧'!$D:$D,'TIR店舗一覧'!$E:$E,""),""))</f>
        <v/>
      </c>
      <c r="V4914" s="54" t="s">
        <v>2</v>
      </c>
      <c r="W4914" s="54" t="s">
        <v>2</v>
      </c>
      <c r="X4914" s="54" t="s">
        <v>2</v>
      </c>
      <c r="Y4914" s="54" t="s">
        <v>2</v>
      </c>
      <c r="Z4914" s="54" t="s">
        <v>2</v>
      </c>
      <c r="AA4914" s="54" t="s">
        <v>2</v>
      </c>
      <c r="AB4914" s="54" t="s">
        <v>2</v>
      </c>
      <c r="AC4914" s="54" t="s">
        <v>2</v>
      </c>
      <c r="AD4914" s="54" t="s">
        <v>2</v>
      </c>
      <c r="AE4914" s="54" t="s">
        <v>2</v>
      </c>
      <c r="AF4914" s="54" t="s">
        <v>2</v>
      </c>
      <c r="AG4914" s="54" t="s">
        <v>2</v>
      </c>
    </row>
    <row r="4915" ht="15.75" customHeight="1">
      <c r="B4915" s="56"/>
      <c r="U4915" s="46" t="str">
        <f t="array" ref="U4915">IF($D4915="","",IFERROR(_xlfn.XLOOKUP($D4915,'TIR店舗一覧'!$D:$D,'TIR店舗一覧'!$E:$E,""),""))</f>
        <v/>
      </c>
      <c r="V4915" s="54" t="s">
        <v>2</v>
      </c>
      <c r="W4915" s="54" t="s">
        <v>2</v>
      </c>
      <c r="X4915" s="54" t="s">
        <v>2</v>
      </c>
      <c r="Y4915" s="54" t="s">
        <v>2</v>
      </c>
      <c r="Z4915" s="54" t="s">
        <v>2</v>
      </c>
      <c r="AA4915" s="54" t="s">
        <v>2</v>
      </c>
      <c r="AB4915" s="54" t="s">
        <v>2</v>
      </c>
      <c r="AC4915" s="54" t="s">
        <v>2</v>
      </c>
      <c r="AD4915" s="54" t="s">
        <v>2</v>
      </c>
      <c r="AE4915" s="54" t="s">
        <v>2</v>
      </c>
      <c r="AF4915" s="54" t="s">
        <v>2</v>
      </c>
      <c r="AG4915" s="54" t="s">
        <v>2</v>
      </c>
    </row>
    <row r="4916" ht="15.75" customHeight="1">
      <c r="B4916" s="56"/>
      <c r="U4916" s="46" t="str">
        <f t="array" ref="U4916">IF($D4916="","",IFERROR(_xlfn.XLOOKUP($D4916,'TIR店舗一覧'!$D:$D,'TIR店舗一覧'!$E:$E,""),""))</f>
        <v/>
      </c>
      <c r="V4916" s="54" t="s">
        <v>2</v>
      </c>
      <c r="W4916" s="54" t="s">
        <v>2</v>
      </c>
      <c r="X4916" s="54" t="s">
        <v>2</v>
      </c>
      <c r="Y4916" s="54" t="s">
        <v>2</v>
      </c>
      <c r="Z4916" s="54" t="s">
        <v>2</v>
      </c>
      <c r="AA4916" s="54" t="s">
        <v>2</v>
      </c>
      <c r="AB4916" s="54" t="s">
        <v>2</v>
      </c>
      <c r="AC4916" s="54" t="s">
        <v>2</v>
      </c>
      <c r="AD4916" s="54" t="s">
        <v>2</v>
      </c>
      <c r="AE4916" s="54" t="s">
        <v>2</v>
      </c>
      <c r="AF4916" s="54" t="s">
        <v>2</v>
      </c>
      <c r="AG4916" s="54" t="s">
        <v>2</v>
      </c>
    </row>
    <row r="4917" ht="15.75" customHeight="1">
      <c r="B4917" s="56"/>
      <c r="U4917" s="46" t="str">
        <f t="array" ref="U4917">IF($D4917="","",IFERROR(_xlfn.XLOOKUP($D4917,'TIR店舗一覧'!$D:$D,'TIR店舗一覧'!$E:$E,""),""))</f>
        <v/>
      </c>
      <c r="V4917" s="54" t="s">
        <v>2</v>
      </c>
      <c r="W4917" s="54" t="s">
        <v>2</v>
      </c>
      <c r="X4917" s="54" t="s">
        <v>2</v>
      </c>
      <c r="Y4917" s="54" t="s">
        <v>2</v>
      </c>
      <c r="Z4917" s="54" t="s">
        <v>2</v>
      </c>
      <c r="AA4917" s="54" t="s">
        <v>2</v>
      </c>
      <c r="AB4917" s="54" t="s">
        <v>2</v>
      </c>
      <c r="AC4917" s="54" t="s">
        <v>2</v>
      </c>
      <c r="AD4917" s="54" t="s">
        <v>2</v>
      </c>
      <c r="AE4917" s="54" t="s">
        <v>2</v>
      </c>
      <c r="AF4917" s="54" t="s">
        <v>2</v>
      </c>
      <c r="AG4917" s="54" t="s">
        <v>2</v>
      </c>
    </row>
    <row r="4918" ht="15.75" customHeight="1">
      <c r="B4918" s="56"/>
      <c r="U4918" s="46" t="str">
        <f t="array" ref="U4918">IF($D4918="","",IFERROR(_xlfn.XLOOKUP($D4918,'TIR店舗一覧'!$D:$D,'TIR店舗一覧'!$E:$E,""),""))</f>
        <v/>
      </c>
      <c r="V4918" s="54" t="s">
        <v>2</v>
      </c>
      <c r="W4918" s="54" t="s">
        <v>2</v>
      </c>
      <c r="X4918" s="54" t="s">
        <v>2</v>
      </c>
      <c r="Y4918" s="54" t="s">
        <v>2</v>
      </c>
      <c r="Z4918" s="54" t="s">
        <v>2</v>
      </c>
      <c r="AA4918" s="54" t="s">
        <v>2</v>
      </c>
      <c r="AB4918" s="54" t="s">
        <v>2</v>
      </c>
      <c r="AC4918" s="54" t="s">
        <v>2</v>
      </c>
      <c r="AD4918" s="54" t="s">
        <v>2</v>
      </c>
      <c r="AE4918" s="54" t="s">
        <v>2</v>
      </c>
      <c r="AF4918" s="54" t="s">
        <v>2</v>
      </c>
      <c r="AG4918" s="54" t="s">
        <v>2</v>
      </c>
    </row>
    <row r="4919" ht="15.75" customHeight="1">
      <c r="B4919" s="56"/>
      <c r="U4919" s="46" t="str">
        <f t="array" ref="U4919">IF($D4919="","",IFERROR(_xlfn.XLOOKUP($D4919,'TIR店舗一覧'!$D:$D,'TIR店舗一覧'!$E:$E,""),""))</f>
        <v/>
      </c>
      <c r="V4919" s="54" t="s">
        <v>2</v>
      </c>
      <c r="W4919" s="54" t="s">
        <v>2</v>
      </c>
      <c r="X4919" s="54" t="s">
        <v>2</v>
      </c>
      <c r="Y4919" s="54" t="s">
        <v>2</v>
      </c>
      <c r="Z4919" s="54" t="s">
        <v>2</v>
      </c>
      <c r="AA4919" s="54" t="s">
        <v>2</v>
      </c>
      <c r="AB4919" s="54" t="s">
        <v>2</v>
      </c>
      <c r="AC4919" s="54" t="s">
        <v>2</v>
      </c>
      <c r="AD4919" s="54" t="s">
        <v>2</v>
      </c>
      <c r="AE4919" s="54" t="s">
        <v>2</v>
      </c>
      <c r="AF4919" s="54" t="s">
        <v>2</v>
      </c>
      <c r="AG4919" s="54" t="s">
        <v>2</v>
      </c>
    </row>
    <row r="4920" ht="15.75" customHeight="1">
      <c r="B4920" s="56"/>
      <c r="U4920" s="46" t="str">
        <f t="array" ref="U4920">IF($D4920="","",IFERROR(_xlfn.XLOOKUP($D4920,'TIR店舗一覧'!$D:$D,'TIR店舗一覧'!$E:$E,""),""))</f>
        <v/>
      </c>
      <c r="V4920" s="54" t="s">
        <v>2</v>
      </c>
      <c r="W4920" s="54" t="s">
        <v>2</v>
      </c>
      <c r="X4920" s="54" t="s">
        <v>2</v>
      </c>
      <c r="Y4920" s="54" t="s">
        <v>2</v>
      </c>
      <c r="Z4920" s="54" t="s">
        <v>2</v>
      </c>
      <c r="AA4920" s="54" t="s">
        <v>2</v>
      </c>
      <c r="AB4920" s="54" t="s">
        <v>2</v>
      </c>
      <c r="AC4920" s="54" t="s">
        <v>2</v>
      </c>
      <c r="AD4920" s="54" t="s">
        <v>2</v>
      </c>
      <c r="AE4920" s="54" t="s">
        <v>2</v>
      </c>
      <c r="AF4920" s="54" t="s">
        <v>2</v>
      </c>
      <c r="AG4920" s="54" t="s">
        <v>2</v>
      </c>
    </row>
    <row r="4921" ht="15.75" customHeight="1">
      <c r="B4921" s="56"/>
      <c r="U4921" s="46" t="str">
        <f t="array" ref="U4921">IF($D4921="","",IFERROR(_xlfn.XLOOKUP($D4921,'TIR店舗一覧'!$D:$D,'TIR店舗一覧'!$E:$E,""),""))</f>
        <v/>
      </c>
      <c r="V4921" s="54" t="s">
        <v>2</v>
      </c>
      <c r="W4921" s="54" t="s">
        <v>2</v>
      </c>
      <c r="X4921" s="54" t="s">
        <v>2</v>
      </c>
      <c r="Y4921" s="54" t="s">
        <v>2</v>
      </c>
      <c r="Z4921" s="54" t="s">
        <v>2</v>
      </c>
      <c r="AA4921" s="54" t="s">
        <v>2</v>
      </c>
      <c r="AB4921" s="54" t="s">
        <v>2</v>
      </c>
      <c r="AC4921" s="54" t="s">
        <v>2</v>
      </c>
      <c r="AD4921" s="54" t="s">
        <v>2</v>
      </c>
      <c r="AE4921" s="54" t="s">
        <v>2</v>
      </c>
      <c r="AF4921" s="54" t="s">
        <v>2</v>
      </c>
      <c r="AG4921" s="54" t="s">
        <v>2</v>
      </c>
    </row>
    <row r="4922" ht="15.75" customHeight="1">
      <c r="B4922" s="56"/>
      <c r="U4922" s="46" t="str">
        <f t="array" ref="U4922">IF($D4922="","",IFERROR(_xlfn.XLOOKUP($D4922,'TIR店舗一覧'!$D:$D,'TIR店舗一覧'!$E:$E,""),""))</f>
        <v/>
      </c>
      <c r="V4922" s="54" t="s">
        <v>2</v>
      </c>
      <c r="W4922" s="54" t="s">
        <v>2</v>
      </c>
      <c r="X4922" s="54" t="s">
        <v>2</v>
      </c>
      <c r="Y4922" s="54" t="s">
        <v>2</v>
      </c>
      <c r="Z4922" s="54" t="s">
        <v>2</v>
      </c>
      <c r="AA4922" s="54" t="s">
        <v>2</v>
      </c>
      <c r="AB4922" s="54" t="s">
        <v>2</v>
      </c>
      <c r="AC4922" s="54" t="s">
        <v>2</v>
      </c>
      <c r="AD4922" s="54" t="s">
        <v>2</v>
      </c>
      <c r="AE4922" s="54" t="s">
        <v>2</v>
      </c>
      <c r="AF4922" s="54" t="s">
        <v>2</v>
      </c>
      <c r="AG4922" s="54" t="s">
        <v>2</v>
      </c>
    </row>
    <row r="4923" ht="15.75" customHeight="1">
      <c r="B4923" s="56"/>
      <c r="U4923" s="46" t="str">
        <f t="array" ref="U4923">IF($D4923="","",IFERROR(_xlfn.XLOOKUP($D4923,'TIR店舗一覧'!$D:$D,'TIR店舗一覧'!$E:$E,""),""))</f>
        <v/>
      </c>
      <c r="V4923" s="54" t="s">
        <v>2</v>
      </c>
      <c r="W4923" s="54" t="s">
        <v>2</v>
      </c>
      <c r="X4923" s="54" t="s">
        <v>2</v>
      </c>
      <c r="Y4923" s="54" t="s">
        <v>2</v>
      </c>
      <c r="Z4923" s="54" t="s">
        <v>2</v>
      </c>
      <c r="AA4923" s="54" t="s">
        <v>2</v>
      </c>
      <c r="AB4923" s="54" t="s">
        <v>2</v>
      </c>
      <c r="AC4923" s="54" t="s">
        <v>2</v>
      </c>
      <c r="AD4923" s="54" t="s">
        <v>2</v>
      </c>
      <c r="AE4923" s="54" t="s">
        <v>2</v>
      </c>
      <c r="AF4923" s="54" t="s">
        <v>2</v>
      </c>
      <c r="AG4923" s="54" t="s">
        <v>2</v>
      </c>
    </row>
    <row r="4924" ht="15.75" customHeight="1">
      <c r="B4924" s="56"/>
      <c r="U4924" s="46" t="str">
        <f t="array" ref="U4924">IF($D4924="","",IFERROR(_xlfn.XLOOKUP($D4924,'TIR店舗一覧'!$D:$D,'TIR店舗一覧'!$E:$E,""),""))</f>
        <v/>
      </c>
      <c r="V4924" s="54" t="s">
        <v>2</v>
      </c>
      <c r="W4924" s="54" t="s">
        <v>2</v>
      </c>
      <c r="X4924" s="54" t="s">
        <v>2</v>
      </c>
      <c r="Y4924" s="54" t="s">
        <v>2</v>
      </c>
      <c r="Z4924" s="54" t="s">
        <v>2</v>
      </c>
      <c r="AA4924" s="54" t="s">
        <v>2</v>
      </c>
      <c r="AB4924" s="54" t="s">
        <v>2</v>
      </c>
      <c r="AC4924" s="54" t="s">
        <v>2</v>
      </c>
      <c r="AD4924" s="54" t="s">
        <v>2</v>
      </c>
      <c r="AE4924" s="54" t="s">
        <v>2</v>
      </c>
      <c r="AF4924" s="54" t="s">
        <v>2</v>
      </c>
      <c r="AG4924" s="54" t="s">
        <v>2</v>
      </c>
    </row>
    <row r="4925" ht="15.75" customHeight="1">
      <c r="B4925" s="56"/>
      <c r="U4925" s="46" t="str">
        <f t="array" ref="U4925">IF($D4925="","",IFERROR(_xlfn.XLOOKUP($D4925,'TIR店舗一覧'!$D:$D,'TIR店舗一覧'!$E:$E,""),""))</f>
        <v/>
      </c>
      <c r="V4925" s="54" t="s">
        <v>2</v>
      </c>
      <c r="W4925" s="54" t="s">
        <v>2</v>
      </c>
      <c r="X4925" s="54" t="s">
        <v>2</v>
      </c>
      <c r="Y4925" s="54" t="s">
        <v>2</v>
      </c>
      <c r="Z4925" s="54" t="s">
        <v>2</v>
      </c>
      <c r="AA4925" s="54" t="s">
        <v>2</v>
      </c>
      <c r="AB4925" s="54" t="s">
        <v>2</v>
      </c>
      <c r="AC4925" s="54" t="s">
        <v>2</v>
      </c>
      <c r="AD4925" s="54" t="s">
        <v>2</v>
      </c>
      <c r="AE4925" s="54" t="s">
        <v>2</v>
      </c>
      <c r="AF4925" s="54" t="s">
        <v>2</v>
      </c>
      <c r="AG4925" s="54" t="s">
        <v>2</v>
      </c>
    </row>
    <row r="4926" ht="15.75" customHeight="1">
      <c r="B4926" s="56"/>
      <c r="U4926" s="46" t="str">
        <f t="array" ref="U4926">IF($D4926="","",IFERROR(_xlfn.XLOOKUP($D4926,'TIR店舗一覧'!$D:$D,'TIR店舗一覧'!$E:$E,""),""))</f>
        <v/>
      </c>
      <c r="V4926" s="54" t="s">
        <v>2</v>
      </c>
      <c r="W4926" s="54" t="s">
        <v>2</v>
      </c>
      <c r="X4926" s="54" t="s">
        <v>2</v>
      </c>
      <c r="Y4926" s="54" t="s">
        <v>2</v>
      </c>
      <c r="Z4926" s="54" t="s">
        <v>2</v>
      </c>
      <c r="AA4926" s="54" t="s">
        <v>2</v>
      </c>
      <c r="AB4926" s="54" t="s">
        <v>2</v>
      </c>
      <c r="AC4926" s="54" t="s">
        <v>2</v>
      </c>
      <c r="AD4926" s="54" t="s">
        <v>2</v>
      </c>
      <c r="AE4926" s="54" t="s">
        <v>2</v>
      </c>
      <c r="AF4926" s="54" t="s">
        <v>2</v>
      </c>
      <c r="AG4926" s="54" t="s">
        <v>2</v>
      </c>
    </row>
    <row r="4927" ht="15.75" customHeight="1">
      <c r="B4927" s="56"/>
      <c r="U4927" s="46" t="str">
        <f t="array" ref="U4927">IF($D4927="","",IFERROR(_xlfn.XLOOKUP($D4927,'TIR店舗一覧'!$D:$D,'TIR店舗一覧'!$E:$E,""),""))</f>
        <v/>
      </c>
      <c r="V4927" s="54" t="s">
        <v>2</v>
      </c>
      <c r="W4927" s="54" t="s">
        <v>2</v>
      </c>
      <c r="X4927" s="54" t="s">
        <v>2</v>
      </c>
      <c r="Y4927" s="54" t="s">
        <v>2</v>
      </c>
      <c r="Z4927" s="54" t="s">
        <v>2</v>
      </c>
      <c r="AA4927" s="54" t="s">
        <v>2</v>
      </c>
      <c r="AB4927" s="54" t="s">
        <v>2</v>
      </c>
      <c r="AC4927" s="54" t="s">
        <v>2</v>
      </c>
      <c r="AD4927" s="54" t="s">
        <v>2</v>
      </c>
      <c r="AE4927" s="54" t="s">
        <v>2</v>
      </c>
      <c r="AF4927" s="54" t="s">
        <v>2</v>
      </c>
      <c r="AG4927" s="54" t="s">
        <v>2</v>
      </c>
    </row>
    <row r="4928" ht="15.75" customHeight="1">
      <c r="B4928" s="56"/>
      <c r="U4928" s="46" t="str">
        <f t="array" ref="U4928">IF($D4928="","",IFERROR(_xlfn.XLOOKUP($D4928,'TIR店舗一覧'!$D:$D,'TIR店舗一覧'!$E:$E,""),""))</f>
        <v/>
      </c>
      <c r="V4928" s="54" t="s">
        <v>2</v>
      </c>
      <c r="W4928" s="54" t="s">
        <v>2</v>
      </c>
      <c r="X4928" s="54" t="s">
        <v>2</v>
      </c>
      <c r="Y4928" s="54" t="s">
        <v>2</v>
      </c>
      <c r="Z4928" s="54" t="s">
        <v>2</v>
      </c>
      <c r="AA4928" s="54" t="s">
        <v>2</v>
      </c>
      <c r="AB4928" s="54" t="s">
        <v>2</v>
      </c>
      <c r="AC4928" s="54" t="s">
        <v>2</v>
      </c>
      <c r="AD4928" s="54" t="s">
        <v>2</v>
      </c>
      <c r="AE4928" s="54" t="s">
        <v>2</v>
      </c>
      <c r="AF4928" s="54" t="s">
        <v>2</v>
      </c>
      <c r="AG4928" s="54" t="s">
        <v>2</v>
      </c>
    </row>
    <row r="4929" ht="15.75" customHeight="1">
      <c r="B4929" s="56"/>
      <c r="U4929" s="46" t="str">
        <f t="array" ref="U4929">IF($D4929="","",IFERROR(_xlfn.XLOOKUP($D4929,'TIR店舗一覧'!$D:$D,'TIR店舗一覧'!$E:$E,""),""))</f>
        <v/>
      </c>
      <c r="V4929" s="54" t="s">
        <v>2</v>
      </c>
      <c r="W4929" s="54" t="s">
        <v>2</v>
      </c>
      <c r="X4929" s="54" t="s">
        <v>2</v>
      </c>
      <c r="Y4929" s="54" t="s">
        <v>2</v>
      </c>
      <c r="Z4929" s="54" t="s">
        <v>2</v>
      </c>
      <c r="AA4929" s="54" t="s">
        <v>2</v>
      </c>
      <c r="AB4929" s="54" t="s">
        <v>2</v>
      </c>
      <c r="AC4929" s="54" t="s">
        <v>2</v>
      </c>
      <c r="AD4929" s="54" t="s">
        <v>2</v>
      </c>
      <c r="AE4929" s="54" t="s">
        <v>2</v>
      </c>
      <c r="AF4929" s="54" t="s">
        <v>2</v>
      </c>
      <c r="AG4929" s="54" t="s">
        <v>2</v>
      </c>
    </row>
    <row r="4930" ht="15.75" customHeight="1">
      <c r="B4930" s="56"/>
      <c r="U4930" s="46" t="str">
        <f t="array" ref="U4930">IF($D4930="","",IFERROR(_xlfn.XLOOKUP($D4930,'TIR店舗一覧'!$D:$D,'TIR店舗一覧'!$E:$E,""),""))</f>
        <v/>
      </c>
      <c r="V4930" s="54" t="s">
        <v>2</v>
      </c>
      <c r="W4930" s="54" t="s">
        <v>2</v>
      </c>
      <c r="X4930" s="54" t="s">
        <v>2</v>
      </c>
      <c r="Y4930" s="54" t="s">
        <v>2</v>
      </c>
      <c r="Z4930" s="54" t="s">
        <v>2</v>
      </c>
      <c r="AA4930" s="54" t="s">
        <v>2</v>
      </c>
      <c r="AB4930" s="54" t="s">
        <v>2</v>
      </c>
      <c r="AC4930" s="54" t="s">
        <v>2</v>
      </c>
      <c r="AD4930" s="54" t="s">
        <v>2</v>
      </c>
      <c r="AE4930" s="54" t="s">
        <v>2</v>
      </c>
      <c r="AF4930" s="54" t="s">
        <v>2</v>
      </c>
      <c r="AG4930" s="54" t="s">
        <v>2</v>
      </c>
    </row>
    <row r="4931" ht="15.75" customHeight="1">
      <c r="B4931" s="56"/>
      <c r="U4931" s="46" t="str">
        <f t="array" ref="U4931">IF($D4931="","",IFERROR(_xlfn.XLOOKUP($D4931,'TIR店舗一覧'!$D:$D,'TIR店舗一覧'!$E:$E,""),""))</f>
        <v/>
      </c>
      <c r="V4931" s="54" t="s">
        <v>2</v>
      </c>
      <c r="W4931" s="54" t="s">
        <v>2</v>
      </c>
      <c r="X4931" s="54" t="s">
        <v>2</v>
      </c>
      <c r="Y4931" s="54" t="s">
        <v>2</v>
      </c>
      <c r="Z4931" s="54" t="s">
        <v>2</v>
      </c>
      <c r="AA4931" s="54" t="s">
        <v>2</v>
      </c>
      <c r="AB4931" s="54" t="s">
        <v>2</v>
      </c>
      <c r="AC4931" s="54" t="s">
        <v>2</v>
      </c>
      <c r="AD4931" s="54" t="s">
        <v>2</v>
      </c>
      <c r="AE4931" s="54" t="s">
        <v>2</v>
      </c>
      <c r="AF4931" s="54" t="s">
        <v>2</v>
      </c>
      <c r="AG4931" s="54" t="s">
        <v>2</v>
      </c>
    </row>
    <row r="4932" ht="15.75" customHeight="1">
      <c r="B4932" s="56"/>
      <c r="U4932" s="46" t="str">
        <f t="array" ref="U4932">IF($D4932="","",IFERROR(_xlfn.XLOOKUP($D4932,'TIR店舗一覧'!$D:$D,'TIR店舗一覧'!$E:$E,""),""))</f>
        <v/>
      </c>
      <c r="V4932" s="54" t="s">
        <v>2</v>
      </c>
      <c r="W4932" s="54" t="s">
        <v>2</v>
      </c>
      <c r="X4932" s="54" t="s">
        <v>2</v>
      </c>
      <c r="Y4932" s="54" t="s">
        <v>2</v>
      </c>
      <c r="Z4932" s="54" t="s">
        <v>2</v>
      </c>
      <c r="AA4932" s="54" t="s">
        <v>2</v>
      </c>
      <c r="AB4932" s="54" t="s">
        <v>2</v>
      </c>
      <c r="AC4932" s="54" t="s">
        <v>2</v>
      </c>
      <c r="AD4932" s="54" t="s">
        <v>2</v>
      </c>
      <c r="AE4932" s="54" t="s">
        <v>2</v>
      </c>
      <c r="AF4932" s="54" t="s">
        <v>2</v>
      </c>
      <c r="AG4932" s="54" t="s">
        <v>2</v>
      </c>
    </row>
    <row r="4933" ht="15.75" customHeight="1">
      <c r="B4933" s="56"/>
      <c r="U4933" s="46" t="str">
        <f t="array" ref="U4933">IF($D4933="","",IFERROR(_xlfn.XLOOKUP($D4933,'TIR店舗一覧'!$D:$D,'TIR店舗一覧'!$E:$E,""),""))</f>
        <v/>
      </c>
      <c r="V4933" s="54" t="s">
        <v>2</v>
      </c>
      <c r="W4933" s="54" t="s">
        <v>2</v>
      </c>
      <c r="X4933" s="54" t="s">
        <v>2</v>
      </c>
      <c r="Y4933" s="54" t="s">
        <v>2</v>
      </c>
      <c r="Z4933" s="54" t="s">
        <v>2</v>
      </c>
      <c r="AA4933" s="54" t="s">
        <v>2</v>
      </c>
      <c r="AB4933" s="54" t="s">
        <v>2</v>
      </c>
      <c r="AC4933" s="54" t="s">
        <v>2</v>
      </c>
      <c r="AD4933" s="54" t="s">
        <v>2</v>
      </c>
      <c r="AE4933" s="54" t="s">
        <v>2</v>
      </c>
      <c r="AF4933" s="54" t="s">
        <v>2</v>
      </c>
      <c r="AG4933" s="54" t="s">
        <v>2</v>
      </c>
    </row>
    <row r="4934" ht="15.75" customHeight="1">
      <c r="B4934" s="56"/>
      <c r="U4934" s="46" t="str">
        <f t="array" ref="U4934">IF($D4934="","",IFERROR(_xlfn.XLOOKUP($D4934,'TIR店舗一覧'!$D:$D,'TIR店舗一覧'!$E:$E,""),""))</f>
        <v/>
      </c>
      <c r="V4934" s="54" t="s">
        <v>2</v>
      </c>
      <c r="W4934" s="54" t="s">
        <v>2</v>
      </c>
      <c r="X4934" s="54" t="s">
        <v>2</v>
      </c>
      <c r="Y4934" s="54" t="s">
        <v>2</v>
      </c>
      <c r="Z4934" s="54" t="s">
        <v>2</v>
      </c>
      <c r="AA4934" s="54" t="s">
        <v>2</v>
      </c>
      <c r="AB4934" s="54" t="s">
        <v>2</v>
      </c>
      <c r="AC4934" s="54" t="s">
        <v>2</v>
      </c>
      <c r="AD4934" s="54" t="s">
        <v>2</v>
      </c>
      <c r="AE4934" s="54" t="s">
        <v>2</v>
      </c>
      <c r="AF4934" s="54" t="s">
        <v>2</v>
      </c>
      <c r="AG4934" s="54" t="s">
        <v>2</v>
      </c>
    </row>
    <row r="4935" ht="15.75" customHeight="1">
      <c r="B4935" s="56"/>
      <c r="U4935" s="46" t="str">
        <f t="array" ref="U4935">IF($D4935="","",IFERROR(_xlfn.XLOOKUP($D4935,'TIR店舗一覧'!$D:$D,'TIR店舗一覧'!$E:$E,""),""))</f>
        <v/>
      </c>
      <c r="V4935" s="54" t="s">
        <v>2</v>
      </c>
      <c r="W4935" s="54" t="s">
        <v>2</v>
      </c>
      <c r="X4935" s="54" t="s">
        <v>2</v>
      </c>
      <c r="Y4935" s="54" t="s">
        <v>2</v>
      </c>
      <c r="Z4935" s="54" t="s">
        <v>2</v>
      </c>
      <c r="AA4935" s="54" t="s">
        <v>2</v>
      </c>
      <c r="AB4935" s="54" t="s">
        <v>2</v>
      </c>
      <c r="AC4935" s="54" t="s">
        <v>2</v>
      </c>
      <c r="AD4935" s="54" t="s">
        <v>2</v>
      </c>
      <c r="AE4935" s="54" t="s">
        <v>2</v>
      </c>
      <c r="AF4935" s="54" t="s">
        <v>2</v>
      </c>
      <c r="AG4935" s="54" t="s">
        <v>2</v>
      </c>
    </row>
    <row r="4936" ht="15.75" customHeight="1">
      <c r="B4936" s="56"/>
      <c r="U4936" s="46" t="str">
        <f t="array" ref="U4936">IF($D4936="","",IFERROR(_xlfn.XLOOKUP($D4936,'TIR店舗一覧'!$D:$D,'TIR店舗一覧'!$E:$E,""),""))</f>
        <v/>
      </c>
      <c r="V4936" s="54" t="s">
        <v>2</v>
      </c>
      <c r="W4936" s="54" t="s">
        <v>2</v>
      </c>
      <c r="X4936" s="54" t="s">
        <v>2</v>
      </c>
      <c r="Y4936" s="54" t="s">
        <v>2</v>
      </c>
      <c r="Z4936" s="54" t="s">
        <v>2</v>
      </c>
      <c r="AA4936" s="54" t="s">
        <v>2</v>
      </c>
      <c r="AB4936" s="54" t="s">
        <v>2</v>
      </c>
      <c r="AC4936" s="54" t="s">
        <v>2</v>
      </c>
      <c r="AD4936" s="54" t="s">
        <v>2</v>
      </c>
      <c r="AE4936" s="54" t="s">
        <v>2</v>
      </c>
      <c r="AF4936" s="54" t="s">
        <v>2</v>
      </c>
      <c r="AG4936" s="54" t="s">
        <v>2</v>
      </c>
    </row>
    <row r="4937" ht="15.75" customHeight="1">
      <c r="B4937" s="56"/>
      <c r="U4937" s="46" t="str">
        <f t="array" ref="U4937">IF($D4937="","",IFERROR(_xlfn.XLOOKUP($D4937,'TIR店舗一覧'!$D:$D,'TIR店舗一覧'!$E:$E,""),""))</f>
        <v/>
      </c>
      <c r="V4937" s="54" t="s">
        <v>2</v>
      </c>
      <c r="W4937" s="54" t="s">
        <v>2</v>
      </c>
      <c r="X4937" s="54" t="s">
        <v>2</v>
      </c>
      <c r="Y4937" s="54" t="s">
        <v>2</v>
      </c>
      <c r="Z4937" s="54" t="s">
        <v>2</v>
      </c>
      <c r="AA4937" s="54" t="s">
        <v>2</v>
      </c>
      <c r="AB4937" s="54" t="s">
        <v>2</v>
      </c>
      <c r="AC4937" s="54" t="s">
        <v>2</v>
      </c>
      <c r="AD4937" s="54" t="s">
        <v>2</v>
      </c>
      <c r="AE4937" s="54" t="s">
        <v>2</v>
      </c>
      <c r="AF4937" s="54" t="s">
        <v>2</v>
      </c>
      <c r="AG4937" s="54" t="s">
        <v>2</v>
      </c>
    </row>
    <row r="4938" ht="15.75" customHeight="1">
      <c r="B4938" s="56"/>
      <c r="U4938" s="46" t="str">
        <f t="array" ref="U4938">IF($D4938="","",IFERROR(_xlfn.XLOOKUP($D4938,'TIR店舗一覧'!$D:$D,'TIR店舗一覧'!$E:$E,""),""))</f>
        <v/>
      </c>
      <c r="V4938" s="54" t="s">
        <v>2</v>
      </c>
      <c r="W4938" s="54" t="s">
        <v>2</v>
      </c>
      <c r="X4938" s="54" t="s">
        <v>2</v>
      </c>
      <c r="Y4938" s="54" t="s">
        <v>2</v>
      </c>
      <c r="Z4938" s="54" t="s">
        <v>2</v>
      </c>
      <c r="AA4938" s="54" t="s">
        <v>2</v>
      </c>
      <c r="AB4938" s="54" t="s">
        <v>2</v>
      </c>
      <c r="AC4938" s="54" t="s">
        <v>2</v>
      </c>
      <c r="AD4938" s="54" t="s">
        <v>2</v>
      </c>
      <c r="AE4938" s="54" t="s">
        <v>2</v>
      </c>
      <c r="AF4938" s="54" t="s">
        <v>2</v>
      </c>
      <c r="AG4938" s="54" t="s">
        <v>2</v>
      </c>
    </row>
    <row r="4939" ht="15.75" customHeight="1">
      <c r="B4939" s="56"/>
      <c r="U4939" s="46" t="str">
        <f t="array" ref="U4939">IF($D4939="","",IFERROR(_xlfn.XLOOKUP($D4939,'TIR店舗一覧'!$D:$D,'TIR店舗一覧'!$E:$E,""),""))</f>
        <v/>
      </c>
      <c r="V4939" s="54" t="s">
        <v>2</v>
      </c>
      <c r="W4939" s="54" t="s">
        <v>2</v>
      </c>
      <c r="X4939" s="54" t="s">
        <v>2</v>
      </c>
      <c r="Y4939" s="54" t="s">
        <v>2</v>
      </c>
      <c r="Z4939" s="54" t="s">
        <v>2</v>
      </c>
      <c r="AA4939" s="54" t="s">
        <v>2</v>
      </c>
      <c r="AB4939" s="54" t="s">
        <v>2</v>
      </c>
      <c r="AC4939" s="54" t="s">
        <v>2</v>
      </c>
      <c r="AD4939" s="54" t="s">
        <v>2</v>
      </c>
      <c r="AE4939" s="54" t="s">
        <v>2</v>
      </c>
      <c r="AF4939" s="54" t="s">
        <v>2</v>
      </c>
      <c r="AG4939" s="54" t="s">
        <v>2</v>
      </c>
    </row>
    <row r="4940" ht="15.75" customHeight="1">
      <c r="B4940" s="56"/>
      <c r="U4940" s="46" t="str">
        <f t="array" ref="U4940">IF($D4940="","",IFERROR(_xlfn.XLOOKUP($D4940,'TIR店舗一覧'!$D:$D,'TIR店舗一覧'!$E:$E,""),""))</f>
        <v/>
      </c>
      <c r="V4940" s="54" t="s">
        <v>2</v>
      </c>
      <c r="W4940" s="54" t="s">
        <v>2</v>
      </c>
      <c r="X4940" s="54" t="s">
        <v>2</v>
      </c>
      <c r="Y4940" s="54" t="s">
        <v>2</v>
      </c>
      <c r="Z4940" s="54" t="s">
        <v>2</v>
      </c>
      <c r="AA4940" s="54" t="s">
        <v>2</v>
      </c>
      <c r="AB4940" s="54" t="s">
        <v>2</v>
      </c>
      <c r="AC4940" s="54" t="s">
        <v>2</v>
      </c>
      <c r="AD4940" s="54" t="s">
        <v>2</v>
      </c>
      <c r="AE4940" s="54" t="s">
        <v>2</v>
      </c>
      <c r="AF4940" s="54" t="s">
        <v>2</v>
      </c>
      <c r="AG4940" s="54" t="s">
        <v>2</v>
      </c>
    </row>
    <row r="4941" ht="15.75" customHeight="1">
      <c r="B4941" s="56"/>
      <c r="U4941" s="46" t="str">
        <f t="array" ref="U4941">IF($D4941="","",IFERROR(_xlfn.XLOOKUP($D4941,'TIR店舗一覧'!$D:$D,'TIR店舗一覧'!$E:$E,""),""))</f>
        <v/>
      </c>
      <c r="V4941" s="54" t="s">
        <v>2</v>
      </c>
      <c r="W4941" s="54" t="s">
        <v>2</v>
      </c>
      <c r="X4941" s="54" t="s">
        <v>2</v>
      </c>
      <c r="Y4941" s="54" t="s">
        <v>2</v>
      </c>
      <c r="Z4941" s="54" t="s">
        <v>2</v>
      </c>
      <c r="AA4941" s="54" t="s">
        <v>2</v>
      </c>
      <c r="AB4941" s="54" t="s">
        <v>2</v>
      </c>
      <c r="AC4941" s="54" t="s">
        <v>2</v>
      </c>
      <c r="AD4941" s="54" t="s">
        <v>2</v>
      </c>
      <c r="AE4941" s="54" t="s">
        <v>2</v>
      </c>
      <c r="AF4941" s="54" t="s">
        <v>2</v>
      </c>
      <c r="AG4941" s="54" t="s">
        <v>2</v>
      </c>
    </row>
    <row r="4942" ht="15.75" customHeight="1">
      <c r="B4942" s="56"/>
      <c r="U4942" s="46" t="str">
        <f t="array" ref="U4942">IF($D4942="","",IFERROR(_xlfn.XLOOKUP($D4942,'TIR店舗一覧'!$D:$D,'TIR店舗一覧'!$E:$E,""),""))</f>
        <v/>
      </c>
      <c r="V4942" s="54" t="s">
        <v>2</v>
      </c>
      <c r="W4942" s="54" t="s">
        <v>2</v>
      </c>
      <c r="X4942" s="54" t="s">
        <v>2</v>
      </c>
      <c r="Y4942" s="54" t="s">
        <v>2</v>
      </c>
      <c r="Z4942" s="54" t="s">
        <v>2</v>
      </c>
      <c r="AA4942" s="54" t="s">
        <v>2</v>
      </c>
      <c r="AB4942" s="54" t="s">
        <v>2</v>
      </c>
      <c r="AC4942" s="54" t="s">
        <v>2</v>
      </c>
      <c r="AD4942" s="54" t="s">
        <v>2</v>
      </c>
      <c r="AE4942" s="54" t="s">
        <v>2</v>
      </c>
      <c r="AF4942" s="54" t="s">
        <v>2</v>
      </c>
      <c r="AG4942" s="54" t="s">
        <v>2</v>
      </c>
    </row>
    <row r="4943" ht="15.75" customHeight="1">
      <c r="B4943" s="56"/>
      <c r="U4943" s="46" t="str">
        <f t="array" ref="U4943">IF($D4943="","",IFERROR(_xlfn.XLOOKUP($D4943,'TIR店舗一覧'!$D:$D,'TIR店舗一覧'!$E:$E,""),""))</f>
        <v/>
      </c>
      <c r="V4943" s="54" t="s">
        <v>2</v>
      </c>
      <c r="W4943" s="54" t="s">
        <v>2</v>
      </c>
      <c r="X4943" s="54" t="s">
        <v>2</v>
      </c>
      <c r="Y4943" s="54" t="s">
        <v>2</v>
      </c>
      <c r="Z4943" s="54" t="s">
        <v>2</v>
      </c>
      <c r="AA4943" s="54" t="s">
        <v>2</v>
      </c>
      <c r="AB4943" s="54" t="s">
        <v>2</v>
      </c>
      <c r="AC4943" s="54" t="s">
        <v>2</v>
      </c>
      <c r="AD4943" s="54" t="s">
        <v>2</v>
      </c>
      <c r="AE4943" s="54" t="s">
        <v>2</v>
      </c>
      <c r="AF4943" s="54" t="s">
        <v>2</v>
      </c>
      <c r="AG4943" s="54" t="s">
        <v>2</v>
      </c>
    </row>
    <row r="4944" ht="15.75" customHeight="1">
      <c r="B4944" s="56"/>
      <c r="U4944" s="46" t="str">
        <f t="array" ref="U4944">IF($D4944="","",IFERROR(_xlfn.XLOOKUP($D4944,'TIR店舗一覧'!$D:$D,'TIR店舗一覧'!$E:$E,""),""))</f>
        <v/>
      </c>
      <c r="V4944" s="54" t="s">
        <v>2</v>
      </c>
      <c r="W4944" s="54" t="s">
        <v>2</v>
      </c>
      <c r="X4944" s="54" t="s">
        <v>2</v>
      </c>
      <c r="Y4944" s="54" t="s">
        <v>2</v>
      </c>
      <c r="Z4944" s="54" t="s">
        <v>2</v>
      </c>
      <c r="AA4944" s="54" t="s">
        <v>2</v>
      </c>
      <c r="AB4944" s="54" t="s">
        <v>2</v>
      </c>
      <c r="AC4944" s="54" t="s">
        <v>2</v>
      </c>
      <c r="AD4944" s="54" t="s">
        <v>2</v>
      </c>
      <c r="AE4944" s="54" t="s">
        <v>2</v>
      </c>
      <c r="AF4944" s="54" t="s">
        <v>2</v>
      </c>
      <c r="AG4944" s="54" t="s">
        <v>2</v>
      </c>
    </row>
    <row r="4945" ht="15.75" customHeight="1">
      <c r="B4945" s="56"/>
      <c r="U4945" s="46" t="str">
        <f t="array" ref="U4945">IF($D4945="","",IFERROR(_xlfn.XLOOKUP($D4945,'TIR店舗一覧'!$D:$D,'TIR店舗一覧'!$E:$E,""),""))</f>
        <v/>
      </c>
      <c r="V4945" s="54" t="s">
        <v>2</v>
      </c>
      <c r="W4945" s="54" t="s">
        <v>2</v>
      </c>
      <c r="X4945" s="54" t="s">
        <v>2</v>
      </c>
      <c r="Y4945" s="54" t="s">
        <v>2</v>
      </c>
      <c r="Z4945" s="54" t="s">
        <v>2</v>
      </c>
      <c r="AA4945" s="54" t="s">
        <v>2</v>
      </c>
      <c r="AB4945" s="54" t="s">
        <v>2</v>
      </c>
      <c r="AC4945" s="54" t="s">
        <v>2</v>
      </c>
      <c r="AD4945" s="54" t="s">
        <v>2</v>
      </c>
      <c r="AE4945" s="54" t="s">
        <v>2</v>
      </c>
      <c r="AF4945" s="54" t="s">
        <v>2</v>
      </c>
      <c r="AG4945" s="54" t="s">
        <v>2</v>
      </c>
    </row>
    <row r="4946" ht="15.75" customHeight="1">
      <c r="B4946" s="56"/>
      <c r="U4946" s="46" t="str">
        <f t="array" ref="U4946">IF($D4946="","",IFERROR(_xlfn.XLOOKUP($D4946,'TIR店舗一覧'!$D:$D,'TIR店舗一覧'!$E:$E,""),""))</f>
        <v/>
      </c>
      <c r="V4946" s="54" t="s">
        <v>2</v>
      </c>
      <c r="W4946" s="54" t="s">
        <v>2</v>
      </c>
      <c r="X4946" s="54" t="s">
        <v>2</v>
      </c>
      <c r="Y4946" s="54" t="s">
        <v>2</v>
      </c>
      <c r="Z4946" s="54" t="s">
        <v>2</v>
      </c>
      <c r="AA4946" s="54" t="s">
        <v>2</v>
      </c>
      <c r="AB4946" s="54" t="s">
        <v>2</v>
      </c>
      <c r="AC4946" s="54" t="s">
        <v>2</v>
      </c>
      <c r="AD4946" s="54" t="s">
        <v>2</v>
      </c>
      <c r="AE4946" s="54" t="s">
        <v>2</v>
      </c>
      <c r="AF4946" s="54" t="s">
        <v>2</v>
      </c>
      <c r="AG4946" s="54" t="s">
        <v>2</v>
      </c>
    </row>
    <row r="4947" ht="15.75" customHeight="1">
      <c r="B4947" s="56"/>
      <c r="U4947" s="46" t="str">
        <f t="array" ref="U4947">IF($D4947="","",IFERROR(_xlfn.XLOOKUP($D4947,'TIR店舗一覧'!$D:$D,'TIR店舗一覧'!$E:$E,""),""))</f>
        <v/>
      </c>
      <c r="V4947" s="54" t="s">
        <v>2</v>
      </c>
      <c r="W4947" s="54" t="s">
        <v>2</v>
      </c>
      <c r="X4947" s="54" t="s">
        <v>2</v>
      </c>
      <c r="Y4947" s="54" t="s">
        <v>2</v>
      </c>
      <c r="Z4947" s="54" t="s">
        <v>2</v>
      </c>
      <c r="AA4947" s="54" t="s">
        <v>2</v>
      </c>
      <c r="AB4947" s="54" t="s">
        <v>2</v>
      </c>
      <c r="AC4947" s="54" t="s">
        <v>2</v>
      </c>
      <c r="AD4947" s="54" t="s">
        <v>2</v>
      </c>
      <c r="AE4947" s="54" t="s">
        <v>2</v>
      </c>
      <c r="AF4947" s="54" t="s">
        <v>2</v>
      </c>
      <c r="AG4947" s="54" t="s">
        <v>2</v>
      </c>
    </row>
    <row r="4948" ht="15.75" customHeight="1">
      <c r="B4948" s="56"/>
      <c r="U4948" s="46" t="str">
        <f t="array" ref="U4948">IF($D4948="","",IFERROR(_xlfn.XLOOKUP($D4948,'TIR店舗一覧'!$D:$D,'TIR店舗一覧'!$E:$E,""),""))</f>
        <v/>
      </c>
      <c r="V4948" s="54" t="s">
        <v>2</v>
      </c>
      <c r="W4948" s="54" t="s">
        <v>2</v>
      </c>
      <c r="X4948" s="54" t="s">
        <v>2</v>
      </c>
      <c r="Y4948" s="54" t="s">
        <v>2</v>
      </c>
      <c r="Z4948" s="54" t="s">
        <v>2</v>
      </c>
      <c r="AA4948" s="54" t="s">
        <v>2</v>
      </c>
      <c r="AB4948" s="54" t="s">
        <v>2</v>
      </c>
      <c r="AC4948" s="54" t="s">
        <v>2</v>
      </c>
      <c r="AD4948" s="54" t="s">
        <v>2</v>
      </c>
      <c r="AE4948" s="54" t="s">
        <v>2</v>
      </c>
      <c r="AF4948" s="54" t="s">
        <v>2</v>
      </c>
      <c r="AG4948" s="54" t="s">
        <v>2</v>
      </c>
    </row>
    <row r="4949" ht="15.75" customHeight="1">
      <c r="B4949" s="56"/>
      <c r="U4949" s="46" t="str">
        <f t="array" ref="U4949">IF($D4949="","",IFERROR(_xlfn.XLOOKUP($D4949,'TIR店舗一覧'!$D:$D,'TIR店舗一覧'!$E:$E,""),""))</f>
        <v/>
      </c>
      <c r="V4949" s="54" t="s">
        <v>2</v>
      </c>
      <c r="W4949" s="54" t="s">
        <v>2</v>
      </c>
      <c r="X4949" s="54" t="s">
        <v>2</v>
      </c>
      <c r="Y4949" s="54" t="s">
        <v>2</v>
      </c>
      <c r="Z4949" s="54" t="s">
        <v>2</v>
      </c>
      <c r="AA4949" s="54" t="s">
        <v>2</v>
      </c>
      <c r="AB4949" s="54" t="s">
        <v>2</v>
      </c>
      <c r="AC4949" s="54" t="s">
        <v>2</v>
      </c>
      <c r="AD4949" s="54" t="s">
        <v>2</v>
      </c>
      <c r="AE4949" s="54" t="s">
        <v>2</v>
      </c>
      <c r="AF4949" s="54" t="s">
        <v>2</v>
      </c>
      <c r="AG4949" s="54" t="s">
        <v>2</v>
      </c>
    </row>
    <row r="4950" ht="15.75" customHeight="1">
      <c r="B4950" s="56"/>
      <c r="U4950" s="46" t="str">
        <f t="array" ref="U4950">IF($D4950="","",IFERROR(_xlfn.XLOOKUP($D4950,'TIR店舗一覧'!$D:$D,'TIR店舗一覧'!$E:$E,""),""))</f>
        <v/>
      </c>
      <c r="V4950" s="54" t="s">
        <v>2</v>
      </c>
      <c r="W4950" s="54" t="s">
        <v>2</v>
      </c>
      <c r="X4950" s="54" t="s">
        <v>2</v>
      </c>
      <c r="Y4950" s="54" t="s">
        <v>2</v>
      </c>
      <c r="Z4950" s="54" t="s">
        <v>2</v>
      </c>
      <c r="AA4950" s="54" t="s">
        <v>2</v>
      </c>
      <c r="AB4950" s="54" t="s">
        <v>2</v>
      </c>
      <c r="AC4950" s="54" t="s">
        <v>2</v>
      </c>
      <c r="AD4950" s="54" t="s">
        <v>2</v>
      </c>
      <c r="AE4950" s="54" t="s">
        <v>2</v>
      </c>
      <c r="AF4950" s="54" t="s">
        <v>2</v>
      </c>
      <c r="AG4950" s="54" t="s">
        <v>2</v>
      </c>
    </row>
    <row r="4951" ht="15.75" customHeight="1">
      <c r="B4951" s="56"/>
      <c r="U4951" s="46" t="str">
        <f t="array" ref="U4951">IF($D4951="","",IFERROR(_xlfn.XLOOKUP($D4951,'TIR店舗一覧'!$D:$D,'TIR店舗一覧'!$E:$E,""),""))</f>
        <v/>
      </c>
      <c r="V4951" s="54" t="s">
        <v>2</v>
      </c>
      <c r="W4951" s="54" t="s">
        <v>2</v>
      </c>
      <c r="X4951" s="54" t="s">
        <v>2</v>
      </c>
      <c r="Y4951" s="54" t="s">
        <v>2</v>
      </c>
      <c r="Z4951" s="54" t="s">
        <v>2</v>
      </c>
      <c r="AA4951" s="54" t="s">
        <v>2</v>
      </c>
      <c r="AB4951" s="54" t="s">
        <v>2</v>
      </c>
      <c r="AC4951" s="54" t="s">
        <v>2</v>
      </c>
      <c r="AD4951" s="54" t="s">
        <v>2</v>
      </c>
      <c r="AE4951" s="54" t="s">
        <v>2</v>
      </c>
      <c r="AF4951" s="54" t="s">
        <v>2</v>
      </c>
      <c r="AG4951" s="54" t="s">
        <v>2</v>
      </c>
    </row>
    <row r="4952" ht="15.75" customHeight="1">
      <c r="B4952" s="56"/>
      <c r="U4952" s="46" t="str">
        <f t="array" ref="U4952">IF($D4952="","",IFERROR(_xlfn.XLOOKUP($D4952,'TIR店舗一覧'!$D:$D,'TIR店舗一覧'!$E:$E,""),""))</f>
        <v/>
      </c>
      <c r="V4952" s="54" t="s">
        <v>2</v>
      </c>
      <c r="W4952" s="54" t="s">
        <v>2</v>
      </c>
      <c r="X4952" s="54" t="s">
        <v>2</v>
      </c>
      <c r="Y4952" s="54" t="s">
        <v>2</v>
      </c>
      <c r="Z4952" s="54" t="s">
        <v>2</v>
      </c>
      <c r="AA4952" s="54" t="s">
        <v>2</v>
      </c>
      <c r="AB4952" s="54" t="s">
        <v>2</v>
      </c>
      <c r="AC4952" s="54" t="s">
        <v>2</v>
      </c>
      <c r="AD4952" s="54" t="s">
        <v>2</v>
      </c>
      <c r="AE4952" s="54" t="s">
        <v>2</v>
      </c>
      <c r="AF4952" s="54" t="s">
        <v>2</v>
      </c>
      <c r="AG4952" s="54" t="s">
        <v>2</v>
      </c>
    </row>
    <row r="4953" ht="15.75" customHeight="1">
      <c r="B4953" s="56"/>
      <c r="U4953" s="46" t="str">
        <f t="array" ref="U4953">IF($D4953="","",IFERROR(_xlfn.XLOOKUP($D4953,'TIR店舗一覧'!$D:$D,'TIR店舗一覧'!$E:$E,""),""))</f>
        <v/>
      </c>
      <c r="V4953" s="54" t="s">
        <v>2</v>
      </c>
      <c r="W4953" s="54" t="s">
        <v>2</v>
      </c>
      <c r="X4953" s="54" t="s">
        <v>2</v>
      </c>
      <c r="Y4953" s="54" t="s">
        <v>2</v>
      </c>
      <c r="Z4953" s="54" t="s">
        <v>2</v>
      </c>
      <c r="AA4953" s="54" t="s">
        <v>2</v>
      </c>
      <c r="AB4953" s="54" t="s">
        <v>2</v>
      </c>
      <c r="AC4953" s="54" t="s">
        <v>2</v>
      </c>
      <c r="AD4953" s="54" t="s">
        <v>2</v>
      </c>
      <c r="AE4953" s="54" t="s">
        <v>2</v>
      </c>
      <c r="AF4953" s="54" t="s">
        <v>2</v>
      </c>
      <c r="AG4953" s="54" t="s">
        <v>2</v>
      </c>
    </row>
    <row r="4954" ht="15.75" customHeight="1">
      <c r="B4954" s="56"/>
      <c r="U4954" s="46" t="str">
        <f t="array" ref="U4954">IF($D4954="","",IFERROR(_xlfn.XLOOKUP($D4954,'TIR店舗一覧'!$D:$D,'TIR店舗一覧'!$E:$E,""),""))</f>
        <v/>
      </c>
      <c r="V4954" s="54" t="s">
        <v>2</v>
      </c>
      <c r="W4954" s="54" t="s">
        <v>2</v>
      </c>
      <c r="X4954" s="54" t="s">
        <v>2</v>
      </c>
      <c r="Y4954" s="54" t="s">
        <v>2</v>
      </c>
      <c r="Z4954" s="54" t="s">
        <v>2</v>
      </c>
      <c r="AA4954" s="54" t="s">
        <v>2</v>
      </c>
      <c r="AB4954" s="54" t="s">
        <v>2</v>
      </c>
      <c r="AC4954" s="54" t="s">
        <v>2</v>
      </c>
      <c r="AD4954" s="54" t="s">
        <v>2</v>
      </c>
      <c r="AE4954" s="54" t="s">
        <v>2</v>
      </c>
      <c r="AF4954" s="54" t="s">
        <v>2</v>
      </c>
      <c r="AG4954" s="54" t="s">
        <v>2</v>
      </c>
    </row>
    <row r="4955" ht="15.75" customHeight="1">
      <c r="B4955" s="56"/>
      <c r="U4955" s="46" t="str">
        <f t="array" ref="U4955">IF($D4955="","",IFERROR(_xlfn.XLOOKUP($D4955,'TIR店舗一覧'!$D:$D,'TIR店舗一覧'!$E:$E,""),""))</f>
        <v/>
      </c>
      <c r="V4955" s="54" t="s">
        <v>2</v>
      </c>
      <c r="W4955" s="54" t="s">
        <v>2</v>
      </c>
      <c r="X4955" s="54" t="s">
        <v>2</v>
      </c>
      <c r="Y4955" s="54" t="s">
        <v>2</v>
      </c>
      <c r="Z4955" s="54" t="s">
        <v>2</v>
      </c>
      <c r="AA4955" s="54" t="s">
        <v>2</v>
      </c>
      <c r="AB4955" s="54" t="s">
        <v>2</v>
      </c>
      <c r="AC4955" s="54" t="s">
        <v>2</v>
      </c>
      <c r="AD4955" s="54" t="s">
        <v>2</v>
      </c>
      <c r="AE4955" s="54" t="s">
        <v>2</v>
      </c>
      <c r="AF4955" s="54" t="s">
        <v>2</v>
      </c>
      <c r="AG4955" s="54" t="s">
        <v>2</v>
      </c>
    </row>
    <row r="4956" ht="15.75" customHeight="1">
      <c r="B4956" s="56"/>
      <c r="U4956" s="46" t="str">
        <f t="array" ref="U4956">IF($D4956="","",IFERROR(_xlfn.XLOOKUP($D4956,'TIR店舗一覧'!$D:$D,'TIR店舗一覧'!$E:$E,""),""))</f>
        <v/>
      </c>
      <c r="V4956" s="54" t="s">
        <v>2</v>
      </c>
      <c r="W4956" s="54" t="s">
        <v>2</v>
      </c>
      <c r="X4956" s="54" t="s">
        <v>2</v>
      </c>
      <c r="Y4956" s="54" t="s">
        <v>2</v>
      </c>
      <c r="Z4956" s="54" t="s">
        <v>2</v>
      </c>
      <c r="AA4956" s="54" t="s">
        <v>2</v>
      </c>
      <c r="AB4956" s="54" t="s">
        <v>2</v>
      </c>
      <c r="AC4956" s="54" t="s">
        <v>2</v>
      </c>
      <c r="AD4956" s="54" t="s">
        <v>2</v>
      </c>
      <c r="AE4956" s="54" t="s">
        <v>2</v>
      </c>
      <c r="AF4956" s="54" t="s">
        <v>2</v>
      </c>
      <c r="AG4956" s="54" t="s">
        <v>2</v>
      </c>
    </row>
    <row r="4957" ht="15.75" customHeight="1">
      <c r="B4957" s="56"/>
      <c r="U4957" s="46" t="str">
        <f t="array" ref="U4957">IF($D4957="","",IFERROR(_xlfn.XLOOKUP($D4957,'TIR店舗一覧'!$D:$D,'TIR店舗一覧'!$E:$E,""),""))</f>
        <v/>
      </c>
      <c r="V4957" s="54" t="s">
        <v>2</v>
      </c>
      <c r="W4957" s="54" t="s">
        <v>2</v>
      </c>
      <c r="X4957" s="54" t="s">
        <v>2</v>
      </c>
      <c r="Y4957" s="54" t="s">
        <v>2</v>
      </c>
      <c r="Z4957" s="54" t="s">
        <v>2</v>
      </c>
      <c r="AA4957" s="54" t="s">
        <v>2</v>
      </c>
      <c r="AB4957" s="54" t="s">
        <v>2</v>
      </c>
      <c r="AC4957" s="54" t="s">
        <v>2</v>
      </c>
      <c r="AD4957" s="54" t="s">
        <v>2</v>
      </c>
      <c r="AE4957" s="54" t="s">
        <v>2</v>
      </c>
      <c r="AF4957" s="54" t="s">
        <v>2</v>
      </c>
      <c r="AG4957" s="54" t="s">
        <v>2</v>
      </c>
    </row>
    <row r="4958" ht="15.75" customHeight="1">
      <c r="B4958" s="56"/>
      <c r="U4958" s="46" t="str">
        <f t="array" ref="U4958">IF($D4958="","",IFERROR(_xlfn.XLOOKUP($D4958,'TIR店舗一覧'!$D:$D,'TIR店舗一覧'!$E:$E,""),""))</f>
        <v/>
      </c>
      <c r="V4958" s="54" t="s">
        <v>2</v>
      </c>
      <c r="W4958" s="54" t="s">
        <v>2</v>
      </c>
      <c r="X4958" s="54" t="s">
        <v>2</v>
      </c>
      <c r="Y4958" s="54" t="s">
        <v>2</v>
      </c>
      <c r="Z4958" s="54" t="s">
        <v>2</v>
      </c>
      <c r="AA4958" s="54" t="s">
        <v>2</v>
      </c>
      <c r="AB4958" s="54" t="s">
        <v>2</v>
      </c>
      <c r="AC4958" s="54" t="s">
        <v>2</v>
      </c>
      <c r="AD4958" s="54" t="s">
        <v>2</v>
      </c>
      <c r="AE4958" s="54" t="s">
        <v>2</v>
      </c>
      <c r="AF4958" s="54" t="s">
        <v>2</v>
      </c>
      <c r="AG4958" s="54" t="s">
        <v>2</v>
      </c>
    </row>
    <row r="4959" ht="15.75" customHeight="1">
      <c r="B4959" s="56"/>
      <c r="U4959" s="46" t="str">
        <f t="array" ref="U4959">IF($D4959="","",IFERROR(_xlfn.XLOOKUP($D4959,'TIR店舗一覧'!$D:$D,'TIR店舗一覧'!$E:$E,""),""))</f>
        <v/>
      </c>
      <c r="V4959" s="54" t="s">
        <v>2</v>
      </c>
      <c r="W4959" s="54" t="s">
        <v>2</v>
      </c>
      <c r="X4959" s="54" t="s">
        <v>2</v>
      </c>
      <c r="Y4959" s="54" t="s">
        <v>2</v>
      </c>
      <c r="Z4959" s="54" t="s">
        <v>2</v>
      </c>
      <c r="AA4959" s="54" t="s">
        <v>2</v>
      </c>
      <c r="AB4959" s="54" t="s">
        <v>2</v>
      </c>
      <c r="AC4959" s="54" t="s">
        <v>2</v>
      </c>
      <c r="AD4959" s="54" t="s">
        <v>2</v>
      </c>
      <c r="AE4959" s="54" t="s">
        <v>2</v>
      </c>
      <c r="AF4959" s="54" t="s">
        <v>2</v>
      </c>
      <c r="AG4959" s="54" t="s">
        <v>2</v>
      </c>
    </row>
    <row r="4960" ht="15.75" customHeight="1">
      <c r="B4960" s="56"/>
      <c r="U4960" s="46" t="str">
        <f t="array" ref="U4960">IF($D4960="","",IFERROR(_xlfn.XLOOKUP($D4960,'TIR店舗一覧'!$D:$D,'TIR店舗一覧'!$E:$E,""),""))</f>
        <v/>
      </c>
      <c r="V4960" s="54" t="s">
        <v>2</v>
      </c>
      <c r="W4960" s="54" t="s">
        <v>2</v>
      </c>
      <c r="X4960" s="54" t="s">
        <v>2</v>
      </c>
      <c r="Y4960" s="54" t="s">
        <v>2</v>
      </c>
      <c r="Z4960" s="54" t="s">
        <v>2</v>
      </c>
      <c r="AA4960" s="54" t="s">
        <v>2</v>
      </c>
      <c r="AB4960" s="54" t="s">
        <v>2</v>
      </c>
      <c r="AC4960" s="54" t="s">
        <v>2</v>
      </c>
      <c r="AD4960" s="54" t="s">
        <v>2</v>
      </c>
      <c r="AE4960" s="54" t="s">
        <v>2</v>
      </c>
      <c r="AF4960" s="54" t="s">
        <v>2</v>
      </c>
      <c r="AG4960" s="54" t="s">
        <v>2</v>
      </c>
    </row>
    <row r="4961" ht="15.75" customHeight="1">
      <c r="B4961" s="56"/>
      <c r="U4961" s="46" t="str">
        <f t="array" ref="U4961">IF($D4961="","",IFERROR(_xlfn.XLOOKUP($D4961,'TIR店舗一覧'!$D:$D,'TIR店舗一覧'!$E:$E,""),""))</f>
        <v/>
      </c>
      <c r="V4961" s="54" t="s">
        <v>2</v>
      </c>
      <c r="W4961" s="54" t="s">
        <v>2</v>
      </c>
      <c r="X4961" s="54" t="s">
        <v>2</v>
      </c>
      <c r="Y4961" s="54" t="s">
        <v>2</v>
      </c>
      <c r="Z4961" s="54" t="s">
        <v>2</v>
      </c>
      <c r="AA4961" s="54" t="s">
        <v>2</v>
      </c>
      <c r="AB4961" s="54" t="s">
        <v>2</v>
      </c>
      <c r="AC4961" s="54" t="s">
        <v>2</v>
      </c>
      <c r="AD4961" s="54" t="s">
        <v>2</v>
      </c>
      <c r="AE4961" s="54" t="s">
        <v>2</v>
      </c>
      <c r="AF4961" s="54" t="s">
        <v>2</v>
      </c>
      <c r="AG4961" s="54" t="s">
        <v>2</v>
      </c>
    </row>
    <row r="4962" ht="15.75" customHeight="1">
      <c r="B4962" s="56"/>
      <c r="U4962" s="46" t="str">
        <f t="array" ref="U4962">IF($D4962="","",IFERROR(_xlfn.XLOOKUP($D4962,'TIR店舗一覧'!$D:$D,'TIR店舗一覧'!$E:$E,""),""))</f>
        <v/>
      </c>
      <c r="V4962" s="54" t="s">
        <v>2</v>
      </c>
      <c r="W4962" s="54" t="s">
        <v>2</v>
      </c>
      <c r="X4962" s="54" t="s">
        <v>2</v>
      </c>
      <c r="Y4962" s="54" t="s">
        <v>2</v>
      </c>
      <c r="Z4962" s="54" t="s">
        <v>2</v>
      </c>
      <c r="AA4962" s="54" t="s">
        <v>2</v>
      </c>
      <c r="AB4962" s="54" t="s">
        <v>2</v>
      </c>
      <c r="AC4962" s="54" t="s">
        <v>2</v>
      </c>
      <c r="AD4962" s="54" t="s">
        <v>2</v>
      </c>
      <c r="AE4962" s="54" t="s">
        <v>2</v>
      </c>
      <c r="AF4962" s="54" t="s">
        <v>2</v>
      </c>
      <c r="AG4962" s="54" t="s">
        <v>2</v>
      </c>
    </row>
    <row r="4963" ht="15.75" customHeight="1">
      <c r="B4963" s="56"/>
      <c r="U4963" s="46" t="str">
        <f t="array" ref="U4963">IF($D4963="","",IFERROR(_xlfn.XLOOKUP($D4963,'TIR店舗一覧'!$D:$D,'TIR店舗一覧'!$E:$E,""),""))</f>
        <v/>
      </c>
      <c r="V4963" s="54" t="s">
        <v>2</v>
      </c>
      <c r="W4963" s="54" t="s">
        <v>2</v>
      </c>
      <c r="X4963" s="54" t="s">
        <v>2</v>
      </c>
      <c r="Y4963" s="54" t="s">
        <v>2</v>
      </c>
      <c r="Z4963" s="54" t="s">
        <v>2</v>
      </c>
      <c r="AA4963" s="54" t="s">
        <v>2</v>
      </c>
      <c r="AB4963" s="54" t="s">
        <v>2</v>
      </c>
      <c r="AC4963" s="54" t="s">
        <v>2</v>
      </c>
      <c r="AD4963" s="54" t="s">
        <v>2</v>
      </c>
      <c r="AE4963" s="54" t="s">
        <v>2</v>
      </c>
      <c r="AF4963" s="54" t="s">
        <v>2</v>
      </c>
      <c r="AG4963" s="54" t="s">
        <v>2</v>
      </c>
    </row>
    <row r="4964" ht="15.75" customHeight="1">
      <c r="B4964" s="56"/>
      <c r="U4964" s="46" t="str">
        <f t="array" ref="U4964">IF($D4964="","",IFERROR(_xlfn.XLOOKUP($D4964,'TIR店舗一覧'!$D:$D,'TIR店舗一覧'!$E:$E,""),""))</f>
        <v/>
      </c>
      <c r="V4964" s="54" t="s">
        <v>2</v>
      </c>
      <c r="W4964" s="54" t="s">
        <v>2</v>
      </c>
      <c r="X4964" s="54" t="s">
        <v>2</v>
      </c>
      <c r="Y4964" s="54" t="s">
        <v>2</v>
      </c>
      <c r="Z4964" s="54" t="s">
        <v>2</v>
      </c>
      <c r="AA4964" s="54" t="s">
        <v>2</v>
      </c>
      <c r="AB4964" s="54" t="s">
        <v>2</v>
      </c>
      <c r="AC4964" s="54" t="s">
        <v>2</v>
      </c>
      <c r="AD4964" s="54" t="s">
        <v>2</v>
      </c>
      <c r="AE4964" s="54" t="s">
        <v>2</v>
      </c>
      <c r="AF4964" s="54" t="s">
        <v>2</v>
      </c>
      <c r="AG4964" s="54" t="s">
        <v>2</v>
      </c>
    </row>
    <row r="4965" ht="15.75" customHeight="1">
      <c r="B4965" s="56"/>
      <c r="U4965" s="46" t="str">
        <f t="array" ref="U4965">IF($D4965="","",IFERROR(_xlfn.XLOOKUP($D4965,'TIR店舗一覧'!$D:$D,'TIR店舗一覧'!$E:$E,""),""))</f>
        <v/>
      </c>
      <c r="V4965" s="54" t="s">
        <v>2</v>
      </c>
      <c r="W4965" s="54" t="s">
        <v>2</v>
      </c>
      <c r="X4965" s="54" t="s">
        <v>2</v>
      </c>
      <c r="Y4965" s="54" t="s">
        <v>2</v>
      </c>
      <c r="Z4965" s="54" t="s">
        <v>2</v>
      </c>
      <c r="AA4965" s="54" t="s">
        <v>2</v>
      </c>
      <c r="AB4965" s="54" t="s">
        <v>2</v>
      </c>
      <c r="AC4965" s="54" t="s">
        <v>2</v>
      </c>
      <c r="AD4965" s="54" t="s">
        <v>2</v>
      </c>
      <c r="AE4965" s="54" t="s">
        <v>2</v>
      </c>
      <c r="AF4965" s="54" t="s">
        <v>2</v>
      </c>
      <c r="AG4965" s="54" t="s">
        <v>2</v>
      </c>
    </row>
    <row r="4966" ht="15.75" customHeight="1">
      <c r="B4966" s="56"/>
      <c r="U4966" s="46" t="str">
        <f t="array" ref="U4966">IF($D4966="","",IFERROR(_xlfn.XLOOKUP($D4966,'TIR店舗一覧'!$D:$D,'TIR店舗一覧'!$E:$E,""),""))</f>
        <v/>
      </c>
      <c r="V4966" s="54" t="s">
        <v>2</v>
      </c>
      <c r="W4966" s="54" t="s">
        <v>2</v>
      </c>
      <c r="X4966" s="54" t="s">
        <v>2</v>
      </c>
      <c r="Y4966" s="54" t="s">
        <v>2</v>
      </c>
      <c r="Z4966" s="54" t="s">
        <v>2</v>
      </c>
      <c r="AA4966" s="54" t="s">
        <v>2</v>
      </c>
      <c r="AB4966" s="54" t="s">
        <v>2</v>
      </c>
      <c r="AC4966" s="54" t="s">
        <v>2</v>
      </c>
      <c r="AD4966" s="54" t="s">
        <v>2</v>
      </c>
      <c r="AE4966" s="54" t="s">
        <v>2</v>
      </c>
      <c r="AF4966" s="54" t="s">
        <v>2</v>
      </c>
      <c r="AG4966" s="54" t="s">
        <v>2</v>
      </c>
    </row>
    <row r="4967" ht="15.75" customHeight="1">
      <c r="B4967" s="56"/>
      <c r="U4967" s="46" t="str">
        <f t="array" ref="U4967">IF($D4967="","",IFERROR(_xlfn.XLOOKUP($D4967,'TIR店舗一覧'!$D:$D,'TIR店舗一覧'!$E:$E,""),""))</f>
        <v/>
      </c>
      <c r="V4967" s="54" t="s">
        <v>2</v>
      </c>
      <c r="W4967" s="54" t="s">
        <v>2</v>
      </c>
      <c r="X4967" s="54" t="s">
        <v>2</v>
      </c>
      <c r="Y4967" s="54" t="s">
        <v>2</v>
      </c>
      <c r="Z4967" s="54" t="s">
        <v>2</v>
      </c>
      <c r="AA4967" s="54" t="s">
        <v>2</v>
      </c>
      <c r="AB4967" s="54" t="s">
        <v>2</v>
      </c>
      <c r="AC4967" s="54" t="s">
        <v>2</v>
      </c>
      <c r="AD4967" s="54" t="s">
        <v>2</v>
      </c>
      <c r="AE4967" s="54" t="s">
        <v>2</v>
      </c>
      <c r="AF4967" s="54" t="s">
        <v>2</v>
      </c>
      <c r="AG4967" s="54" t="s">
        <v>2</v>
      </c>
    </row>
    <row r="4968" ht="15.75" customHeight="1">
      <c r="B4968" s="56"/>
      <c r="U4968" s="46" t="str">
        <f t="array" ref="U4968">IF($D4968="","",IFERROR(_xlfn.XLOOKUP($D4968,'TIR店舗一覧'!$D:$D,'TIR店舗一覧'!$E:$E,""),""))</f>
        <v/>
      </c>
      <c r="V4968" s="54" t="s">
        <v>2</v>
      </c>
      <c r="W4968" s="54" t="s">
        <v>2</v>
      </c>
      <c r="X4968" s="54" t="s">
        <v>2</v>
      </c>
      <c r="Y4968" s="54" t="s">
        <v>2</v>
      </c>
      <c r="Z4968" s="54" t="s">
        <v>2</v>
      </c>
      <c r="AA4968" s="54" t="s">
        <v>2</v>
      </c>
      <c r="AB4968" s="54" t="s">
        <v>2</v>
      </c>
      <c r="AC4968" s="54" t="s">
        <v>2</v>
      </c>
      <c r="AD4968" s="54" t="s">
        <v>2</v>
      </c>
      <c r="AE4968" s="54" t="s">
        <v>2</v>
      </c>
      <c r="AF4968" s="54" t="s">
        <v>2</v>
      </c>
      <c r="AG4968" s="54" t="s">
        <v>2</v>
      </c>
    </row>
    <row r="4969" ht="15.75" customHeight="1">
      <c r="B4969" s="56"/>
      <c r="U4969" s="46" t="str">
        <f t="array" ref="U4969">IF($D4969="","",IFERROR(_xlfn.XLOOKUP($D4969,'TIR店舗一覧'!$D:$D,'TIR店舗一覧'!$E:$E,""),""))</f>
        <v/>
      </c>
      <c r="V4969" s="54" t="s">
        <v>2</v>
      </c>
      <c r="W4969" s="54" t="s">
        <v>2</v>
      </c>
      <c r="X4969" s="54" t="s">
        <v>2</v>
      </c>
      <c r="Y4969" s="54" t="s">
        <v>2</v>
      </c>
      <c r="Z4969" s="54" t="s">
        <v>2</v>
      </c>
      <c r="AA4969" s="54" t="s">
        <v>2</v>
      </c>
      <c r="AB4969" s="54" t="s">
        <v>2</v>
      </c>
      <c r="AC4969" s="54" t="s">
        <v>2</v>
      </c>
      <c r="AD4969" s="54" t="s">
        <v>2</v>
      </c>
      <c r="AE4969" s="54" t="s">
        <v>2</v>
      </c>
      <c r="AF4969" s="54" t="s">
        <v>2</v>
      </c>
      <c r="AG4969" s="54" t="s">
        <v>2</v>
      </c>
    </row>
    <row r="4970" ht="15.75" customHeight="1">
      <c r="B4970" s="56"/>
      <c r="U4970" s="46" t="str">
        <f t="array" ref="U4970">IF($D4970="","",IFERROR(_xlfn.XLOOKUP($D4970,'TIR店舗一覧'!$D:$D,'TIR店舗一覧'!$E:$E,""),""))</f>
        <v/>
      </c>
      <c r="V4970" s="54" t="s">
        <v>2</v>
      </c>
      <c r="W4970" s="54" t="s">
        <v>2</v>
      </c>
      <c r="X4970" s="54" t="s">
        <v>2</v>
      </c>
      <c r="Y4970" s="54" t="s">
        <v>2</v>
      </c>
      <c r="Z4970" s="54" t="s">
        <v>2</v>
      </c>
      <c r="AA4970" s="54" t="s">
        <v>2</v>
      </c>
      <c r="AB4970" s="54" t="s">
        <v>2</v>
      </c>
      <c r="AC4970" s="54" t="s">
        <v>2</v>
      </c>
      <c r="AD4970" s="54" t="s">
        <v>2</v>
      </c>
      <c r="AE4970" s="54" t="s">
        <v>2</v>
      </c>
      <c r="AF4970" s="54" t="s">
        <v>2</v>
      </c>
      <c r="AG4970" s="54" t="s">
        <v>2</v>
      </c>
    </row>
    <row r="4971" ht="15.75" customHeight="1">
      <c r="B4971" s="56"/>
      <c r="U4971" s="46" t="str">
        <f t="array" ref="U4971">IF($D4971="","",IFERROR(_xlfn.XLOOKUP($D4971,'TIR店舗一覧'!$D:$D,'TIR店舗一覧'!$E:$E,""),""))</f>
        <v/>
      </c>
      <c r="V4971" s="54" t="s">
        <v>2</v>
      </c>
      <c r="W4971" s="54" t="s">
        <v>2</v>
      </c>
      <c r="X4971" s="54" t="s">
        <v>2</v>
      </c>
      <c r="Y4971" s="54" t="s">
        <v>2</v>
      </c>
      <c r="Z4971" s="54" t="s">
        <v>2</v>
      </c>
      <c r="AA4971" s="54" t="s">
        <v>2</v>
      </c>
      <c r="AB4971" s="54" t="s">
        <v>2</v>
      </c>
      <c r="AC4971" s="54" t="s">
        <v>2</v>
      </c>
      <c r="AD4971" s="54" t="s">
        <v>2</v>
      </c>
      <c r="AE4971" s="54" t="s">
        <v>2</v>
      </c>
      <c r="AF4971" s="54" t="s">
        <v>2</v>
      </c>
      <c r="AG4971" s="54" t="s">
        <v>2</v>
      </c>
    </row>
    <row r="4972" ht="15.75" customHeight="1">
      <c r="B4972" s="56"/>
      <c r="U4972" s="46" t="str">
        <f t="array" ref="U4972">IF($D4972="","",IFERROR(_xlfn.XLOOKUP($D4972,'TIR店舗一覧'!$D:$D,'TIR店舗一覧'!$E:$E,""),""))</f>
        <v/>
      </c>
      <c r="V4972" s="54" t="s">
        <v>2</v>
      </c>
      <c r="W4972" s="54" t="s">
        <v>2</v>
      </c>
      <c r="X4972" s="54" t="s">
        <v>2</v>
      </c>
      <c r="Y4972" s="54" t="s">
        <v>2</v>
      </c>
      <c r="Z4972" s="54" t="s">
        <v>2</v>
      </c>
      <c r="AA4972" s="54" t="s">
        <v>2</v>
      </c>
      <c r="AB4972" s="54" t="s">
        <v>2</v>
      </c>
      <c r="AC4972" s="54" t="s">
        <v>2</v>
      </c>
      <c r="AD4972" s="54" t="s">
        <v>2</v>
      </c>
      <c r="AE4972" s="54" t="s">
        <v>2</v>
      </c>
      <c r="AF4972" s="54" t="s">
        <v>2</v>
      </c>
      <c r="AG4972" s="54" t="s">
        <v>2</v>
      </c>
    </row>
    <row r="4973" ht="15.75" customHeight="1">
      <c r="B4973" s="56"/>
      <c r="U4973" s="46" t="str">
        <f t="array" ref="U4973">IF($D4973="","",IFERROR(_xlfn.XLOOKUP($D4973,'TIR店舗一覧'!$D:$D,'TIR店舗一覧'!$E:$E,""),""))</f>
        <v/>
      </c>
      <c r="V4973" s="54" t="s">
        <v>2</v>
      </c>
      <c r="W4973" s="54" t="s">
        <v>2</v>
      </c>
      <c r="X4973" s="54" t="s">
        <v>2</v>
      </c>
      <c r="Y4973" s="54" t="s">
        <v>2</v>
      </c>
      <c r="Z4973" s="54" t="s">
        <v>2</v>
      </c>
      <c r="AA4973" s="54" t="s">
        <v>2</v>
      </c>
      <c r="AB4973" s="54" t="s">
        <v>2</v>
      </c>
      <c r="AC4973" s="54" t="s">
        <v>2</v>
      </c>
      <c r="AD4973" s="54" t="s">
        <v>2</v>
      </c>
      <c r="AE4973" s="54" t="s">
        <v>2</v>
      </c>
      <c r="AF4973" s="54" t="s">
        <v>2</v>
      </c>
      <c r="AG4973" s="54" t="s">
        <v>2</v>
      </c>
    </row>
    <row r="4974" ht="15.75" customHeight="1">
      <c r="B4974" s="56"/>
      <c r="U4974" s="46" t="str">
        <f t="array" ref="U4974">IF($D4974="","",IFERROR(_xlfn.XLOOKUP($D4974,'TIR店舗一覧'!$D:$D,'TIR店舗一覧'!$E:$E,""),""))</f>
        <v/>
      </c>
      <c r="V4974" s="54" t="s">
        <v>2</v>
      </c>
      <c r="W4974" s="54" t="s">
        <v>2</v>
      </c>
      <c r="X4974" s="54" t="s">
        <v>2</v>
      </c>
      <c r="Y4974" s="54" t="s">
        <v>2</v>
      </c>
      <c r="Z4974" s="54" t="s">
        <v>2</v>
      </c>
      <c r="AA4974" s="54" t="s">
        <v>2</v>
      </c>
      <c r="AB4974" s="54" t="s">
        <v>2</v>
      </c>
      <c r="AC4974" s="54" t="s">
        <v>2</v>
      </c>
      <c r="AD4974" s="54" t="s">
        <v>2</v>
      </c>
      <c r="AE4974" s="54" t="s">
        <v>2</v>
      </c>
      <c r="AF4974" s="54" t="s">
        <v>2</v>
      </c>
      <c r="AG4974" s="54" t="s">
        <v>2</v>
      </c>
    </row>
    <row r="4975" ht="15.75" customHeight="1">
      <c r="B4975" s="56"/>
      <c r="U4975" s="46" t="str">
        <f t="array" ref="U4975">IF($D4975="","",IFERROR(_xlfn.XLOOKUP($D4975,'TIR店舗一覧'!$D:$D,'TIR店舗一覧'!$E:$E,""),""))</f>
        <v/>
      </c>
      <c r="V4975" s="54" t="s">
        <v>2</v>
      </c>
      <c r="W4975" s="54" t="s">
        <v>2</v>
      </c>
      <c r="X4975" s="54" t="s">
        <v>2</v>
      </c>
      <c r="Y4975" s="54" t="s">
        <v>2</v>
      </c>
      <c r="Z4975" s="54" t="s">
        <v>2</v>
      </c>
      <c r="AA4975" s="54" t="s">
        <v>2</v>
      </c>
      <c r="AB4975" s="54" t="s">
        <v>2</v>
      </c>
      <c r="AC4975" s="54" t="s">
        <v>2</v>
      </c>
      <c r="AD4975" s="54" t="s">
        <v>2</v>
      </c>
      <c r="AE4975" s="54" t="s">
        <v>2</v>
      </c>
      <c r="AF4975" s="54" t="s">
        <v>2</v>
      </c>
      <c r="AG4975" s="54" t="s">
        <v>2</v>
      </c>
    </row>
    <row r="4976" ht="15.75" customHeight="1">
      <c r="B4976" s="56"/>
      <c r="U4976" s="46" t="str">
        <f t="array" ref="U4976">IF($D4976="","",IFERROR(_xlfn.XLOOKUP($D4976,'TIR店舗一覧'!$D:$D,'TIR店舗一覧'!$E:$E,""),""))</f>
        <v/>
      </c>
      <c r="V4976" s="54" t="s">
        <v>2</v>
      </c>
      <c r="W4976" s="54" t="s">
        <v>2</v>
      </c>
      <c r="X4976" s="54" t="s">
        <v>2</v>
      </c>
      <c r="Y4976" s="54" t="s">
        <v>2</v>
      </c>
      <c r="Z4976" s="54" t="s">
        <v>2</v>
      </c>
      <c r="AA4976" s="54" t="s">
        <v>2</v>
      </c>
      <c r="AB4976" s="54" t="s">
        <v>2</v>
      </c>
      <c r="AC4976" s="54" t="s">
        <v>2</v>
      </c>
      <c r="AD4976" s="54" t="s">
        <v>2</v>
      </c>
      <c r="AE4976" s="54" t="s">
        <v>2</v>
      </c>
      <c r="AF4976" s="54" t="s">
        <v>2</v>
      </c>
      <c r="AG4976" s="54" t="s">
        <v>2</v>
      </c>
    </row>
    <row r="4977" ht="15.75" customHeight="1">
      <c r="B4977" s="56"/>
      <c r="U4977" s="46" t="str">
        <f t="array" ref="U4977">IF($D4977="","",IFERROR(_xlfn.XLOOKUP($D4977,'TIR店舗一覧'!$D:$D,'TIR店舗一覧'!$E:$E,""),""))</f>
        <v/>
      </c>
      <c r="V4977" s="54" t="s">
        <v>2</v>
      </c>
      <c r="W4977" s="54" t="s">
        <v>2</v>
      </c>
      <c r="X4977" s="54" t="s">
        <v>2</v>
      </c>
      <c r="Y4977" s="54" t="s">
        <v>2</v>
      </c>
      <c r="Z4977" s="54" t="s">
        <v>2</v>
      </c>
      <c r="AA4977" s="54" t="s">
        <v>2</v>
      </c>
      <c r="AB4977" s="54" t="s">
        <v>2</v>
      </c>
      <c r="AC4977" s="54" t="s">
        <v>2</v>
      </c>
      <c r="AD4977" s="54" t="s">
        <v>2</v>
      </c>
      <c r="AE4977" s="54" t="s">
        <v>2</v>
      </c>
      <c r="AF4977" s="54" t="s">
        <v>2</v>
      </c>
      <c r="AG4977" s="54" t="s">
        <v>2</v>
      </c>
    </row>
    <row r="4978" ht="15.75" customHeight="1">
      <c r="B4978" s="56"/>
      <c r="U4978" s="46" t="str">
        <f t="array" ref="U4978">IF($D4978="","",IFERROR(_xlfn.XLOOKUP($D4978,'TIR店舗一覧'!$D:$D,'TIR店舗一覧'!$E:$E,""),""))</f>
        <v/>
      </c>
      <c r="V4978" s="54" t="s">
        <v>2</v>
      </c>
      <c r="W4978" s="54" t="s">
        <v>2</v>
      </c>
      <c r="X4978" s="54" t="s">
        <v>2</v>
      </c>
      <c r="Y4978" s="54" t="s">
        <v>2</v>
      </c>
      <c r="Z4978" s="54" t="s">
        <v>2</v>
      </c>
      <c r="AA4978" s="54" t="s">
        <v>2</v>
      </c>
      <c r="AB4978" s="54" t="s">
        <v>2</v>
      </c>
      <c r="AC4978" s="54" t="s">
        <v>2</v>
      </c>
      <c r="AD4978" s="54" t="s">
        <v>2</v>
      </c>
      <c r="AE4978" s="54" t="s">
        <v>2</v>
      </c>
      <c r="AF4978" s="54" t="s">
        <v>2</v>
      </c>
      <c r="AG4978" s="54" t="s">
        <v>2</v>
      </c>
    </row>
    <row r="4979" ht="15.75" customHeight="1">
      <c r="B4979" s="56"/>
      <c r="U4979" s="46" t="str">
        <f t="array" ref="U4979">IF($D4979="","",IFERROR(_xlfn.XLOOKUP($D4979,'TIR店舗一覧'!$D:$D,'TIR店舗一覧'!$E:$E,""),""))</f>
        <v/>
      </c>
      <c r="V4979" s="54" t="s">
        <v>2</v>
      </c>
      <c r="W4979" s="54" t="s">
        <v>2</v>
      </c>
      <c r="X4979" s="54" t="s">
        <v>2</v>
      </c>
      <c r="Y4979" s="54" t="s">
        <v>2</v>
      </c>
      <c r="Z4979" s="54" t="s">
        <v>2</v>
      </c>
      <c r="AA4979" s="54" t="s">
        <v>2</v>
      </c>
      <c r="AB4979" s="54" t="s">
        <v>2</v>
      </c>
      <c r="AC4979" s="54" t="s">
        <v>2</v>
      </c>
      <c r="AD4979" s="54" t="s">
        <v>2</v>
      </c>
      <c r="AE4979" s="54" t="s">
        <v>2</v>
      </c>
      <c r="AF4979" s="54" t="s">
        <v>2</v>
      </c>
      <c r="AG4979" s="54" t="s">
        <v>2</v>
      </c>
    </row>
    <row r="4980" ht="15.75" customHeight="1">
      <c r="B4980" s="56"/>
      <c r="U4980" s="46" t="str">
        <f t="array" ref="U4980">IF($D4980="","",IFERROR(_xlfn.XLOOKUP($D4980,'TIR店舗一覧'!$D:$D,'TIR店舗一覧'!$E:$E,""),""))</f>
        <v/>
      </c>
      <c r="V4980" s="54" t="s">
        <v>2</v>
      </c>
      <c r="W4980" s="54" t="s">
        <v>2</v>
      </c>
      <c r="X4980" s="54" t="s">
        <v>2</v>
      </c>
      <c r="Y4980" s="54" t="s">
        <v>2</v>
      </c>
      <c r="Z4980" s="54" t="s">
        <v>2</v>
      </c>
      <c r="AA4980" s="54" t="s">
        <v>2</v>
      </c>
      <c r="AB4980" s="54" t="s">
        <v>2</v>
      </c>
      <c r="AC4980" s="54" t="s">
        <v>2</v>
      </c>
      <c r="AD4980" s="54" t="s">
        <v>2</v>
      </c>
      <c r="AE4980" s="54" t="s">
        <v>2</v>
      </c>
      <c r="AF4980" s="54" t="s">
        <v>2</v>
      </c>
      <c r="AG4980" s="54" t="s">
        <v>2</v>
      </c>
    </row>
    <row r="4981" ht="15.75" customHeight="1">
      <c r="B4981" s="56"/>
      <c r="U4981" s="46" t="str">
        <f t="array" ref="U4981">IF($D4981="","",IFERROR(_xlfn.XLOOKUP($D4981,'TIR店舗一覧'!$D:$D,'TIR店舗一覧'!$E:$E,""),""))</f>
        <v/>
      </c>
      <c r="V4981" s="54" t="s">
        <v>2</v>
      </c>
      <c r="W4981" s="54" t="s">
        <v>2</v>
      </c>
      <c r="X4981" s="54" t="s">
        <v>2</v>
      </c>
      <c r="Y4981" s="54" t="s">
        <v>2</v>
      </c>
      <c r="Z4981" s="54" t="s">
        <v>2</v>
      </c>
      <c r="AA4981" s="54" t="s">
        <v>2</v>
      </c>
      <c r="AB4981" s="54" t="s">
        <v>2</v>
      </c>
      <c r="AC4981" s="54" t="s">
        <v>2</v>
      </c>
      <c r="AD4981" s="54" t="s">
        <v>2</v>
      </c>
      <c r="AE4981" s="54" t="s">
        <v>2</v>
      </c>
      <c r="AF4981" s="54" t="s">
        <v>2</v>
      </c>
      <c r="AG4981" s="54" t="s">
        <v>2</v>
      </c>
    </row>
    <row r="4982" ht="15.75" customHeight="1">
      <c r="B4982" s="56"/>
      <c r="U4982" s="46" t="str">
        <f t="array" ref="U4982">IF($D4982="","",IFERROR(_xlfn.XLOOKUP($D4982,'TIR店舗一覧'!$D:$D,'TIR店舗一覧'!$E:$E,""),""))</f>
        <v/>
      </c>
      <c r="V4982" s="54" t="s">
        <v>2</v>
      </c>
      <c r="W4982" s="54" t="s">
        <v>2</v>
      </c>
      <c r="X4982" s="54" t="s">
        <v>2</v>
      </c>
      <c r="Y4982" s="54" t="s">
        <v>2</v>
      </c>
      <c r="Z4982" s="54" t="s">
        <v>2</v>
      </c>
      <c r="AA4982" s="54" t="s">
        <v>2</v>
      </c>
      <c r="AB4982" s="54" t="s">
        <v>2</v>
      </c>
      <c r="AC4982" s="54" t="s">
        <v>2</v>
      </c>
      <c r="AD4982" s="54" t="s">
        <v>2</v>
      </c>
      <c r="AE4982" s="54" t="s">
        <v>2</v>
      </c>
      <c r="AF4982" s="54" t="s">
        <v>2</v>
      </c>
      <c r="AG4982" s="54" t="s">
        <v>2</v>
      </c>
    </row>
    <row r="4983" ht="15.75" customHeight="1">
      <c r="B4983" s="56"/>
      <c r="U4983" s="46" t="str">
        <f t="array" ref="U4983">IF($D4983="","",IFERROR(_xlfn.XLOOKUP($D4983,'TIR店舗一覧'!$D:$D,'TIR店舗一覧'!$E:$E,""),""))</f>
        <v/>
      </c>
      <c r="V4983" s="54" t="s">
        <v>2</v>
      </c>
      <c r="W4983" s="54" t="s">
        <v>2</v>
      </c>
      <c r="X4983" s="54" t="s">
        <v>2</v>
      </c>
      <c r="Y4983" s="54" t="s">
        <v>2</v>
      </c>
      <c r="Z4983" s="54" t="s">
        <v>2</v>
      </c>
      <c r="AA4983" s="54" t="s">
        <v>2</v>
      </c>
      <c r="AB4983" s="54" t="s">
        <v>2</v>
      </c>
      <c r="AC4983" s="54" t="s">
        <v>2</v>
      </c>
      <c r="AD4983" s="54" t="s">
        <v>2</v>
      </c>
      <c r="AE4983" s="54" t="s">
        <v>2</v>
      </c>
      <c r="AF4983" s="54" t="s">
        <v>2</v>
      </c>
      <c r="AG4983" s="54" t="s">
        <v>2</v>
      </c>
    </row>
    <row r="4984" ht="15.75" customHeight="1">
      <c r="B4984" s="56"/>
      <c r="U4984" s="46" t="str">
        <f t="array" ref="U4984">IF($D4984="","",IFERROR(_xlfn.XLOOKUP($D4984,'TIR店舗一覧'!$D:$D,'TIR店舗一覧'!$E:$E,""),""))</f>
        <v/>
      </c>
      <c r="V4984" s="54" t="s">
        <v>2</v>
      </c>
      <c r="W4984" s="54" t="s">
        <v>2</v>
      </c>
      <c r="X4984" s="54" t="s">
        <v>2</v>
      </c>
      <c r="Y4984" s="54" t="s">
        <v>2</v>
      </c>
      <c r="Z4984" s="54" t="s">
        <v>2</v>
      </c>
      <c r="AA4984" s="54" t="s">
        <v>2</v>
      </c>
      <c r="AB4984" s="54" t="s">
        <v>2</v>
      </c>
      <c r="AC4984" s="54" t="s">
        <v>2</v>
      </c>
      <c r="AD4984" s="54" t="s">
        <v>2</v>
      </c>
      <c r="AE4984" s="54" t="s">
        <v>2</v>
      </c>
      <c r="AF4984" s="54" t="s">
        <v>2</v>
      </c>
      <c r="AG4984" s="54" t="s">
        <v>2</v>
      </c>
    </row>
    <row r="4985" ht="15.75" customHeight="1">
      <c r="B4985" s="56"/>
      <c r="U4985" s="46" t="str">
        <f t="array" ref="U4985">IF($D4985="","",IFERROR(_xlfn.XLOOKUP($D4985,'TIR店舗一覧'!$D:$D,'TIR店舗一覧'!$E:$E,""),""))</f>
        <v/>
      </c>
      <c r="V4985" s="54" t="s">
        <v>2</v>
      </c>
      <c r="W4985" s="54" t="s">
        <v>2</v>
      </c>
      <c r="X4985" s="54" t="s">
        <v>2</v>
      </c>
      <c r="Y4985" s="54" t="s">
        <v>2</v>
      </c>
      <c r="Z4985" s="54" t="s">
        <v>2</v>
      </c>
      <c r="AA4985" s="54" t="s">
        <v>2</v>
      </c>
      <c r="AB4985" s="54" t="s">
        <v>2</v>
      </c>
      <c r="AC4985" s="54" t="s">
        <v>2</v>
      </c>
      <c r="AD4985" s="54" t="s">
        <v>2</v>
      </c>
      <c r="AE4985" s="54" t="s">
        <v>2</v>
      </c>
      <c r="AF4985" s="54" t="s">
        <v>2</v>
      </c>
      <c r="AG4985" s="54" t="s">
        <v>2</v>
      </c>
    </row>
    <row r="4986" ht="15.75" customHeight="1">
      <c r="B4986" s="56"/>
      <c r="U4986" s="46" t="str">
        <f t="array" ref="U4986">IF($D4986="","",IFERROR(_xlfn.XLOOKUP($D4986,'TIR店舗一覧'!$D:$D,'TIR店舗一覧'!$E:$E,""),""))</f>
        <v/>
      </c>
      <c r="V4986" s="54" t="s">
        <v>2</v>
      </c>
      <c r="W4986" s="54" t="s">
        <v>2</v>
      </c>
      <c r="X4986" s="54" t="s">
        <v>2</v>
      </c>
      <c r="Y4986" s="54" t="s">
        <v>2</v>
      </c>
      <c r="Z4986" s="54" t="s">
        <v>2</v>
      </c>
      <c r="AA4986" s="54" t="s">
        <v>2</v>
      </c>
      <c r="AB4986" s="54" t="s">
        <v>2</v>
      </c>
      <c r="AC4986" s="54" t="s">
        <v>2</v>
      </c>
      <c r="AD4986" s="54" t="s">
        <v>2</v>
      </c>
      <c r="AE4986" s="54" t="s">
        <v>2</v>
      </c>
      <c r="AF4986" s="54" t="s">
        <v>2</v>
      </c>
      <c r="AG4986" s="54" t="s">
        <v>2</v>
      </c>
    </row>
    <row r="4987" ht="15.75" customHeight="1">
      <c r="B4987" s="56"/>
      <c r="U4987" s="46" t="str">
        <f t="array" ref="U4987">IF($D4987="","",IFERROR(_xlfn.XLOOKUP($D4987,'TIR店舗一覧'!$D:$D,'TIR店舗一覧'!$E:$E,""),""))</f>
        <v/>
      </c>
      <c r="V4987" s="54" t="s">
        <v>2</v>
      </c>
      <c r="W4987" s="54" t="s">
        <v>2</v>
      </c>
      <c r="X4987" s="54" t="s">
        <v>2</v>
      </c>
      <c r="Y4987" s="54" t="s">
        <v>2</v>
      </c>
      <c r="Z4987" s="54" t="s">
        <v>2</v>
      </c>
      <c r="AA4987" s="54" t="s">
        <v>2</v>
      </c>
      <c r="AB4987" s="54" t="s">
        <v>2</v>
      </c>
      <c r="AC4987" s="54" t="s">
        <v>2</v>
      </c>
      <c r="AD4987" s="54" t="s">
        <v>2</v>
      </c>
      <c r="AE4987" s="54" t="s">
        <v>2</v>
      </c>
      <c r="AF4987" s="54" t="s">
        <v>2</v>
      </c>
      <c r="AG4987" s="54" t="s">
        <v>2</v>
      </c>
    </row>
    <row r="4988" ht="15.75" customHeight="1">
      <c r="B4988" s="56"/>
      <c r="U4988" s="46" t="str">
        <f t="array" ref="U4988">IF($D4988="","",IFERROR(_xlfn.XLOOKUP($D4988,'TIR店舗一覧'!$D:$D,'TIR店舗一覧'!$E:$E,""),""))</f>
        <v/>
      </c>
      <c r="V4988" s="54" t="s">
        <v>2</v>
      </c>
      <c r="W4988" s="54" t="s">
        <v>2</v>
      </c>
      <c r="X4988" s="54" t="s">
        <v>2</v>
      </c>
      <c r="Y4988" s="54" t="s">
        <v>2</v>
      </c>
      <c r="Z4988" s="54" t="s">
        <v>2</v>
      </c>
      <c r="AA4988" s="54" t="s">
        <v>2</v>
      </c>
      <c r="AB4988" s="54" t="s">
        <v>2</v>
      </c>
      <c r="AC4988" s="54" t="s">
        <v>2</v>
      </c>
      <c r="AD4988" s="54" t="s">
        <v>2</v>
      </c>
      <c r="AE4988" s="54" t="s">
        <v>2</v>
      </c>
      <c r="AF4988" s="54" t="s">
        <v>2</v>
      </c>
      <c r="AG4988" s="54" t="s">
        <v>2</v>
      </c>
    </row>
    <row r="4989" ht="15.75" customHeight="1">
      <c r="B4989" s="56"/>
      <c r="U4989" s="46" t="str">
        <f t="array" ref="U4989">IF($D4989="","",IFERROR(_xlfn.XLOOKUP($D4989,'TIR店舗一覧'!$D:$D,'TIR店舗一覧'!$E:$E,""),""))</f>
        <v/>
      </c>
      <c r="V4989" s="54" t="s">
        <v>2</v>
      </c>
      <c r="W4989" s="54" t="s">
        <v>2</v>
      </c>
      <c r="X4989" s="54" t="s">
        <v>2</v>
      </c>
      <c r="Y4989" s="54" t="s">
        <v>2</v>
      </c>
      <c r="Z4989" s="54" t="s">
        <v>2</v>
      </c>
      <c r="AA4989" s="54" t="s">
        <v>2</v>
      </c>
      <c r="AB4989" s="54" t="s">
        <v>2</v>
      </c>
      <c r="AC4989" s="54" t="s">
        <v>2</v>
      </c>
      <c r="AD4989" s="54" t="s">
        <v>2</v>
      </c>
      <c r="AE4989" s="54" t="s">
        <v>2</v>
      </c>
      <c r="AF4989" s="54" t="s">
        <v>2</v>
      </c>
      <c r="AG4989" s="54" t="s">
        <v>2</v>
      </c>
    </row>
    <row r="4990" ht="15.75" customHeight="1">
      <c r="B4990" s="56"/>
      <c r="U4990" s="46" t="str">
        <f t="array" ref="U4990">IF($D4990="","",IFERROR(_xlfn.XLOOKUP($D4990,'TIR店舗一覧'!$D:$D,'TIR店舗一覧'!$E:$E,""),""))</f>
        <v/>
      </c>
      <c r="V4990" s="54" t="s">
        <v>2</v>
      </c>
      <c r="W4990" s="54" t="s">
        <v>2</v>
      </c>
      <c r="X4990" s="54" t="s">
        <v>2</v>
      </c>
      <c r="Y4990" s="54" t="s">
        <v>2</v>
      </c>
      <c r="Z4990" s="54" t="s">
        <v>2</v>
      </c>
      <c r="AA4990" s="54" t="s">
        <v>2</v>
      </c>
      <c r="AB4990" s="54" t="s">
        <v>2</v>
      </c>
      <c r="AC4990" s="54" t="s">
        <v>2</v>
      </c>
      <c r="AD4990" s="54" t="s">
        <v>2</v>
      </c>
      <c r="AE4990" s="54" t="s">
        <v>2</v>
      </c>
      <c r="AF4990" s="54" t="s">
        <v>2</v>
      </c>
      <c r="AG4990" s="54" t="s">
        <v>2</v>
      </c>
    </row>
    <row r="4991" ht="15.75" customHeight="1">
      <c r="B4991" s="56"/>
      <c r="U4991" s="46" t="str">
        <f t="array" ref="U4991">IF($D4991="","",IFERROR(_xlfn.XLOOKUP($D4991,'TIR店舗一覧'!$D:$D,'TIR店舗一覧'!$E:$E,""),""))</f>
        <v/>
      </c>
      <c r="V4991" s="54" t="s">
        <v>2</v>
      </c>
      <c r="W4991" s="54" t="s">
        <v>2</v>
      </c>
      <c r="X4991" s="54" t="s">
        <v>2</v>
      </c>
      <c r="Y4991" s="54" t="s">
        <v>2</v>
      </c>
      <c r="Z4991" s="54" t="s">
        <v>2</v>
      </c>
      <c r="AA4991" s="54" t="s">
        <v>2</v>
      </c>
      <c r="AB4991" s="54" t="s">
        <v>2</v>
      </c>
      <c r="AC4991" s="54" t="s">
        <v>2</v>
      </c>
      <c r="AD4991" s="54" t="s">
        <v>2</v>
      </c>
      <c r="AE4991" s="54" t="s">
        <v>2</v>
      </c>
      <c r="AF4991" s="54" t="s">
        <v>2</v>
      </c>
      <c r="AG4991" s="54" t="s">
        <v>2</v>
      </c>
    </row>
    <row r="4992" ht="15.75" customHeight="1">
      <c r="B4992" s="56"/>
      <c r="U4992" s="46" t="str">
        <f t="array" ref="U4992">IF($D4992="","",IFERROR(_xlfn.XLOOKUP($D4992,'TIR店舗一覧'!$D:$D,'TIR店舗一覧'!$E:$E,""),""))</f>
        <v/>
      </c>
      <c r="V4992" s="54" t="s">
        <v>2</v>
      </c>
      <c r="W4992" s="54" t="s">
        <v>2</v>
      </c>
      <c r="X4992" s="54" t="s">
        <v>2</v>
      </c>
      <c r="Y4992" s="54" t="s">
        <v>2</v>
      </c>
      <c r="Z4992" s="54" t="s">
        <v>2</v>
      </c>
      <c r="AA4992" s="54" t="s">
        <v>2</v>
      </c>
      <c r="AB4992" s="54" t="s">
        <v>2</v>
      </c>
      <c r="AC4992" s="54" t="s">
        <v>2</v>
      </c>
      <c r="AD4992" s="54" t="s">
        <v>2</v>
      </c>
      <c r="AE4992" s="54" t="s">
        <v>2</v>
      </c>
      <c r="AF4992" s="54" t="s">
        <v>2</v>
      </c>
      <c r="AG4992" s="54" t="s">
        <v>2</v>
      </c>
    </row>
    <row r="4993" ht="15.75" customHeight="1">
      <c r="B4993" s="56"/>
      <c r="U4993" s="46" t="str">
        <f t="array" ref="U4993">IF($D4993="","",IFERROR(_xlfn.XLOOKUP($D4993,'TIR店舗一覧'!$D:$D,'TIR店舗一覧'!$E:$E,""),""))</f>
        <v/>
      </c>
      <c r="V4993" s="54" t="s">
        <v>2</v>
      </c>
      <c r="W4993" s="54" t="s">
        <v>2</v>
      </c>
      <c r="X4993" s="54" t="s">
        <v>2</v>
      </c>
      <c r="Y4993" s="54" t="s">
        <v>2</v>
      </c>
      <c r="Z4993" s="54" t="s">
        <v>2</v>
      </c>
      <c r="AA4993" s="54" t="s">
        <v>2</v>
      </c>
      <c r="AB4993" s="54" t="s">
        <v>2</v>
      </c>
      <c r="AC4993" s="54" t="s">
        <v>2</v>
      </c>
      <c r="AD4993" s="54" t="s">
        <v>2</v>
      </c>
      <c r="AE4993" s="54" t="s">
        <v>2</v>
      </c>
      <c r="AF4993" s="54" t="s">
        <v>2</v>
      </c>
      <c r="AG4993" s="54" t="s">
        <v>2</v>
      </c>
    </row>
    <row r="4994" ht="15.75" customHeight="1">
      <c r="B4994" s="56"/>
      <c r="U4994" s="46" t="str">
        <f t="array" ref="U4994">IF($D4994="","",IFERROR(_xlfn.XLOOKUP($D4994,'TIR店舗一覧'!$D:$D,'TIR店舗一覧'!$E:$E,""),""))</f>
        <v/>
      </c>
      <c r="V4994" s="54" t="s">
        <v>2</v>
      </c>
      <c r="W4994" s="54" t="s">
        <v>2</v>
      </c>
      <c r="X4994" s="54" t="s">
        <v>2</v>
      </c>
      <c r="Y4994" s="54" t="s">
        <v>2</v>
      </c>
      <c r="Z4994" s="54" t="s">
        <v>2</v>
      </c>
      <c r="AA4994" s="54" t="s">
        <v>2</v>
      </c>
      <c r="AB4994" s="54" t="s">
        <v>2</v>
      </c>
      <c r="AC4994" s="54" t="s">
        <v>2</v>
      </c>
      <c r="AD4994" s="54" t="s">
        <v>2</v>
      </c>
      <c r="AE4994" s="54" t="s">
        <v>2</v>
      </c>
      <c r="AF4994" s="54" t="s">
        <v>2</v>
      </c>
      <c r="AG4994" s="54" t="s">
        <v>2</v>
      </c>
    </row>
    <row r="4995" ht="15.75" customHeight="1">
      <c r="B4995" s="56"/>
      <c r="U4995" s="46" t="str">
        <f t="array" ref="U4995">IF($D4995="","",IFERROR(_xlfn.XLOOKUP($D4995,'TIR店舗一覧'!$D:$D,'TIR店舗一覧'!$E:$E,""),""))</f>
        <v/>
      </c>
      <c r="V4995" s="54" t="s">
        <v>2</v>
      </c>
      <c r="W4995" s="54" t="s">
        <v>2</v>
      </c>
      <c r="X4995" s="54" t="s">
        <v>2</v>
      </c>
      <c r="Y4995" s="54" t="s">
        <v>2</v>
      </c>
      <c r="Z4995" s="54" t="s">
        <v>2</v>
      </c>
      <c r="AA4995" s="54" t="s">
        <v>2</v>
      </c>
      <c r="AB4995" s="54" t="s">
        <v>2</v>
      </c>
      <c r="AC4995" s="54" t="s">
        <v>2</v>
      </c>
      <c r="AD4995" s="54" t="s">
        <v>2</v>
      </c>
      <c r="AE4995" s="54" t="s">
        <v>2</v>
      </c>
      <c r="AF4995" s="54" t="s">
        <v>2</v>
      </c>
      <c r="AG4995" s="54" t="s">
        <v>2</v>
      </c>
    </row>
    <row r="4996" ht="15.75" customHeight="1">
      <c r="B4996" s="56"/>
      <c r="U4996" s="46" t="str">
        <f t="array" ref="U4996">IF($D4996="","",IFERROR(_xlfn.XLOOKUP($D4996,'TIR店舗一覧'!$D:$D,'TIR店舗一覧'!$E:$E,""),""))</f>
        <v/>
      </c>
      <c r="V4996" s="54" t="s">
        <v>2</v>
      </c>
      <c r="W4996" s="54" t="s">
        <v>2</v>
      </c>
      <c r="X4996" s="54" t="s">
        <v>2</v>
      </c>
      <c r="Y4996" s="54" t="s">
        <v>2</v>
      </c>
      <c r="Z4996" s="54" t="s">
        <v>2</v>
      </c>
      <c r="AA4996" s="54" t="s">
        <v>2</v>
      </c>
      <c r="AB4996" s="54" t="s">
        <v>2</v>
      </c>
      <c r="AC4996" s="54" t="s">
        <v>2</v>
      </c>
      <c r="AD4996" s="54" t="s">
        <v>2</v>
      </c>
      <c r="AE4996" s="54" t="s">
        <v>2</v>
      </c>
      <c r="AF4996" s="54" t="s">
        <v>2</v>
      </c>
      <c r="AG4996" s="54" t="s">
        <v>2</v>
      </c>
    </row>
    <row r="4997" ht="15.75" customHeight="1">
      <c r="B4997" s="56"/>
      <c r="U4997" s="46" t="str">
        <f t="array" ref="U4997">IF($D4997="","",IFERROR(_xlfn.XLOOKUP($D4997,'TIR店舗一覧'!$D:$D,'TIR店舗一覧'!$E:$E,""),""))</f>
        <v/>
      </c>
      <c r="V4997" s="54" t="s">
        <v>2</v>
      </c>
      <c r="W4997" s="54" t="s">
        <v>2</v>
      </c>
      <c r="X4997" s="54" t="s">
        <v>2</v>
      </c>
      <c r="Y4997" s="54" t="s">
        <v>2</v>
      </c>
      <c r="Z4997" s="54" t="s">
        <v>2</v>
      </c>
      <c r="AA4997" s="54" t="s">
        <v>2</v>
      </c>
      <c r="AB4997" s="54" t="s">
        <v>2</v>
      </c>
      <c r="AC4997" s="54" t="s">
        <v>2</v>
      </c>
      <c r="AD4997" s="54" t="s">
        <v>2</v>
      </c>
      <c r="AE4997" s="54" t="s">
        <v>2</v>
      </c>
      <c r="AF4997" s="54" t="s">
        <v>2</v>
      </c>
      <c r="AG4997" s="54" t="s">
        <v>2</v>
      </c>
    </row>
    <row r="4998" ht="15.75" customHeight="1">
      <c r="B4998" s="56"/>
      <c r="U4998" s="46" t="str">
        <f t="array" ref="U4998">IF($D4998="","",IFERROR(_xlfn.XLOOKUP($D4998,'TIR店舗一覧'!$D:$D,'TIR店舗一覧'!$E:$E,""),""))</f>
        <v/>
      </c>
      <c r="V4998" s="54" t="s">
        <v>2</v>
      </c>
      <c r="W4998" s="54" t="s">
        <v>2</v>
      </c>
      <c r="X4998" s="54" t="s">
        <v>2</v>
      </c>
      <c r="Y4998" s="54" t="s">
        <v>2</v>
      </c>
      <c r="Z4998" s="54" t="s">
        <v>2</v>
      </c>
      <c r="AA4998" s="54" t="s">
        <v>2</v>
      </c>
      <c r="AB4998" s="54" t="s">
        <v>2</v>
      </c>
      <c r="AC4998" s="54" t="s">
        <v>2</v>
      </c>
      <c r="AD4998" s="54" t="s">
        <v>2</v>
      </c>
      <c r="AE4998" s="54" t="s">
        <v>2</v>
      </c>
      <c r="AF4998" s="54" t="s">
        <v>2</v>
      </c>
      <c r="AG4998" s="54" t="s">
        <v>2</v>
      </c>
    </row>
    <row r="4999" ht="15.75" customHeight="1">
      <c r="B4999" s="56"/>
      <c r="U4999" s="46" t="str">
        <f t="array" ref="U4999">IF($D4999="","",IFERROR(_xlfn.XLOOKUP($D4999,'TIR店舗一覧'!$D:$D,'TIR店舗一覧'!$E:$E,""),""))</f>
        <v/>
      </c>
      <c r="V4999" s="54" t="s">
        <v>2</v>
      </c>
      <c r="W4999" s="54" t="s">
        <v>2</v>
      </c>
      <c r="X4999" s="54" t="s">
        <v>2</v>
      </c>
      <c r="Y4999" s="54" t="s">
        <v>2</v>
      </c>
      <c r="Z4999" s="54" t="s">
        <v>2</v>
      </c>
      <c r="AA4999" s="54" t="s">
        <v>2</v>
      </c>
      <c r="AB4999" s="54" t="s">
        <v>2</v>
      </c>
      <c r="AC4999" s="54" t="s">
        <v>2</v>
      </c>
      <c r="AD4999" s="54" t="s">
        <v>2</v>
      </c>
      <c r="AE4999" s="54" t="s">
        <v>2</v>
      </c>
      <c r="AF4999" s="54" t="s">
        <v>2</v>
      </c>
      <c r="AG4999" s="54" t="s">
        <v>2</v>
      </c>
    </row>
    <row r="5000" ht="15.75" customHeight="1">
      <c r="B5000" s="56"/>
      <c r="U5000" s="46" t="str">
        <f t="array" ref="U5000">IF($D5000="","",IFERROR(_xlfn.XLOOKUP($D5000,'TIR店舗一覧'!$D:$D,'TIR店舗一覧'!$E:$E,""),""))</f>
        <v/>
      </c>
      <c r="V5000" s="54" t="s">
        <v>2</v>
      </c>
      <c r="W5000" s="54" t="s">
        <v>2</v>
      </c>
      <c r="X5000" s="54" t="s">
        <v>2</v>
      </c>
      <c r="Y5000" s="54" t="s">
        <v>2</v>
      </c>
      <c r="Z5000" s="54" t="s">
        <v>2</v>
      </c>
      <c r="AA5000" s="54" t="s">
        <v>2</v>
      </c>
      <c r="AB5000" s="54" t="s">
        <v>2</v>
      </c>
      <c r="AC5000" s="54" t="s">
        <v>2</v>
      </c>
      <c r="AD5000" s="54" t="s">
        <v>2</v>
      </c>
      <c r="AE5000" s="54" t="s">
        <v>2</v>
      </c>
      <c r="AF5000" s="54" t="s">
        <v>2</v>
      </c>
      <c r="AG5000" s="54" t="s">
        <v>2</v>
      </c>
    </row>
    <row r="5001" ht="15.75" customHeight="1">
      <c r="B5001" s="56"/>
      <c r="U5001" s="46" t="str">
        <f t="array" ref="U5001">IF($D5001="","",IFERROR(_xlfn.XLOOKUP($D5001,'TIR店舗一覧'!$D:$D,'TIR店舗一覧'!$E:$E,""),""))</f>
        <v/>
      </c>
      <c r="V5001" s="54" t="s">
        <v>2</v>
      </c>
      <c r="W5001" s="54" t="s">
        <v>2</v>
      </c>
      <c r="X5001" s="54" t="s">
        <v>2</v>
      </c>
      <c r="Y5001" s="54" t="s">
        <v>2</v>
      </c>
      <c r="Z5001" s="54" t="s">
        <v>2</v>
      </c>
      <c r="AA5001" s="54" t="s">
        <v>2</v>
      </c>
      <c r="AB5001" s="54" t="s">
        <v>2</v>
      </c>
      <c r="AC5001" s="54" t="s">
        <v>2</v>
      </c>
      <c r="AD5001" s="54" t="s">
        <v>2</v>
      </c>
      <c r="AE5001" s="54" t="s">
        <v>2</v>
      </c>
      <c r="AF5001" s="54" t="s">
        <v>2</v>
      </c>
      <c r="AG5001" s="54" t="s">
        <v>2</v>
      </c>
    </row>
    <row r="5002" ht="15.75" customHeight="1">
      <c r="B5002" s="56"/>
      <c r="U5002" s="46" t="str">
        <f t="array" ref="U5002">IF($D5002="","",IFERROR(_xlfn.XLOOKUP($D5002,'TIR店舗一覧'!$D:$D,'TIR店舗一覧'!$E:$E,""),""))</f>
        <v/>
      </c>
      <c r="V5002" s="54" t="s">
        <v>2</v>
      </c>
      <c r="W5002" s="54" t="s">
        <v>2</v>
      </c>
      <c r="X5002" s="54" t="s">
        <v>2</v>
      </c>
      <c r="Y5002" s="54" t="s">
        <v>2</v>
      </c>
      <c r="Z5002" s="54" t="s">
        <v>2</v>
      </c>
      <c r="AA5002" s="54" t="s">
        <v>2</v>
      </c>
      <c r="AB5002" s="54" t="s">
        <v>2</v>
      </c>
      <c r="AC5002" s="54" t="s">
        <v>2</v>
      </c>
      <c r="AD5002" s="54" t="s">
        <v>2</v>
      </c>
      <c r="AE5002" s="54" t="s">
        <v>2</v>
      </c>
      <c r="AF5002" s="54" t="s">
        <v>2</v>
      </c>
      <c r="AG5002" s="54" t="s">
        <v>2</v>
      </c>
    </row>
    <row r="5003" ht="15.75" customHeight="1">
      <c r="B5003" s="56"/>
      <c r="U5003" s="46" t="str">
        <f t="array" ref="U5003">IF($D5003="","",IFERROR(_xlfn.XLOOKUP($D5003,'TIR店舗一覧'!$D:$D,'TIR店舗一覧'!$E:$E,""),""))</f>
        <v/>
      </c>
      <c r="V5003" s="54" t="s">
        <v>2</v>
      </c>
      <c r="W5003" s="54" t="s">
        <v>2</v>
      </c>
      <c r="X5003" s="54" t="s">
        <v>2</v>
      </c>
      <c r="Y5003" s="54" t="s">
        <v>2</v>
      </c>
      <c r="Z5003" s="54" t="s">
        <v>2</v>
      </c>
      <c r="AA5003" s="54" t="s">
        <v>2</v>
      </c>
      <c r="AB5003" s="54" t="s">
        <v>2</v>
      </c>
      <c r="AC5003" s="54" t="s">
        <v>2</v>
      </c>
      <c r="AD5003" s="54" t="s">
        <v>2</v>
      </c>
      <c r="AE5003" s="54" t="s">
        <v>2</v>
      </c>
      <c r="AF5003" s="54" t="s">
        <v>2</v>
      </c>
      <c r="AG5003" s="54" t="s">
        <v>2</v>
      </c>
    </row>
    <row r="5004" ht="15.75" customHeight="1">
      <c r="B5004" s="56"/>
      <c r="U5004" s="46" t="str">
        <f t="array" ref="U5004">IF($D5004="","",IFERROR(_xlfn.XLOOKUP($D5004,'TIR店舗一覧'!$D:$D,'TIR店舗一覧'!$E:$E,""),""))</f>
        <v/>
      </c>
      <c r="V5004" s="54" t="s">
        <v>2</v>
      </c>
      <c r="W5004" s="54" t="s">
        <v>2</v>
      </c>
      <c r="X5004" s="54" t="s">
        <v>2</v>
      </c>
      <c r="Y5004" s="54" t="s">
        <v>2</v>
      </c>
      <c r="Z5004" s="54" t="s">
        <v>2</v>
      </c>
      <c r="AA5004" s="54" t="s">
        <v>2</v>
      </c>
      <c r="AB5004" s="54" t="s">
        <v>2</v>
      </c>
      <c r="AC5004" s="54" t="s">
        <v>2</v>
      </c>
      <c r="AD5004" s="54" t="s">
        <v>2</v>
      </c>
      <c r="AE5004" s="54" t="s">
        <v>2</v>
      </c>
      <c r="AF5004" s="54" t="s">
        <v>2</v>
      </c>
      <c r="AG5004" s="54" t="s">
        <v>2</v>
      </c>
    </row>
    <row r="5005" ht="15.75" customHeight="1">
      <c r="B5005" s="56"/>
      <c r="U5005" s="46" t="str">
        <f t="array" ref="U5005">IF($D5005="","",IFERROR(_xlfn.XLOOKUP($D5005,'TIR店舗一覧'!$D:$D,'TIR店舗一覧'!$E:$E,""),""))</f>
        <v/>
      </c>
      <c r="V5005" s="54" t="s">
        <v>2</v>
      </c>
      <c r="W5005" s="54" t="s">
        <v>2</v>
      </c>
      <c r="X5005" s="54" t="s">
        <v>2</v>
      </c>
      <c r="Y5005" s="54" t="s">
        <v>2</v>
      </c>
      <c r="Z5005" s="54" t="s">
        <v>2</v>
      </c>
      <c r="AA5005" s="54" t="s">
        <v>2</v>
      </c>
      <c r="AB5005" s="54" t="s">
        <v>2</v>
      </c>
      <c r="AC5005" s="54" t="s">
        <v>2</v>
      </c>
      <c r="AD5005" s="54" t="s">
        <v>2</v>
      </c>
      <c r="AE5005" s="54" t="s">
        <v>2</v>
      </c>
      <c r="AF5005" s="54" t="s">
        <v>2</v>
      </c>
      <c r="AG5005" s="54" t="s">
        <v>2</v>
      </c>
    </row>
    <row r="5006" ht="15.75" customHeight="1">
      <c r="B5006" s="56"/>
      <c r="U5006" s="46" t="str">
        <f t="array" ref="U5006">IF($D5006="","",IFERROR(_xlfn.XLOOKUP($D5006,'TIR店舗一覧'!$D:$D,'TIR店舗一覧'!$E:$E,""),""))</f>
        <v/>
      </c>
      <c r="V5006" s="54" t="s">
        <v>2</v>
      </c>
      <c r="W5006" s="54" t="s">
        <v>2</v>
      </c>
      <c r="X5006" s="54" t="s">
        <v>2</v>
      </c>
      <c r="Y5006" s="54" t="s">
        <v>2</v>
      </c>
      <c r="Z5006" s="54" t="s">
        <v>2</v>
      </c>
      <c r="AA5006" s="54" t="s">
        <v>2</v>
      </c>
      <c r="AB5006" s="54" t="s">
        <v>2</v>
      </c>
      <c r="AC5006" s="54" t="s">
        <v>2</v>
      </c>
      <c r="AD5006" s="54" t="s">
        <v>2</v>
      </c>
      <c r="AE5006" s="54" t="s">
        <v>2</v>
      </c>
      <c r="AF5006" s="54" t="s">
        <v>2</v>
      </c>
      <c r="AG5006" s="54" t="s">
        <v>2</v>
      </c>
    </row>
    <row r="5007" ht="15.75" customHeight="1">
      <c r="B5007" s="56"/>
      <c r="U5007" s="46" t="str">
        <f t="array" ref="U5007">IF($D5007="","",IFERROR(_xlfn.XLOOKUP($D5007,'TIR店舗一覧'!$D:$D,'TIR店舗一覧'!$E:$E,""),""))</f>
        <v/>
      </c>
      <c r="V5007" s="54" t="s">
        <v>2</v>
      </c>
      <c r="W5007" s="54" t="s">
        <v>2</v>
      </c>
      <c r="X5007" s="54" t="s">
        <v>2</v>
      </c>
      <c r="Y5007" s="54" t="s">
        <v>2</v>
      </c>
      <c r="Z5007" s="54" t="s">
        <v>2</v>
      </c>
      <c r="AA5007" s="54" t="s">
        <v>2</v>
      </c>
      <c r="AB5007" s="54" t="s">
        <v>2</v>
      </c>
      <c r="AC5007" s="54" t="s">
        <v>2</v>
      </c>
      <c r="AD5007" s="54" t="s">
        <v>2</v>
      </c>
      <c r="AE5007" s="54" t="s">
        <v>2</v>
      </c>
      <c r="AF5007" s="54" t="s">
        <v>2</v>
      </c>
      <c r="AG5007" s="54" t="s">
        <v>2</v>
      </c>
    </row>
    <row r="5008" ht="15.75" customHeight="1">
      <c r="B5008" s="56"/>
      <c r="U5008" s="46" t="str">
        <f t="array" ref="U5008">IF($D5008="","",IFERROR(_xlfn.XLOOKUP($D5008,'TIR店舗一覧'!$D:$D,'TIR店舗一覧'!$E:$E,""),""))</f>
        <v/>
      </c>
      <c r="V5008" s="54" t="s">
        <v>2</v>
      </c>
      <c r="W5008" s="54" t="s">
        <v>2</v>
      </c>
      <c r="X5008" s="54" t="s">
        <v>2</v>
      </c>
      <c r="Y5008" s="54" t="s">
        <v>2</v>
      </c>
      <c r="Z5008" s="54" t="s">
        <v>2</v>
      </c>
      <c r="AA5008" s="54" t="s">
        <v>2</v>
      </c>
      <c r="AB5008" s="54" t="s">
        <v>2</v>
      </c>
      <c r="AC5008" s="54" t="s">
        <v>2</v>
      </c>
      <c r="AD5008" s="54" t="s">
        <v>2</v>
      </c>
      <c r="AE5008" s="54" t="s">
        <v>2</v>
      </c>
      <c r="AF5008" s="54" t="s">
        <v>2</v>
      </c>
      <c r="AG5008" s="54" t="s">
        <v>2</v>
      </c>
    </row>
    <row r="5009" ht="15.75" customHeight="1">
      <c r="B5009" s="56"/>
      <c r="U5009" s="46" t="str">
        <f t="array" ref="U5009">IF($D5009="","",IFERROR(_xlfn.XLOOKUP($D5009,'TIR店舗一覧'!$D:$D,'TIR店舗一覧'!$E:$E,""),""))</f>
        <v/>
      </c>
      <c r="V5009" s="54" t="s">
        <v>2</v>
      </c>
      <c r="W5009" s="54" t="s">
        <v>2</v>
      </c>
      <c r="X5009" s="54" t="s">
        <v>2</v>
      </c>
      <c r="Y5009" s="54" t="s">
        <v>2</v>
      </c>
      <c r="Z5009" s="54" t="s">
        <v>2</v>
      </c>
      <c r="AA5009" s="54" t="s">
        <v>2</v>
      </c>
      <c r="AB5009" s="54" t="s">
        <v>2</v>
      </c>
      <c r="AC5009" s="54" t="s">
        <v>2</v>
      </c>
      <c r="AD5009" s="54" t="s">
        <v>2</v>
      </c>
      <c r="AE5009" s="54" t="s">
        <v>2</v>
      </c>
      <c r="AF5009" s="54" t="s">
        <v>2</v>
      </c>
      <c r="AG5009" s="54" t="s">
        <v>2</v>
      </c>
    </row>
    <row r="5010" ht="15.75" customHeight="1">
      <c r="B5010" s="56"/>
      <c r="U5010" s="46" t="str">
        <f t="array" ref="U5010">IF($D5010="","",IFERROR(_xlfn.XLOOKUP($D5010,'TIR店舗一覧'!$D:$D,'TIR店舗一覧'!$E:$E,""),""))</f>
        <v/>
      </c>
      <c r="V5010" s="54" t="s">
        <v>2</v>
      </c>
      <c r="W5010" s="54" t="s">
        <v>2</v>
      </c>
      <c r="X5010" s="54" t="s">
        <v>2</v>
      </c>
      <c r="Y5010" s="54" t="s">
        <v>2</v>
      </c>
      <c r="Z5010" s="54" t="s">
        <v>2</v>
      </c>
      <c r="AA5010" s="54" t="s">
        <v>2</v>
      </c>
      <c r="AB5010" s="54" t="s">
        <v>2</v>
      </c>
      <c r="AC5010" s="54" t="s">
        <v>2</v>
      </c>
      <c r="AD5010" s="54" t="s">
        <v>2</v>
      </c>
      <c r="AE5010" s="54" t="s">
        <v>2</v>
      </c>
      <c r="AF5010" s="54" t="s">
        <v>2</v>
      </c>
      <c r="AG5010" s="54" t="s">
        <v>2</v>
      </c>
    </row>
    <row r="5011" ht="15.75" customHeight="1">
      <c r="B5011" s="56"/>
      <c r="U5011" s="46" t="str">
        <f t="array" ref="U5011">IF($D5011="","",IFERROR(_xlfn.XLOOKUP($D5011,'TIR店舗一覧'!$D:$D,'TIR店舗一覧'!$E:$E,""),""))</f>
        <v/>
      </c>
      <c r="V5011" s="54" t="s">
        <v>2</v>
      </c>
      <c r="W5011" s="54" t="s">
        <v>2</v>
      </c>
      <c r="X5011" s="54" t="s">
        <v>2</v>
      </c>
      <c r="Y5011" s="54" t="s">
        <v>2</v>
      </c>
      <c r="Z5011" s="54" t="s">
        <v>2</v>
      </c>
      <c r="AA5011" s="54" t="s">
        <v>2</v>
      </c>
      <c r="AB5011" s="54" t="s">
        <v>2</v>
      </c>
      <c r="AC5011" s="54" t="s">
        <v>2</v>
      </c>
      <c r="AD5011" s="54" t="s">
        <v>2</v>
      </c>
      <c r="AE5011" s="54" t="s">
        <v>2</v>
      </c>
      <c r="AF5011" s="54" t="s">
        <v>2</v>
      </c>
      <c r="AG5011" s="54" t="s">
        <v>2</v>
      </c>
    </row>
    <row r="5012" ht="15.75" customHeight="1">
      <c r="B5012" s="56"/>
      <c r="U5012" s="46" t="str">
        <f t="array" ref="U5012">IF($D5012="","",IFERROR(_xlfn.XLOOKUP($D5012,'TIR店舗一覧'!$D:$D,'TIR店舗一覧'!$E:$E,""),""))</f>
        <v/>
      </c>
      <c r="V5012" s="54" t="s">
        <v>2</v>
      </c>
      <c r="W5012" s="54" t="s">
        <v>2</v>
      </c>
      <c r="X5012" s="54" t="s">
        <v>2</v>
      </c>
      <c r="Y5012" s="54" t="s">
        <v>2</v>
      </c>
      <c r="Z5012" s="54" t="s">
        <v>2</v>
      </c>
      <c r="AA5012" s="54" t="s">
        <v>2</v>
      </c>
      <c r="AB5012" s="54" t="s">
        <v>2</v>
      </c>
      <c r="AC5012" s="54" t="s">
        <v>2</v>
      </c>
      <c r="AD5012" s="54" t="s">
        <v>2</v>
      </c>
      <c r="AE5012" s="54" t="s">
        <v>2</v>
      </c>
      <c r="AF5012" s="54" t="s">
        <v>2</v>
      </c>
      <c r="AG5012" s="54" t="s">
        <v>2</v>
      </c>
    </row>
    <row r="5013" ht="15.75" customHeight="1">
      <c r="B5013" s="56"/>
      <c r="U5013" s="46" t="str">
        <f t="array" ref="U5013">IF($D5013="","",IFERROR(_xlfn.XLOOKUP($D5013,'TIR店舗一覧'!$D:$D,'TIR店舗一覧'!$E:$E,""),""))</f>
        <v/>
      </c>
      <c r="V5013" s="54" t="s">
        <v>2</v>
      </c>
      <c r="W5013" s="54" t="s">
        <v>2</v>
      </c>
      <c r="X5013" s="54" t="s">
        <v>2</v>
      </c>
      <c r="Y5013" s="54" t="s">
        <v>2</v>
      </c>
      <c r="Z5013" s="54" t="s">
        <v>2</v>
      </c>
      <c r="AA5013" s="54" t="s">
        <v>2</v>
      </c>
      <c r="AB5013" s="54" t="s">
        <v>2</v>
      </c>
      <c r="AC5013" s="54" t="s">
        <v>2</v>
      </c>
      <c r="AD5013" s="54" t="s">
        <v>2</v>
      </c>
      <c r="AE5013" s="54" t="s">
        <v>2</v>
      </c>
      <c r="AF5013" s="54" t="s">
        <v>2</v>
      </c>
      <c r="AG5013" s="54" t="s">
        <v>2</v>
      </c>
    </row>
    <row r="5014" ht="15.75" customHeight="1">
      <c r="B5014" s="56"/>
      <c r="U5014" s="46" t="str">
        <f t="array" ref="U5014">IF($D5014="","",IFERROR(_xlfn.XLOOKUP($D5014,'TIR店舗一覧'!$D:$D,'TIR店舗一覧'!$E:$E,""),""))</f>
        <v/>
      </c>
      <c r="V5014" s="54" t="s">
        <v>2</v>
      </c>
      <c r="W5014" s="54" t="s">
        <v>2</v>
      </c>
      <c r="X5014" s="54" t="s">
        <v>2</v>
      </c>
      <c r="Y5014" s="54" t="s">
        <v>2</v>
      </c>
      <c r="Z5014" s="54" t="s">
        <v>2</v>
      </c>
      <c r="AA5014" s="54" t="s">
        <v>2</v>
      </c>
      <c r="AB5014" s="54" t="s">
        <v>2</v>
      </c>
      <c r="AC5014" s="54" t="s">
        <v>2</v>
      </c>
      <c r="AD5014" s="54" t="s">
        <v>2</v>
      </c>
      <c r="AE5014" s="54" t="s">
        <v>2</v>
      </c>
      <c r="AF5014" s="54" t="s">
        <v>2</v>
      </c>
      <c r="AG5014" s="54" t="s">
        <v>2</v>
      </c>
    </row>
    <row r="5015" ht="15.75" customHeight="1">
      <c r="B5015" s="56"/>
      <c r="U5015" s="46" t="str">
        <f t="array" ref="U5015">IF($D5015="","",IFERROR(_xlfn.XLOOKUP($D5015,'TIR店舗一覧'!$D:$D,'TIR店舗一覧'!$E:$E,""),""))</f>
        <v/>
      </c>
      <c r="V5015" s="54" t="s">
        <v>2</v>
      </c>
      <c r="W5015" s="54" t="s">
        <v>2</v>
      </c>
      <c r="X5015" s="54" t="s">
        <v>2</v>
      </c>
      <c r="Y5015" s="54" t="s">
        <v>2</v>
      </c>
      <c r="Z5015" s="54" t="s">
        <v>2</v>
      </c>
      <c r="AA5015" s="54" t="s">
        <v>2</v>
      </c>
      <c r="AB5015" s="54" t="s">
        <v>2</v>
      </c>
      <c r="AC5015" s="54" t="s">
        <v>2</v>
      </c>
      <c r="AD5015" s="54" t="s">
        <v>2</v>
      </c>
      <c r="AE5015" s="54" t="s">
        <v>2</v>
      </c>
      <c r="AF5015" s="54" t="s">
        <v>2</v>
      </c>
      <c r="AG5015" s="54" t="s">
        <v>2</v>
      </c>
    </row>
    <row r="5016" ht="15.75" customHeight="1">
      <c r="B5016" s="56"/>
      <c r="U5016" s="46" t="str">
        <f t="array" ref="U5016">IF($D5016="","",IFERROR(_xlfn.XLOOKUP($D5016,'TIR店舗一覧'!$D:$D,'TIR店舗一覧'!$E:$E,""),""))</f>
        <v/>
      </c>
      <c r="V5016" s="54" t="s">
        <v>2</v>
      </c>
      <c r="W5016" s="54" t="s">
        <v>2</v>
      </c>
      <c r="X5016" s="54" t="s">
        <v>2</v>
      </c>
      <c r="Y5016" s="54" t="s">
        <v>2</v>
      </c>
      <c r="Z5016" s="54" t="s">
        <v>2</v>
      </c>
      <c r="AA5016" s="54" t="s">
        <v>2</v>
      </c>
      <c r="AB5016" s="54" t="s">
        <v>2</v>
      </c>
      <c r="AC5016" s="54" t="s">
        <v>2</v>
      </c>
      <c r="AD5016" s="54" t="s">
        <v>2</v>
      </c>
      <c r="AE5016" s="54" t="s">
        <v>2</v>
      </c>
      <c r="AF5016" s="54" t="s">
        <v>2</v>
      </c>
      <c r="AG5016" s="54" t="s">
        <v>2</v>
      </c>
    </row>
    <row r="5017" ht="15.75" customHeight="1">
      <c r="B5017" s="56"/>
      <c r="U5017" s="46" t="str">
        <f t="array" ref="U5017">IF($D5017="","",IFERROR(_xlfn.XLOOKUP($D5017,'TIR店舗一覧'!$D:$D,'TIR店舗一覧'!$E:$E,""),""))</f>
        <v/>
      </c>
      <c r="V5017" s="54" t="s">
        <v>2</v>
      </c>
      <c r="W5017" s="54" t="s">
        <v>2</v>
      </c>
      <c r="X5017" s="54" t="s">
        <v>2</v>
      </c>
      <c r="Y5017" s="54" t="s">
        <v>2</v>
      </c>
      <c r="Z5017" s="54" t="s">
        <v>2</v>
      </c>
      <c r="AA5017" s="54" t="s">
        <v>2</v>
      </c>
      <c r="AB5017" s="54" t="s">
        <v>2</v>
      </c>
      <c r="AC5017" s="54" t="s">
        <v>2</v>
      </c>
      <c r="AD5017" s="54" t="s">
        <v>2</v>
      </c>
      <c r="AE5017" s="54" t="s">
        <v>2</v>
      </c>
      <c r="AF5017" s="54" t="s">
        <v>2</v>
      </c>
      <c r="AG5017" s="54" t="s">
        <v>2</v>
      </c>
    </row>
    <row r="5018" ht="15.75" customHeight="1">
      <c r="B5018" s="56"/>
      <c r="U5018" s="46" t="str">
        <f t="array" ref="U5018">IF($D5018="","",IFERROR(_xlfn.XLOOKUP($D5018,'TIR店舗一覧'!$D:$D,'TIR店舗一覧'!$E:$E,""),""))</f>
        <v/>
      </c>
      <c r="V5018" s="54" t="s">
        <v>2</v>
      </c>
      <c r="W5018" s="54" t="s">
        <v>2</v>
      </c>
      <c r="X5018" s="54" t="s">
        <v>2</v>
      </c>
      <c r="Y5018" s="54" t="s">
        <v>2</v>
      </c>
      <c r="Z5018" s="54" t="s">
        <v>2</v>
      </c>
      <c r="AA5018" s="54" t="s">
        <v>2</v>
      </c>
      <c r="AB5018" s="54" t="s">
        <v>2</v>
      </c>
      <c r="AC5018" s="54" t="s">
        <v>2</v>
      </c>
      <c r="AD5018" s="54" t="s">
        <v>2</v>
      </c>
      <c r="AE5018" s="54" t="s">
        <v>2</v>
      </c>
      <c r="AF5018" s="54" t="s">
        <v>2</v>
      </c>
      <c r="AG5018" s="54" t="s">
        <v>2</v>
      </c>
    </row>
    <row r="5019" ht="15.75" customHeight="1">
      <c r="B5019" s="56"/>
      <c r="U5019" s="46" t="str">
        <f t="array" ref="U5019">IF($D5019="","",IFERROR(_xlfn.XLOOKUP($D5019,'TIR店舗一覧'!$D:$D,'TIR店舗一覧'!$E:$E,""),""))</f>
        <v/>
      </c>
      <c r="V5019" s="54" t="s">
        <v>2</v>
      </c>
      <c r="W5019" s="54" t="s">
        <v>2</v>
      </c>
      <c r="X5019" s="54" t="s">
        <v>2</v>
      </c>
      <c r="Y5019" s="54" t="s">
        <v>2</v>
      </c>
      <c r="Z5019" s="54" t="s">
        <v>2</v>
      </c>
      <c r="AA5019" s="54" t="s">
        <v>2</v>
      </c>
      <c r="AB5019" s="54" t="s">
        <v>2</v>
      </c>
      <c r="AC5019" s="54" t="s">
        <v>2</v>
      </c>
      <c r="AD5019" s="54" t="s">
        <v>2</v>
      </c>
      <c r="AE5019" s="54" t="s">
        <v>2</v>
      </c>
      <c r="AF5019" s="54" t="s">
        <v>2</v>
      </c>
      <c r="AG5019" s="54" t="s">
        <v>2</v>
      </c>
    </row>
    <row r="5020" ht="15.75" customHeight="1">
      <c r="B5020" s="56"/>
      <c r="U5020" s="46" t="str">
        <f t="array" ref="U5020">IF($D5020="","",IFERROR(_xlfn.XLOOKUP($D5020,'TIR店舗一覧'!$D:$D,'TIR店舗一覧'!$E:$E,""),""))</f>
        <v/>
      </c>
      <c r="V5020" s="54" t="s">
        <v>2</v>
      </c>
      <c r="W5020" s="54" t="s">
        <v>2</v>
      </c>
      <c r="X5020" s="54" t="s">
        <v>2</v>
      </c>
      <c r="Y5020" s="54" t="s">
        <v>2</v>
      </c>
      <c r="Z5020" s="54" t="s">
        <v>2</v>
      </c>
      <c r="AA5020" s="54" t="s">
        <v>2</v>
      </c>
      <c r="AB5020" s="54" t="s">
        <v>2</v>
      </c>
      <c r="AC5020" s="54" t="s">
        <v>2</v>
      </c>
      <c r="AD5020" s="54" t="s">
        <v>2</v>
      </c>
      <c r="AE5020" s="54" t="s">
        <v>2</v>
      </c>
      <c r="AF5020" s="54" t="s">
        <v>2</v>
      </c>
      <c r="AG5020" s="54" t="s">
        <v>2</v>
      </c>
    </row>
    <row r="5021" ht="15.75" customHeight="1">
      <c r="B5021" s="56"/>
      <c r="U5021" s="46" t="str">
        <f t="array" ref="U5021">IF($D5021="","",IFERROR(_xlfn.XLOOKUP($D5021,'TIR店舗一覧'!$D:$D,'TIR店舗一覧'!$E:$E,""),""))</f>
        <v/>
      </c>
      <c r="V5021" s="54" t="s">
        <v>2</v>
      </c>
      <c r="W5021" s="54" t="s">
        <v>2</v>
      </c>
      <c r="X5021" s="54" t="s">
        <v>2</v>
      </c>
      <c r="Y5021" s="54" t="s">
        <v>2</v>
      </c>
      <c r="Z5021" s="54" t="s">
        <v>2</v>
      </c>
      <c r="AA5021" s="54" t="s">
        <v>2</v>
      </c>
      <c r="AB5021" s="54" t="s">
        <v>2</v>
      </c>
      <c r="AC5021" s="54" t="s">
        <v>2</v>
      </c>
      <c r="AD5021" s="54" t="s">
        <v>2</v>
      </c>
      <c r="AE5021" s="54" t="s">
        <v>2</v>
      </c>
      <c r="AF5021" s="54" t="s">
        <v>2</v>
      </c>
      <c r="AG5021" s="54" t="s">
        <v>2</v>
      </c>
    </row>
    <row r="5022" ht="15.75" customHeight="1">
      <c r="B5022" s="56"/>
      <c r="U5022" s="46" t="str">
        <f t="array" ref="U5022">IF($D5022="","",IFERROR(_xlfn.XLOOKUP($D5022,'TIR店舗一覧'!$D:$D,'TIR店舗一覧'!$E:$E,""),""))</f>
        <v/>
      </c>
      <c r="V5022" s="54" t="s">
        <v>2</v>
      </c>
      <c r="W5022" s="54" t="s">
        <v>2</v>
      </c>
      <c r="X5022" s="54" t="s">
        <v>2</v>
      </c>
      <c r="Y5022" s="54" t="s">
        <v>2</v>
      </c>
      <c r="Z5022" s="54" t="s">
        <v>2</v>
      </c>
      <c r="AA5022" s="54" t="s">
        <v>2</v>
      </c>
      <c r="AB5022" s="54" t="s">
        <v>2</v>
      </c>
      <c r="AC5022" s="54" t="s">
        <v>2</v>
      </c>
      <c r="AD5022" s="54" t="s">
        <v>2</v>
      </c>
      <c r="AE5022" s="54" t="s">
        <v>2</v>
      </c>
      <c r="AF5022" s="54" t="s">
        <v>2</v>
      </c>
      <c r="AG5022" s="54" t="s">
        <v>2</v>
      </c>
    </row>
    <row r="5023" ht="15.75" customHeight="1">
      <c r="B5023" s="56"/>
      <c r="U5023" s="46" t="str">
        <f t="array" ref="U5023">IF($D5023="","",IFERROR(_xlfn.XLOOKUP($D5023,'TIR店舗一覧'!$D:$D,'TIR店舗一覧'!$E:$E,""),""))</f>
        <v/>
      </c>
      <c r="V5023" s="54" t="s">
        <v>2</v>
      </c>
      <c r="W5023" s="54" t="s">
        <v>2</v>
      </c>
      <c r="X5023" s="54" t="s">
        <v>2</v>
      </c>
      <c r="Y5023" s="54" t="s">
        <v>2</v>
      </c>
      <c r="Z5023" s="54" t="s">
        <v>2</v>
      </c>
      <c r="AA5023" s="54" t="s">
        <v>2</v>
      </c>
      <c r="AB5023" s="54" t="s">
        <v>2</v>
      </c>
      <c r="AC5023" s="54" t="s">
        <v>2</v>
      </c>
      <c r="AD5023" s="54" t="s">
        <v>2</v>
      </c>
      <c r="AE5023" s="54" t="s">
        <v>2</v>
      </c>
      <c r="AF5023" s="54" t="s">
        <v>2</v>
      </c>
      <c r="AG5023" s="54" t="s">
        <v>2</v>
      </c>
    </row>
    <row r="5024" ht="15.75" customHeight="1">
      <c r="B5024" s="56"/>
      <c r="U5024" s="46" t="str">
        <f t="array" ref="U5024">IF($D5024="","",IFERROR(_xlfn.XLOOKUP($D5024,'TIR店舗一覧'!$D:$D,'TIR店舗一覧'!$E:$E,""),""))</f>
        <v/>
      </c>
      <c r="V5024" s="54" t="s">
        <v>2</v>
      </c>
      <c r="W5024" s="54" t="s">
        <v>2</v>
      </c>
      <c r="X5024" s="54" t="s">
        <v>2</v>
      </c>
      <c r="Y5024" s="54" t="s">
        <v>2</v>
      </c>
      <c r="Z5024" s="54" t="s">
        <v>2</v>
      </c>
      <c r="AA5024" s="54" t="s">
        <v>2</v>
      </c>
      <c r="AB5024" s="54" t="s">
        <v>2</v>
      </c>
      <c r="AC5024" s="54" t="s">
        <v>2</v>
      </c>
      <c r="AD5024" s="54" t="s">
        <v>2</v>
      </c>
      <c r="AE5024" s="54" t="s">
        <v>2</v>
      </c>
      <c r="AF5024" s="54" t="s">
        <v>2</v>
      </c>
      <c r="AG5024" s="54" t="s">
        <v>2</v>
      </c>
    </row>
    <row r="5025" ht="15.75" customHeight="1">
      <c r="B5025" s="56"/>
      <c r="U5025" s="46" t="str">
        <f t="array" ref="U5025">IF($D5025="","",IFERROR(_xlfn.XLOOKUP($D5025,'TIR店舗一覧'!$D:$D,'TIR店舗一覧'!$E:$E,""),""))</f>
        <v/>
      </c>
      <c r="V5025" s="54" t="s">
        <v>2</v>
      </c>
      <c r="W5025" s="54" t="s">
        <v>2</v>
      </c>
      <c r="X5025" s="54" t="s">
        <v>2</v>
      </c>
      <c r="Y5025" s="54" t="s">
        <v>2</v>
      </c>
      <c r="Z5025" s="54" t="s">
        <v>2</v>
      </c>
      <c r="AA5025" s="54" t="s">
        <v>2</v>
      </c>
      <c r="AB5025" s="54" t="s">
        <v>2</v>
      </c>
      <c r="AC5025" s="54" t="s">
        <v>2</v>
      </c>
      <c r="AD5025" s="54" t="s">
        <v>2</v>
      </c>
      <c r="AE5025" s="54" t="s">
        <v>2</v>
      </c>
      <c r="AF5025" s="54" t="s">
        <v>2</v>
      </c>
      <c r="AG5025" s="54" t="s">
        <v>2</v>
      </c>
    </row>
    <row r="5026" ht="15.75" customHeight="1">
      <c r="B5026" s="56"/>
      <c r="U5026" s="46" t="str">
        <f t="array" ref="U5026">IF($D5026="","",IFERROR(_xlfn.XLOOKUP($D5026,'TIR店舗一覧'!$D:$D,'TIR店舗一覧'!$E:$E,""),""))</f>
        <v/>
      </c>
      <c r="V5026" s="54" t="s">
        <v>2</v>
      </c>
      <c r="W5026" s="54" t="s">
        <v>2</v>
      </c>
      <c r="X5026" s="54" t="s">
        <v>2</v>
      </c>
      <c r="Y5026" s="54" t="s">
        <v>2</v>
      </c>
      <c r="Z5026" s="54" t="s">
        <v>2</v>
      </c>
      <c r="AA5026" s="54" t="s">
        <v>2</v>
      </c>
      <c r="AB5026" s="54" t="s">
        <v>2</v>
      </c>
      <c r="AC5026" s="54" t="s">
        <v>2</v>
      </c>
      <c r="AD5026" s="54" t="s">
        <v>2</v>
      </c>
      <c r="AE5026" s="54" t="s">
        <v>2</v>
      </c>
      <c r="AF5026" s="54" t="s">
        <v>2</v>
      </c>
      <c r="AG5026" s="54" t="s">
        <v>2</v>
      </c>
    </row>
    <row r="5027" ht="15.75" customHeight="1">
      <c r="B5027" s="56"/>
      <c r="U5027" s="46" t="str">
        <f t="array" ref="U5027">IF($D5027="","",IFERROR(_xlfn.XLOOKUP($D5027,'TIR店舗一覧'!$D:$D,'TIR店舗一覧'!$E:$E,""),""))</f>
        <v/>
      </c>
      <c r="V5027" s="54" t="s">
        <v>2</v>
      </c>
      <c r="W5027" s="54" t="s">
        <v>2</v>
      </c>
      <c r="X5027" s="54" t="s">
        <v>2</v>
      </c>
      <c r="Y5027" s="54" t="s">
        <v>2</v>
      </c>
      <c r="Z5027" s="54" t="s">
        <v>2</v>
      </c>
      <c r="AA5027" s="54" t="s">
        <v>2</v>
      </c>
      <c r="AB5027" s="54" t="s">
        <v>2</v>
      </c>
      <c r="AC5027" s="54" t="s">
        <v>2</v>
      </c>
      <c r="AD5027" s="54" t="s">
        <v>2</v>
      </c>
      <c r="AE5027" s="54" t="s">
        <v>2</v>
      </c>
      <c r="AF5027" s="54" t="s">
        <v>2</v>
      </c>
      <c r="AG5027" s="54" t="s">
        <v>2</v>
      </c>
    </row>
    <row r="5028" ht="15.75" customHeight="1">
      <c r="B5028" s="56"/>
      <c r="U5028" s="46" t="str">
        <f t="array" ref="U5028">IF($D5028="","",IFERROR(_xlfn.XLOOKUP($D5028,'TIR店舗一覧'!$D:$D,'TIR店舗一覧'!$E:$E,""),""))</f>
        <v/>
      </c>
      <c r="V5028" s="54" t="s">
        <v>2</v>
      </c>
      <c r="W5028" s="54" t="s">
        <v>2</v>
      </c>
      <c r="X5028" s="54" t="s">
        <v>2</v>
      </c>
      <c r="Y5028" s="54" t="s">
        <v>2</v>
      </c>
      <c r="Z5028" s="54" t="s">
        <v>2</v>
      </c>
      <c r="AA5028" s="54" t="s">
        <v>2</v>
      </c>
      <c r="AB5028" s="54" t="s">
        <v>2</v>
      </c>
      <c r="AC5028" s="54" t="s">
        <v>2</v>
      </c>
      <c r="AD5028" s="54" t="s">
        <v>2</v>
      </c>
      <c r="AE5028" s="54" t="s">
        <v>2</v>
      </c>
      <c r="AF5028" s="54" t="s">
        <v>2</v>
      </c>
      <c r="AG5028" s="54" t="s">
        <v>2</v>
      </c>
    </row>
    <row r="5029" ht="15.75" customHeight="1">
      <c r="B5029" s="56"/>
      <c r="U5029" s="46" t="str">
        <f t="array" ref="U5029">IF($D5029="","",IFERROR(_xlfn.XLOOKUP($D5029,'TIR店舗一覧'!$D:$D,'TIR店舗一覧'!$E:$E,""),""))</f>
        <v/>
      </c>
      <c r="V5029" s="54" t="s">
        <v>2</v>
      </c>
      <c r="W5029" s="54" t="s">
        <v>2</v>
      </c>
      <c r="X5029" s="54" t="s">
        <v>2</v>
      </c>
      <c r="Y5029" s="54" t="s">
        <v>2</v>
      </c>
      <c r="Z5029" s="54" t="s">
        <v>2</v>
      </c>
      <c r="AA5029" s="54" t="s">
        <v>2</v>
      </c>
      <c r="AB5029" s="54" t="s">
        <v>2</v>
      </c>
      <c r="AC5029" s="54" t="s">
        <v>2</v>
      </c>
      <c r="AD5029" s="54" t="s">
        <v>2</v>
      </c>
      <c r="AE5029" s="54" t="s">
        <v>2</v>
      </c>
      <c r="AF5029" s="54" t="s">
        <v>2</v>
      </c>
      <c r="AG5029" s="54" t="s">
        <v>2</v>
      </c>
    </row>
    <row r="5030" ht="15.75" customHeight="1">
      <c r="B5030" s="56"/>
      <c r="U5030" s="46" t="str">
        <f t="array" ref="U5030">IF($D5030="","",IFERROR(_xlfn.XLOOKUP($D5030,'TIR店舗一覧'!$D:$D,'TIR店舗一覧'!$E:$E,""),""))</f>
        <v/>
      </c>
      <c r="V5030" s="54" t="s">
        <v>2</v>
      </c>
      <c r="W5030" s="54" t="s">
        <v>2</v>
      </c>
      <c r="X5030" s="54" t="s">
        <v>2</v>
      </c>
      <c r="Y5030" s="54" t="s">
        <v>2</v>
      </c>
      <c r="Z5030" s="54" t="s">
        <v>2</v>
      </c>
      <c r="AA5030" s="54" t="s">
        <v>2</v>
      </c>
      <c r="AB5030" s="54" t="s">
        <v>2</v>
      </c>
      <c r="AC5030" s="54" t="s">
        <v>2</v>
      </c>
      <c r="AD5030" s="54" t="s">
        <v>2</v>
      </c>
      <c r="AE5030" s="54" t="s">
        <v>2</v>
      </c>
      <c r="AF5030" s="54" t="s">
        <v>2</v>
      </c>
      <c r="AG5030" s="54" t="s">
        <v>2</v>
      </c>
    </row>
    <row r="5031" ht="15.75" customHeight="1">
      <c r="B5031" s="56"/>
      <c r="U5031" s="46" t="str">
        <f t="array" ref="U5031">IF($D5031="","",IFERROR(_xlfn.XLOOKUP($D5031,'TIR店舗一覧'!$D:$D,'TIR店舗一覧'!$E:$E,""),""))</f>
        <v/>
      </c>
      <c r="V5031" s="54" t="s">
        <v>2</v>
      </c>
      <c r="W5031" s="54" t="s">
        <v>2</v>
      </c>
      <c r="X5031" s="54" t="s">
        <v>2</v>
      </c>
      <c r="Y5031" s="54" t="s">
        <v>2</v>
      </c>
      <c r="Z5031" s="54" t="s">
        <v>2</v>
      </c>
      <c r="AA5031" s="54" t="s">
        <v>2</v>
      </c>
      <c r="AB5031" s="54" t="s">
        <v>2</v>
      </c>
      <c r="AC5031" s="54" t="s">
        <v>2</v>
      </c>
      <c r="AD5031" s="54" t="s">
        <v>2</v>
      </c>
      <c r="AE5031" s="54" t="s">
        <v>2</v>
      </c>
      <c r="AF5031" s="54" t="s">
        <v>2</v>
      </c>
      <c r="AG5031" s="54" t="s">
        <v>2</v>
      </c>
    </row>
    <row r="5032" ht="15.75" customHeight="1">
      <c r="B5032" s="56"/>
      <c r="U5032" s="46" t="str">
        <f t="array" ref="U5032">IF($D5032="","",IFERROR(_xlfn.XLOOKUP($D5032,'TIR店舗一覧'!$D:$D,'TIR店舗一覧'!$E:$E,""),""))</f>
        <v/>
      </c>
      <c r="V5032" s="54" t="s">
        <v>2</v>
      </c>
      <c r="W5032" s="54" t="s">
        <v>2</v>
      </c>
      <c r="X5032" s="54" t="s">
        <v>2</v>
      </c>
      <c r="Y5032" s="54" t="s">
        <v>2</v>
      </c>
      <c r="Z5032" s="54" t="s">
        <v>2</v>
      </c>
      <c r="AA5032" s="54" t="s">
        <v>2</v>
      </c>
      <c r="AB5032" s="54" t="s">
        <v>2</v>
      </c>
      <c r="AC5032" s="54" t="s">
        <v>2</v>
      </c>
      <c r="AD5032" s="54" t="s">
        <v>2</v>
      </c>
      <c r="AE5032" s="54" t="s">
        <v>2</v>
      </c>
      <c r="AF5032" s="54" t="s">
        <v>2</v>
      </c>
      <c r="AG5032" s="54" t="s">
        <v>2</v>
      </c>
    </row>
    <row r="5033" ht="15.75" customHeight="1">
      <c r="B5033" s="56"/>
      <c r="U5033" s="46" t="str">
        <f t="array" ref="U5033">IF($D5033="","",IFERROR(_xlfn.XLOOKUP($D5033,'TIR店舗一覧'!$D:$D,'TIR店舗一覧'!$E:$E,""),""))</f>
        <v/>
      </c>
      <c r="V5033" s="54" t="s">
        <v>2</v>
      </c>
      <c r="W5033" s="54" t="s">
        <v>2</v>
      </c>
      <c r="X5033" s="54" t="s">
        <v>2</v>
      </c>
      <c r="Y5033" s="54" t="s">
        <v>2</v>
      </c>
      <c r="Z5033" s="54" t="s">
        <v>2</v>
      </c>
      <c r="AA5033" s="54" t="s">
        <v>2</v>
      </c>
      <c r="AB5033" s="54" t="s">
        <v>2</v>
      </c>
      <c r="AC5033" s="54" t="s">
        <v>2</v>
      </c>
      <c r="AD5033" s="54" t="s">
        <v>2</v>
      </c>
      <c r="AE5033" s="54" t="s">
        <v>2</v>
      </c>
      <c r="AF5033" s="54" t="s">
        <v>2</v>
      </c>
      <c r="AG5033" s="54" t="s">
        <v>2</v>
      </c>
    </row>
    <row r="5034" ht="15.75" customHeight="1">
      <c r="B5034" s="56"/>
      <c r="U5034" s="46" t="str">
        <f t="array" ref="U5034">IF($D5034="","",IFERROR(_xlfn.XLOOKUP($D5034,'TIR店舗一覧'!$D:$D,'TIR店舗一覧'!$E:$E,""),""))</f>
        <v/>
      </c>
      <c r="V5034" s="54" t="s">
        <v>2</v>
      </c>
      <c r="W5034" s="54" t="s">
        <v>2</v>
      </c>
      <c r="X5034" s="54" t="s">
        <v>2</v>
      </c>
      <c r="Y5034" s="54" t="s">
        <v>2</v>
      </c>
      <c r="Z5034" s="54" t="s">
        <v>2</v>
      </c>
      <c r="AA5034" s="54" t="s">
        <v>2</v>
      </c>
      <c r="AB5034" s="54" t="s">
        <v>2</v>
      </c>
      <c r="AC5034" s="54" t="s">
        <v>2</v>
      </c>
      <c r="AD5034" s="54" t="s">
        <v>2</v>
      </c>
      <c r="AE5034" s="54" t="s">
        <v>2</v>
      </c>
      <c r="AF5034" s="54" t="s">
        <v>2</v>
      </c>
      <c r="AG5034" s="54" t="s">
        <v>2</v>
      </c>
    </row>
    <row r="5035" ht="15.75" customHeight="1">
      <c r="B5035" s="56"/>
      <c r="U5035" s="46" t="str">
        <f t="array" ref="U5035">IF($D5035="","",IFERROR(_xlfn.XLOOKUP($D5035,'TIR店舗一覧'!$D:$D,'TIR店舗一覧'!$E:$E,""),""))</f>
        <v/>
      </c>
      <c r="V5035" s="54" t="s">
        <v>2</v>
      </c>
      <c r="W5035" s="54" t="s">
        <v>2</v>
      </c>
      <c r="X5035" s="54" t="s">
        <v>2</v>
      </c>
      <c r="Y5035" s="54" t="s">
        <v>2</v>
      </c>
      <c r="Z5035" s="54" t="s">
        <v>2</v>
      </c>
      <c r="AA5035" s="54" t="s">
        <v>2</v>
      </c>
      <c r="AB5035" s="54" t="s">
        <v>2</v>
      </c>
      <c r="AC5035" s="54" t="s">
        <v>2</v>
      </c>
      <c r="AD5035" s="54" t="s">
        <v>2</v>
      </c>
      <c r="AE5035" s="54" t="s">
        <v>2</v>
      </c>
      <c r="AF5035" s="54" t="s">
        <v>2</v>
      </c>
      <c r="AG5035" s="54" t="s">
        <v>2</v>
      </c>
    </row>
    <row r="5036" ht="15.75" customHeight="1">
      <c r="B5036" s="56"/>
      <c r="U5036" s="46" t="str">
        <f t="array" ref="U5036">IF($D5036="","",IFERROR(_xlfn.XLOOKUP($D5036,'TIR店舗一覧'!$D:$D,'TIR店舗一覧'!$E:$E,""),""))</f>
        <v/>
      </c>
      <c r="V5036" s="54" t="s">
        <v>2</v>
      </c>
      <c r="W5036" s="54" t="s">
        <v>2</v>
      </c>
      <c r="X5036" s="54" t="s">
        <v>2</v>
      </c>
      <c r="Y5036" s="54" t="s">
        <v>2</v>
      </c>
      <c r="Z5036" s="54" t="s">
        <v>2</v>
      </c>
      <c r="AA5036" s="54" t="s">
        <v>2</v>
      </c>
      <c r="AB5036" s="54" t="s">
        <v>2</v>
      </c>
      <c r="AC5036" s="54" t="s">
        <v>2</v>
      </c>
      <c r="AD5036" s="54" t="s">
        <v>2</v>
      </c>
      <c r="AE5036" s="54" t="s">
        <v>2</v>
      </c>
      <c r="AF5036" s="54" t="s">
        <v>2</v>
      </c>
      <c r="AG5036" s="54" t="s">
        <v>2</v>
      </c>
    </row>
    <row r="5037" ht="15.75" customHeight="1">
      <c r="B5037" s="56"/>
      <c r="U5037" s="46" t="str">
        <f t="array" ref="U5037">IF($D5037="","",IFERROR(_xlfn.XLOOKUP($D5037,'TIR店舗一覧'!$D:$D,'TIR店舗一覧'!$E:$E,""),""))</f>
        <v/>
      </c>
      <c r="V5037" s="54" t="s">
        <v>2</v>
      </c>
      <c r="W5037" s="54" t="s">
        <v>2</v>
      </c>
      <c r="X5037" s="54" t="s">
        <v>2</v>
      </c>
      <c r="Y5037" s="54" t="s">
        <v>2</v>
      </c>
      <c r="Z5037" s="54" t="s">
        <v>2</v>
      </c>
      <c r="AA5037" s="54" t="s">
        <v>2</v>
      </c>
      <c r="AB5037" s="54" t="s">
        <v>2</v>
      </c>
      <c r="AC5037" s="54" t="s">
        <v>2</v>
      </c>
      <c r="AD5037" s="54" t="s">
        <v>2</v>
      </c>
      <c r="AE5037" s="54" t="s">
        <v>2</v>
      </c>
      <c r="AF5037" s="54" t="s">
        <v>2</v>
      </c>
      <c r="AG5037" s="54" t="s">
        <v>2</v>
      </c>
    </row>
    <row r="5038" ht="15.75" customHeight="1">
      <c r="B5038" s="56"/>
      <c r="U5038" s="46" t="str">
        <f t="array" ref="U5038">IF($D5038="","",IFERROR(_xlfn.XLOOKUP($D5038,'TIR店舗一覧'!$D:$D,'TIR店舗一覧'!$E:$E,""),""))</f>
        <v/>
      </c>
      <c r="V5038" s="54" t="s">
        <v>2</v>
      </c>
      <c r="W5038" s="54" t="s">
        <v>2</v>
      </c>
      <c r="X5038" s="54" t="s">
        <v>2</v>
      </c>
      <c r="Y5038" s="54" t="s">
        <v>2</v>
      </c>
      <c r="Z5038" s="54" t="s">
        <v>2</v>
      </c>
      <c r="AA5038" s="54" t="s">
        <v>2</v>
      </c>
      <c r="AB5038" s="54" t="s">
        <v>2</v>
      </c>
      <c r="AC5038" s="54" t="s">
        <v>2</v>
      </c>
      <c r="AD5038" s="54" t="s">
        <v>2</v>
      </c>
      <c r="AE5038" s="54" t="s">
        <v>2</v>
      </c>
      <c r="AF5038" s="54" t="s">
        <v>2</v>
      </c>
      <c r="AG5038" s="54" t="s">
        <v>2</v>
      </c>
    </row>
    <row r="5039" ht="15.75" customHeight="1">
      <c r="B5039" s="56"/>
      <c r="U5039" s="46" t="str">
        <f t="array" ref="U5039">IF($D5039="","",IFERROR(_xlfn.XLOOKUP($D5039,'TIR店舗一覧'!$D:$D,'TIR店舗一覧'!$E:$E,""),""))</f>
        <v/>
      </c>
      <c r="V5039" s="54" t="s">
        <v>2</v>
      </c>
      <c r="W5039" s="54" t="s">
        <v>2</v>
      </c>
      <c r="X5039" s="54" t="s">
        <v>2</v>
      </c>
      <c r="Y5039" s="54" t="s">
        <v>2</v>
      </c>
      <c r="Z5039" s="54" t="s">
        <v>2</v>
      </c>
      <c r="AA5039" s="54" t="s">
        <v>2</v>
      </c>
      <c r="AB5039" s="54" t="s">
        <v>2</v>
      </c>
      <c r="AC5039" s="54" t="s">
        <v>2</v>
      </c>
      <c r="AD5039" s="54" t="s">
        <v>2</v>
      </c>
      <c r="AE5039" s="54" t="s">
        <v>2</v>
      </c>
      <c r="AF5039" s="54" t="s">
        <v>2</v>
      </c>
      <c r="AG5039" s="54" t="s">
        <v>2</v>
      </c>
    </row>
    <row r="5040" ht="15.75" customHeight="1">
      <c r="B5040" s="56"/>
      <c r="U5040" s="46" t="str">
        <f t="array" ref="U5040">IF($D5040="","",IFERROR(_xlfn.XLOOKUP($D5040,'TIR店舗一覧'!$D:$D,'TIR店舗一覧'!$E:$E,""),""))</f>
        <v/>
      </c>
      <c r="V5040" s="54" t="s">
        <v>2</v>
      </c>
      <c r="W5040" s="54" t="s">
        <v>2</v>
      </c>
      <c r="X5040" s="54" t="s">
        <v>2</v>
      </c>
      <c r="Y5040" s="54" t="s">
        <v>2</v>
      </c>
      <c r="Z5040" s="54" t="s">
        <v>2</v>
      </c>
      <c r="AA5040" s="54" t="s">
        <v>2</v>
      </c>
      <c r="AB5040" s="54" t="s">
        <v>2</v>
      </c>
      <c r="AC5040" s="54" t="s">
        <v>2</v>
      </c>
      <c r="AD5040" s="54" t="s">
        <v>2</v>
      </c>
      <c r="AE5040" s="54" t="s">
        <v>2</v>
      </c>
      <c r="AF5040" s="54" t="s">
        <v>2</v>
      </c>
      <c r="AG5040" s="54" t="s">
        <v>2</v>
      </c>
    </row>
    <row r="5041" ht="15.75" customHeight="1">
      <c r="B5041" s="56"/>
      <c r="U5041" s="46" t="str">
        <f t="array" ref="U5041">IF($D5041="","",IFERROR(_xlfn.XLOOKUP($D5041,'TIR店舗一覧'!$D:$D,'TIR店舗一覧'!$E:$E,""),""))</f>
        <v/>
      </c>
      <c r="V5041" s="54" t="s">
        <v>2</v>
      </c>
      <c r="W5041" s="54" t="s">
        <v>2</v>
      </c>
      <c r="X5041" s="54" t="s">
        <v>2</v>
      </c>
      <c r="Y5041" s="54" t="s">
        <v>2</v>
      </c>
      <c r="Z5041" s="54" t="s">
        <v>2</v>
      </c>
      <c r="AA5041" s="54" t="s">
        <v>2</v>
      </c>
      <c r="AB5041" s="54" t="s">
        <v>2</v>
      </c>
      <c r="AC5041" s="54" t="s">
        <v>2</v>
      </c>
      <c r="AD5041" s="54" t="s">
        <v>2</v>
      </c>
      <c r="AE5041" s="54" t="s">
        <v>2</v>
      </c>
      <c r="AF5041" s="54" t="s">
        <v>2</v>
      </c>
      <c r="AG5041" s="54" t="s">
        <v>2</v>
      </c>
    </row>
    <row r="5042" ht="15.75" customHeight="1">
      <c r="B5042" s="56"/>
      <c r="U5042" s="46" t="str">
        <f t="array" ref="U5042">IF($D5042="","",IFERROR(_xlfn.XLOOKUP($D5042,'TIR店舗一覧'!$D:$D,'TIR店舗一覧'!$E:$E,""),""))</f>
        <v/>
      </c>
      <c r="V5042" s="54" t="s">
        <v>2</v>
      </c>
      <c r="W5042" s="54" t="s">
        <v>2</v>
      </c>
      <c r="X5042" s="54" t="s">
        <v>2</v>
      </c>
      <c r="Y5042" s="54" t="s">
        <v>2</v>
      </c>
      <c r="Z5042" s="54" t="s">
        <v>2</v>
      </c>
      <c r="AA5042" s="54" t="s">
        <v>2</v>
      </c>
      <c r="AB5042" s="54" t="s">
        <v>2</v>
      </c>
      <c r="AC5042" s="54" t="s">
        <v>2</v>
      </c>
      <c r="AD5042" s="54" t="s">
        <v>2</v>
      </c>
      <c r="AE5042" s="54" t="s">
        <v>2</v>
      </c>
      <c r="AF5042" s="54" t="s">
        <v>2</v>
      </c>
      <c r="AG5042" s="54" t="s">
        <v>2</v>
      </c>
    </row>
    <row r="5043" ht="15.75" customHeight="1">
      <c r="B5043" s="56"/>
      <c r="U5043" s="46" t="str">
        <f t="array" ref="U5043">IF($D5043="","",IFERROR(_xlfn.XLOOKUP($D5043,'TIR店舗一覧'!$D:$D,'TIR店舗一覧'!$E:$E,""),""))</f>
        <v/>
      </c>
      <c r="V5043" s="54" t="s">
        <v>2</v>
      </c>
      <c r="W5043" s="54" t="s">
        <v>2</v>
      </c>
      <c r="X5043" s="54" t="s">
        <v>2</v>
      </c>
      <c r="Y5043" s="54" t="s">
        <v>2</v>
      </c>
      <c r="Z5043" s="54" t="s">
        <v>2</v>
      </c>
      <c r="AA5043" s="54" t="s">
        <v>2</v>
      </c>
      <c r="AB5043" s="54" t="s">
        <v>2</v>
      </c>
      <c r="AC5043" s="54" t="s">
        <v>2</v>
      </c>
      <c r="AD5043" s="54" t="s">
        <v>2</v>
      </c>
      <c r="AE5043" s="54" t="s">
        <v>2</v>
      </c>
      <c r="AF5043" s="54" t="s">
        <v>2</v>
      </c>
      <c r="AG5043" s="54" t="s">
        <v>2</v>
      </c>
    </row>
    <row r="5044" ht="15.75" customHeight="1">
      <c r="B5044" s="56"/>
      <c r="U5044" s="46" t="str">
        <f t="array" ref="U5044">IF($D5044="","",IFERROR(_xlfn.XLOOKUP($D5044,'TIR店舗一覧'!$D:$D,'TIR店舗一覧'!$E:$E,""),""))</f>
        <v/>
      </c>
      <c r="V5044" s="54" t="s">
        <v>2</v>
      </c>
      <c r="W5044" s="54" t="s">
        <v>2</v>
      </c>
      <c r="X5044" s="54" t="s">
        <v>2</v>
      </c>
      <c r="Y5044" s="54" t="s">
        <v>2</v>
      </c>
      <c r="Z5044" s="54" t="s">
        <v>2</v>
      </c>
      <c r="AA5044" s="54" t="s">
        <v>2</v>
      </c>
      <c r="AB5044" s="54" t="s">
        <v>2</v>
      </c>
      <c r="AC5044" s="54" t="s">
        <v>2</v>
      </c>
      <c r="AD5044" s="54" t="s">
        <v>2</v>
      </c>
      <c r="AE5044" s="54" t="s">
        <v>2</v>
      </c>
      <c r="AF5044" s="54" t="s">
        <v>2</v>
      </c>
      <c r="AG5044" s="54" t="s">
        <v>2</v>
      </c>
    </row>
    <row r="5045" ht="15.75" customHeight="1">
      <c r="B5045" s="56"/>
      <c r="U5045" s="46" t="str">
        <f t="array" ref="U5045">IF($D5045="","",IFERROR(_xlfn.XLOOKUP($D5045,'TIR店舗一覧'!$D:$D,'TIR店舗一覧'!$E:$E,""),""))</f>
        <v/>
      </c>
      <c r="V5045" s="54" t="s">
        <v>2</v>
      </c>
      <c r="W5045" s="54" t="s">
        <v>2</v>
      </c>
      <c r="X5045" s="54" t="s">
        <v>2</v>
      </c>
      <c r="Y5045" s="54" t="s">
        <v>2</v>
      </c>
      <c r="Z5045" s="54" t="s">
        <v>2</v>
      </c>
      <c r="AA5045" s="54" t="s">
        <v>2</v>
      </c>
      <c r="AB5045" s="54" t="s">
        <v>2</v>
      </c>
      <c r="AC5045" s="54" t="s">
        <v>2</v>
      </c>
      <c r="AD5045" s="54" t="s">
        <v>2</v>
      </c>
      <c r="AE5045" s="54" t="s">
        <v>2</v>
      </c>
      <c r="AF5045" s="54" t="s">
        <v>2</v>
      </c>
      <c r="AG5045" s="54" t="s">
        <v>2</v>
      </c>
    </row>
    <row r="5046" ht="15.75" customHeight="1">
      <c r="B5046" s="56"/>
      <c r="U5046" s="46" t="str">
        <f t="array" ref="U5046">IF($D5046="","",IFERROR(_xlfn.XLOOKUP($D5046,'TIR店舗一覧'!$D:$D,'TIR店舗一覧'!$E:$E,""),""))</f>
        <v/>
      </c>
      <c r="V5046" s="54" t="s">
        <v>2</v>
      </c>
      <c r="W5046" s="54" t="s">
        <v>2</v>
      </c>
      <c r="X5046" s="54" t="s">
        <v>2</v>
      </c>
      <c r="Y5046" s="54" t="s">
        <v>2</v>
      </c>
      <c r="Z5046" s="54" t="s">
        <v>2</v>
      </c>
      <c r="AA5046" s="54" t="s">
        <v>2</v>
      </c>
      <c r="AB5046" s="54" t="s">
        <v>2</v>
      </c>
      <c r="AC5046" s="54" t="s">
        <v>2</v>
      </c>
      <c r="AD5046" s="54" t="s">
        <v>2</v>
      </c>
      <c r="AE5046" s="54" t="s">
        <v>2</v>
      </c>
      <c r="AF5046" s="54" t="s">
        <v>2</v>
      </c>
      <c r="AG5046" s="54" t="s">
        <v>2</v>
      </c>
    </row>
    <row r="5047" ht="15.75" customHeight="1">
      <c r="B5047" s="56"/>
      <c r="U5047" s="46" t="str">
        <f t="array" ref="U5047">IF($D5047="","",IFERROR(_xlfn.XLOOKUP($D5047,'TIR店舗一覧'!$D:$D,'TIR店舗一覧'!$E:$E,""),""))</f>
        <v/>
      </c>
      <c r="V5047" s="54" t="s">
        <v>2</v>
      </c>
      <c r="W5047" s="54" t="s">
        <v>2</v>
      </c>
      <c r="X5047" s="54" t="s">
        <v>2</v>
      </c>
      <c r="Y5047" s="54" t="s">
        <v>2</v>
      </c>
      <c r="Z5047" s="54" t="s">
        <v>2</v>
      </c>
      <c r="AA5047" s="54" t="s">
        <v>2</v>
      </c>
      <c r="AB5047" s="54" t="s">
        <v>2</v>
      </c>
      <c r="AC5047" s="54" t="s">
        <v>2</v>
      </c>
      <c r="AD5047" s="54" t="s">
        <v>2</v>
      </c>
      <c r="AE5047" s="54" t="s">
        <v>2</v>
      </c>
      <c r="AF5047" s="54" t="s">
        <v>2</v>
      </c>
      <c r="AG5047" s="54" t="s">
        <v>2</v>
      </c>
    </row>
    <row r="5048" ht="15.75" customHeight="1">
      <c r="B5048" s="56"/>
      <c r="U5048" s="46" t="str">
        <f t="array" ref="U5048">IF($D5048="","",IFERROR(_xlfn.XLOOKUP($D5048,'TIR店舗一覧'!$D:$D,'TIR店舗一覧'!$E:$E,""),""))</f>
        <v/>
      </c>
      <c r="V5048" s="54" t="s">
        <v>2</v>
      </c>
      <c r="W5048" s="54" t="s">
        <v>2</v>
      </c>
      <c r="X5048" s="54" t="s">
        <v>2</v>
      </c>
      <c r="Y5048" s="54" t="s">
        <v>2</v>
      </c>
      <c r="Z5048" s="54" t="s">
        <v>2</v>
      </c>
      <c r="AA5048" s="54" t="s">
        <v>2</v>
      </c>
      <c r="AB5048" s="54" t="s">
        <v>2</v>
      </c>
      <c r="AC5048" s="54" t="s">
        <v>2</v>
      </c>
      <c r="AD5048" s="54" t="s">
        <v>2</v>
      </c>
      <c r="AE5048" s="54" t="s">
        <v>2</v>
      </c>
      <c r="AF5048" s="54" t="s">
        <v>2</v>
      </c>
      <c r="AG5048" s="54" t="s">
        <v>2</v>
      </c>
    </row>
    <row r="5049" ht="15.75" customHeight="1">
      <c r="B5049" s="56"/>
      <c r="U5049" s="46" t="str">
        <f t="array" ref="U5049">IF($D5049="","",IFERROR(_xlfn.XLOOKUP($D5049,'TIR店舗一覧'!$D:$D,'TIR店舗一覧'!$E:$E,""),""))</f>
        <v/>
      </c>
      <c r="V5049" s="54" t="s">
        <v>2</v>
      </c>
      <c r="W5049" s="54" t="s">
        <v>2</v>
      </c>
      <c r="X5049" s="54" t="s">
        <v>2</v>
      </c>
      <c r="Y5049" s="54" t="s">
        <v>2</v>
      </c>
      <c r="Z5049" s="54" t="s">
        <v>2</v>
      </c>
      <c r="AA5049" s="54" t="s">
        <v>2</v>
      </c>
      <c r="AB5049" s="54" t="s">
        <v>2</v>
      </c>
      <c r="AC5049" s="54" t="s">
        <v>2</v>
      </c>
      <c r="AD5049" s="54" t="s">
        <v>2</v>
      </c>
      <c r="AE5049" s="54" t="s">
        <v>2</v>
      </c>
      <c r="AF5049" s="54" t="s">
        <v>2</v>
      </c>
      <c r="AG5049" s="54" t="s">
        <v>2</v>
      </c>
    </row>
    <row r="5050" ht="15.75" customHeight="1">
      <c r="B5050" s="56"/>
      <c r="U5050" s="46" t="str">
        <f t="array" ref="U5050">IF($D5050="","",IFERROR(_xlfn.XLOOKUP($D5050,'TIR店舗一覧'!$D:$D,'TIR店舗一覧'!$E:$E,""),""))</f>
        <v/>
      </c>
      <c r="V5050" s="54" t="s">
        <v>2</v>
      </c>
      <c r="W5050" s="54" t="s">
        <v>2</v>
      </c>
      <c r="X5050" s="54" t="s">
        <v>2</v>
      </c>
      <c r="Y5050" s="54" t="s">
        <v>2</v>
      </c>
      <c r="Z5050" s="54" t="s">
        <v>2</v>
      </c>
      <c r="AA5050" s="54" t="s">
        <v>2</v>
      </c>
      <c r="AB5050" s="54" t="s">
        <v>2</v>
      </c>
      <c r="AC5050" s="54" t="s">
        <v>2</v>
      </c>
      <c r="AD5050" s="54" t="s">
        <v>2</v>
      </c>
      <c r="AE5050" s="54" t="s">
        <v>2</v>
      </c>
      <c r="AF5050" s="54" t="s">
        <v>2</v>
      </c>
      <c r="AG5050" s="54" t="s">
        <v>2</v>
      </c>
    </row>
    <row r="5051" ht="15.75" customHeight="1">
      <c r="B5051" s="56"/>
      <c r="U5051" s="46" t="str">
        <f t="array" ref="U5051">IF($D5051="","",IFERROR(_xlfn.XLOOKUP($D5051,'TIR店舗一覧'!$D:$D,'TIR店舗一覧'!$E:$E,""),""))</f>
        <v/>
      </c>
      <c r="V5051" s="54" t="s">
        <v>2</v>
      </c>
      <c r="W5051" s="54" t="s">
        <v>2</v>
      </c>
      <c r="X5051" s="54" t="s">
        <v>2</v>
      </c>
      <c r="Y5051" s="54" t="s">
        <v>2</v>
      </c>
      <c r="Z5051" s="54" t="s">
        <v>2</v>
      </c>
      <c r="AA5051" s="54" t="s">
        <v>2</v>
      </c>
      <c r="AB5051" s="54" t="s">
        <v>2</v>
      </c>
      <c r="AC5051" s="54" t="s">
        <v>2</v>
      </c>
      <c r="AD5051" s="54" t="s">
        <v>2</v>
      </c>
      <c r="AE5051" s="54" t="s">
        <v>2</v>
      </c>
      <c r="AF5051" s="54" t="s">
        <v>2</v>
      </c>
      <c r="AG5051" s="54" t="s">
        <v>2</v>
      </c>
    </row>
    <row r="5052" ht="15.75" customHeight="1">
      <c r="B5052" s="56"/>
      <c r="U5052" s="46" t="str">
        <f t="array" ref="U5052">IF($D5052="","",IFERROR(_xlfn.XLOOKUP($D5052,'TIR店舗一覧'!$D:$D,'TIR店舗一覧'!$E:$E,""),""))</f>
        <v/>
      </c>
      <c r="V5052" s="54" t="s">
        <v>2</v>
      </c>
      <c r="W5052" s="54" t="s">
        <v>2</v>
      </c>
      <c r="X5052" s="54" t="s">
        <v>2</v>
      </c>
      <c r="Y5052" s="54" t="s">
        <v>2</v>
      </c>
      <c r="Z5052" s="54" t="s">
        <v>2</v>
      </c>
      <c r="AA5052" s="54" t="s">
        <v>2</v>
      </c>
      <c r="AB5052" s="54" t="s">
        <v>2</v>
      </c>
      <c r="AC5052" s="54" t="s">
        <v>2</v>
      </c>
      <c r="AD5052" s="54" t="s">
        <v>2</v>
      </c>
      <c r="AE5052" s="54" t="s">
        <v>2</v>
      </c>
      <c r="AF5052" s="54" t="s">
        <v>2</v>
      </c>
      <c r="AG5052" s="54" t="s">
        <v>2</v>
      </c>
    </row>
    <row r="5053" ht="15.75" customHeight="1">
      <c r="B5053" s="56"/>
      <c r="U5053" s="46" t="str">
        <f t="array" ref="U5053">IF($D5053="","",IFERROR(_xlfn.XLOOKUP($D5053,'TIR店舗一覧'!$D:$D,'TIR店舗一覧'!$E:$E,""),""))</f>
        <v/>
      </c>
      <c r="V5053" s="54" t="s">
        <v>2</v>
      </c>
      <c r="W5053" s="54" t="s">
        <v>2</v>
      </c>
      <c r="X5053" s="54" t="s">
        <v>2</v>
      </c>
      <c r="Y5053" s="54" t="s">
        <v>2</v>
      </c>
      <c r="Z5053" s="54" t="s">
        <v>2</v>
      </c>
      <c r="AA5053" s="54" t="s">
        <v>2</v>
      </c>
      <c r="AB5053" s="54" t="s">
        <v>2</v>
      </c>
      <c r="AC5053" s="54" t="s">
        <v>2</v>
      </c>
      <c r="AD5053" s="54" t="s">
        <v>2</v>
      </c>
      <c r="AE5053" s="54" t="s">
        <v>2</v>
      </c>
      <c r="AF5053" s="54" t="s">
        <v>2</v>
      </c>
      <c r="AG5053" s="54" t="s">
        <v>2</v>
      </c>
    </row>
    <row r="5054" ht="15.75" customHeight="1">
      <c r="B5054" s="56"/>
      <c r="U5054" s="46" t="str">
        <f t="array" ref="U5054">IF($D5054="","",IFERROR(_xlfn.XLOOKUP($D5054,'TIR店舗一覧'!$D:$D,'TIR店舗一覧'!$E:$E,""),""))</f>
        <v/>
      </c>
      <c r="V5054" s="54" t="s">
        <v>2</v>
      </c>
      <c r="W5054" s="54" t="s">
        <v>2</v>
      </c>
      <c r="X5054" s="54" t="s">
        <v>2</v>
      </c>
      <c r="Y5054" s="54" t="s">
        <v>2</v>
      </c>
      <c r="Z5054" s="54" t="s">
        <v>2</v>
      </c>
      <c r="AA5054" s="54" t="s">
        <v>2</v>
      </c>
      <c r="AB5054" s="54" t="s">
        <v>2</v>
      </c>
      <c r="AC5054" s="54" t="s">
        <v>2</v>
      </c>
      <c r="AD5054" s="54" t="s">
        <v>2</v>
      </c>
      <c r="AE5054" s="54" t="s">
        <v>2</v>
      </c>
      <c r="AF5054" s="54" t="s">
        <v>2</v>
      </c>
      <c r="AG5054" s="54" t="s">
        <v>2</v>
      </c>
    </row>
    <row r="5055" ht="15.75" customHeight="1">
      <c r="B5055" s="56"/>
      <c r="U5055" s="46" t="str">
        <f t="array" ref="U5055">IF($D5055="","",IFERROR(_xlfn.XLOOKUP($D5055,'TIR店舗一覧'!$D:$D,'TIR店舗一覧'!$E:$E,""),""))</f>
        <v/>
      </c>
      <c r="V5055" s="54" t="s">
        <v>2</v>
      </c>
      <c r="W5055" s="54" t="s">
        <v>2</v>
      </c>
      <c r="X5055" s="54" t="s">
        <v>2</v>
      </c>
      <c r="Y5055" s="54" t="s">
        <v>2</v>
      </c>
      <c r="Z5055" s="54" t="s">
        <v>2</v>
      </c>
      <c r="AA5055" s="54" t="s">
        <v>2</v>
      </c>
      <c r="AB5055" s="54" t="s">
        <v>2</v>
      </c>
      <c r="AC5055" s="54" t="s">
        <v>2</v>
      </c>
      <c r="AD5055" s="54" t="s">
        <v>2</v>
      </c>
      <c r="AE5055" s="54" t="s">
        <v>2</v>
      </c>
      <c r="AF5055" s="54" t="s">
        <v>2</v>
      </c>
      <c r="AG5055" s="54" t="s">
        <v>2</v>
      </c>
    </row>
    <row r="5056" ht="15.75" customHeight="1">
      <c r="B5056" s="56"/>
      <c r="U5056" s="46" t="str">
        <f t="array" ref="U5056">IF($D5056="","",IFERROR(_xlfn.XLOOKUP($D5056,'TIR店舗一覧'!$D:$D,'TIR店舗一覧'!$E:$E,""),""))</f>
        <v/>
      </c>
      <c r="V5056" s="54" t="s">
        <v>2</v>
      </c>
      <c r="W5056" s="54" t="s">
        <v>2</v>
      </c>
      <c r="X5056" s="54" t="s">
        <v>2</v>
      </c>
      <c r="Y5056" s="54" t="s">
        <v>2</v>
      </c>
      <c r="Z5056" s="54" t="s">
        <v>2</v>
      </c>
      <c r="AA5056" s="54" t="s">
        <v>2</v>
      </c>
      <c r="AB5056" s="54" t="s">
        <v>2</v>
      </c>
      <c r="AC5056" s="54" t="s">
        <v>2</v>
      </c>
      <c r="AD5056" s="54" t="s">
        <v>2</v>
      </c>
      <c r="AE5056" s="54" t="s">
        <v>2</v>
      </c>
      <c r="AF5056" s="54" t="s">
        <v>2</v>
      </c>
      <c r="AG5056" s="54" t="s">
        <v>2</v>
      </c>
    </row>
    <row r="5057" ht="15.75" customHeight="1">
      <c r="B5057" s="56"/>
      <c r="U5057" s="46" t="str">
        <f t="array" ref="U5057">IF($D5057="","",IFERROR(_xlfn.XLOOKUP($D5057,'TIR店舗一覧'!$D:$D,'TIR店舗一覧'!$E:$E,""),""))</f>
        <v/>
      </c>
      <c r="V5057" s="54" t="s">
        <v>2</v>
      </c>
      <c r="W5057" s="54" t="s">
        <v>2</v>
      </c>
      <c r="X5057" s="54" t="s">
        <v>2</v>
      </c>
      <c r="Y5057" s="54" t="s">
        <v>2</v>
      </c>
      <c r="Z5057" s="54" t="s">
        <v>2</v>
      </c>
      <c r="AA5057" s="54" t="s">
        <v>2</v>
      </c>
      <c r="AB5057" s="54" t="s">
        <v>2</v>
      </c>
      <c r="AC5057" s="54" t="s">
        <v>2</v>
      </c>
      <c r="AD5057" s="54" t="s">
        <v>2</v>
      </c>
      <c r="AE5057" s="54" t="s">
        <v>2</v>
      </c>
      <c r="AF5057" s="54" t="s">
        <v>2</v>
      </c>
      <c r="AG5057" s="54" t="s">
        <v>2</v>
      </c>
    </row>
    <row r="5058" ht="15.75" customHeight="1">
      <c r="B5058" s="56"/>
      <c r="U5058" s="46" t="str">
        <f t="array" ref="U5058">IF($D5058="","",IFERROR(_xlfn.XLOOKUP($D5058,'TIR店舗一覧'!$D:$D,'TIR店舗一覧'!$E:$E,""),""))</f>
        <v/>
      </c>
      <c r="V5058" s="54" t="s">
        <v>2</v>
      </c>
      <c r="W5058" s="54" t="s">
        <v>2</v>
      </c>
      <c r="X5058" s="54" t="s">
        <v>2</v>
      </c>
      <c r="Y5058" s="54" t="s">
        <v>2</v>
      </c>
      <c r="Z5058" s="54" t="s">
        <v>2</v>
      </c>
      <c r="AA5058" s="54" t="s">
        <v>2</v>
      </c>
      <c r="AB5058" s="54" t="s">
        <v>2</v>
      </c>
      <c r="AC5058" s="54" t="s">
        <v>2</v>
      </c>
      <c r="AD5058" s="54" t="s">
        <v>2</v>
      </c>
      <c r="AE5058" s="54" t="s">
        <v>2</v>
      </c>
      <c r="AF5058" s="54" t="s">
        <v>2</v>
      </c>
      <c r="AG5058" s="54" t="s">
        <v>2</v>
      </c>
    </row>
    <row r="5059" ht="15.75" customHeight="1">
      <c r="B5059" s="56"/>
      <c r="U5059" s="46" t="str">
        <f t="array" ref="U5059">IF($D5059="","",IFERROR(_xlfn.XLOOKUP($D5059,'TIR店舗一覧'!$D:$D,'TIR店舗一覧'!$E:$E,""),""))</f>
        <v/>
      </c>
      <c r="V5059" s="54" t="s">
        <v>2</v>
      </c>
      <c r="W5059" s="54" t="s">
        <v>2</v>
      </c>
      <c r="X5059" s="54" t="s">
        <v>2</v>
      </c>
      <c r="Y5059" s="54" t="s">
        <v>2</v>
      </c>
      <c r="Z5059" s="54" t="s">
        <v>2</v>
      </c>
      <c r="AA5059" s="54" t="s">
        <v>2</v>
      </c>
      <c r="AB5059" s="54" t="s">
        <v>2</v>
      </c>
      <c r="AC5059" s="54" t="s">
        <v>2</v>
      </c>
      <c r="AD5059" s="54" t="s">
        <v>2</v>
      </c>
      <c r="AE5059" s="54" t="s">
        <v>2</v>
      </c>
      <c r="AF5059" s="54" t="s">
        <v>2</v>
      </c>
      <c r="AG5059" s="54" t="s">
        <v>2</v>
      </c>
    </row>
    <row r="5060" ht="15.75" customHeight="1">
      <c r="B5060" s="56"/>
      <c r="U5060" s="46" t="str">
        <f t="array" ref="U5060">IF($D5060="","",IFERROR(_xlfn.XLOOKUP($D5060,'TIR店舗一覧'!$D:$D,'TIR店舗一覧'!$E:$E,""),""))</f>
        <v/>
      </c>
      <c r="V5060" s="54" t="s">
        <v>2</v>
      </c>
      <c r="W5060" s="54" t="s">
        <v>2</v>
      </c>
      <c r="X5060" s="54" t="s">
        <v>2</v>
      </c>
      <c r="Y5060" s="54" t="s">
        <v>2</v>
      </c>
      <c r="Z5060" s="54" t="s">
        <v>2</v>
      </c>
      <c r="AA5060" s="54" t="s">
        <v>2</v>
      </c>
      <c r="AB5060" s="54" t="s">
        <v>2</v>
      </c>
      <c r="AC5060" s="54" t="s">
        <v>2</v>
      </c>
      <c r="AD5060" s="54" t="s">
        <v>2</v>
      </c>
      <c r="AE5060" s="54" t="s">
        <v>2</v>
      </c>
      <c r="AF5060" s="54" t="s">
        <v>2</v>
      </c>
      <c r="AG5060" s="54" t="s">
        <v>2</v>
      </c>
    </row>
    <row r="5061" ht="15.75" customHeight="1">
      <c r="B5061" s="56"/>
      <c r="U5061" s="46" t="str">
        <f t="array" ref="U5061">IF($D5061="","",IFERROR(_xlfn.XLOOKUP($D5061,'TIR店舗一覧'!$D:$D,'TIR店舗一覧'!$E:$E,""),""))</f>
        <v/>
      </c>
      <c r="V5061" s="54" t="s">
        <v>2</v>
      </c>
      <c r="W5061" s="54" t="s">
        <v>2</v>
      </c>
      <c r="X5061" s="54" t="s">
        <v>2</v>
      </c>
      <c r="Y5061" s="54" t="s">
        <v>2</v>
      </c>
      <c r="Z5061" s="54" t="s">
        <v>2</v>
      </c>
      <c r="AA5061" s="54" t="s">
        <v>2</v>
      </c>
      <c r="AB5061" s="54" t="s">
        <v>2</v>
      </c>
      <c r="AC5061" s="54" t="s">
        <v>2</v>
      </c>
      <c r="AD5061" s="54" t="s">
        <v>2</v>
      </c>
      <c r="AE5061" s="54" t="s">
        <v>2</v>
      </c>
      <c r="AF5061" s="54" t="s">
        <v>2</v>
      </c>
      <c r="AG5061" s="54" t="s">
        <v>2</v>
      </c>
    </row>
    <row r="5062" ht="15.75" customHeight="1">
      <c r="B5062" s="56"/>
      <c r="U5062" s="46" t="str">
        <f t="array" ref="U5062">IF($D5062="","",IFERROR(_xlfn.XLOOKUP($D5062,'TIR店舗一覧'!$D:$D,'TIR店舗一覧'!$E:$E,""),""))</f>
        <v/>
      </c>
      <c r="V5062" s="54" t="s">
        <v>2</v>
      </c>
      <c r="W5062" s="54" t="s">
        <v>2</v>
      </c>
      <c r="X5062" s="54" t="s">
        <v>2</v>
      </c>
      <c r="Y5062" s="54" t="s">
        <v>2</v>
      </c>
      <c r="Z5062" s="54" t="s">
        <v>2</v>
      </c>
      <c r="AA5062" s="54" t="s">
        <v>2</v>
      </c>
      <c r="AB5062" s="54" t="s">
        <v>2</v>
      </c>
      <c r="AC5062" s="54" t="s">
        <v>2</v>
      </c>
      <c r="AD5062" s="54" t="s">
        <v>2</v>
      </c>
      <c r="AE5062" s="54" t="s">
        <v>2</v>
      </c>
      <c r="AF5062" s="54" t="s">
        <v>2</v>
      </c>
      <c r="AG5062" s="54" t="s">
        <v>2</v>
      </c>
    </row>
    <row r="5063" ht="15.75" customHeight="1">
      <c r="B5063" s="56"/>
      <c r="U5063" s="46" t="str">
        <f t="array" ref="U5063">IF($D5063="","",IFERROR(_xlfn.XLOOKUP($D5063,'TIR店舗一覧'!$D:$D,'TIR店舗一覧'!$E:$E,""),""))</f>
        <v/>
      </c>
      <c r="V5063" s="54" t="s">
        <v>2</v>
      </c>
      <c r="W5063" s="54" t="s">
        <v>2</v>
      </c>
      <c r="X5063" s="54" t="s">
        <v>2</v>
      </c>
      <c r="Y5063" s="54" t="s">
        <v>2</v>
      </c>
      <c r="Z5063" s="54" t="s">
        <v>2</v>
      </c>
      <c r="AA5063" s="54" t="s">
        <v>2</v>
      </c>
      <c r="AB5063" s="54" t="s">
        <v>2</v>
      </c>
      <c r="AC5063" s="54" t="s">
        <v>2</v>
      </c>
      <c r="AD5063" s="54" t="s">
        <v>2</v>
      </c>
      <c r="AE5063" s="54" t="s">
        <v>2</v>
      </c>
      <c r="AF5063" s="54" t="s">
        <v>2</v>
      </c>
      <c r="AG5063" s="54" t="s">
        <v>2</v>
      </c>
    </row>
    <row r="5064" ht="15.75" customHeight="1">
      <c r="B5064" s="56"/>
      <c r="U5064" s="46" t="str">
        <f t="array" ref="U5064">IF($D5064="","",IFERROR(_xlfn.XLOOKUP($D5064,'TIR店舗一覧'!$D:$D,'TIR店舗一覧'!$E:$E,""),""))</f>
        <v/>
      </c>
      <c r="V5064" s="54" t="s">
        <v>2</v>
      </c>
      <c r="W5064" s="54" t="s">
        <v>2</v>
      </c>
      <c r="X5064" s="54" t="s">
        <v>2</v>
      </c>
      <c r="Y5064" s="54" t="s">
        <v>2</v>
      </c>
      <c r="Z5064" s="54" t="s">
        <v>2</v>
      </c>
      <c r="AA5064" s="54" t="s">
        <v>2</v>
      </c>
      <c r="AB5064" s="54" t="s">
        <v>2</v>
      </c>
      <c r="AC5064" s="54" t="s">
        <v>2</v>
      </c>
      <c r="AD5064" s="54" t="s">
        <v>2</v>
      </c>
      <c r="AE5064" s="54" t="s">
        <v>2</v>
      </c>
      <c r="AF5064" s="54" t="s">
        <v>2</v>
      </c>
      <c r="AG5064" s="54" t="s">
        <v>2</v>
      </c>
    </row>
    <row r="5065" ht="15.75" customHeight="1">
      <c r="B5065" s="56"/>
      <c r="U5065" s="46" t="str">
        <f t="array" ref="U5065">IF($D5065="","",IFERROR(_xlfn.XLOOKUP($D5065,'TIR店舗一覧'!$D:$D,'TIR店舗一覧'!$E:$E,""),""))</f>
        <v/>
      </c>
      <c r="V5065" s="54" t="s">
        <v>2</v>
      </c>
      <c r="W5065" s="54" t="s">
        <v>2</v>
      </c>
      <c r="X5065" s="54" t="s">
        <v>2</v>
      </c>
      <c r="Y5065" s="54" t="s">
        <v>2</v>
      </c>
      <c r="Z5065" s="54" t="s">
        <v>2</v>
      </c>
      <c r="AA5065" s="54" t="s">
        <v>2</v>
      </c>
      <c r="AB5065" s="54" t="s">
        <v>2</v>
      </c>
      <c r="AC5065" s="54" t="s">
        <v>2</v>
      </c>
      <c r="AD5065" s="54" t="s">
        <v>2</v>
      </c>
      <c r="AE5065" s="54" t="s">
        <v>2</v>
      </c>
      <c r="AF5065" s="54" t="s">
        <v>2</v>
      </c>
      <c r="AG5065" s="54" t="s">
        <v>2</v>
      </c>
    </row>
    <row r="5066" ht="15.75" customHeight="1">
      <c r="B5066" s="56"/>
      <c r="U5066" s="46" t="str">
        <f t="array" ref="U5066">IF($D5066="","",IFERROR(_xlfn.XLOOKUP($D5066,'TIR店舗一覧'!$D:$D,'TIR店舗一覧'!$E:$E,""),""))</f>
        <v/>
      </c>
      <c r="V5066" s="54" t="s">
        <v>2</v>
      </c>
      <c r="W5066" s="54" t="s">
        <v>2</v>
      </c>
      <c r="X5066" s="54" t="s">
        <v>2</v>
      </c>
      <c r="Y5066" s="54" t="s">
        <v>2</v>
      </c>
      <c r="Z5066" s="54" t="s">
        <v>2</v>
      </c>
      <c r="AA5066" s="54" t="s">
        <v>2</v>
      </c>
      <c r="AB5066" s="54" t="s">
        <v>2</v>
      </c>
      <c r="AC5066" s="54" t="s">
        <v>2</v>
      </c>
      <c r="AD5066" s="54" t="s">
        <v>2</v>
      </c>
      <c r="AE5066" s="54" t="s">
        <v>2</v>
      </c>
      <c r="AF5066" s="54" t="s">
        <v>2</v>
      </c>
      <c r="AG5066" s="54" t="s">
        <v>2</v>
      </c>
    </row>
    <row r="5067" ht="15.75" customHeight="1">
      <c r="B5067" s="56"/>
      <c r="U5067" s="46" t="str">
        <f t="array" ref="U5067">IF($D5067="","",IFERROR(_xlfn.XLOOKUP($D5067,'TIR店舗一覧'!$D:$D,'TIR店舗一覧'!$E:$E,""),""))</f>
        <v/>
      </c>
      <c r="V5067" s="54" t="s">
        <v>2</v>
      </c>
      <c r="W5067" s="54" t="s">
        <v>2</v>
      </c>
      <c r="X5067" s="54" t="s">
        <v>2</v>
      </c>
      <c r="Y5067" s="54" t="s">
        <v>2</v>
      </c>
      <c r="Z5067" s="54" t="s">
        <v>2</v>
      </c>
      <c r="AA5067" s="54" t="s">
        <v>2</v>
      </c>
      <c r="AB5067" s="54" t="s">
        <v>2</v>
      </c>
      <c r="AC5067" s="54" t="s">
        <v>2</v>
      </c>
      <c r="AD5067" s="54" t="s">
        <v>2</v>
      </c>
      <c r="AE5067" s="54" t="s">
        <v>2</v>
      </c>
      <c r="AF5067" s="54" t="s">
        <v>2</v>
      </c>
      <c r="AG5067" s="54" t="s">
        <v>2</v>
      </c>
    </row>
    <row r="5068" ht="15.75" customHeight="1">
      <c r="B5068" s="56"/>
      <c r="U5068" s="46" t="str">
        <f t="array" ref="U5068">IF($D5068="","",IFERROR(_xlfn.XLOOKUP($D5068,'TIR店舗一覧'!$D:$D,'TIR店舗一覧'!$E:$E,""),""))</f>
        <v/>
      </c>
      <c r="V5068" s="54" t="s">
        <v>2</v>
      </c>
      <c r="W5068" s="54" t="s">
        <v>2</v>
      </c>
      <c r="X5068" s="54" t="s">
        <v>2</v>
      </c>
      <c r="Y5068" s="54" t="s">
        <v>2</v>
      </c>
      <c r="Z5068" s="54" t="s">
        <v>2</v>
      </c>
      <c r="AA5068" s="54" t="s">
        <v>2</v>
      </c>
      <c r="AB5068" s="54" t="s">
        <v>2</v>
      </c>
      <c r="AC5068" s="54" t="s">
        <v>2</v>
      </c>
      <c r="AD5068" s="54" t="s">
        <v>2</v>
      </c>
      <c r="AE5068" s="54" t="s">
        <v>2</v>
      </c>
      <c r="AF5068" s="54" t="s">
        <v>2</v>
      </c>
      <c r="AG5068" s="54" t="s">
        <v>2</v>
      </c>
    </row>
    <row r="5069" ht="15.75" customHeight="1">
      <c r="B5069" s="56"/>
      <c r="U5069" s="46" t="str">
        <f t="array" ref="U5069">IF($D5069="","",IFERROR(_xlfn.XLOOKUP($D5069,'TIR店舗一覧'!$D:$D,'TIR店舗一覧'!$E:$E,""),""))</f>
        <v/>
      </c>
      <c r="V5069" s="54" t="s">
        <v>2</v>
      </c>
      <c r="W5069" s="54" t="s">
        <v>2</v>
      </c>
      <c r="X5069" s="54" t="s">
        <v>2</v>
      </c>
      <c r="Y5069" s="54" t="s">
        <v>2</v>
      </c>
      <c r="Z5069" s="54" t="s">
        <v>2</v>
      </c>
      <c r="AA5069" s="54" t="s">
        <v>2</v>
      </c>
      <c r="AB5069" s="54" t="s">
        <v>2</v>
      </c>
      <c r="AC5069" s="54" t="s">
        <v>2</v>
      </c>
      <c r="AD5069" s="54" t="s">
        <v>2</v>
      </c>
      <c r="AE5069" s="54" t="s">
        <v>2</v>
      </c>
      <c r="AF5069" s="54" t="s">
        <v>2</v>
      </c>
      <c r="AG5069" s="54" t="s">
        <v>2</v>
      </c>
    </row>
    <row r="5070" ht="15.75" customHeight="1">
      <c r="B5070" s="56"/>
      <c r="U5070" s="46" t="str">
        <f t="array" ref="U5070">IF($D5070="","",IFERROR(_xlfn.XLOOKUP($D5070,'TIR店舗一覧'!$D:$D,'TIR店舗一覧'!$E:$E,""),""))</f>
        <v/>
      </c>
      <c r="V5070" s="54" t="s">
        <v>2</v>
      </c>
      <c r="W5070" s="54" t="s">
        <v>2</v>
      </c>
      <c r="X5070" s="54" t="s">
        <v>2</v>
      </c>
      <c r="Y5070" s="54" t="s">
        <v>2</v>
      </c>
      <c r="Z5070" s="54" t="s">
        <v>2</v>
      </c>
      <c r="AA5070" s="54" t="s">
        <v>2</v>
      </c>
      <c r="AB5070" s="54" t="s">
        <v>2</v>
      </c>
      <c r="AC5070" s="54" t="s">
        <v>2</v>
      </c>
      <c r="AD5070" s="54" t="s">
        <v>2</v>
      </c>
      <c r="AE5070" s="54" t="s">
        <v>2</v>
      </c>
      <c r="AF5070" s="54" t="s">
        <v>2</v>
      </c>
      <c r="AG5070" s="54" t="s">
        <v>2</v>
      </c>
    </row>
    <row r="5071" ht="15.75" customHeight="1">
      <c r="B5071" s="56"/>
      <c r="U5071" s="46" t="str">
        <f t="array" ref="U5071">IF($D5071="","",IFERROR(_xlfn.XLOOKUP($D5071,'TIR店舗一覧'!$D:$D,'TIR店舗一覧'!$E:$E,""),""))</f>
        <v/>
      </c>
      <c r="V5071" s="54" t="s">
        <v>2</v>
      </c>
      <c r="W5071" s="54" t="s">
        <v>2</v>
      </c>
      <c r="X5071" s="54" t="s">
        <v>2</v>
      </c>
      <c r="Y5071" s="54" t="s">
        <v>2</v>
      </c>
      <c r="Z5071" s="54" t="s">
        <v>2</v>
      </c>
      <c r="AA5071" s="54" t="s">
        <v>2</v>
      </c>
      <c r="AB5071" s="54" t="s">
        <v>2</v>
      </c>
      <c r="AC5071" s="54" t="s">
        <v>2</v>
      </c>
      <c r="AD5071" s="54" t="s">
        <v>2</v>
      </c>
      <c r="AE5071" s="54" t="s">
        <v>2</v>
      </c>
      <c r="AF5071" s="54" t="s">
        <v>2</v>
      </c>
      <c r="AG5071" s="54" t="s">
        <v>2</v>
      </c>
    </row>
    <row r="5072" ht="15.75" customHeight="1">
      <c r="B5072" s="56"/>
      <c r="U5072" s="46" t="str">
        <f t="array" ref="U5072">IF($D5072="","",IFERROR(_xlfn.XLOOKUP($D5072,'TIR店舗一覧'!$D:$D,'TIR店舗一覧'!$E:$E,""),""))</f>
        <v/>
      </c>
      <c r="V5072" s="54" t="s">
        <v>2</v>
      </c>
      <c r="W5072" s="54" t="s">
        <v>2</v>
      </c>
      <c r="X5072" s="54" t="s">
        <v>2</v>
      </c>
      <c r="Y5072" s="54" t="s">
        <v>2</v>
      </c>
      <c r="Z5072" s="54" t="s">
        <v>2</v>
      </c>
      <c r="AA5072" s="54" t="s">
        <v>2</v>
      </c>
      <c r="AB5072" s="54" t="s">
        <v>2</v>
      </c>
      <c r="AC5072" s="54" t="s">
        <v>2</v>
      </c>
      <c r="AD5072" s="54" t="s">
        <v>2</v>
      </c>
      <c r="AE5072" s="54" t="s">
        <v>2</v>
      </c>
      <c r="AF5072" s="54" t="s">
        <v>2</v>
      </c>
      <c r="AG5072" s="54" t="s">
        <v>2</v>
      </c>
    </row>
    <row r="5073" ht="15.75" customHeight="1">
      <c r="B5073" s="56"/>
      <c r="U5073" s="46" t="str">
        <f t="array" ref="U5073">IF($D5073="","",IFERROR(_xlfn.XLOOKUP($D5073,'TIR店舗一覧'!$D:$D,'TIR店舗一覧'!$E:$E,""),""))</f>
        <v/>
      </c>
      <c r="V5073" s="54" t="s">
        <v>2</v>
      </c>
      <c r="W5073" s="54" t="s">
        <v>2</v>
      </c>
      <c r="X5073" s="54" t="s">
        <v>2</v>
      </c>
      <c r="Y5073" s="54" t="s">
        <v>2</v>
      </c>
      <c r="Z5073" s="54" t="s">
        <v>2</v>
      </c>
      <c r="AA5073" s="54" t="s">
        <v>2</v>
      </c>
      <c r="AB5073" s="54" t="s">
        <v>2</v>
      </c>
      <c r="AC5073" s="54" t="s">
        <v>2</v>
      </c>
      <c r="AD5073" s="54" t="s">
        <v>2</v>
      </c>
      <c r="AE5073" s="54" t="s">
        <v>2</v>
      </c>
      <c r="AF5073" s="54" t="s">
        <v>2</v>
      </c>
      <c r="AG5073" s="54" t="s">
        <v>2</v>
      </c>
    </row>
    <row r="5074" ht="15.75" customHeight="1">
      <c r="B5074" s="56"/>
      <c r="U5074" s="46" t="str">
        <f t="array" ref="U5074">IF($D5074="","",IFERROR(_xlfn.XLOOKUP($D5074,'TIR店舗一覧'!$D:$D,'TIR店舗一覧'!$E:$E,""),""))</f>
        <v/>
      </c>
      <c r="V5074" s="54" t="s">
        <v>2</v>
      </c>
      <c r="W5074" s="54" t="s">
        <v>2</v>
      </c>
      <c r="X5074" s="54" t="s">
        <v>2</v>
      </c>
      <c r="Y5074" s="54" t="s">
        <v>2</v>
      </c>
      <c r="Z5074" s="54" t="s">
        <v>2</v>
      </c>
      <c r="AA5074" s="54" t="s">
        <v>2</v>
      </c>
      <c r="AB5074" s="54" t="s">
        <v>2</v>
      </c>
      <c r="AC5074" s="54" t="s">
        <v>2</v>
      </c>
      <c r="AD5074" s="54" t="s">
        <v>2</v>
      </c>
      <c r="AE5074" s="54" t="s">
        <v>2</v>
      </c>
      <c r="AF5074" s="54" t="s">
        <v>2</v>
      </c>
      <c r="AG5074" s="54" t="s">
        <v>2</v>
      </c>
    </row>
    <row r="5075" ht="15.75" customHeight="1">
      <c r="B5075" s="56"/>
      <c r="U5075" s="46" t="str">
        <f t="array" ref="U5075">IF($D5075="","",IFERROR(_xlfn.XLOOKUP($D5075,'TIR店舗一覧'!$D:$D,'TIR店舗一覧'!$E:$E,""),""))</f>
        <v/>
      </c>
      <c r="V5075" s="54" t="s">
        <v>2</v>
      </c>
      <c r="W5075" s="54" t="s">
        <v>2</v>
      </c>
      <c r="X5075" s="54" t="s">
        <v>2</v>
      </c>
      <c r="Y5075" s="54" t="s">
        <v>2</v>
      </c>
      <c r="Z5075" s="54" t="s">
        <v>2</v>
      </c>
      <c r="AA5075" s="54" t="s">
        <v>2</v>
      </c>
      <c r="AB5075" s="54" t="s">
        <v>2</v>
      </c>
      <c r="AC5075" s="54" t="s">
        <v>2</v>
      </c>
      <c r="AD5075" s="54" t="s">
        <v>2</v>
      </c>
      <c r="AE5075" s="54" t="s">
        <v>2</v>
      </c>
      <c r="AF5075" s="54" t="s">
        <v>2</v>
      </c>
      <c r="AG5075" s="54" t="s">
        <v>2</v>
      </c>
    </row>
    <row r="5076" ht="15.75" customHeight="1">
      <c r="B5076" s="56"/>
      <c r="U5076" s="46" t="str">
        <f t="array" ref="U5076">IF($D5076="","",IFERROR(_xlfn.XLOOKUP($D5076,'TIR店舗一覧'!$D:$D,'TIR店舗一覧'!$E:$E,""),""))</f>
        <v/>
      </c>
      <c r="V5076" s="54" t="s">
        <v>2</v>
      </c>
      <c r="W5076" s="54" t="s">
        <v>2</v>
      </c>
      <c r="X5076" s="54" t="s">
        <v>2</v>
      </c>
      <c r="Y5076" s="54" t="s">
        <v>2</v>
      </c>
      <c r="Z5076" s="54" t="s">
        <v>2</v>
      </c>
      <c r="AA5076" s="54" t="s">
        <v>2</v>
      </c>
      <c r="AB5076" s="54" t="s">
        <v>2</v>
      </c>
      <c r="AC5076" s="54" t="s">
        <v>2</v>
      </c>
      <c r="AD5076" s="54" t="s">
        <v>2</v>
      </c>
      <c r="AE5076" s="54" t="s">
        <v>2</v>
      </c>
      <c r="AF5076" s="54" t="s">
        <v>2</v>
      </c>
      <c r="AG5076" s="54" t="s">
        <v>2</v>
      </c>
    </row>
    <row r="5077" ht="15.75" customHeight="1">
      <c r="B5077" s="56"/>
      <c r="U5077" s="46" t="str">
        <f t="array" ref="U5077">IF($D5077="","",IFERROR(_xlfn.XLOOKUP($D5077,'TIR店舗一覧'!$D:$D,'TIR店舗一覧'!$E:$E,""),""))</f>
        <v/>
      </c>
      <c r="V5077" s="54" t="s">
        <v>2</v>
      </c>
      <c r="W5077" s="54" t="s">
        <v>2</v>
      </c>
      <c r="X5077" s="54" t="s">
        <v>2</v>
      </c>
      <c r="Y5077" s="54" t="s">
        <v>2</v>
      </c>
      <c r="Z5077" s="54" t="s">
        <v>2</v>
      </c>
      <c r="AA5077" s="54" t="s">
        <v>2</v>
      </c>
      <c r="AB5077" s="54" t="s">
        <v>2</v>
      </c>
      <c r="AC5077" s="54" t="s">
        <v>2</v>
      </c>
      <c r="AD5077" s="54" t="s">
        <v>2</v>
      </c>
      <c r="AE5077" s="54" t="s">
        <v>2</v>
      </c>
      <c r="AF5077" s="54" t="s">
        <v>2</v>
      </c>
      <c r="AG5077" s="54" t="s">
        <v>2</v>
      </c>
    </row>
    <row r="5078" ht="15.75" customHeight="1">
      <c r="B5078" s="56"/>
      <c r="U5078" s="46" t="str">
        <f t="array" ref="U5078">IF($D5078="","",IFERROR(_xlfn.XLOOKUP($D5078,'TIR店舗一覧'!$D:$D,'TIR店舗一覧'!$E:$E,""),""))</f>
        <v/>
      </c>
      <c r="V5078" s="54" t="s">
        <v>2</v>
      </c>
      <c r="W5078" s="54" t="s">
        <v>2</v>
      </c>
      <c r="X5078" s="54" t="s">
        <v>2</v>
      </c>
      <c r="Y5078" s="54" t="s">
        <v>2</v>
      </c>
      <c r="Z5078" s="54" t="s">
        <v>2</v>
      </c>
      <c r="AA5078" s="54" t="s">
        <v>2</v>
      </c>
      <c r="AB5078" s="54" t="s">
        <v>2</v>
      </c>
      <c r="AC5078" s="54" t="s">
        <v>2</v>
      </c>
      <c r="AD5078" s="54" t="s">
        <v>2</v>
      </c>
      <c r="AE5078" s="54" t="s">
        <v>2</v>
      </c>
      <c r="AF5078" s="54" t="s">
        <v>2</v>
      </c>
      <c r="AG5078" s="54" t="s">
        <v>2</v>
      </c>
    </row>
    <row r="5079" ht="15.75" customHeight="1">
      <c r="B5079" s="56"/>
      <c r="U5079" s="46" t="str">
        <f t="array" ref="U5079">IF($D5079="","",IFERROR(_xlfn.XLOOKUP($D5079,'TIR店舗一覧'!$D:$D,'TIR店舗一覧'!$E:$E,""),""))</f>
        <v/>
      </c>
      <c r="V5079" s="54" t="s">
        <v>2</v>
      </c>
      <c r="W5079" s="54" t="s">
        <v>2</v>
      </c>
      <c r="X5079" s="54" t="s">
        <v>2</v>
      </c>
      <c r="Y5079" s="54" t="s">
        <v>2</v>
      </c>
      <c r="Z5079" s="54" t="s">
        <v>2</v>
      </c>
      <c r="AA5079" s="54" t="s">
        <v>2</v>
      </c>
      <c r="AB5079" s="54" t="s">
        <v>2</v>
      </c>
      <c r="AC5079" s="54" t="s">
        <v>2</v>
      </c>
      <c r="AD5079" s="54" t="s">
        <v>2</v>
      </c>
      <c r="AE5079" s="54" t="s">
        <v>2</v>
      </c>
      <c r="AF5079" s="54" t="s">
        <v>2</v>
      </c>
      <c r="AG5079" s="54" t="s">
        <v>2</v>
      </c>
    </row>
    <row r="5080" ht="15.75" customHeight="1">
      <c r="B5080" s="56"/>
      <c r="U5080" s="46" t="str">
        <f t="array" ref="U5080">IF($D5080="","",IFERROR(_xlfn.XLOOKUP($D5080,'TIR店舗一覧'!$D:$D,'TIR店舗一覧'!$E:$E,""),""))</f>
        <v/>
      </c>
      <c r="V5080" s="54" t="s">
        <v>2</v>
      </c>
      <c r="W5080" s="54" t="s">
        <v>2</v>
      </c>
      <c r="X5080" s="54" t="s">
        <v>2</v>
      </c>
      <c r="Y5080" s="54" t="s">
        <v>2</v>
      </c>
      <c r="Z5080" s="54" t="s">
        <v>2</v>
      </c>
      <c r="AA5080" s="54" t="s">
        <v>2</v>
      </c>
      <c r="AB5080" s="54" t="s">
        <v>2</v>
      </c>
      <c r="AC5080" s="54" t="s">
        <v>2</v>
      </c>
      <c r="AD5080" s="54" t="s">
        <v>2</v>
      </c>
      <c r="AE5080" s="54" t="s">
        <v>2</v>
      </c>
      <c r="AF5080" s="54" t="s">
        <v>2</v>
      </c>
      <c r="AG5080" s="54" t="s">
        <v>2</v>
      </c>
    </row>
    <row r="5081" ht="15.75" customHeight="1">
      <c r="B5081" s="56"/>
      <c r="U5081" s="46" t="str">
        <f t="array" ref="U5081">IF($D5081="","",IFERROR(_xlfn.XLOOKUP($D5081,'TIR店舗一覧'!$D:$D,'TIR店舗一覧'!$E:$E,""),""))</f>
        <v/>
      </c>
      <c r="V5081" s="54" t="s">
        <v>2</v>
      </c>
      <c r="W5081" s="54" t="s">
        <v>2</v>
      </c>
      <c r="X5081" s="54" t="s">
        <v>2</v>
      </c>
      <c r="Y5081" s="54" t="s">
        <v>2</v>
      </c>
      <c r="Z5081" s="54" t="s">
        <v>2</v>
      </c>
      <c r="AA5081" s="54" t="s">
        <v>2</v>
      </c>
      <c r="AB5081" s="54" t="s">
        <v>2</v>
      </c>
      <c r="AC5081" s="54" t="s">
        <v>2</v>
      </c>
      <c r="AD5081" s="54" t="s">
        <v>2</v>
      </c>
      <c r="AE5081" s="54" t="s">
        <v>2</v>
      </c>
      <c r="AF5081" s="54" t="s">
        <v>2</v>
      </c>
      <c r="AG5081" s="54" t="s">
        <v>2</v>
      </c>
    </row>
    <row r="5082" ht="15.75" customHeight="1">
      <c r="B5082" s="56"/>
      <c r="U5082" s="46" t="str">
        <f t="array" ref="U5082">IF($D5082="","",IFERROR(_xlfn.XLOOKUP($D5082,'TIR店舗一覧'!$D:$D,'TIR店舗一覧'!$E:$E,""),""))</f>
        <v/>
      </c>
      <c r="V5082" s="54" t="s">
        <v>2</v>
      </c>
      <c r="W5082" s="54" t="s">
        <v>2</v>
      </c>
      <c r="X5082" s="54" t="s">
        <v>2</v>
      </c>
      <c r="Y5082" s="54" t="s">
        <v>2</v>
      </c>
      <c r="Z5082" s="54" t="s">
        <v>2</v>
      </c>
      <c r="AA5082" s="54" t="s">
        <v>2</v>
      </c>
      <c r="AB5082" s="54" t="s">
        <v>2</v>
      </c>
      <c r="AC5082" s="54" t="s">
        <v>2</v>
      </c>
      <c r="AD5082" s="54" t="s">
        <v>2</v>
      </c>
      <c r="AE5082" s="54" t="s">
        <v>2</v>
      </c>
      <c r="AF5082" s="54" t="s">
        <v>2</v>
      </c>
      <c r="AG5082" s="54" t="s">
        <v>2</v>
      </c>
    </row>
    <row r="5083" ht="15.75" customHeight="1">
      <c r="B5083" s="56"/>
      <c r="U5083" s="46" t="str">
        <f t="array" ref="U5083">IF($D5083="","",IFERROR(_xlfn.XLOOKUP($D5083,'TIR店舗一覧'!$D:$D,'TIR店舗一覧'!$E:$E,""),""))</f>
        <v/>
      </c>
      <c r="V5083" s="54" t="s">
        <v>2</v>
      </c>
      <c r="W5083" s="54" t="s">
        <v>2</v>
      </c>
      <c r="X5083" s="54" t="s">
        <v>2</v>
      </c>
      <c r="Y5083" s="54" t="s">
        <v>2</v>
      </c>
      <c r="Z5083" s="54" t="s">
        <v>2</v>
      </c>
      <c r="AA5083" s="54" t="s">
        <v>2</v>
      </c>
      <c r="AB5083" s="54" t="s">
        <v>2</v>
      </c>
      <c r="AC5083" s="54" t="s">
        <v>2</v>
      </c>
      <c r="AD5083" s="54" t="s">
        <v>2</v>
      </c>
      <c r="AE5083" s="54" t="s">
        <v>2</v>
      </c>
      <c r="AF5083" s="54" t="s">
        <v>2</v>
      </c>
      <c r="AG5083" s="54" t="s">
        <v>2</v>
      </c>
    </row>
    <row r="5084" ht="15.75" customHeight="1">
      <c r="B5084" s="56"/>
      <c r="U5084" s="46" t="str">
        <f t="array" ref="U5084">IF($D5084="","",IFERROR(_xlfn.XLOOKUP($D5084,'TIR店舗一覧'!$D:$D,'TIR店舗一覧'!$E:$E,""),""))</f>
        <v/>
      </c>
      <c r="V5084" s="54" t="s">
        <v>2</v>
      </c>
      <c r="W5084" s="54" t="s">
        <v>2</v>
      </c>
      <c r="X5084" s="54" t="s">
        <v>2</v>
      </c>
      <c r="Y5084" s="54" t="s">
        <v>2</v>
      </c>
      <c r="Z5084" s="54" t="s">
        <v>2</v>
      </c>
      <c r="AA5084" s="54" t="s">
        <v>2</v>
      </c>
      <c r="AB5084" s="54" t="s">
        <v>2</v>
      </c>
      <c r="AC5084" s="54" t="s">
        <v>2</v>
      </c>
      <c r="AD5084" s="54" t="s">
        <v>2</v>
      </c>
      <c r="AE5084" s="54" t="s">
        <v>2</v>
      </c>
      <c r="AF5084" s="54" t="s">
        <v>2</v>
      </c>
      <c r="AG5084" s="54" t="s">
        <v>2</v>
      </c>
    </row>
    <row r="5085" ht="15.75" customHeight="1">
      <c r="B5085" s="56"/>
      <c r="U5085" s="46" t="str">
        <f t="array" ref="U5085">IF($D5085="","",IFERROR(_xlfn.XLOOKUP($D5085,'TIR店舗一覧'!$D:$D,'TIR店舗一覧'!$E:$E,""),""))</f>
        <v/>
      </c>
      <c r="V5085" s="54" t="s">
        <v>2</v>
      </c>
      <c r="W5085" s="54" t="s">
        <v>2</v>
      </c>
      <c r="X5085" s="54" t="s">
        <v>2</v>
      </c>
      <c r="Y5085" s="54" t="s">
        <v>2</v>
      </c>
      <c r="Z5085" s="54" t="s">
        <v>2</v>
      </c>
      <c r="AA5085" s="54" t="s">
        <v>2</v>
      </c>
      <c r="AB5085" s="54" t="s">
        <v>2</v>
      </c>
      <c r="AC5085" s="54" t="s">
        <v>2</v>
      </c>
      <c r="AD5085" s="54" t="s">
        <v>2</v>
      </c>
      <c r="AE5085" s="54" t="s">
        <v>2</v>
      </c>
      <c r="AF5085" s="54" t="s">
        <v>2</v>
      </c>
      <c r="AG5085" s="54" t="s">
        <v>2</v>
      </c>
    </row>
    <row r="5086" ht="15.75" customHeight="1">
      <c r="B5086" s="56"/>
      <c r="U5086" s="46" t="str">
        <f t="array" ref="U5086">IF($D5086="","",IFERROR(_xlfn.XLOOKUP($D5086,'TIR店舗一覧'!$D:$D,'TIR店舗一覧'!$E:$E,""),""))</f>
        <v/>
      </c>
      <c r="V5086" s="54" t="s">
        <v>2</v>
      </c>
      <c r="W5086" s="54" t="s">
        <v>2</v>
      </c>
      <c r="X5086" s="54" t="s">
        <v>2</v>
      </c>
      <c r="Y5086" s="54" t="s">
        <v>2</v>
      </c>
      <c r="Z5086" s="54" t="s">
        <v>2</v>
      </c>
      <c r="AA5086" s="54" t="s">
        <v>2</v>
      </c>
      <c r="AB5086" s="54" t="s">
        <v>2</v>
      </c>
      <c r="AC5086" s="54" t="s">
        <v>2</v>
      </c>
      <c r="AD5086" s="54" t="s">
        <v>2</v>
      </c>
      <c r="AE5086" s="54" t="s">
        <v>2</v>
      </c>
      <c r="AF5086" s="54" t="s">
        <v>2</v>
      </c>
      <c r="AG5086" s="54" t="s">
        <v>2</v>
      </c>
    </row>
    <row r="5087" ht="15.75" customHeight="1">
      <c r="B5087" s="56"/>
      <c r="U5087" s="46" t="str">
        <f t="array" ref="U5087">IF($D5087="","",IFERROR(_xlfn.XLOOKUP($D5087,'TIR店舗一覧'!$D:$D,'TIR店舗一覧'!$E:$E,""),""))</f>
        <v/>
      </c>
      <c r="V5087" s="54" t="s">
        <v>2</v>
      </c>
      <c r="W5087" s="54" t="s">
        <v>2</v>
      </c>
      <c r="X5087" s="54" t="s">
        <v>2</v>
      </c>
      <c r="Y5087" s="54" t="s">
        <v>2</v>
      </c>
      <c r="Z5087" s="54" t="s">
        <v>2</v>
      </c>
      <c r="AA5087" s="54" t="s">
        <v>2</v>
      </c>
      <c r="AB5087" s="54" t="s">
        <v>2</v>
      </c>
      <c r="AC5087" s="54" t="s">
        <v>2</v>
      </c>
      <c r="AD5087" s="54" t="s">
        <v>2</v>
      </c>
      <c r="AE5087" s="54" t="s">
        <v>2</v>
      </c>
      <c r="AF5087" s="54" t="s">
        <v>2</v>
      </c>
      <c r="AG5087" s="54" t="s">
        <v>2</v>
      </c>
    </row>
    <row r="5088" ht="15.75" customHeight="1">
      <c r="B5088" s="56"/>
      <c r="U5088" s="46" t="str">
        <f t="array" ref="U5088">IF($D5088="","",IFERROR(_xlfn.XLOOKUP($D5088,'TIR店舗一覧'!$D:$D,'TIR店舗一覧'!$E:$E,""),""))</f>
        <v/>
      </c>
      <c r="V5088" s="54" t="s">
        <v>2</v>
      </c>
      <c r="W5088" s="54" t="s">
        <v>2</v>
      </c>
      <c r="X5088" s="54" t="s">
        <v>2</v>
      </c>
      <c r="Y5088" s="54" t="s">
        <v>2</v>
      </c>
      <c r="Z5088" s="54" t="s">
        <v>2</v>
      </c>
      <c r="AA5088" s="54" t="s">
        <v>2</v>
      </c>
      <c r="AB5088" s="54" t="s">
        <v>2</v>
      </c>
      <c r="AC5088" s="54" t="s">
        <v>2</v>
      </c>
      <c r="AD5088" s="54" t="s">
        <v>2</v>
      </c>
      <c r="AE5088" s="54" t="s">
        <v>2</v>
      </c>
      <c r="AF5088" s="54" t="s">
        <v>2</v>
      </c>
      <c r="AG5088" s="54" t="s">
        <v>2</v>
      </c>
    </row>
    <row r="5089" ht="15.75" customHeight="1">
      <c r="B5089" s="56"/>
      <c r="U5089" s="46" t="str">
        <f t="array" ref="U5089">IF($D5089="","",IFERROR(_xlfn.XLOOKUP($D5089,'TIR店舗一覧'!$D:$D,'TIR店舗一覧'!$E:$E,""),""))</f>
        <v/>
      </c>
      <c r="V5089" s="54" t="s">
        <v>2</v>
      </c>
      <c r="W5089" s="54" t="s">
        <v>2</v>
      </c>
      <c r="X5089" s="54" t="s">
        <v>2</v>
      </c>
      <c r="Y5089" s="54" t="s">
        <v>2</v>
      </c>
      <c r="Z5089" s="54" t="s">
        <v>2</v>
      </c>
      <c r="AA5089" s="54" t="s">
        <v>2</v>
      </c>
      <c r="AB5089" s="54" t="s">
        <v>2</v>
      </c>
      <c r="AC5089" s="54" t="s">
        <v>2</v>
      </c>
      <c r="AD5089" s="54" t="s">
        <v>2</v>
      </c>
      <c r="AE5089" s="54" t="s">
        <v>2</v>
      </c>
      <c r="AF5089" s="54" t="s">
        <v>2</v>
      </c>
      <c r="AG5089" s="54" t="s">
        <v>2</v>
      </c>
    </row>
    <row r="5090" ht="15.75" customHeight="1">
      <c r="B5090" s="56"/>
      <c r="U5090" s="46" t="str">
        <f t="array" ref="U5090">IF($D5090="","",IFERROR(_xlfn.XLOOKUP($D5090,'TIR店舗一覧'!$D:$D,'TIR店舗一覧'!$E:$E,""),""))</f>
        <v/>
      </c>
      <c r="V5090" s="54" t="s">
        <v>2</v>
      </c>
      <c r="W5090" s="54" t="s">
        <v>2</v>
      </c>
      <c r="X5090" s="54" t="s">
        <v>2</v>
      </c>
      <c r="Y5090" s="54" t="s">
        <v>2</v>
      </c>
      <c r="Z5090" s="54" t="s">
        <v>2</v>
      </c>
      <c r="AA5090" s="54" t="s">
        <v>2</v>
      </c>
      <c r="AB5090" s="54" t="s">
        <v>2</v>
      </c>
      <c r="AC5090" s="54" t="s">
        <v>2</v>
      </c>
      <c r="AD5090" s="54" t="s">
        <v>2</v>
      </c>
      <c r="AE5090" s="54" t="s">
        <v>2</v>
      </c>
      <c r="AF5090" s="54" t="s">
        <v>2</v>
      </c>
      <c r="AG5090" s="54" t="s">
        <v>2</v>
      </c>
    </row>
    <row r="5091" ht="15.75" customHeight="1">
      <c r="B5091" s="56"/>
      <c r="U5091" s="46" t="str">
        <f t="array" ref="U5091">IF($D5091="","",IFERROR(_xlfn.XLOOKUP($D5091,'TIR店舗一覧'!$D:$D,'TIR店舗一覧'!$E:$E,""),""))</f>
        <v/>
      </c>
      <c r="V5091" s="54" t="s">
        <v>2</v>
      </c>
      <c r="W5091" s="54" t="s">
        <v>2</v>
      </c>
      <c r="X5091" s="54" t="s">
        <v>2</v>
      </c>
      <c r="Y5091" s="54" t="s">
        <v>2</v>
      </c>
      <c r="Z5091" s="54" t="s">
        <v>2</v>
      </c>
      <c r="AA5091" s="54" t="s">
        <v>2</v>
      </c>
      <c r="AB5091" s="54" t="s">
        <v>2</v>
      </c>
      <c r="AC5091" s="54" t="s">
        <v>2</v>
      </c>
      <c r="AD5091" s="54" t="s">
        <v>2</v>
      </c>
      <c r="AE5091" s="54" t="s">
        <v>2</v>
      </c>
      <c r="AF5091" s="54" t="s">
        <v>2</v>
      </c>
      <c r="AG5091" s="54" t="s">
        <v>2</v>
      </c>
    </row>
    <row r="5092" ht="15.75" customHeight="1">
      <c r="B5092" s="56"/>
      <c r="U5092" s="46" t="str">
        <f t="array" ref="U5092">IF($D5092="","",IFERROR(_xlfn.XLOOKUP($D5092,'TIR店舗一覧'!$D:$D,'TIR店舗一覧'!$E:$E,""),""))</f>
        <v/>
      </c>
      <c r="V5092" s="54" t="s">
        <v>2</v>
      </c>
      <c r="W5092" s="54" t="s">
        <v>2</v>
      </c>
      <c r="X5092" s="54" t="s">
        <v>2</v>
      </c>
      <c r="Y5092" s="54" t="s">
        <v>2</v>
      </c>
      <c r="Z5092" s="54" t="s">
        <v>2</v>
      </c>
      <c r="AA5092" s="54" t="s">
        <v>2</v>
      </c>
      <c r="AB5092" s="54" t="s">
        <v>2</v>
      </c>
      <c r="AC5092" s="54" t="s">
        <v>2</v>
      </c>
      <c r="AD5092" s="54" t="s">
        <v>2</v>
      </c>
      <c r="AE5092" s="54" t="s">
        <v>2</v>
      </c>
      <c r="AF5092" s="54" t="s">
        <v>2</v>
      </c>
      <c r="AG5092" s="54" t="s">
        <v>2</v>
      </c>
    </row>
    <row r="5093" ht="15.75" customHeight="1">
      <c r="B5093" s="56"/>
      <c r="U5093" s="46" t="str">
        <f t="array" ref="U5093">IF($D5093="","",IFERROR(_xlfn.XLOOKUP($D5093,'TIR店舗一覧'!$D:$D,'TIR店舗一覧'!$E:$E,""),""))</f>
        <v/>
      </c>
      <c r="V5093" s="54" t="s">
        <v>2</v>
      </c>
      <c r="W5093" s="54" t="s">
        <v>2</v>
      </c>
      <c r="X5093" s="54" t="s">
        <v>2</v>
      </c>
      <c r="Y5093" s="54" t="s">
        <v>2</v>
      </c>
      <c r="Z5093" s="54" t="s">
        <v>2</v>
      </c>
      <c r="AA5093" s="54" t="s">
        <v>2</v>
      </c>
      <c r="AB5093" s="54" t="s">
        <v>2</v>
      </c>
      <c r="AC5093" s="54" t="s">
        <v>2</v>
      </c>
      <c r="AD5093" s="54" t="s">
        <v>2</v>
      </c>
      <c r="AE5093" s="54" t="s">
        <v>2</v>
      </c>
      <c r="AF5093" s="54" t="s">
        <v>2</v>
      </c>
      <c r="AG5093" s="54" t="s">
        <v>2</v>
      </c>
    </row>
    <row r="5094" ht="15.75" customHeight="1">
      <c r="B5094" s="56"/>
      <c r="U5094" s="46" t="str">
        <f t="array" ref="U5094">IF($D5094="","",IFERROR(_xlfn.XLOOKUP($D5094,'TIR店舗一覧'!$D:$D,'TIR店舗一覧'!$E:$E,""),""))</f>
        <v/>
      </c>
      <c r="V5094" s="54" t="s">
        <v>2</v>
      </c>
      <c r="W5094" s="54" t="s">
        <v>2</v>
      </c>
      <c r="X5094" s="54" t="s">
        <v>2</v>
      </c>
      <c r="Y5094" s="54" t="s">
        <v>2</v>
      </c>
      <c r="Z5094" s="54" t="s">
        <v>2</v>
      </c>
      <c r="AA5094" s="54" t="s">
        <v>2</v>
      </c>
      <c r="AB5094" s="54" t="s">
        <v>2</v>
      </c>
      <c r="AC5094" s="54" t="s">
        <v>2</v>
      </c>
      <c r="AD5094" s="54" t="s">
        <v>2</v>
      </c>
      <c r="AE5094" s="54" t="s">
        <v>2</v>
      </c>
      <c r="AF5094" s="54" t="s">
        <v>2</v>
      </c>
      <c r="AG5094" s="54" t="s">
        <v>2</v>
      </c>
    </row>
    <row r="5095" ht="15.75" customHeight="1">
      <c r="B5095" s="56"/>
      <c r="U5095" s="46" t="str">
        <f t="array" ref="U5095">IF($D5095="","",IFERROR(_xlfn.XLOOKUP($D5095,'TIR店舗一覧'!$D:$D,'TIR店舗一覧'!$E:$E,""),""))</f>
        <v/>
      </c>
      <c r="V5095" s="54" t="s">
        <v>2</v>
      </c>
      <c r="W5095" s="54" t="s">
        <v>2</v>
      </c>
      <c r="X5095" s="54" t="s">
        <v>2</v>
      </c>
      <c r="Y5095" s="54" t="s">
        <v>2</v>
      </c>
      <c r="Z5095" s="54" t="s">
        <v>2</v>
      </c>
      <c r="AA5095" s="54" t="s">
        <v>2</v>
      </c>
      <c r="AB5095" s="54" t="s">
        <v>2</v>
      </c>
      <c r="AC5095" s="54" t="s">
        <v>2</v>
      </c>
      <c r="AD5095" s="54" t="s">
        <v>2</v>
      </c>
      <c r="AE5095" s="54" t="s">
        <v>2</v>
      </c>
      <c r="AF5095" s="54" t="s">
        <v>2</v>
      </c>
      <c r="AG5095" s="54" t="s">
        <v>2</v>
      </c>
    </row>
    <row r="5096" ht="15.75" customHeight="1">
      <c r="B5096" s="56"/>
      <c r="U5096" s="46" t="str">
        <f t="array" ref="U5096">IF($D5096="","",IFERROR(_xlfn.XLOOKUP($D5096,'TIR店舗一覧'!$D:$D,'TIR店舗一覧'!$E:$E,""),""))</f>
        <v/>
      </c>
      <c r="V5096" s="54" t="s">
        <v>2</v>
      </c>
      <c r="W5096" s="54" t="s">
        <v>2</v>
      </c>
      <c r="X5096" s="54" t="s">
        <v>2</v>
      </c>
      <c r="Y5096" s="54" t="s">
        <v>2</v>
      </c>
      <c r="Z5096" s="54" t="s">
        <v>2</v>
      </c>
      <c r="AA5096" s="54" t="s">
        <v>2</v>
      </c>
      <c r="AB5096" s="54" t="s">
        <v>2</v>
      </c>
      <c r="AC5096" s="54" t="s">
        <v>2</v>
      </c>
      <c r="AD5096" s="54" t="s">
        <v>2</v>
      </c>
      <c r="AE5096" s="54" t="s">
        <v>2</v>
      </c>
      <c r="AF5096" s="54" t="s">
        <v>2</v>
      </c>
      <c r="AG5096" s="54" t="s">
        <v>2</v>
      </c>
    </row>
    <row r="5097" ht="15.75" customHeight="1">
      <c r="B5097" s="56"/>
      <c r="U5097" s="46" t="str">
        <f t="array" ref="U5097">IF($D5097="","",IFERROR(_xlfn.XLOOKUP($D5097,'TIR店舗一覧'!$D:$D,'TIR店舗一覧'!$E:$E,""),""))</f>
        <v/>
      </c>
      <c r="V5097" s="54" t="s">
        <v>2</v>
      </c>
      <c r="W5097" s="54" t="s">
        <v>2</v>
      </c>
      <c r="X5097" s="54" t="s">
        <v>2</v>
      </c>
      <c r="Y5097" s="54" t="s">
        <v>2</v>
      </c>
      <c r="Z5097" s="54" t="s">
        <v>2</v>
      </c>
      <c r="AA5097" s="54" t="s">
        <v>2</v>
      </c>
      <c r="AB5097" s="54" t="s">
        <v>2</v>
      </c>
      <c r="AC5097" s="54" t="s">
        <v>2</v>
      </c>
      <c r="AD5097" s="54" t="s">
        <v>2</v>
      </c>
      <c r="AE5097" s="54" t="s">
        <v>2</v>
      </c>
      <c r="AF5097" s="54" t="s">
        <v>2</v>
      </c>
      <c r="AG5097" s="54" t="s">
        <v>2</v>
      </c>
    </row>
    <row r="5098" ht="15.75" customHeight="1">
      <c r="B5098" s="56"/>
      <c r="U5098" s="46" t="str">
        <f t="array" ref="U5098">IF($D5098="","",IFERROR(_xlfn.XLOOKUP($D5098,'TIR店舗一覧'!$D:$D,'TIR店舗一覧'!$E:$E,""),""))</f>
        <v/>
      </c>
      <c r="V5098" s="54" t="s">
        <v>2</v>
      </c>
      <c r="W5098" s="54" t="s">
        <v>2</v>
      </c>
      <c r="X5098" s="54" t="s">
        <v>2</v>
      </c>
      <c r="Y5098" s="54" t="s">
        <v>2</v>
      </c>
      <c r="Z5098" s="54" t="s">
        <v>2</v>
      </c>
      <c r="AA5098" s="54" t="s">
        <v>2</v>
      </c>
      <c r="AB5098" s="54" t="s">
        <v>2</v>
      </c>
      <c r="AC5098" s="54" t="s">
        <v>2</v>
      </c>
      <c r="AD5098" s="54" t="s">
        <v>2</v>
      </c>
      <c r="AE5098" s="54" t="s">
        <v>2</v>
      </c>
      <c r="AF5098" s="54" t="s">
        <v>2</v>
      </c>
      <c r="AG5098" s="54" t="s">
        <v>2</v>
      </c>
    </row>
    <row r="5099" ht="15.75" customHeight="1">
      <c r="B5099" s="56"/>
      <c r="U5099" s="46" t="str">
        <f t="array" ref="U5099">IF($D5099="","",IFERROR(_xlfn.XLOOKUP($D5099,'TIR店舗一覧'!$D:$D,'TIR店舗一覧'!$E:$E,""),""))</f>
        <v/>
      </c>
      <c r="V5099" s="54" t="s">
        <v>2</v>
      </c>
      <c r="W5099" s="54" t="s">
        <v>2</v>
      </c>
      <c r="X5099" s="54" t="s">
        <v>2</v>
      </c>
      <c r="Y5099" s="54" t="s">
        <v>2</v>
      </c>
      <c r="Z5099" s="54" t="s">
        <v>2</v>
      </c>
      <c r="AA5099" s="54" t="s">
        <v>2</v>
      </c>
      <c r="AB5099" s="54" t="s">
        <v>2</v>
      </c>
      <c r="AC5099" s="54" t="s">
        <v>2</v>
      </c>
      <c r="AD5099" s="54" t="s">
        <v>2</v>
      </c>
      <c r="AE5099" s="54" t="s">
        <v>2</v>
      </c>
      <c r="AF5099" s="54" t="s">
        <v>2</v>
      </c>
      <c r="AG5099" s="54" t="s">
        <v>2</v>
      </c>
    </row>
    <row r="5100" ht="15.75" customHeight="1">
      <c r="B5100" s="56"/>
      <c r="U5100" s="46" t="str">
        <f t="array" ref="U5100">IF($D5100="","",IFERROR(_xlfn.XLOOKUP($D5100,'TIR店舗一覧'!$D:$D,'TIR店舗一覧'!$E:$E,""),""))</f>
        <v/>
      </c>
      <c r="V5100" s="54" t="s">
        <v>2</v>
      </c>
      <c r="W5100" s="54" t="s">
        <v>2</v>
      </c>
      <c r="X5100" s="54" t="s">
        <v>2</v>
      </c>
      <c r="Y5100" s="54" t="s">
        <v>2</v>
      </c>
      <c r="Z5100" s="54" t="s">
        <v>2</v>
      </c>
      <c r="AA5100" s="54" t="s">
        <v>2</v>
      </c>
      <c r="AB5100" s="54" t="s">
        <v>2</v>
      </c>
      <c r="AC5100" s="54" t="s">
        <v>2</v>
      </c>
      <c r="AD5100" s="54" t="s">
        <v>2</v>
      </c>
      <c r="AE5100" s="54" t="s">
        <v>2</v>
      </c>
      <c r="AF5100" s="54" t="s">
        <v>2</v>
      </c>
      <c r="AG5100" s="54" t="s">
        <v>2</v>
      </c>
    </row>
    <row r="5101" ht="15.75" customHeight="1">
      <c r="B5101" s="56"/>
      <c r="U5101" s="46" t="str">
        <f t="array" ref="U5101">IF($D5101="","",IFERROR(_xlfn.XLOOKUP($D5101,'TIR店舗一覧'!$D:$D,'TIR店舗一覧'!$E:$E,""),""))</f>
        <v/>
      </c>
      <c r="V5101" s="54" t="s">
        <v>2</v>
      </c>
      <c r="W5101" s="54" t="s">
        <v>2</v>
      </c>
      <c r="X5101" s="54" t="s">
        <v>2</v>
      </c>
      <c r="Y5101" s="54" t="s">
        <v>2</v>
      </c>
      <c r="Z5101" s="54" t="s">
        <v>2</v>
      </c>
      <c r="AA5101" s="54" t="s">
        <v>2</v>
      </c>
      <c r="AB5101" s="54" t="s">
        <v>2</v>
      </c>
      <c r="AC5101" s="54" t="s">
        <v>2</v>
      </c>
      <c r="AD5101" s="54" t="s">
        <v>2</v>
      </c>
      <c r="AE5101" s="54" t="s">
        <v>2</v>
      </c>
      <c r="AF5101" s="54" t="s">
        <v>2</v>
      </c>
      <c r="AG5101" s="54" t="s">
        <v>2</v>
      </c>
    </row>
    <row r="5102" ht="15.75" customHeight="1">
      <c r="B5102" s="56"/>
      <c r="U5102" s="46" t="str">
        <f t="array" ref="U5102">IF($D5102="","",IFERROR(_xlfn.XLOOKUP($D5102,'TIR店舗一覧'!$D:$D,'TIR店舗一覧'!$E:$E,""),""))</f>
        <v/>
      </c>
      <c r="V5102" s="54" t="s">
        <v>2</v>
      </c>
      <c r="W5102" s="54" t="s">
        <v>2</v>
      </c>
      <c r="X5102" s="54" t="s">
        <v>2</v>
      </c>
      <c r="Y5102" s="54" t="s">
        <v>2</v>
      </c>
      <c r="Z5102" s="54" t="s">
        <v>2</v>
      </c>
      <c r="AA5102" s="54" t="s">
        <v>2</v>
      </c>
      <c r="AB5102" s="54" t="s">
        <v>2</v>
      </c>
      <c r="AC5102" s="54" t="s">
        <v>2</v>
      </c>
      <c r="AD5102" s="54" t="s">
        <v>2</v>
      </c>
      <c r="AE5102" s="54" t="s">
        <v>2</v>
      </c>
      <c r="AF5102" s="54" t="s">
        <v>2</v>
      </c>
      <c r="AG5102" s="54" t="s">
        <v>2</v>
      </c>
    </row>
    <row r="5103" ht="15.75" customHeight="1">
      <c r="B5103" s="56"/>
      <c r="U5103" s="46" t="str">
        <f t="array" ref="U5103">IF($D5103="","",IFERROR(_xlfn.XLOOKUP($D5103,'TIR店舗一覧'!$D:$D,'TIR店舗一覧'!$E:$E,""),""))</f>
        <v/>
      </c>
      <c r="V5103" s="54" t="s">
        <v>2</v>
      </c>
      <c r="W5103" s="54" t="s">
        <v>2</v>
      </c>
      <c r="X5103" s="54" t="s">
        <v>2</v>
      </c>
      <c r="Y5103" s="54" t="s">
        <v>2</v>
      </c>
      <c r="Z5103" s="54" t="s">
        <v>2</v>
      </c>
      <c r="AA5103" s="54" t="s">
        <v>2</v>
      </c>
      <c r="AB5103" s="54" t="s">
        <v>2</v>
      </c>
      <c r="AC5103" s="54" t="s">
        <v>2</v>
      </c>
      <c r="AD5103" s="54" t="s">
        <v>2</v>
      </c>
      <c r="AE5103" s="54" t="s">
        <v>2</v>
      </c>
      <c r="AF5103" s="54" t="s">
        <v>2</v>
      </c>
      <c r="AG5103" s="54" t="s">
        <v>2</v>
      </c>
    </row>
    <row r="5104" ht="15.75" customHeight="1">
      <c r="B5104" s="56"/>
      <c r="U5104" s="46" t="str">
        <f t="array" ref="U5104">IF($D5104="","",IFERROR(_xlfn.XLOOKUP($D5104,'TIR店舗一覧'!$D:$D,'TIR店舗一覧'!$E:$E,""),""))</f>
        <v/>
      </c>
      <c r="V5104" s="54" t="s">
        <v>2</v>
      </c>
      <c r="W5104" s="54" t="s">
        <v>2</v>
      </c>
      <c r="X5104" s="54" t="s">
        <v>2</v>
      </c>
      <c r="Y5104" s="54" t="s">
        <v>2</v>
      </c>
      <c r="Z5104" s="54" t="s">
        <v>2</v>
      </c>
      <c r="AA5104" s="54" t="s">
        <v>2</v>
      </c>
      <c r="AB5104" s="54" t="s">
        <v>2</v>
      </c>
      <c r="AC5104" s="54" t="s">
        <v>2</v>
      </c>
      <c r="AD5104" s="54" t="s">
        <v>2</v>
      </c>
      <c r="AE5104" s="54" t="s">
        <v>2</v>
      </c>
      <c r="AF5104" s="54" t="s">
        <v>2</v>
      </c>
      <c r="AG5104" s="54" t="s">
        <v>2</v>
      </c>
    </row>
    <row r="5105" ht="15.75" customHeight="1">
      <c r="B5105" s="56"/>
      <c r="U5105" s="46" t="str">
        <f t="array" ref="U5105">IF($D5105="","",IFERROR(_xlfn.XLOOKUP($D5105,'TIR店舗一覧'!$D:$D,'TIR店舗一覧'!$E:$E,""),""))</f>
        <v/>
      </c>
      <c r="V5105" s="54" t="s">
        <v>2</v>
      </c>
      <c r="W5105" s="54" t="s">
        <v>2</v>
      </c>
      <c r="X5105" s="54" t="s">
        <v>2</v>
      </c>
      <c r="Y5105" s="54" t="s">
        <v>2</v>
      </c>
      <c r="Z5105" s="54" t="s">
        <v>2</v>
      </c>
      <c r="AA5105" s="54" t="s">
        <v>2</v>
      </c>
      <c r="AB5105" s="54" t="s">
        <v>2</v>
      </c>
      <c r="AC5105" s="54" t="s">
        <v>2</v>
      </c>
      <c r="AD5105" s="54" t="s">
        <v>2</v>
      </c>
      <c r="AE5105" s="54" t="s">
        <v>2</v>
      </c>
      <c r="AF5105" s="54" t="s">
        <v>2</v>
      </c>
      <c r="AG5105" s="54" t="s">
        <v>2</v>
      </c>
    </row>
    <row r="5106" ht="15.75" customHeight="1">
      <c r="B5106" s="56"/>
      <c r="U5106" s="46" t="str">
        <f t="array" ref="U5106">IF($D5106="","",IFERROR(_xlfn.XLOOKUP($D5106,'TIR店舗一覧'!$D:$D,'TIR店舗一覧'!$E:$E,""),""))</f>
        <v/>
      </c>
      <c r="V5106" s="54" t="s">
        <v>2</v>
      </c>
      <c r="W5106" s="54" t="s">
        <v>2</v>
      </c>
      <c r="X5106" s="54" t="s">
        <v>2</v>
      </c>
      <c r="Y5106" s="54" t="s">
        <v>2</v>
      </c>
      <c r="Z5106" s="54" t="s">
        <v>2</v>
      </c>
      <c r="AA5106" s="54" t="s">
        <v>2</v>
      </c>
      <c r="AB5106" s="54" t="s">
        <v>2</v>
      </c>
      <c r="AC5106" s="54" t="s">
        <v>2</v>
      </c>
      <c r="AD5106" s="54" t="s">
        <v>2</v>
      </c>
      <c r="AE5106" s="54" t="s">
        <v>2</v>
      </c>
      <c r="AF5106" s="54" t="s">
        <v>2</v>
      </c>
      <c r="AG5106" s="54" t="s">
        <v>2</v>
      </c>
    </row>
    <row r="5107" ht="15.75" customHeight="1">
      <c r="B5107" s="56"/>
      <c r="U5107" s="46" t="str">
        <f t="array" ref="U5107">IF($D5107="","",IFERROR(_xlfn.XLOOKUP($D5107,'TIR店舗一覧'!$D:$D,'TIR店舗一覧'!$E:$E,""),""))</f>
        <v/>
      </c>
      <c r="V5107" s="54" t="s">
        <v>2</v>
      </c>
      <c r="W5107" s="54" t="s">
        <v>2</v>
      </c>
      <c r="X5107" s="54" t="s">
        <v>2</v>
      </c>
      <c r="Y5107" s="54" t="s">
        <v>2</v>
      </c>
      <c r="Z5107" s="54" t="s">
        <v>2</v>
      </c>
      <c r="AA5107" s="54" t="s">
        <v>2</v>
      </c>
      <c r="AB5107" s="54" t="s">
        <v>2</v>
      </c>
      <c r="AC5107" s="54" t="s">
        <v>2</v>
      </c>
      <c r="AD5107" s="54" t="s">
        <v>2</v>
      </c>
      <c r="AE5107" s="54" t="s">
        <v>2</v>
      </c>
      <c r="AF5107" s="54" t="s">
        <v>2</v>
      </c>
      <c r="AG5107" s="54" t="s">
        <v>2</v>
      </c>
    </row>
    <row r="5108" ht="15.75" customHeight="1">
      <c r="B5108" s="56"/>
      <c r="U5108" s="46" t="str">
        <f t="array" ref="U5108">IF($D5108="","",IFERROR(_xlfn.XLOOKUP($D5108,'TIR店舗一覧'!$D:$D,'TIR店舗一覧'!$E:$E,""),""))</f>
        <v/>
      </c>
      <c r="V5108" s="54" t="s">
        <v>2</v>
      </c>
      <c r="W5108" s="54" t="s">
        <v>2</v>
      </c>
      <c r="X5108" s="54" t="s">
        <v>2</v>
      </c>
      <c r="Y5108" s="54" t="s">
        <v>2</v>
      </c>
      <c r="Z5108" s="54" t="s">
        <v>2</v>
      </c>
      <c r="AA5108" s="54" t="s">
        <v>2</v>
      </c>
      <c r="AB5108" s="54" t="s">
        <v>2</v>
      </c>
      <c r="AC5108" s="54" t="s">
        <v>2</v>
      </c>
      <c r="AD5108" s="54" t="s">
        <v>2</v>
      </c>
      <c r="AE5108" s="54" t="s">
        <v>2</v>
      </c>
      <c r="AF5108" s="54" t="s">
        <v>2</v>
      </c>
      <c r="AG5108" s="54" t="s">
        <v>2</v>
      </c>
    </row>
    <row r="5109" ht="15.75" customHeight="1">
      <c r="B5109" s="56"/>
      <c r="U5109" s="46" t="str">
        <f t="array" ref="U5109">IF($D5109="","",IFERROR(_xlfn.XLOOKUP($D5109,'TIR店舗一覧'!$D:$D,'TIR店舗一覧'!$E:$E,""),""))</f>
        <v/>
      </c>
      <c r="V5109" s="54" t="s">
        <v>2</v>
      </c>
      <c r="W5109" s="54" t="s">
        <v>2</v>
      </c>
      <c r="X5109" s="54" t="s">
        <v>2</v>
      </c>
      <c r="Y5109" s="54" t="s">
        <v>2</v>
      </c>
      <c r="Z5109" s="54" t="s">
        <v>2</v>
      </c>
      <c r="AA5109" s="54" t="s">
        <v>2</v>
      </c>
      <c r="AB5109" s="54" t="s">
        <v>2</v>
      </c>
      <c r="AC5109" s="54" t="s">
        <v>2</v>
      </c>
      <c r="AD5109" s="54" t="s">
        <v>2</v>
      </c>
      <c r="AE5109" s="54" t="s">
        <v>2</v>
      </c>
      <c r="AF5109" s="54" t="s">
        <v>2</v>
      </c>
      <c r="AG5109" s="54" t="s">
        <v>2</v>
      </c>
    </row>
    <row r="5110" ht="15.75" customHeight="1">
      <c r="B5110" s="56"/>
      <c r="U5110" s="46" t="str">
        <f t="array" ref="U5110">IF($D5110="","",IFERROR(_xlfn.XLOOKUP($D5110,'TIR店舗一覧'!$D:$D,'TIR店舗一覧'!$E:$E,""),""))</f>
        <v/>
      </c>
      <c r="V5110" s="54" t="s">
        <v>2</v>
      </c>
      <c r="W5110" s="54" t="s">
        <v>2</v>
      </c>
      <c r="X5110" s="54" t="s">
        <v>2</v>
      </c>
      <c r="Y5110" s="54" t="s">
        <v>2</v>
      </c>
      <c r="Z5110" s="54" t="s">
        <v>2</v>
      </c>
      <c r="AA5110" s="54" t="s">
        <v>2</v>
      </c>
      <c r="AB5110" s="54" t="s">
        <v>2</v>
      </c>
      <c r="AC5110" s="54" t="s">
        <v>2</v>
      </c>
      <c r="AD5110" s="54" t="s">
        <v>2</v>
      </c>
      <c r="AE5110" s="54" t="s">
        <v>2</v>
      </c>
      <c r="AF5110" s="54" t="s">
        <v>2</v>
      </c>
      <c r="AG5110" s="54" t="s">
        <v>2</v>
      </c>
    </row>
    <row r="5111" ht="15.75" customHeight="1">
      <c r="B5111" s="56"/>
      <c r="U5111" s="46" t="str">
        <f t="array" ref="U5111">IF($D5111="","",IFERROR(_xlfn.XLOOKUP($D5111,'TIR店舗一覧'!$D:$D,'TIR店舗一覧'!$E:$E,""),""))</f>
        <v/>
      </c>
      <c r="V5111" s="54" t="s">
        <v>2</v>
      </c>
      <c r="W5111" s="54" t="s">
        <v>2</v>
      </c>
      <c r="X5111" s="54" t="s">
        <v>2</v>
      </c>
      <c r="Y5111" s="54" t="s">
        <v>2</v>
      </c>
      <c r="Z5111" s="54" t="s">
        <v>2</v>
      </c>
      <c r="AA5111" s="54" t="s">
        <v>2</v>
      </c>
      <c r="AB5111" s="54" t="s">
        <v>2</v>
      </c>
      <c r="AC5111" s="54" t="s">
        <v>2</v>
      </c>
      <c r="AD5111" s="54" t="s">
        <v>2</v>
      </c>
      <c r="AE5111" s="54" t="s">
        <v>2</v>
      </c>
      <c r="AF5111" s="54" t="s">
        <v>2</v>
      </c>
      <c r="AG5111" s="54" t="s">
        <v>2</v>
      </c>
    </row>
    <row r="5112" ht="15.75" customHeight="1">
      <c r="B5112" s="56"/>
      <c r="U5112" s="46" t="str">
        <f t="array" ref="U5112">IF($D5112="","",IFERROR(_xlfn.XLOOKUP($D5112,'TIR店舗一覧'!$D:$D,'TIR店舗一覧'!$E:$E,""),""))</f>
        <v/>
      </c>
      <c r="V5112" s="54" t="s">
        <v>2</v>
      </c>
      <c r="W5112" s="54" t="s">
        <v>2</v>
      </c>
      <c r="X5112" s="54" t="s">
        <v>2</v>
      </c>
      <c r="Y5112" s="54" t="s">
        <v>2</v>
      </c>
      <c r="Z5112" s="54" t="s">
        <v>2</v>
      </c>
      <c r="AA5112" s="54" t="s">
        <v>2</v>
      </c>
      <c r="AB5112" s="54" t="s">
        <v>2</v>
      </c>
      <c r="AC5112" s="54" t="s">
        <v>2</v>
      </c>
      <c r="AD5112" s="54" t="s">
        <v>2</v>
      </c>
      <c r="AE5112" s="54" t="s">
        <v>2</v>
      </c>
      <c r="AF5112" s="54" t="s">
        <v>2</v>
      </c>
      <c r="AG5112" s="54" t="s">
        <v>2</v>
      </c>
    </row>
    <row r="5113" ht="15.75" customHeight="1">
      <c r="B5113" s="56"/>
      <c r="U5113" s="46" t="str">
        <f t="array" ref="U5113">IF($D5113="","",IFERROR(_xlfn.XLOOKUP($D5113,'TIR店舗一覧'!$D:$D,'TIR店舗一覧'!$E:$E,""),""))</f>
        <v/>
      </c>
      <c r="V5113" s="54" t="s">
        <v>2</v>
      </c>
      <c r="W5113" s="54" t="s">
        <v>2</v>
      </c>
      <c r="X5113" s="54" t="s">
        <v>2</v>
      </c>
      <c r="Y5113" s="54" t="s">
        <v>2</v>
      </c>
      <c r="Z5113" s="54" t="s">
        <v>2</v>
      </c>
      <c r="AA5113" s="54" t="s">
        <v>2</v>
      </c>
      <c r="AB5113" s="54" t="s">
        <v>2</v>
      </c>
      <c r="AC5113" s="54" t="s">
        <v>2</v>
      </c>
      <c r="AD5113" s="54" t="s">
        <v>2</v>
      </c>
      <c r="AE5113" s="54" t="s">
        <v>2</v>
      </c>
      <c r="AF5113" s="54" t="s">
        <v>2</v>
      </c>
      <c r="AG5113" s="54" t="s">
        <v>2</v>
      </c>
    </row>
    <row r="5114" ht="15.75" customHeight="1">
      <c r="B5114" s="56"/>
      <c r="U5114" s="46" t="str">
        <f t="array" ref="U5114">IF($D5114="","",IFERROR(_xlfn.XLOOKUP($D5114,'TIR店舗一覧'!$D:$D,'TIR店舗一覧'!$E:$E,""),""))</f>
        <v/>
      </c>
      <c r="V5114" s="54" t="s">
        <v>2</v>
      </c>
      <c r="W5114" s="54" t="s">
        <v>2</v>
      </c>
      <c r="X5114" s="54" t="s">
        <v>2</v>
      </c>
      <c r="Y5114" s="54" t="s">
        <v>2</v>
      </c>
      <c r="Z5114" s="54" t="s">
        <v>2</v>
      </c>
      <c r="AA5114" s="54" t="s">
        <v>2</v>
      </c>
      <c r="AB5114" s="54" t="s">
        <v>2</v>
      </c>
      <c r="AC5114" s="54" t="s">
        <v>2</v>
      </c>
      <c r="AD5114" s="54" t="s">
        <v>2</v>
      </c>
      <c r="AE5114" s="54" t="s">
        <v>2</v>
      </c>
      <c r="AF5114" s="54" t="s">
        <v>2</v>
      </c>
      <c r="AG5114" s="54" t="s">
        <v>2</v>
      </c>
    </row>
    <row r="5115" ht="15.75" customHeight="1">
      <c r="B5115" s="56"/>
      <c r="U5115" s="46" t="str">
        <f t="array" ref="U5115">IF($D5115="","",IFERROR(_xlfn.XLOOKUP($D5115,'TIR店舗一覧'!$D:$D,'TIR店舗一覧'!$E:$E,""),""))</f>
        <v/>
      </c>
      <c r="V5115" s="54" t="s">
        <v>2</v>
      </c>
      <c r="W5115" s="54" t="s">
        <v>2</v>
      </c>
      <c r="X5115" s="54" t="s">
        <v>2</v>
      </c>
      <c r="Y5115" s="54" t="s">
        <v>2</v>
      </c>
      <c r="Z5115" s="54" t="s">
        <v>2</v>
      </c>
      <c r="AA5115" s="54" t="s">
        <v>2</v>
      </c>
      <c r="AB5115" s="54" t="s">
        <v>2</v>
      </c>
      <c r="AC5115" s="54" t="s">
        <v>2</v>
      </c>
      <c r="AD5115" s="54" t="s">
        <v>2</v>
      </c>
      <c r="AE5115" s="54" t="s">
        <v>2</v>
      </c>
      <c r="AF5115" s="54" t="s">
        <v>2</v>
      </c>
      <c r="AG5115" s="54" t="s">
        <v>2</v>
      </c>
    </row>
    <row r="5116" ht="15.75" customHeight="1">
      <c r="B5116" s="56"/>
      <c r="U5116" s="46" t="str">
        <f t="array" ref="U5116">IF($D5116="","",IFERROR(_xlfn.XLOOKUP($D5116,'TIR店舗一覧'!$D:$D,'TIR店舗一覧'!$E:$E,""),""))</f>
        <v/>
      </c>
      <c r="V5116" s="54" t="s">
        <v>2</v>
      </c>
      <c r="W5116" s="54" t="s">
        <v>2</v>
      </c>
      <c r="X5116" s="54" t="s">
        <v>2</v>
      </c>
      <c r="Y5116" s="54" t="s">
        <v>2</v>
      </c>
      <c r="Z5116" s="54" t="s">
        <v>2</v>
      </c>
      <c r="AA5116" s="54" t="s">
        <v>2</v>
      </c>
      <c r="AB5116" s="54" t="s">
        <v>2</v>
      </c>
      <c r="AC5116" s="54" t="s">
        <v>2</v>
      </c>
      <c r="AD5116" s="54" t="s">
        <v>2</v>
      </c>
      <c r="AE5116" s="54" t="s">
        <v>2</v>
      </c>
      <c r="AF5116" s="54" t="s">
        <v>2</v>
      </c>
      <c r="AG5116" s="54" t="s">
        <v>2</v>
      </c>
    </row>
    <row r="5117" ht="15.75" customHeight="1">
      <c r="B5117" s="56"/>
      <c r="U5117" s="46" t="str">
        <f t="array" ref="U5117">IF($D5117="","",IFERROR(_xlfn.XLOOKUP($D5117,'TIR店舗一覧'!$D:$D,'TIR店舗一覧'!$E:$E,""),""))</f>
        <v/>
      </c>
      <c r="V5117" s="54" t="s">
        <v>2</v>
      </c>
      <c r="W5117" s="54" t="s">
        <v>2</v>
      </c>
      <c r="X5117" s="54" t="s">
        <v>2</v>
      </c>
      <c r="Y5117" s="54" t="s">
        <v>2</v>
      </c>
      <c r="Z5117" s="54" t="s">
        <v>2</v>
      </c>
      <c r="AA5117" s="54" t="s">
        <v>2</v>
      </c>
      <c r="AB5117" s="54" t="s">
        <v>2</v>
      </c>
      <c r="AC5117" s="54" t="s">
        <v>2</v>
      </c>
      <c r="AD5117" s="54" t="s">
        <v>2</v>
      </c>
      <c r="AE5117" s="54" t="s">
        <v>2</v>
      </c>
      <c r="AF5117" s="54" t="s">
        <v>2</v>
      </c>
      <c r="AG5117" s="54" t="s">
        <v>2</v>
      </c>
    </row>
    <row r="5118" ht="15.75" customHeight="1">
      <c r="B5118" s="56"/>
      <c r="U5118" s="46" t="str">
        <f t="array" ref="U5118">IF($D5118="","",IFERROR(_xlfn.XLOOKUP($D5118,'TIR店舗一覧'!$D:$D,'TIR店舗一覧'!$E:$E,""),""))</f>
        <v/>
      </c>
      <c r="V5118" s="54" t="s">
        <v>2</v>
      </c>
      <c r="W5118" s="54" t="s">
        <v>2</v>
      </c>
      <c r="X5118" s="54" t="s">
        <v>2</v>
      </c>
      <c r="Y5118" s="54" t="s">
        <v>2</v>
      </c>
      <c r="Z5118" s="54" t="s">
        <v>2</v>
      </c>
      <c r="AA5118" s="54" t="s">
        <v>2</v>
      </c>
      <c r="AB5118" s="54" t="s">
        <v>2</v>
      </c>
      <c r="AC5118" s="54" t="s">
        <v>2</v>
      </c>
      <c r="AD5118" s="54" t="s">
        <v>2</v>
      </c>
      <c r="AE5118" s="54" t="s">
        <v>2</v>
      </c>
      <c r="AF5118" s="54" t="s">
        <v>2</v>
      </c>
      <c r="AG5118" s="54" t="s">
        <v>2</v>
      </c>
    </row>
    <row r="5119" ht="15.75" customHeight="1">
      <c r="B5119" s="56"/>
      <c r="U5119" s="46" t="str">
        <f t="array" ref="U5119">IF($D5119="","",IFERROR(_xlfn.XLOOKUP($D5119,'TIR店舗一覧'!$D:$D,'TIR店舗一覧'!$E:$E,""),""))</f>
        <v/>
      </c>
      <c r="V5119" s="54" t="s">
        <v>2</v>
      </c>
      <c r="W5119" s="54" t="s">
        <v>2</v>
      </c>
      <c r="X5119" s="54" t="s">
        <v>2</v>
      </c>
      <c r="Y5119" s="54" t="s">
        <v>2</v>
      </c>
      <c r="Z5119" s="54" t="s">
        <v>2</v>
      </c>
      <c r="AA5119" s="54" t="s">
        <v>2</v>
      </c>
      <c r="AB5119" s="54" t="s">
        <v>2</v>
      </c>
      <c r="AC5119" s="54" t="s">
        <v>2</v>
      </c>
      <c r="AD5119" s="54" t="s">
        <v>2</v>
      </c>
      <c r="AE5119" s="54" t="s">
        <v>2</v>
      </c>
      <c r="AF5119" s="54" t="s">
        <v>2</v>
      </c>
      <c r="AG5119" s="54" t="s">
        <v>2</v>
      </c>
    </row>
    <row r="5120" ht="15.75" customHeight="1">
      <c r="B5120" s="56"/>
      <c r="U5120" s="46" t="str">
        <f t="array" ref="U5120">IF($D5120="","",IFERROR(_xlfn.XLOOKUP($D5120,'TIR店舗一覧'!$D:$D,'TIR店舗一覧'!$E:$E,""),""))</f>
        <v/>
      </c>
      <c r="V5120" s="54" t="s">
        <v>2</v>
      </c>
      <c r="W5120" s="54" t="s">
        <v>2</v>
      </c>
      <c r="X5120" s="54" t="s">
        <v>2</v>
      </c>
      <c r="Y5120" s="54" t="s">
        <v>2</v>
      </c>
      <c r="Z5120" s="54" t="s">
        <v>2</v>
      </c>
      <c r="AA5120" s="54" t="s">
        <v>2</v>
      </c>
      <c r="AB5120" s="54" t="s">
        <v>2</v>
      </c>
      <c r="AC5120" s="54" t="s">
        <v>2</v>
      </c>
      <c r="AD5120" s="54" t="s">
        <v>2</v>
      </c>
      <c r="AE5120" s="54" t="s">
        <v>2</v>
      </c>
      <c r="AF5120" s="54" t="s">
        <v>2</v>
      </c>
      <c r="AG5120" s="54" t="s">
        <v>2</v>
      </c>
    </row>
    <row r="5121" ht="15.75" customHeight="1">
      <c r="B5121" s="56"/>
      <c r="U5121" s="46" t="str">
        <f t="array" ref="U5121">IF($D5121="","",IFERROR(_xlfn.XLOOKUP($D5121,'TIR店舗一覧'!$D:$D,'TIR店舗一覧'!$E:$E,""),""))</f>
        <v/>
      </c>
      <c r="V5121" s="54" t="s">
        <v>2</v>
      </c>
      <c r="W5121" s="54" t="s">
        <v>2</v>
      </c>
      <c r="X5121" s="54" t="s">
        <v>2</v>
      </c>
      <c r="Y5121" s="54" t="s">
        <v>2</v>
      </c>
      <c r="Z5121" s="54" t="s">
        <v>2</v>
      </c>
      <c r="AA5121" s="54" t="s">
        <v>2</v>
      </c>
      <c r="AB5121" s="54" t="s">
        <v>2</v>
      </c>
      <c r="AC5121" s="54" t="s">
        <v>2</v>
      </c>
      <c r="AD5121" s="54" t="s">
        <v>2</v>
      </c>
      <c r="AE5121" s="54" t="s">
        <v>2</v>
      </c>
      <c r="AF5121" s="54" t="s">
        <v>2</v>
      </c>
      <c r="AG5121" s="54" t="s">
        <v>2</v>
      </c>
    </row>
    <row r="5122" ht="15.75" customHeight="1">
      <c r="B5122" s="56"/>
      <c r="U5122" s="46" t="str">
        <f t="array" ref="U5122">IF($D5122="","",IFERROR(_xlfn.XLOOKUP($D5122,'TIR店舗一覧'!$D:$D,'TIR店舗一覧'!$E:$E,""),""))</f>
        <v/>
      </c>
      <c r="V5122" s="54" t="s">
        <v>2</v>
      </c>
      <c r="W5122" s="54" t="s">
        <v>2</v>
      </c>
      <c r="X5122" s="54" t="s">
        <v>2</v>
      </c>
      <c r="Y5122" s="54" t="s">
        <v>2</v>
      </c>
      <c r="Z5122" s="54" t="s">
        <v>2</v>
      </c>
      <c r="AA5122" s="54" t="s">
        <v>2</v>
      </c>
      <c r="AB5122" s="54" t="s">
        <v>2</v>
      </c>
      <c r="AC5122" s="54" t="s">
        <v>2</v>
      </c>
      <c r="AD5122" s="54" t="s">
        <v>2</v>
      </c>
      <c r="AE5122" s="54" t="s">
        <v>2</v>
      </c>
      <c r="AF5122" s="54" t="s">
        <v>2</v>
      </c>
      <c r="AG5122" s="54" t="s">
        <v>2</v>
      </c>
    </row>
    <row r="5123" ht="15.75" customHeight="1">
      <c r="B5123" s="56"/>
      <c r="U5123" s="46" t="str">
        <f t="array" ref="U5123">IF($D5123="","",IFERROR(_xlfn.XLOOKUP($D5123,'TIR店舗一覧'!$D:$D,'TIR店舗一覧'!$E:$E,""),""))</f>
        <v/>
      </c>
      <c r="V5123" s="54" t="s">
        <v>2</v>
      </c>
      <c r="W5123" s="54" t="s">
        <v>2</v>
      </c>
      <c r="X5123" s="54" t="s">
        <v>2</v>
      </c>
      <c r="Y5123" s="54" t="s">
        <v>2</v>
      </c>
      <c r="Z5123" s="54" t="s">
        <v>2</v>
      </c>
      <c r="AA5123" s="54" t="s">
        <v>2</v>
      </c>
      <c r="AB5123" s="54" t="s">
        <v>2</v>
      </c>
      <c r="AC5123" s="54" t="s">
        <v>2</v>
      </c>
      <c r="AD5123" s="54" t="s">
        <v>2</v>
      </c>
      <c r="AE5123" s="54" t="s">
        <v>2</v>
      </c>
      <c r="AF5123" s="54" t="s">
        <v>2</v>
      </c>
      <c r="AG5123" s="54" t="s">
        <v>2</v>
      </c>
    </row>
    <row r="5124" ht="15.75" customHeight="1">
      <c r="B5124" s="56"/>
      <c r="U5124" s="46" t="str">
        <f t="array" ref="U5124">IF($D5124="","",IFERROR(_xlfn.XLOOKUP($D5124,'TIR店舗一覧'!$D:$D,'TIR店舗一覧'!$E:$E,""),""))</f>
        <v/>
      </c>
      <c r="V5124" s="54" t="s">
        <v>2</v>
      </c>
      <c r="W5124" s="54" t="s">
        <v>2</v>
      </c>
      <c r="X5124" s="54" t="s">
        <v>2</v>
      </c>
      <c r="Y5124" s="54" t="s">
        <v>2</v>
      </c>
      <c r="Z5124" s="54" t="s">
        <v>2</v>
      </c>
      <c r="AA5124" s="54" t="s">
        <v>2</v>
      </c>
      <c r="AB5124" s="54" t="s">
        <v>2</v>
      </c>
      <c r="AC5124" s="54" t="s">
        <v>2</v>
      </c>
      <c r="AD5124" s="54" t="s">
        <v>2</v>
      </c>
      <c r="AE5124" s="54" t="s">
        <v>2</v>
      </c>
      <c r="AF5124" s="54" t="s">
        <v>2</v>
      </c>
      <c r="AG5124" s="54" t="s">
        <v>2</v>
      </c>
    </row>
    <row r="5125" ht="15.75" customHeight="1">
      <c r="B5125" s="56"/>
      <c r="U5125" s="46" t="str">
        <f t="array" ref="U5125">IF($D5125="","",IFERROR(_xlfn.XLOOKUP($D5125,'TIR店舗一覧'!$D:$D,'TIR店舗一覧'!$E:$E,""),""))</f>
        <v/>
      </c>
      <c r="V5125" s="54" t="s">
        <v>2</v>
      </c>
      <c r="W5125" s="54" t="s">
        <v>2</v>
      </c>
      <c r="X5125" s="54" t="s">
        <v>2</v>
      </c>
      <c r="Y5125" s="54" t="s">
        <v>2</v>
      </c>
      <c r="Z5125" s="54" t="s">
        <v>2</v>
      </c>
      <c r="AA5125" s="54" t="s">
        <v>2</v>
      </c>
      <c r="AB5125" s="54" t="s">
        <v>2</v>
      </c>
      <c r="AC5125" s="54" t="s">
        <v>2</v>
      </c>
      <c r="AD5125" s="54" t="s">
        <v>2</v>
      </c>
      <c r="AE5125" s="54" t="s">
        <v>2</v>
      </c>
      <c r="AF5125" s="54" t="s">
        <v>2</v>
      </c>
      <c r="AG5125" s="54" t="s">
        <v>2</v>
      </c>
    </row>
    <row r="5126" ht="15.75" customHeight="1">
      <c r="B5126" s="56"/>
      <c r="U5126" s="46" t="str">
        <f t="array" ref="U5126">IF($D5126="","",IFERROR(_xlfn.XLOOKUP($D5126,'TIR店舗一覧'!$D:$D,'TIR店舗一覧'!$E:$E,""),""))</f>
        <v/>
      </c>
      <c r="V5126" s="54" t="s">
        <v>2</v>
      </c>
      <c r="W5126" s="54" t="s">
        <v>2</v>
      </c>
      <c r="X5126" s="54" t="s">
        <v>2</v>
      </c>
      <c r="Y5126" s="54" t="s">
        <v>2</v>
      </c>
      <c r="Z5126" s="54" t="s">
        <v>2</v>
      </c>
      <c r="AA5126" s="54" t="s">
        <v>2</v>
      </c>
      <c r="AB5126" s="54" t="s">
        <v>2</v>
      </c>
      <c r="AC5126" s="54" t="s">
        <v>2</v>
      </c>
      <c r="AD5126" s="54" t="s">
        <v>2</v>
      </c>
      <c r="AE5126" s="54" t="s">
        <v>2</v>
      </c>
      <c r="AF5126" s="54" t="s">
        <v>2</v>
      </c>
      <c r="AG5126" s="54" t="s">
        <v>2</v>
      </c>
    </row>
    <row r="5127" ht="15.75" customHeight="1">
      <c r="B5127" s="56"/>
      <c r="U5127" s="46" t="str">
        <f t="array" ref="U5127">IF($D5127="","",IFERROR(_xlfn.XLOOKUP($D5127,'TIR店舗一覧'!$D:$D,'TIR店舗一覧'!$E:$E,""),""))</f>
        <v/>
      </c>
      <c r="V5127" s="54" t="s">
        <v>2</v>
      </c>
      <c r="W5127" s="54" t="s">
        <v>2</v>
      </c>
      <c r="X5127" s="54" t="s">
        <v>2</v>
      </c>
      <c r="Y5127" s="54" t="s">
        <v>2</v>
      </c>
      <c r="Z5127" s="54" t="s">
        <v>2</v>
      </c>
      <c r="AA5127" s="54" t="s">
        <v>2</v>
      </c>
      <c r="AB5127" s="54" t="s">
        <v>2</v>
      </c>
      <c r="AC5127" s="54" t="s">
        <v>2</v>
      </c>
      <c r="AD5127" s="54" t="s">
        <v>2</v>
      </c>
      <c r="AE5127" s="54" t="s">
        <v>2</v>
      </c>
      <c r="AF5127" s="54" t="s">
        <v>2</v>
      </c>
      <c r="AG5127" s="54" t="s">
        <v>2</v>
      </c>
    </row>
    <row r="5128" ht="15.75" customHeight="1">
      <c r="B5128" s="56"/>
      <c r="U5128" s="46" t="str">
        <f t="array" ref="U5128">IF($D5128="","",IFERROR(_xlfn.XLOOKUP($D5128,'TIR店舗一覧'!$D:$D,'TIR店舗一覧'!$E:$E,""),""))</f>
        <v/>
      </c>
      <c r="V5128" s="54" t="s">
        <v>2</v>
      </c>
      <c r="W5128" s="54" t="s">
        <v>2</v>
      </c>
      <c r="X5128" s="54" t="s">
        <v>2</v>
      </c>
      <c r="Y5128" s="54" t="s">
        <v>2</v>
      </c>
      <c r="Z5128" s="54" t="s">
        <v>2</v>
      </c>
      <c r="AA5128" s="54" t="s">
        <v>2</v>
      </c>
      <c r="AB5128" s="54" t="s">
        <v>2</v>
      </c>
      <c r="AC5128" s="54" t="s">
        <v>2</v>
      </c>
      <c r="AD5128" s="54" t="s">
        <v>2</v>
      </c>
      <c r="AE5128" s="54" t="s">
        <v>2</v>
      </c>
      <c r="AF5128" s="54" t="s">
        <v>2</v>
      </c>
      <c r="AG5128" s="54" t="s">
        <v>2</v>
      </c>
    </row>
    <row r="5129" ht="15.75" customHeight="1">
      <c r="B5129" s="56"/>
      <c r="U5129" s="46" t="str">
        <f t="array" ref="U5129">IF($D5129="","",IFERROR(_xlfn.XLOOKUP($D5129,'TIR店舗一覧'!$D:$D,'TIR店舗一覧'!$E:$E,""),""))</f>
        <v/>
      </c>
      <c r="V5129" s="54" t="s">
        <v>2</v>
      </c>
      <c r="W5129" s="54" t="s">
        <v>2</v>
      </c>
      <c r="X5129" s="54" t="s">
        <v>2</v>
      </c>
      <c r="Y5129" s="54" t="s">
        <v>2</v>
      </c>
      <c r="Z5129" s="54" t="s">
        <v>2</v>
      </c>
      <c r="AA5129" s="54" t="s">
        <v>2</v>
      </c>
      <c r="AB5129" s="54" t="s">
        <v>2</v>
      </c>
      <c r="AC5129" s="54" t="s">
        <v>2</v>
      </c>
      <c r="AD5129" s="54" t="s">
        <v>2</v>
      </c>
      <c r="AE5129" s="54" t="s">
        <v>2</v>
      </c>
      <c r="AF5129" s="54" t="s">
        <v>2</v>
      </c>
      <c r="AG5129" s="54" t="s">
        <v>2</v>
      </c>
    </row>
    <row r="5130" ht="15.75" customHeight="1">
      <c r="B5130" s="56"/>
      <c r="U5130" s="46" t="str">
        <f t="array" ref="U5130">IF($D5130="","",IFERROR(_xlfn.XLOOKUP($D5130,'TIR店舗一覧'!$D:$D,'TIR店舗一覧'!$E:$E,""),""))</f>
        <v/>
      </c>
      <c r="V5130" s="54" t="s">
        <v>2</v>
      </c>
      <c r="W5130" s="54" t="s">
        <v>2</v>
      </c>
      <c r="X5130" s="54" t="s">
        <v>2</v>
      </c>
      <c r="Y5130" s="54" t="s">
        <v>2</v>
      </c>
      <c r="Z5130" s="54" t="s">
        <v>2</v>
      </c>
      <c r="AA5130" s="54" t="s">
        <v>2</v>
      </c>
      <c r="AB5130" s="54" t="s">
        <v>2</v>
      </c>
      <c r="AC5130" s="54" t="s">
        <v>2</v>
      </c>
      <c r="AD5130" s="54" t="s">
        <v>2</v>
      </c>
      <c r="AE5130" s="54" t="s">
        <v>2</v>
      </c>
      <c r="AF5130" s="54" t="s">
        <v>2</v>
      </c>
      <c r="AG5130" s="54" t="s">
        <v>2</v>
      </c>
    </row>
    <row r="5131" ht="15.75" customHeight="1">
      <c r="B5131" s="56"/>
      <c r="U5131" s="46" t="str">
        <f t="array" ref="U5131">IF($D5131="","",IFERROR(_xlfn.XLOOKUP($D5131,'TIR店舗一覧'!$D:$D,'TIR店舗一覧'!$E:$E,""),""))</f>
        <v/>
      </c>
      <c r="V5131" s="54" t="s">
        <v>2</v>
      </c>
      <c r="W5131" s="54" t="s">
        <v>2</v>
      </c>
      <c r="X5131" s="54" t="s">
        <v>2</v>
      </c>
      <c r="Y5131" s="54" t="s">
        <v>2</v>
      </c>
      <c r="Z5131" s="54" t="s">
        <v>2</v>
      </c>
      <c r="AA5131" s="54" t="s">
        <v>2</v>
      </c>
      <c r="AB5131" s="54" t="s">
        <v>2</v>
      </c>
      <c r="AC5131" s="54" t="s">
        <v>2</v>
      </c>
      <c r="AD5131" s="54" t="s">
        <v>2</v>
      </c>
      <c r="AE5131" s="54" t="s">
        <v>2</v>
      </c>
      <c r="AF5131" s="54" t="s">
        <v>2</v>
      </c>
      <c r="AG5131" s="54" t="s">
        <v>2</v>
      </c>
    </row>
    <row r="5132" ht="15.75" customHeight="1">
      <c r="B5132" s="56"/>
      <c r="U5132" s="46" t="str">
        <f t="array" ref="U5132">IF($D5132="","",IFERROR(_xlfn.XLOOKUP($D5132,'TIR店舗一覧'!$D:$D,'TIR店舗一覧'!$E:$E,""),""))</f>
        <v/>
      </c>
      <c r="V5132" s="54" t="s">
        <v>2</v>
      </c>
      <c r="W5132" s="54" t="s">
        <v>2</v>
      </c>
      <c r="X5132" s="54" t="s">
        <v>2</v>
      </c>
      <c r="Y5132" s="54" t="s">
        <v>2</v>
      </c>
      <c r="Z5132" s="54" t="s">
        <v>2</v>
      </c>
      <c r="AA5132" s="54" t="s">
        <v>2</v>
      </c>
      <c r="AB5132" s="54" t="s">
        <v>2</v>
      </c>
      <c r="AC5132" s="54" t="s">
        <v>2</v>
      </c>
      <c r="AD5132" s="54" t="s">
        <v>2</v>
      </c>
      <c r="AE5132" s="54" t="s">
        <v>2</v>
      </c>
      <c r="AF5132" s="54" t="s">
        <v>2</v>
      </c>
      <c r="AG5132" s="54" t="s">
        <v>2</v>
      </c>
    </row>
    <row r="5133" ht="15.75" customHeight="1">
      <c r="B5133" s="56"/>
      <c r="U5133" s="46" t="str">
        <f t="array" ref="U5133">IF($D5133="","",IFERROR(_xlfn.XLOOKUP($D5133,'TIR店舗一覧'!$D:$D,'TIR店舗一覧'!$E:$E,""),""))</f>
        <v/>
      </c>
      <c r="V5133" s="54" t="s">
        <v>2</v>
      </c>
      <c r="W5133" s="54" t="s">
        <v>2</v>
      </c>
      <c r="X5133" s="54" t="s">
        <v>2</v>
      </c>
      <c r="Y5133" s="54" t="s">
        <v>2</v>
      </c>
      <c r="Z5133" s="54" t="s">
        <v>2</v>
      </c>
      <c r="AA5133" s="54" t="s">
        <v>2</v>
      </c>
      <c r="AB5133" s="54" t="s">
        <v>2</v>
      </c>
      <c r="AC5133" s="54" t="s">
        <v>2</v>
      </c>
      <c r="AD5133" s="54" t="s">
        <v>2</v>
      </c>
      <c r="AE5133" s="54" t="s">
        <v>2</v>
      </c>
      <c r="AF5133" s="54" t="s">
        <v>2</v>
      </c>
      <c r="AG5133" s="54" t="s">
        <v>2</v>
      </c>
    </row>
    <row r="5134" ht="15.75" customHeight="1">
      <c r="B5134" s="56"/>
      <c r="U5134" s="46" t="str">
        <f t="array" ref="U5134">IF($D5134="","",IFERROR(_xlfn.XLOOKUP($D5134,'TIR店舗一覧'!$D:$D,'TIR店舗一覧'!$E:$E,""),""))</f>
        <v/>
      </c>
      <c r="V5134" s="54" t="s">
        <v>2</v>
      </c>
      <c r="W5134" s="54" t="s">
        <v>2</v>
      </c>
      <c r="X5134" s="54" t="s">
        <v>2</v>
      </c>
      <c r="Y5134" s="54" t="s">
        <v>2</v>
      </c>
      <c r="Z5134" s="54" t="s">
        <v>2</v>
      </c>
      <c r="AA5134" s="54" t="s">
        <v>2</v>
      </c>
      <c r="AB5134" s="54" t="s">
        <v>2</v>
      </c>
      <c r="AC5134" s="54" t="s">
        <v>2</v>
      </c>
      <c r="AD5134" s="54" t="s">
        <v>2</v>
      </c>
      <c r="AE5134" s="54" t="s">
        <v>2</v>
      </c>
      <c r="AF5134" s="54" t="s">
        <v>2</v>
      </c>
      <c r="AG5134" s="54" t="s">
        <v>2</v>
      </c>
    </row>
    <row r="5135" ht="15.75" customHeight="1">
      <c r="B5135" s="56"/>
      <c r="U5135" s="46" t="str">
        <f t="array" ref="U5135">IF($D5135="","",IFERROR(_xlfn.XLOOKUP($D5135,'TIR店舗一覧'!$D:$D,'TIR店舗一覧'!$E:$E,""),""))</f>
        <v/>
      </c>
      <c r="V5135" s="54" t="s">
        <v>2</v>
      </c>
      <c r="W5135" s="54" t="s">
        <v>2</v>
      </c>
      <c r="X5135" s="54" t="s">
        <v>2</v>
      </c>
      <c r="Y5135" s="54" t="s">
        <v>2</v>
      </c>
      <c r="Z5135" s="54" t="s">
        <v>2</v>
      </c>
      <c r="AA5135" s="54" t="s">
        <v>2</v>
      </c>
      <c r="AB5135" s="54" t="s">
        <v>2</v>
      </c>
      <c r="AC5135" s="54" t="s">
        <v>2</v>
      </c>
      <c r="AD5135" s="54" t="s">
        <v>2</v>
      </c>
      <c r="AE5135" s="54" t="s">
        <v>2</v>
      </c>
      <c r="AF5135" s="54" t="s">
        <v>2</v>
      </c>
      <c r="AG5135" s="54" t="s">
        <v>2</v>
      </c>
    </row>
    <row r="5136" ht="15.75" customHeight="1">
      <c r="B5136" s="56"/>
      <c r="U5136" s="46" t="str">
        <f t="array" ref="U5136">IF($D5136="","",IFERROR(_xlfn.XLOOKUP($D5136,'TIR店舗一覧'!$D:$D,'TIR店舗一覧'!$E:$E,""),""))</f>
        <v/>
      </c>
      <c r="V5136" s="54" t="s">
        <v>2</v>
      </c>
      <c r="W5136" s="54" t="s">
        <v>2</v>
      </c>
      <c r="X5136" s="54" t="s">
        <v>2</v>
      </c>
      <c r="Y5136" s="54" t="s">
        <v>2</v>
      </c>
      <c r="Z5136" s="54" t="s">
        <v>2</v>
      </c>
      <c r="AA5136" s="54" t="s">
        <v>2</v>
      </c>
      <c r="AB5136" s="54" t="s">
        <v>2</v>
      </c>
      <c r="AC5136" s="54" t="s">
        <v>2</v>
      </c>
      <c r="AD5136" s="54" t="s">
        <v>2</v>
      </c>
      <c r="AE5136" s="54" t="s">
        <v>2</v>
      </c>
      <c r="AF5136" s="54" t="s">
        <v>2</v>
      </c>
      <c r="AG5136" s="54" t="s">
        <v>2</v>
      </c>
    </row>
    <row r="5137" ht="15.75" customHeight="1">
      <c r="B5137" s="56"/>
      <c r="U5137" s="46" t="str">
        <f t="array" ref="U5137">IF($D5137="","",IFERROR(_xlfn.XLOOKUP($D5137,'TIR店舗一覧'!$D:$D,'TIR店舗一覧'!$E:$E,""),""))</f>
        <v/>
      </c>
      <c r="V5137" s="54" t="s">
        <v>2</v>
      </c>
      <c r="W5137" s="54" t="s">
        <v>2</v>
      </c>
      <c r="X5137" s="54" t="s">
        <v>2</v>
      </c>
      <c r="Y5137" s="54" t="s">
        <v>2</v>
      </c>
      <c r="Z5137" s="54" t="s">
        <v>2</v>
      </c>
      <c r="AA5137" s="54" t="s">
        <v>2</v>
      </c>
      <c r="AB5137" s="54" t="s">
        <v>2</v>
      </c>
      <c r="AC5137" s="54" t="s">
        <v>2</v>
      </c>
      <c r="AD5137" s="54" t="s">
        <v>2</v>
      </c>
      <c r="AE5137" s="54" t="s">
        <v>2</v>
      </c>
      <c r="AF5137" s="54" t="s">
        <v>2</v>
      </c>
      <c r="AG5137" s="54" t="s">
        <v>2</v>
      </c>
    </row>
    <row r="5138" ht="15.75" customHeight="1">
      <c r="B5138" s="56"/>
      <c r="U5138" s="46" t="str">
        <f t="array" ref="U5138">IF($D5138="","",IFERROR(_xlfn.XLOOKUP($D5138,'TIR店舗一覧'!$D:$D,'TIR店舗一覧'!$E:$E,""),""))</f>
        <v/>
      </c>
      <c r="V5138" s="54" t="s">
        <v>2</v>
      </c>
      <c r="W5138" s="54" t="s">
        <v>2</v>
      </c>
      <c r="X5138" s="54" t="s">
        <v>2</v>
      </c>
      <c r="Y5138" s="54" t="s">
        <v>2</v>
      </c>
      <c r="Z5138" s="54" t="s">
        <v>2</v>
      </c>
      <c r="AA5138" s="54" t="s">
        <v>2</v>
      </c>
      <c r="AB5138" s="54" t="s">
        <v>2</v>
      </c>
      <c r="AC5138" s="54" t="s">
        <v>2</v>
      </c>
      <c r="AD5138" s="54" t="s">
        <v>2</v>
      </c>
      <c r="AE5138" s="54" t="s">
        <v>2</v>
      </c>
      <c r="AF5138" s="54" t="s">
        <v>2</v>
      </c>
      <c r="AG5138" s="54" t="s">
        <v>2</v>
      </c>
    </row>
    <row r="5139" ht="15.75" customHeight="1">
      <c r="B5139" s="56"/>
      <c r="U5139" s="46" t="str">
        <f t="array" ref="U5139">IF($D5139="","",IFERROR(_xlfn.XLOOKUP($D5139,'TIR店舗一覧'!$D:$D,'TIR店舗一覧'!$E:$E,""),""))</f>
        <v/>
      </c>
      <c r="V5139" s="54" t="s">
        <v>2</v>
      </c>
      <c r="W5139" s="54" t="s">
        <v>2</v>
      </c>
      <c r="X5139" s="54" t="s">
        <v>2</v>
      </c>
      <c r="Y5139" s="54" t="s">
        <v>2</v>
      </c>
      <c r="Z5139" s="54" t="s">
        <v>2</v>
      </c>
      <c r="AA5139" s="54" t="s">
        <v>2</v>
      </c>
      <c r="AB5139" s="54" t="s">
        <v>2</v>
      </c>
      <c r="AC5139" s="54" t="s">
        <v>2</v>
      </c>
      <c r="AD5139" s="54" t="s">
        <v>2</v>
      </c>
      <c r="AE5139" s="54" t="s">
        <v>2</v>
      </c>
      <c r="AF5139" s="54" t="s">
        <v>2</v>
      </c>
      <c r="AG5139" s="54" t="s">
        <v>2</v>
      </c>
    </row>
    <row r="5140" ht="15.75" customHeight="1">
      <c r="B5140" s="56"/>
      <c r="U5140" s="46" t="str">
        <f t="array" ref="U5140">IF($D5140="","",IFERROR(_xlfn.XLOOKUP($D5140,'TIR店舗一覧'!$D:$D,'TIR店舗一覧'!$E:$E,""),""))</f>
        <v/>
      </c>
      <c r="V5140" s="54" t="s">
        <v>2</v>
      </c>
      <c r="W5140" s="54" t="s">
        <v>2</v>
      </c>
      <c r="X5140" s="54" t="s">
        <v>2</v>
      </c>
      <c r="Y5140" s="54" t="s">
        <v>2</v>
      </c>
      <c r="Z5140" s="54" t="s">
        <v>2</v>
      </c>
      <c r="AA5140" s="54" t="s">
        <v>2</v>
      </c>
      <c r="AB5140" s="54" t="s">
        <v>2</v>
      </c>
      <c r="AC5140" s="54" t="s">
        <v>2</v>
      </c>
      <c r="AD5140" s="54" t="s">
        <v>2</v>
      </c>
      <c r="AE5140" s="54" t="s">
        <v>2</v>
      </c>
      <c r="AF5140" s="54" t="s">
        <v>2</v>
      </c>
      <c r="AG5140" s="54" t="s">
        <v>2</v>
      </c>
    </row>
    <row r="5141" ht="15.75" customHeight="1">
      <c r="B5141" s="56"/>
      <c r="U5141" s="46" t="str">
        <f t="array" ref="U5141">IF($D5141="","",IFERROR(_xlfn.XLOOKUP($D5141,'TIR店舗一覧'!$D:$D,'TIR店舗一覧'!$E:$E,""),""))</f>
        <v/>
      </c>
      <c r="V5141" s="54" t="s">
        <v>2</v>
      </c>
      <c r="W5141" s="54" t="s">
        <v>2</v>
      </c>
      <c r="X5141" s="54" t="s">
        <v>2</v>
      </c>
      <c r="Y5141" s="54" t="s">
        <v>2</v>
      </c>
      <c r="Z5141" s="54" t="s">
        <v>2</v>
      </c>
      <c r="AA5141" s="54" t="s">
        <v>2</v>
      </c>
      <c r="AB5141" s="54" t="s">
        <v>2</v>
      </c>
      <c r="AC5141" s="54" t="s">
        <v>2</v>
      </c>
      <c r="AD5141" s="54" t="s">
        <v>2</v>
      </c>
      <c r="AE5141" s="54" t="s">
        <v>2</v>
      </c>
      <c r="AF5141" s="54" t="s">
        <v>2</v>
      </c>
      <c r="AG5141" s="54" t="s">
        <v>2</v>
      </c>
    </row>
    <row r="5142" ht="15.75" customHeight="1">
      <c r="B5142" s="56"/>
      <c r="U5142" s="46" t="str">
        <f t="array" ref="U5142">IF($D5142="","",IFERROR(_xlfn.XLOOKUP($D5142,'TIR店舗一覧'!$D:$D,'TIR店舗一覧'!$E:$E,""),""))</f>
        <v/>
      </c>
      <c r="V5142" s="54" t="s">
        <v>2</v>
      </c>
      <c r="W5142" s="54" t="s">
        <v>2</v>
      </c>
      <c r="X5142" s="54" t="s">
        <v>2</v>
      </c>
      <c r="Y5142" s="54" t="s">
        <v>2</v>
      </c>
      <c r="Z5142" s="54" t="s">
        <v>2</v>
      </c>
      <c r="AA5142" s="54" t="s">
        <v>2</v>
      </c>
      <c r="AB5142" s="54" t="s">
        <v>2</v>
      </c>
      <c r="AC5142" s="54" t="s">
        <v>2</v>
      </c>
      <c r="AD5142" s="54" t="s">
        <v>2</v>
      </c>
      <c r="AE5142" s="54" t="s">
        <v>2</v>
      </c>
      <c r="AF5142" s="54" t="s">
        <v>2</v>
      </c>
      <c r="AG5142" s="54" t="s">
        <v>2</v>
      </c>
    </row>
    <row r="5143" ht="15.75" customHeight="1">
      <c r="B5143" s="56"/>
      <c r="U5143" s="46" t="str">
        <f t="array" ref="U5143">IF($D5143="","",IFERROR(_xlfn.XLOOKUP($D5143,'TIR店舗一覧'!$D:$D,'TIR店舗一覧'!$E:$E,""),""))</f>
        <v/>
      </c>
      <c r="V5143" s="54" t="s">
        <v>2</v>
      </c>
      <c r="W5143" s="54" t="s">
        <v>2</v>
      </c>
      <c r="X5143" s="54" t="s">
        <v>2</v>
      </c>
      <c r="Y5143" s="54" t="s">
        <v>2</v>
      </c>
      <c r="Z5143" s="54" t="s">
        <v>2</v>
      </c>
      <c r="AA5143" s="54" t="s">
        <v>2</v>
      </c>
      <c r="AB5143" s="54" t="s">
        <v>2</v>
      </c>
      <c r="AC5143" s="54" t="s">
        <v>2</v>
      </c>
      <c r="AD5143" s="54" t="s">
        <v>2</v>
      </c>
      <c r="AE5143" s="54" t="s">
        <v>2</v>
      </c>
      <c r="AF5143" s="54" t="s">
        <v>2</v>
      </c>
      <c r="AG5143" s="54" t="s">
        <v>2</v>
      </c>
    </row>
    <row r="5144" ht="15.75" customHeight="1">
      <c r="B5144" s="56"/>
      <c r="U5144" s="46" t="str">
        <f t="array" ref="U5144">IF($D5144="","",IFERROR(_xlfn.XLOOKUP($D5144,'TIR店舗一覧'!$D:$D,'TIR店舗一覧'!$E:$E,""),""))</f>
        <v/>
      </c>
      <c r="V5144" s="54" t="s">
        <v>2</v>
      </c>
      <c r="W5144" s="54" t="s">
        <v>2</v>
      </c>
      <c r="X5144" s="54" t="s">
        <v>2</v>
      </c>
      <c r="Y5144" s="54" t="s">
        <v>2</v>
      </c>
      <c r="Z5144" s="54" t="s">
        <v>2</v>
      </c>
      <c r="AA5144" s="54" t="s">
        <v>2</v>
      </c>
      <c r="AB5144" s="54" t="s">
        <v>2</v>
      </c>
      <c r="AC5144" s="54" t="s">
        <v>2</v>
      </c>
      <c r="AD5144" s="54" t="s">
        <v>2</v>
      </c>
      <c r="AE5144" s="54" t="s">
        <v>2</v>
      </c>
      <c r="AF5144" s="54" t="s">
        <v>2</v>
      </c>
      <c r="AG5144" s="54" t="s">
        <v>2</v>
      </c>
    </row>
    <row r="5145" ht="15.75" customHeight="1">
      <c r="B5145" s="56"/>
      <c r="U5145" s="46" t="str">
        <f t="array" ref="U5145">IF($D5145="","",IFERROR(_xlfn.XLOOKUP($D5145,'TIR店舗一覧'!$D:$D,'TIR店舗一覧'!$E:$E,""),""))</f>
        <v/>
      </c>
      <c r="V5145" s="54" t="s">
        <v>2</v>
      </c>
      <c r="W5145" s="54" t="s">
        <v>2</v>
      </c>
      <c r="X5145" s="54" t="s">
        <v>2</v>
      </c>
      <c r="Y5145" s="54" t="s">
        <v>2</v>
      </c>
      <c r="Z5145" s="54" t="s">
        <v>2</v>
      </c>
      <c r="AA5145" s="54" t="s">
        <v>2</v>
      </c>
      <c r="AB5145" s="54" t="s">
        <v>2</v>
      </c>
      <c r="AC5145" s="54" t="s">
        <v>2</v>
      </c>
      <c r="AD5145" s="54" t="s">
        <v>2</v>
      </c>
      <c r="AE5145" s="54" t="s">
        <v>2</v>
      </c>
      <c r="AF5145" s="54" t="s">
        <v>2</v>
      </c>
      <c r="AG5145" s="54" t="s">
        <v>2</v>
      </c>
    </row>
    <row r="5146" ht="15.75" customHeight="1">
      <c r="B5146" s="56"/>
      <c r="U5146" s="46" t="str">
        <f t="array" ref="U5146">IF($D5146="","",IFERROR(_xlfn.XLOOKUP($D5146,'TIR店舗一覧'!$D:$D,'TIR店舗一覧'!$E:$E,""),""))</f>
        <v/>
      </c>
      <c r="V5146" s="54" t="s">
        <v>2</v>
      </c>
      <c r="W5146" s="54" t="s">
        <v>2</v>
      </c>
      <c r="X5146" s="54" t="s">
        <v>2</v>
      </c>
      <c r="Y5146" s="54" t="s">
        <v>2</v>
      </c>
      <c r="Z5146" s="54" t="s">
        <v>2</v>
      </c>
      <c r="AA5146" s="54" t="s">
        <v>2</v>
      </c>
      <c r="AB5146" s="54" t="s">
        <v>2</v>
      </c>
      <c r="AC5146" s="54" t="s">
        <v>2</v>
      </c>
      <c r="AD5146" s="54" t="s">
        <v>2</v>
      </c>
      <c r="AE5146" s="54" t="s">
        <v>2</v>
      </c>
      <c r="AF5146" s="54" t="s">
        <v>2</v>
      </c>
      <c r="AG5146" s="54" t="s">
        <v>2</v>
      </c>
    </row>
    <row r="5147" ht="15.75" customHeight="1">
      <c r="B5147" s="56"/>
      <c r="U5147" s="46" t="str">
        <f t="array" ref="U5147">IF($D5147="","",IFERROR(_xlfn.XLOOKUP($D5147,'TIR店舗一覧'!$D:$D,'TIR店舗一覧'!$E:$E,""),""))</f>
        <v/>
      </c>
      <c r="V5147" s="54" t="s">
        <v>2</v>
      </c>
      <c r="W5147" s="54" t="s">
        <v>2</v>
      </c>
      <c r="X5147" s="54" t="s">
        <v>2</v>
      </c>
      <c r="Y5147" s="54" t="s">
        <v>2</v>
      </c>
      <c r="Z5147" s="54" t="s">
        <v>2</v>
      </c>
      <c r="AA5147" s="54" t="s">
        <v>2</v>
      </c>
      <c r="AB5147" s="54" t="s">
        <v>2</v>
      </c>
      <c r="AC5147" s="54" t="s">
        <v>2</v>
      </c>
      <c r="AD5147" s="54" t="s">
        <v>2</v>
      </c>
      <c r="AE5147" s="54" t="s">
        <v>2</v>
      </c>
      <c r="AF5147" s="54" t="s">
        <v>2</v>
      </c>
      <c r="AG5147" s="54" t="s">
        <v>2</v>
      </c>
    </row>
    <row r="5148" ht="15.75" customHeight="1">
      <c r="B5148" s="56"/>
      <c r="U5148" s="46" t="str">
        <f t="array" ref="U5148">IF($D5148="","",IFERROR(_xlfn.XLOOKUP($D5148,'TIR店舗一覧'!$D:$D,'TIR店舗一覧'!$E:$E,""),""))</f>
        <v/>
      </c>
      <c r="V5148" s="54" t="s">
        <v>2</v>
      </c>
      <c r="W5148" s="54" t="s">
        <v>2</v>
      </c>
      <c r="X5148" s="54" t="s">
        <v>2</v>
      </c>
      <c r="Y5148" s="54" t="s">
        <v>2</v>
      </c>
      <c r="Z5148" s="54" t="s">
        <v>2</v>
      </c>
      <c r="AA5148" s="54" t="s">
        <v>2</v>
      </c>
      <c r="AB5148" s="54" t="s">
        <v>2</v>
      </c>
      <c r="AC5148" s="54" t="s">
        <v>2</v>
      </c>
      <c r="AD5148" s="54" t="s">
        <v>2</v>
      </c>
      <c r="AE5148" s="54" t="s">
        <v>2</v>
      </c>
      <c r="AF5148" s="54" t="s">
        <v>2</v>
      </c>
      <c r="AG5148" s="54" t="s">
        <v>2</v>
      </c>
    </row>
    <row r="5149" ht="15.75" customHeight="1">
      <c r="B5149" s="56"/>
      <c r="U5149" s="46" t="str">
        <f t="array" ref="U5149">IF($D5149="","",IFERROR(_xlfn.XLOOKUP($D5149,'TIR店舗一覧'!$D:$D,'TIR店舗一覧'!$E:$E,""),""))</f>
        <v/>
      </c>
      <c r="V5149" s="54" t="s">
        <v>2</v>
      </c>
      <c r="W5149" s="54" t="s">
        <v>2</v>
      </c>
      <c r="X5149" s="54" t="s">
        <v>2</v>
      </c>
      <c r="Y5149" s="54" t="s">
        <v>2</v>
      </c>
      <c r="Z5149" s="54" t="s">
        <v>2</v>
      </c>
      <c r="AA5149" s="54" t="s">
        <v>2</v>
      </c>
      <c r="AB5149" s="54" t="s">
        <v>2</v>
      </c>
      <c r="AC5149" s="54" t="s">
        <v>2</v>
      </c>
      <c r="AD5149" s="54" t="s">
        <v>2</v>
      </c>
      <c r="AE5149" s="54" t="s">
        <v>2</v>
      </c>
      <c r="AF5149" s="54" t="s">
        <v>2</v>
      </c>
      <c r="AG5149" s="54" t="s">
        <v>2</v>
      </c>
    </row>
    <row r="5150" ht="15.75" customHeight="1">
      <c r="B5150" s="56"/>
      <c r="U5150" s="46" t="str">
        <f t="array" ref="U5150">IF($D5150="","",IFERROR(_xlfn.XLOOKUP($D5150,'TIR店舗一覧'!$D:$D,'TIR店舗一覧'!$E:$E,""),""))</f>
        <v/>
      </c>
      <c r="V5150" s="54" t="s">
        <v>2</v>
      </c>
      <c r="W5150" s="54" t="s">
        <v>2</v>
      </c>
      <c r="X5150" s="54" t="s">
        <v>2</v>
      </c>
      <c r="Y5150" s="54" t="s">
        <v>2</v>
      </c>
      <c r="Z5150" s="54" t="s">
        <v>2</v>
      </c>
      <c r="AA5150" s="54" t="s">
        <v>2</v>
      </c>
      <c r="AB5150" s="54" t="s">
        <v>2</v>
      </c>
      <c r="AC5150" s="54" t="s">
        <v>2</v>
      </c>
      <c r="AD5150" s="54" t="s">
        <v>2</v>
      </c>
      <c r="AE5150" s="54" t="s">
        <v>2</v>
      </c>
      <c r="AF5150" s="54" t="s">
        <v>2</v>
      </c>
      <c r="AG5150" s="54" t="s">
        <v>2</v>
      </c>
    </row>
    <row r="5151" ht="15.75" customHeight="1">
      <c r="B5151" s="56"/>
      <c r="U5151" s="46" t="str">
        <f t="array" ref="U5151">IF($D5151="","",IFERROR(_xlfn.XLOOKUP($D5151,'TIR店舗一覧'!$D:$D,'TIR店舗一覧'!$E:$E,""),""))</f>
        <v/>
      </c>
      <c r="V5151" s="54" t="s">
        <v>2</v>
      </c>
      <c r="W5151" s="54" t="s">
        <v>2</v>
      </c>
      <c r="X5151" s="54" t="s">
        <v>2</v>
      </c>
      <c r="Y5151" s="54" t="s">
        <v>2</v>
      </c>
      <c r="Z5151" s="54" t="s">
        <v>2</v>
      </c>
      <c r="AA5151" s="54" t="s">
        <v>2</v>
      </c>
      <c r="AB5151" s="54" t="s">
        <v>2</v>
      </c>
      <c r="AC5151" s="54" t="s">
        <v>2</v>
      </c>
      <c r="AD5151" s="54" t="s">
        <v>2</v>
      </c>
      <c r="AE5151" s="54" t="s">
        <v>2</v>
      </c>
      <c r="AF5151" s="54" t="s">
        <v>2</v>
      </c>
      <c r="AG5151" s="54" t="s">
        <v>2</v>
      </c>
    </row>
    <row r="5152" ht="15.75" customHeight="1">
      <c r="B5152" s="56"/>
      <c r="U5152" s="46" t="str">
        <f t="array" ref="U5152">IF($D5152="","",IFERROR(_xlfn.XLOOKUP($D5152,'TIR店舗一覧'!$D:$D,'TIR店舗一覧'!$E:$E,""),""))</f>
        <v/>
      </c>
      <c r="V5152" s="54" t="s">
        <v>2</v>
      </c>
      <c r="W5152" s="54" t="s">
        <v>2</v>
      </c>
      <c r="X5152" s="54" t="s">
        <v>2</v>
      </c>
      <c r="Y5152" s="54" t="s">
        <v>2</v>
      </c>
      <c r="Z5152" s="54" t="s">
        <v>2</v>
      </c>
      <c r="AA5152" s="54" t="s">
        <v>2</v>
      </c>
      <c r="AB5152" s="54" t="s">
        <v>2</v>
      </c>
      <c r="AC5152" s="54" t="s">
        <v>2</v>
      </c>
      <c r="AD5152" s="54" t="s">
        <v>2</v>
      </c>
      <c r="AE5152" s="54" t="s">
        <v>2</v>
      </c>
      <c r="AF5152" s="54" t="s">
        <v>2</v>
      </c>
      <c r="AG5152" s="54" t="s">
        <v>2</v>
      </c>
    </row>
    <row r="5153" ht="15.75" customHeight="1">
      <c r="B5153" s="56"/>
      <c r="U5153" s="46" t="str">
        <f t="array" ref="U5153">IF($D5153="","",IFERROR(_xlfn.XLOOKUP($D5153,'TIR店舗一覧'!$D:$D,'TIR店舗一覧'!$E:$E,""),""))</f>
        <v/>
      </c>
      <c r="V5153" s="54" t="s">
        <v>2</v>
      </c>
      <c r="W5153" s="54" t="s">
        <v>2</v>
      </c>
      <c r="X5153" s="54" t="s">
        <v>2</v>
      </c>
      <c r="Y5153" s="54" t="s">
        <v>2</v>
      </c>
      <c r="Z5153" s="54" t="s">
        <v>2</v>
      </c>
      <c r="AA5153" s="54" t="s">
        <v>2</v>
      </c>
      <c r="AB5153" s="54" t="s">
        <v>2</v>
      </c>
      <c r="AC5153" s="54" t="s">
        <v>2</v>
      </c>
      <c r="AD5153" s="54" t="s">
        <v>2</v>
      </c>
      <c r="AE5153" s="54" t="s">
        <v>2</v>
      </c>
      <c r="AF5153" s="54" t="s">
        <v>2</v>
      </c>
      <c r="AG5153" s="54" t="s">
        <v>2</v>
      </c>
    </row>
    <row r="5154" ht="15.75" customHeight="1">
      <c r="B5154" s="56"/>
      <c r="U5154" s="46" t="str">
        <f t="array" ref="U5154">IF($D5154="","",IFERROR(_xlfn.XLOOKUP($D5154,'TIR店舗一覧'!$D:$D,'TIR店舗一覧'!$E:$E,""),""))</f>
        <v/>
      </c>
      <c r="V5154" s="54" t="s">
        <v>2</v>
      </c>
      <c r="W5154" s="54" t="s">
        <v>2</v>
      </c>
      <c r="X5154" s="54" t="s">
        <v>2</v>
      </c>
      <c r="Y5154" s="54" t="s">
        <v>2</v>
      </c>
      <c r="Z5154" s="54" t="s">
        <v>2</v>
      </c>
      <c r="AA5154" s="54" t="s">
        <v>2</v>
      </c>
      <c r="AB5154" s="54" t="s">
        <v>2</v>
      </c>
      <c r="AC5154" s="54" t="s">
        <v>2</v>
      </c>
      <c r="AD5154" s="54" t="s">
        <v>2</v>
      </c>
      <c r="AE5154" s="54" t="s">
        <v>2</v>
      </c>
      <c r="AF5154" s="54" t="s">
        <v>2</v>
      </c>
      <c r="AG5154" s="54" t="s">
        <v>2</v>
      </c>
    </row>
    <row r="5155" ht="15.75" customHeight="1">
      <c r="B5155" s="56"/>
      <c r="U5155" s="46" t="str">
        <f t="array" ref="U5155">IF($D5155="","",IFERROR(_xlfn.XLOOKUP($D5155,'TIR店舗一覧'!$D:$D,'TIR店舗一覧'!$E:$E,""),""))</f>
        <v/>
      </c>
      <c r="V5155" s="54" t="s">
        <v>2</v>
      </c>
      <c r="W5155" s="54" t="s">
        <v>2</v>
      </c>
      <c r="X5155" s="54" t="s">
        <v>2</v>
      </c>
      <c r="Y5155" s="54" t="s">
        <v>2</v>
      </c>
      <c r="Z5155" s="54" t="s">
        <v>2</v>
      </c>
      <c r="AA5155" s="54" t="s">
        <v>2</v>
      </c>
      <c r="AB5155" s="54" t="s">
        <v>2</v>
      </c>
      <c r="AC5155" s="54" t="s">
        <v>2</v>
      </c>
      <c r="AD5155" s="54" t="s">
        <v>2</v>
      </c>
      <c r="AE5155" s="54" t="s">
        <v>2</v>
      </c>
      <c r="AF5155" s="54" t="s">
        <v>2</v>
      </c>
      <c r="AG5155" s="54" t="s">
        <v>2</v>
      </c>
    </row>
    <row r="5156" ht="15.75" customHeight="1">
      <c r="B5156" s="56"/>
      <c r="U5156" s="46" t="str">
        <f t="array" ref="U5156">IF($D5156="","",IFERROR(_xlfn.XLOOKUP($D5156,'TIR店舗一覧'!$D:$D,'TIR店舗一覧'!$E:$E,""),""))</f>
        <v/>
      </c>
      <c r="V5156" s="54" t="s">
        <v>2</v>
      </c>
      <c r="W5156" s="54" t="s">
        <v>2</v>
      </c>
      <c r="X5156" s="54" t="s">
        <v>2</v>
      </c>
      <c r="Y5156" s="54" t="s">
        <v>2</v>
      </c>
      <c r="Z5156" s="54" t="s">
        <v>2</v>
      </c>
      <c r="AA5156" s="54" t="s">
        <v>2</v>
      </c>
      <c r="AB5156" s="54" t="s">
        <v>2</v>
      </c>
      <c r="AC5156" s="54" t="s">
        <v>2</v>
      </c>
      <c r="AD5156" s="54" t="s">
        <v>2</v>
      </c>
      <c r="AE5156" s="54" t="s">
        <v>2</v>
      </c>
      <c r="AF5156" s="54" t="s">
        <v>2</v>
      </c>
      <c r="AG5156" s="54" t="s">
        <v>2</v>
      </c>
    </row>
    <row r="5157" ht="15.75" customHeight="1">
      <c r="B5157" s="56"/>
      <c r="U5157" s="46" t="str">
        <f t="array" ref="U5157">IF($D5157="","",IFERROR(_xlfn.XLOOKUP($D5157,'TIR店舗一覧'!$D:$D,'TIR店舗一覧'!$E:$E,""),""))</f>
        <v/>
      </c>
      <c r="V5157" s="54" t="s">
        <v>2</v>
      </c>
      <c r="W5157" s="54" t="s">
        <v>2</v>
      </c>
      <c r="X5157" s="54" t="s">
        <v>2</v>
      </c>
      <c r="Y5157" s="54" t="s">
        <v>2</v>
      </c>
      <c r="Z5157" s="54" t="s">
        <v>2</v>
      </c>
      <c r="AA5157" s="54" t="s">
        <v>2</v>
      </c>
      <c r="AB5157" s="54" t="s">
        <v>2</v>
      </c>
      <c r="AC5157" s="54" t="s">
        <v>2</v>
      </c>
      <c r="AD5157" s="54" t="s">
        <v>2</v>
      </c>
      <c r="AE5157" s="54" t="s">
        <v>2</v>
      </c>
      <c r="AF5157" s="54" t="s">
        <v>2</v>
      </c>
      <c r="AG5157" s="54" t="s">
        <v>2</v>
      </c>
    </row>
    <row r="5158" ht="15.75" customHeight="1">
      <c r="B5158" s="56"/>
      <c r="U5158" s="46" t="str">
        <f t="array" ref="U5158">IF($D5158="","",IFERROR(_xlfn.XLOOKUP($D5158,'TIR店舗一覧'!$D:$D,'TIR店舗一覧'!$E:$E,""),""))</f>
        <v/>
      </c>
      <c r="V5158" s="54" t="s">
        <v>2</v>
      </c>
      <c r="W5158" s="54" t="s">
        <v>2</v>
      </c>
      <c r="X5158" s="54" t="s">
        <v>2</v>
      </c>
      <c r="Y5158" s="54" t="s">
        <v>2</v>
      </c>
      <c r="Z5158" s="54" t="s">
        <v>2</v>
      </c>
      <c r="AA5158" s="54" t="s">
        <v>2</v>
      </c>
      <c r="AB5158" s="54" t="s">
        <v>2</v>
      </c>
      <c r="AC5158" s="54" t="s">
        <v>2</v>
      </c>
      <c r="AD5158" s="54" t="s">
        <v>2</v>
      </c>
      <c r="AE5158" s="54" t="s">
        <v>2</v>
      </c>
      <c r="AF5158" s="54" t="s">
        <v>2</v>
      </c>
      <c r="AG5158" s="54" t="s">
        <v>2</v>
      </c>
    </row>
    <row r="5159" ht="15.75" customHeight="1">
      <c r="B5159" s="56"/>
      <c r="U5159" s="46" t="str">
        <f t="array" ref="U5159">IF($D5159="","",IFERROR(_xlfn.XLOOKUP($D5159,'TIR店舗一覧'!$D:$D,'TIR店舗一覧'!$E:$E,""),""))</f>
        <v/>
      </c>
      <c r="V5159" s="54" t="s">
        <v>2</v>
      </c>
      <c r="W5159" s="54" t="s">
        <v>2</v>
      </c>
      <c r="X5159" s="54" t="s">
        <v>2</v>
      </c>
      <c r="Y5159" s="54" t="s">
        <v>2</v>
      </c>
      <c r="Z5159" s="54" t="s">
        <v>2</v>
      </c>
      <c r="AA5159" s="54" t="s">
        <v>2</v>
      </c>
      <c r="AB5159" s="54" t="s">
        <v>2</v>
      </c>
      <c r="AC5159" s="54" t="s">
        <v>2</v>
      </c>
      <c r="AD5159" s="54" t="s">
        <v>2</v>
      </c>
      <c r="AE5159" s="54" t="s">
        <v>2</v>
      </c>
      <c r="AF5159" s="54" t="s">
        <v>2</v>
      </c>
      <c r="AG5159" s="54" t="s">
        <v>2</v>
      </c>
    </row>
    <row r="5160" ht="15.75" customHeight="1">
      <c r="B5160" s="56"/>
      <c r="U5160" s="46" t="str">
        <f t="array" ref="U5160">IF($D5160="","",IFERROR(_xlfn.XLOOKUP($D5160,'TIR店舗一覧'!$D:$D,'TIR店舗一覧'!$E:$E,""),""))</f>
        <v/>
      </c>
      <c r="V5160" s="54" t="s">
        <v>2</v>
      </c>
      <c r="W5160" s="54" t="s">
        <v>2</v>
      </c>
      <c r="X5160" s="54" t="s">
        <v>2</v>
      </c>
      <c r="Y5160" s="54" t="s">
        <v>2</v>
      </c>
      <c r="Z5160" s="54" t="s">
        <v>2</v>
      </c>
      <c r="AA5160" s="54" t="s">
        <v>2</v>
      </c>
      <c r="AB5160" s="54" t="s">
        <v>2</v>
      </c>
      <c r="AC5160" s="54" t="s">
        <v>2</v>
      </c>
      <c r="AD5160" s="54" t="s">
        <v>2</v>
      </c>
      <c r="AE5160" s="54" t="s">
        <v>2</v>
      </c>
      <c r="AF5160" s="54" t="s">
        <v>2</v>
      </c>
      <c r="AG5160" s="54" t="s">
        <v>2</v>
      </c>
    </row>
    <row r="5161" ht="15.75" customHeight="1">
      <c r="B5161" s="56"/>
      <c r="U5161" s="46" t="str">
        <f t="array" ref="U5161">IF($D5161="","",IFERROR(_xlfn.XLOOKUP($D5161,'TIR店舗一覧'!$D:$D,'TIR店舗一覧'!$E:$E,""),""))</f>
        <v/>
      </c>
      <c r="V5161" s="54" t="s">
        <v>2</v>
      </c>
      <c r="W5161" s="54" t="s">
        <v>2</v>
      </c>
      <c r="X5161" s="54" t="s">
        <v>2</v>
      </c>
      <c r="Y5161" s="54" t="s">
        <v>2</v>
      </c>
      <c r="Z5161" s="54" t="s">
        <v>2</v>
      </c>
      <c r="AA5161" s="54" t="s">
        <v>2</v>
      </c>
      <c r="AB5161" s="54" t="s">
        <v>2</v>
      </c>
      <c r="AC5161" s="54" t="s">
        <v>2</v>
      </c>
      <c r="AD5161" s="54" t="s">
        <v>2</v>
      </c>
      <c r="AE5161" s="54" t="s">
        <v>2</v>
      </c>
      <c r="AF5161" s="54" t="s">
        <v>2</v>
      </c>
      <c r="AG5161" s="54" t="s">
        <v>2</v>
      </c>
    </row>
    <row r="5162" ht="15.75" customHeight="1">
      <c r="B5162" s="56"/>
      <c r="U5162" s="46" t="str">
        <f t="array" ref="U5162">IF($D5162="","",IFERROR(_xlfn.XLOOKUP($D5162,'TIR店舗一覧'!$D:$D,'TIR店舗一覧'!$E:$E,""),""))</f>
        <v/>
      </c>
      <c r="V5162" s="54" t="s">
        <v>2</v>
      </c>
      <c r="W5162" s="54" t="s">
        <v>2</v>
      </c>
      <c r="X5162" s="54" t="s">
        <v>2</v>
      </c>
      <c r="Y5162" s="54" t="s">
        <v>2</v>
      </c>
      <c r="Z5162" s="54" t="s">
        <v>2</v>
      </c>
      <c r="AA5162" s="54" t="s">
        <v>2</v>
      </c>
      <c r="AB5162" s="54" t="s">
        <v>2</v>
      </c>
      <c r="AC5162" s="54" t="s">
        <v>2</v>
      </c>
      <c r="AD5162" s="54" t="s">
        <v>2</v>
      </c>
      <c r="AE5162" s="54" t="s">
        <v>2</v>
      </c>
      <c r="AF5162" s="54" t="s">
        <v>2</v>
      </c>
      <c r="AG5162" s="54" t="s">
        <v>2</v>
      </c>
    </row>
    <row r="5163" ht="15.75" customHeight="1">
      <c r="B5163" s="56"/>
      <c r="U5163" s="46" t="str">
        <f t="array" ref="U5163">IF($D5163="","",IFERROR(_xlfn.XLOOKUP($D5163,'TIR店舗一覧'!$D:$D,'TIR店舗一覧'!$E:$E,""),""))</f>
        <v/>
      </c>
      <c r="V5163" s="54" t="s">
        <v>2</v>
      </c>
      <c r="W5163" s="54" t="s">
        <v>2</v>
      </c>
      <c r="X5163" s="54" t="s">
        <v>2</v>
      </c>
      <c r="Y5163" s="54" t="s">
        <v>2</v>
      </c>
      <c r="Z5163" s="54" t="s">
        <v>2</v>
      </c>
      <c r="AA5163" s="54" t="s">
        <v>2</v>
      </c>
      <c r="AB5163" s="54" t="s">
        <v>2</v>
      </c>
      <c r="AC5163" s="54" t="s">
        <v>2</v>
      </c>
      <c r="AD5163" s="54" t="s">
        <v>2</v>
      </c>
      <c r="AE5163" s="54" t="s">
        <v>2</v>
      </c>
      <c r="AF5163" s="54" t="s">
        <v>2</v>
      </c>
      <c r="AG5163" s="54" t="s">
        <v>2</v>
      </c>
    </row>
    <row r="5164" ht="15.75" customHeight="1">
      <c r="B5164" s="56"/>
      <c r="U5164" s="46" t="str">
        <f t="array" ref="U5164">IF($D5164="","",IFERROR(_xlfn.XLOOKUP($D5164,'TIR店舗一覧'!$D:$D,'TIR店舗一覧'!$E:$E,""),""))</f>
        <v/>
      </c>
      <c r="V5164" s="54" t="s">
        <v>2</v>
      </c>
      <c r="W5164" s="54" t="s">
        <v>2</v>
      </c>
      <c r="X5164" s="54" t="s">
        <v>2</v>
      </c>
      <c r="Y5164" s="54" t="s">
        <v>2</v>
      </c>
      <c r="Z5164" s="54" t="s">
        <v>2</v>
      </c>
      <c r="AA5164" s="54" t="s">
        <v>2</v>
      </c>
      <c r="AB5164" s="54" t="s">
        <v>2</v>
      </c>
      <c r="AC5164" s="54" t="s">
        <v>2</v>
      </c>
      <c r="AD5164" s="54" t="s">
        <v>2</v>
      </c>
      <c r="AE5164" s="54" t="s">
        <v>2</v>
      </c>
      <c r="AF5164" s="54" t="s">
        <v>2</v>
      </c>
      <c r="AG5164" s="54" t="s">
        <v>2</v>
      </c>
    </row>
    <row r="5165" ht="15.75" customHeight="1">
      <c r="B5165" s="56"/>
      <c r="U5165" s="46" t="str">
        <f t="array" ref="U5165">IF($D5165="","",IFERROR(_xlfn.XLOOKUP($D5165,'TIR店舗一覧'!$D:$D,'TIR店舗一覧'!$E:$E,""),""))</f>
        <v/>
      </c>
      <c r="V5165" s="54" t="s">
        <v>2</v>
      </c>
      <c r="W5165" s="54" t="s">
        <v>2</v>
      </c>
      <c r="X5165" s="54" t="s">
        <v>2</v>
      </c>
      <c r="Y5165" s="54" t="s">
        <v>2</v>
      </c>
      <c r="Z5165" s="54" t="s">
        <v>2</v>
      </c>
      <c r="AA5165" s="54" t="s">
        <v>2</v>
      </c>
      <c r="AB5165" s="54" t="s">
        <v>2</v>
      </c>
      <c r="AC5165" s="54" t="s">
        <v>2</v>
      </c>
      <c r="AD5165" s="54" t="s">
        <v>2</v>
      </c>
      <c r="AE5165" s="54" t="s">
        <v>2</v>
      </c>
      <c r="AF5165" s="54" t="s">
        <v>2</v>
      </c>
      <c r="AG5165" s="54" t="s">
        <v>2</v>
      </c>
    </row>
    <row r="5166" ht="15.75" customHeight="1">
      <c r="B5166" s="56"/>
      <c r="U5166" s="46" t="str">
        <f t="array" ref="U5166">IF($D5166="","",IFERROR(_xlfn.XLOOKUP($D5166,'TIR店舗一覧'!$D:$D,'TIR店舗一覧'!$E:$E,""),""))</f>
        <v/>
      </c>
      <c r="V5166" s="54" t="s">
        <v>2</v>
      </c>
      <c r="W5166" s="54" t="s">
        <v>2</v>
      </c>
      <c r="X5166" s="54" t="s">
        <v>2</v>
      </c>
      <c r="Y5166" s="54" t="s">
        <v>2</v>
      </c>
      <c r="Z5166" s="54" t="s">
        <v>2</v>
      </c>
      <c r="AA5166" s="54" t="s">
        <v>2</v>
      </c>
      <c r="AB5166" s="54" t="s">
        <v>2</v>
      </c>
      <c r="AC5166" s="54" t="s">
        <v>2</v>
      </c>
      <c r="AD5166" s="54" t="s">
        <v>2</v>
      </c>
      <c r="AE5166" s="54" t="s">
        <v>2</v>
      </c>
      <c r="AF5166" s="54" t="s">
        <v>2</v>
      </c>
      <c r="AG5166" s="54" t="s">
        <v>2</v>
      </c>
    </row>
    <row r="5167" ht="15.75" customHeight="1">
      <c r="B5167" s="56"/>
      <c r="U5167" s="46" t="str">
        <f t="array" ref="U5167">IF($D5167="","",IFERROR(_xlfn.XLOOKUP($D5167,'TIR店舗一覧'!$D:$D,'TIR店舗一覧'!$E:$E,""),""))</f>
        <v/>
      </c>
      <c r="V5167" s="54" t="s">
        <v>2</v>
      </c>
      <c r="W5167" s="54" t="s">
        <v>2</v>
      </c>
      <c r="X5167" s="54" t="s">
        <v>2</v>
      </c>
      <c r="Y5167" s="54" t="s">
        <v>2</v>
      </c>
      <c r="Z5167" s="54" t="s">
        <v>2</v>
      </c>
      <c r="AA5167" s="54" t="s">
        <v>2</v>
      </c>
      <c r="AB5167" s="54" t="s">
        <v>2</v>
      </c>
      <c r="AC5167" s="54" t="s">
        <v>2</v>
      </c>
      <c r="AD5167" s="54" t="s">
        <v>2</v>
      </c>
      <c r="AE5167" s="54" t="s">
        <v>2</v>
      </c>
      <c r="AF5167" s="54" t="s">
        <v>2</v>
      </c>
      <c r="AG5167" s="54" t="s">
        <v>2</v>
      </c>
    </row>
    <row r="5168" ht="15.75" customHeight="1">
      <c r="B5168" s="56"/>
      <c r="U5168" s="46" t="str">
        <f t="array" ref="U5168">IF($D5168="","",IFERROR(_xlfn.XLOOKUP($D5168,'TIR店舗一覧'!$D:$D,'TIR店舗一覧'!$E:$E,""),""))</f>
        <v/>
      </c>
      <c r="V5168" s="54" t="s">
        <v>2</v>
      </c>
      <c r="W5168" s="54" t="s">
        <v>2</v>
      </c>
      <c r="X5168" s="54" t="s">
        <v>2</v>
      </c>
      <c r="Y5168" s="54" t="s">
        <v>2</v>
      </c>
      <c r="Z5168" s="54" t="s">
        <v>2</v>
      </c>
      <c r="AA5168" s="54" t="s">
        <v>2</v>
      </c>
      <c r="AB5168" s="54" t="s">
        <v>2</v>
      </c>
      <c r="AC5168" s="54" t="s">
        <v>2</v>
      </c>
      <c r="AD5168" s="54" t="s">
        <v>2</v>
      </c>
      <c r="AE5168" s="54" t="s">
        <v>2</v>
      </c>
      <c r="AF5168" s="54" t="s">
        <v>2</v>
      </c>
      <c r="AG5168" s="54" t="s">
        <v>2</v>
      </c>
    </row>
    <row r="5169" ht="15.75" customHeight="1">
      <c r="B5169" s="56"/>
      <c r="U5169" s="46" t="str">
        <f t="array" ref="U5169">IF($D5169="","",IFERROR(_xlfn.XLOOKUP($D5169,'TIR店舗一覧'!$D:$D,'TIR店舗一覧'!$E:$E,""),""))</f>
        <v/>
      </c>
      <c r="V5169" s="54" t="s">
        <v>2</v>
      </c>
      <c r="W5169" s="54" t="s">
        <v>2</v>
      </c>
      <c r="X5169" s="54" t="s">
        <v>2</v>
      </c>
      <c r="Y5169" s="54" t="s">
        <v>2</v>
      </c>
      <c r="Z5169" s="54" t="s">
        <v>2</v>
      </c>
      <c r="AA5169" s="54" t="s">
        <v>2</v>
      </c>
      <c r="AB5169" s="54" t="s">
        <v>2</v>
      </c>
      <c r="AC5169" s="54" t="s">
        <v>2</v>
      </c>
      <c r="AD5169" s="54" t="s">
        <v>2</v>
      </c>
      <c r="AE5169" s="54" t="s">
        <v>2</v>
      </c>
      <c r="AF5169" s="54" t="s">
        <v>2</v>
      </c>
      <c r="AG5169" s="54" t="s">
        <v>2</v>
      </c>
    </row>
    <row r="5170" ht="15.75" customHeight="1">
      <c r="B5170" s="56"/>
      <c r="U5170" s="46" t="str">
        <f t="array" ref="U5170">IF($D5170="","",IFERROR(_xlfn.XLOOKUP($D5170,'TIR店舗一覧'!$D:$D,'TIR店舗一覧'!$E:$E,""),""))</f>
        <v/>
      </c>
      <c r="V5170" s="54" t="s">
        <v>2</v>
      </c>
      <c r="W5170" s="54" t="s">
        <v>2</v>
      </c>
      <c r="X5170" s="54" t="s">
        <v>2</v>
      </c>
      <c r="Y5170" s="54" t="s">
        <v>2</v>
      </c>
      <c r="Z5170" s="54" t="s">
        <v>2</v>
      </c>
      <c r="AA5170" s="54" t="s">
        <v>2</v>
      </c>
      <c r="AB5170" s="54" t="s">
        <v>2</v>
      </c>
      <c r="AC5170" s="54" t="s">
        <v>2</v>
      </c>
      <c r="AD5170" s="54" t="s">
        <v>2</v>
      </c>
      <c r="AE5170" s="54" t="s">
        <v>2</v>
      </c>
      <c r="AF5170" s="54" t="s">
        <v>2</v>
      </c>
      <c r="AG5170" s="54" t="s">
        <v>2</v>
      </c>
    </row>
    <row r="5171" ht="15.75" customHeight="1">
      <c r="B5171" s="56"/>
      <c r="U5171" s="46" t="str">
        <f t="array" ref="U5171">IF($D5171="","",IFERROR(_xlfn.XLOOKUP($D5171,'TIR店舗一覧'!$D:$D,'TIR店舗一覧'!$E:$E,""),""))</f>
        <v/>
      </c>
      <c r="V5171" s="54" t="s">
        <v>2</v>
      </c>
      <c r="W5171" s="54" t="s">
        <v>2</v>
      </c>
      <c r="X5171" s="54" t="s">
        <v>2</v>
      </c>
      <c r="Y5171" s="54" t="s">
        <v>2</v>
      </c>
      <c r="Z5171" s="54" t="s">
        <v>2</v>
      </c>
      <c r="AA5171" s="54" t="s">
        <v>2</v>
      </c>
      <c r="AB5171" s="54" t="s">
        <v>2</v>
      </c>
      <c r="AC5171" s="54" t="s">
        <v>2</v>
      </c>
      <c r="AD5171" s="54" t="s">
        <v>2</v>
      </c>
      <c r="AE5171" s="54" t="s">
        <v>2</v>
      </c>
      <c r="AF5171" s="54" t="s">
        <v>2</v>
      </c>
      <c r="AG5171" s="54" t="s">
        <v>2</v>
      </c>
    </row>
    <row r="5172" ht="15.75" customHeight="1">
      <c r="B5172" s="56"/>
      <c r="U5172" s="46" t="str">
        <f t="array" ref="U5172">IF($D5172="","",IFERROR(_xlfn.XLOOKUP($D5172,'TIR店舗一覧'!$D:$D,'TIR店舗一覧'!$E:$E,""),""))</f>
        <v/>
      </c>
      <c r="V5172" s="54" t="s">
        <v>2</v>
      </c>
      <c r="W5172" s="54" t="s">
        <v>2</v>
      </c>
      <c r="X5172" s="54" t="s">
        <v>2</v>
      </c>
      <c r="Y5172" s="54" t="s">
        <v>2</v>
      </c>
      <c r="Z5172" s="54" t="s">
        <v>2</v>
      </c>
      <c r="AA5172" s="54" t="s">
        <v>2</v>
      </c>
      <c r="AB5172" s="54" t="s">
        <v>2</v>
      </c>
      <c r="AC5172" s="54" t="s">
        <v>2</v>
      </c>
      <c r="AD5172" s="54" t="s">
        <v>2</v>
      </c>
      <c r="AE5172" s="54" t="s">
        <v>2</v>
      </c>
      <c r="AF5172" s="54" t="s">
        <v>2</v>
      </c>
      <c r="AG5172" s="54" t="s">
        <v>2</v>
      </c>
    </row>
    <row r="5173" ht="15.75" customHeight="1">
      <c r="B5173" s="56"/>
      <c r="U5173" s="46" t="str">
        <f t="array" ref="U5173">IF($D5173="","",IFERROR(_xlfn.XLOOKUP($D5173,'TIR店舗一覧'!$D:$D,'TIR店舗一覧'!$E:$E,""),""))</f>
        <v/>
      </c>
      <c r="V5173" s="54" t="s">
        <v>2</v>
      </c>
      <c r="W5173" s="54" t="s">
        <v>2</v>
      </c>
      <c r="X5173" s="54" t="s">
        <v>2</v>
      </c>
      <c r="Y5173" s="54" t="s">
        <v>2</v>
      </c>
      <c r="Z5173" s="54" t="s">
        <v>2</v>
      </c>
      <c r="AA5173" s="54" t="s">
        <v>2</v>
      </c>
      <c r="AB5173" s="54" t="s">
        <v>2</v>
      </c>
      <c r="AC5173" s="54" t="s">
        <v>2</v>
      </c>
      <c r="AD5173" s="54" t="s">
        <v>2</v>
      </c>
      <c r="AE5173" s="54" t="s">
        <v>2</v>
      </c>
      <c r="AF5173" s="54" t="s">
        <v>2</v>
      </c>
      <c r="AG5173" s="54" t="s">
        <v>2</v>
      </c>
    </row>
    <row r="5174" ht="15.75" customHeight="1">
      <c r="B5174" s="56"/>
      <c r="U5174" s="46" t="str">
        <f t="array" ref="U5174">IF($D5174="","",IFERROR(_xlfn.XLOOKUP($D5174,'TIR店舗一覧'!$D:$D,'TIR店舗一覧'!$E:$E,""),""))</f>
        <v/>
      </c>
      <c r="V5174" s="54" t="s">
        <v>2</v>
      </c>
      <c r="W5174" s="54" t="s">
        <v>2</v>
      </c>
      <c r="X5174" s="54" t="s">
        <v>2</v>
      </c>
      <c r="Y5174" s="54" t="s">
        <v>2</v>
      </c>
      <c r="Z5174" s="54" t="s">
        <v>2</v>
      </c>
      <c r="AA5174" s="54" t="s">
        <v>2</v>
      </c>
      <c r="AB5174" s="54" t="s">
        <v>2</v>
      </c>
      <c r="AC5174" s="54" t="s">
        <v>2</v>
      </c>
      <c r="AD5174" s="54" t="s">
        <v>2</v>
      </c>
      <c r="AE5174" s="54" t="s">
        <v>2</v>
      </c>
      <c r="AF5174" s="54" t="s">
        <v>2</v>
      </c>
      <c r="AG5174" s="54" t="s">
        <v>2</v>
      </c>
    </row>
    <row r="5175" ht="15.75" customHeight="1">
      <c r="B5175" s="56"/>
      <c r="U5175" s="46" t="str">
        <f t="array" ref="U5175">IF($D5175="","",IFERROR(_xlfn.XLOOKUP($D5175,'TIR店舗一覧'!$D:$D,'TIR店舗一覧'!$E:$E,""),""))</f>
        <v/>
      </c>
      <c r="V5175" s="54" t="s">
        <v>2</v>
      </c>
      <c r="W5175" s="54" t="s">
        <v>2</v>
      </c>
      <c r="X5175" s="54" t="s">
        <v>2</v>
      </c>
      <c r="Y5175" s="54" t="s">
        <v>2</v>
      </c>
      <c r="Z5175" s="54" t="s">
        <v>2</v>
      </c>
      <c r="AA5175" s="54" t="s">
        <v>2</v>
      </c>
      <c r="AB5175" s="54" t="s">
        <v>2</v>
      </c>
      <c r="AC5175" s="54" t="s">
        <v>2</v>
      </c>
      <c r="AD5175" s="54" t="s">
        <v>2</v>
      </c>
      <c r="AE5175" s="54" t="s">
        <v>2</v>
      </c>
      <c r="AF5175" s="54" t="s">
        <v>2</v>
      </c>
      <c r="AG5175" s="54" t="s">
        <v>2</v>
      </c>
    </row>
    <row r="5176" ht="15.75" customHeight="1">
      <c r="B5176" s="56"/>
      <c r="U5176" s="46" t="str">
        <f t="array" ref="U5176">IF($D5176="","",IFERROR(_xlfn.XLOOKUP($D5176,'TIR店舗一覧'!$D:$D,'TIR店舗一覧'!$E:$E,""),""))</f>
        <v/>
      </c>
      <c r="V5176" s="54" t="s">
        <v>2</v>
      </c>
      <c r="W5176" s="54" t="s">
        <v>2</v>
      </c>
      <c r="X5176" s="54" t="s">
        <v>2</v>
      </c>
      <c r="Y5176" s="54" t="s">
        <v>2</v>
      </c>
      <c r="Z5176" s="54" t="s">
        <v>2</v>
      </c>
      <c r="AA5176" s="54" t="s">
        <v>2</v>
      </c>
      <c r="AB5176" s="54" t="s">
        <v>2</v>
      </c>
      <c r="AC5176" s="54" t="s">
        <v>2</v>
      </c>
      <c r="AD5176" s="54" t="s">
        <v>2</v>
      </c>
      <c r="AE5176" s="54" t="s">
        <v>2</v>
      </c>
      <c r="AF5176" s="54" t="s">
        <v>2</v>
      </c>
      <c r="AG5176" s="54" t="s">
        <v>2</v>
      </c>
    </row>
    <row r="5177" ht="15.75" customHeight="1">
      <c r="B5177" s="56"/>
      <c r="U5177" s="46" t="str">
        <f t="array" ref="U5177">IF($D5177="","",IFERROR(_xlfn.XLOOKUP($D5177,'TIR店舗一覧'!$D:$D,'TIR店舗一覧'!$E:$E,""),""))</f>
        <v/>
      </c>
      <c r="V5177" s="54" t="s">
        <v>2</v>
      </c>
      <c r="W5177" s="54" t="s">
        <v>2</v>
      </c>
      <c r="X5177" s="54" t="s">
        <v>2</v>
      </c>
      <c r="Y5177" s="54" t="s">
        <v>2</v>
      </c>
      <c r="Z5177" s="54" t="s">
        <v>2</v>
      </c>
      <c r="AA5177" s="54" t="s">
        <v>2</v>
      </c>
      <c r="AB5177" s="54" t="s">
        <v>2</v>
      </c>
      <c r="AC5177" s="54" t="s">
        <v>2</v>
      </c>
      <c r="AD5177" s="54" t="s">
        <v>2</v>
      </c>
      <c r="AE5177" s="54" t="s">
        <v>2</v>
      </c>
      <c r="AF5177" s="54" t="s">
        <v>2</v>
      </c>
      <c r="AG5177" s="54" t="s">
        <v>2</v>
      </c>
    </row>
    <row r="5178" ht="15.75" customHeight="1">
      <c r="B5178" s="56"/>
      <c r="U5178" s="46" t="str">
        <f t="array" ref="U5178">IF($D5178="","",IFERROR(_xlfn.XLOOKUP($D5178,'TIR店舗一覧'!$D:$D,'TIR店舗一覧'!$E:$E,""),""))</f>
        <v/>
      </c>
      <c r="V5178" s="54" t="s">
        <v>2</v>
      </c>
      <c r="W5178" s="54" t="s">
        <v>2</v>
      </c>
      <c r="X5178" s="54" t="s">
        <v>2</v>
      </c>
      <c r="Y5178" s="54" t="s">
        <v>2</v>
      </c>
      <c r="Z5178" s="54" t="s">
        <v>2</v>
      </c>
      <c r="AA5178" s="54" t="s">
        <v>2</v>
      </c>
      <c r="AB5178" s="54" t="s">
        <v>2</v>
      </c>
      <c r="AC5178" s="54" t="s">
        <v>2</v>
      </c>
      <c r="AD5178" s="54" t="s">
        <v>2</v>
      </c>
      <c r="AE5178" s="54" t="s">
        <v>2</v>
      </c>
      <c r="AF5178" s="54" t="s">
        <v>2</v>
      </c>
      <c r="AG5178" s="54" t="s">
        <v>2</v>
      </c>
    </row>
    <row r="5179" ht="15.75" customHeight="1">
      <c r="B5179" s="56"/>
      <c r="U5179" s="46" t="str">
        <f t="array" ref="U5179">IF($D5179="","",IFERROR(_xlfn.XLOOKUP($D5179,'TIR店舗一覧'!$D:$D,'TIR店舗一覧'!$E:$E,""),""))</f>
        <v/>
      </c>
      <c r="V5179" s="54" t="s">
        <v>2</v>
      </c>
      <c r="W5179" s="54" t="s">
        <v>2</v>
      </c>
      <c r="X5179" s="54" t="s">
        <v>2</v>
      </c>
      <c r="Y5179" s="54" t="s">
        <v>2</v>
      </c>
      <c r="Z5179" s="54" t="s">
        <v>2</v>
      </c>
      <c r="AA5179" s="54" t="s">
        <v>2</v>
      </c>
      <c r="AB5179" s="54" t="s">
        <v>2</v>
      </c>
      <c r="AC5179" s="54" t="s">
        <v>2</v>
      </c>
      <c r="AD5179" s="54" t="s">
        <v>2</v>
      </c>
      <c r="AE5179" s="54" t="s">
        <v>2</v>
      </c>
      <c r="AF5179" s="54" t="s">
        <v>2</v>
      </c>
      <c r="AG5179" s="54" t="s">
        <v>2</v>
      </c>
    </row>
    <row r="5180" ht="15.75" customHeight="1">
      <c r="B5180" s="56"/>
      <c r="U5180" s="46" t="str">
        <f t="array" ref="U5180">IF($D5180="","",IFERROR(_xlfn.XLOOKUP($D5180,'TIR店舗一覧'!$D:$D,'TIR店舗一覧'!$E:$E,""),""))</f>
        <v/>
      </c>
      <c r="V5180" s="54" t="s">
        <v>2</v>
      </c>
      <c r="W5180" s="54" t="s">
        <v>2</v>
      </c>
      <c r="X5180" s="54" t="s">
        <v>2</v>
      </c>
      <c r="Y5180" s="54" t="s">
        <v>2</v>
      </c>
      <c r="Z5180" s="54" t="s">
        <v>2</v>
      </c>
      <c r="AA5180" s="54" t="s">
        <v>2</v>
      </c>
      <c r="AB5180" s="54" t="s">
        <v>2</v>
      </c>
      <c r="AC5180" s="54" t="s">
        <v>2</v>
      </c>
      <c r="AD5180" s="54" t="s">
        <v>2</v>
      </c>
      <c r="AE5180" s="54" t="s">
        <v>2</v>
      </c>
      <c r="AF5180" s="54" t="s">
        <v>2</v>
      </c>
      <c r="AG5180" s="54" t="s">
        <v>2</v>
      </c>
    </row>
    <row r="5181" ht="15.75" customHeight="1">
      <c r="B5181" s="56"/>
      <c r="U5181" s="46" t="str">
        <f t="array" ref="U5181">IF($D5181="","",IFERROR(_xlfn.XLOOKUP($D5181,'TIR店舗一覧'!$D:$D,'TIR店舗一覧'!$E:$E,""),""))</f>
        <v/>
      </c>
      <c r="V5181" s="54" t="s">
        <v>2</v>
      </c>
      <c r="W5181" s="54" t="s">
        <v>2</v>
      </c>
      <c r="X5181" s="54" t="s">
        <v>2</v>
      </c>
      <c r="Y5181" s="54" t="s">
        <v>2</v>
      </c>
      <c r="Z5181" s="54" t="s">
        <v>2</v>
      </c>
      <c r="AA5181" s="54" t="s">
        <v>2</v>
      </c>
      <c r="AB5181" s="54" t="s">
        <v>2</v>
      </c>
      <c r="AC5181" s="54" t="s">
        <v>2</v>
      </c>
      <c r="AD5181" s="54" t="s">
        <v>2</v>
      </c>
      <c r="AE5181" s="54" t="s">
        <v>2</v>
      </c>
      <c r="AF5181" s="54" t="s">
        <v>2</v>
      </c>
      <c r="AG5181" s="54" t="s">
        <v>2</v>
      </c>
    </row>
    <row r="5182" ht="15.75" customHeight="1">
      <c r="B5182" s="56"/>
      <c r="U5182" s="46" t="str">
        <f t="array" ref="U5182">IF($D5182="","",IFERROR(_xlfn.XLOOKUP($D5182,'TIR店舗一覧'!$D:$D,'TIR店舗一覧'!$E:$E,""),""))</f>
        <v/>
      </c>
      <c r="V5182" s="54" t="s">
        <v>2</v>
      </c>
      <c r="W5182" s="54" t="s">
        <v>2</v>
      </c>
      <c r="X5182" s="54" t="s">
        <v>2</v>
      </c>
      <c r="Y5182" s="54" t="s">
        <v>2</v>
      </c>
      <c r="Z5182" s="54" t="s">
        <v>2</v>
      </c>
      <c r="AA5182" s="54" t="s">
        <v>2</v>
      </c>
      <c r="AB5182" s="54" t="s">
        <v>2</v>
      </c>
      <c r="AC5182" s="54" t="s">
        <v>2</v>
      </c>
      <c r="AD5182" s="54" t="s">
        <v>2</v>
      </c>
      <c r="AE5182" s="54" t="s">
        <v>2</v>
      </c>
      <c r="AF5182" s="54" t="s">
        <v>2</v>
      </c>
      <c r="AG5182" s="54" t="s">
        <v>2</v>
      </c>
    </row>
    <row r="5183" ht="15.75" customHeight="1">
      <c r="B5183" s="56"/>
      <c r="U5183" s="46" t="str">
        <f t="array" ref="U5183">IF($D5183="","",IFERROR(_xlfn.XLOOKUP($D5183,'TIR店舗一覧'!$D:$D,'TIR店舗一覧'!$E:$E,""),""))</f>
        <v/>
      </c>
      <c r="V5183" s="54" t="s">
        <v>2</v>
      </c>
      <c r="W5183" s="54" t="s">
        <v>2</v>
      </c>
      <c r="X5183" s="54" t="s">
        <v>2</v>
      </c>
      <c r="Y5183" s="54" t="s">
        <v>2</v>
      </c>
      <c r="Z5183" s="54" t="s">
        <v>2</v>
      </c>
      <c r="AA5183" s="54" t="s">
        <v>2</v>
      </c>
      <c r="AB5183" s="54" t="s">
        <v>2</v>
      </c>
      <c r="AC5183" s="54" t="s">
        <v>2</v>
      </c>
      <c r="AD5183" s="54" t="s">
        <v>2</v>
      </c>
      <c r="AE5183" s="54" t="s">
        <v>2</v>
      </c>
      <c r="AF5183" s="54" t="s">
        <v>2</v>
      </c>
      <c r="AG5183" s="54" t="s">
        <v>2</v>
      </c>
    </row>
    <row r="5184" ht="15.75" customHeight="1">
      <c r="B5184" s="56"/>
      <c r="U5184" s="46" t="str">
        <f t="array" ref="U5184">IF($D5184="","",IFERROR(_xlfn.XLOOKUP($D5184,'TIR店舗一覧'!$D:$D,'TIR店舗一覧'!$E:$E,""),""))</f>
        <v/>
      </c>
      <c r="V5184" s="54" t="s">
        <v>2</v>
      </c>
      <c r="W5184" s="54" t="s">
        <v>2</v>
      </c>
      <c r="X5184" s="54" t="s">
        <v>2</v>
      </c>
      <c r="Y5184" s="54" t="s">
        <v>2</v>
      </c>
      <c r="Z5184" s="54" t="s">
        <v>2</v>
      </c>
      <c r="AA5184" s="54" t="s">
        <v>2</v>
      </c>
      <c r="AB5184" s="54" t="s">
        <v>2</v>
      </c>
      <c r="AC5184" s="54" t="s">
        <v>2</v>
      </c>
      <c r="AD5184" s="54" t="s">
        <v>2</v>
      </c>
      <c r="AE5184" s="54" t="s">
        <v>2</v>
      </c>
      <c r="AF5184" s="54" t="s">
        <v>2</v>
      </c>
      <c r="AG5184" s="54" t="s">
        <v>2</v>
      </c>
    </row>
    <row r="5185" ht="15.75" customHeight="1">
      <c r="B5185" s="56"/>
      <c r="U5185" s="46" t="str">
        <f t="array" ref="U5185">IF($D5185="","",IFERROR(_xlfn.XLOOKUP($D5185,'TIR店舗一覧'!$D:$D,'TIR店舗一覧'!$E:$E,""),""))</f>
        <v/>
      </c>
      <c r="V5185" s="54" t="s">
        <v>2</v>
      </c>
      <c r="W5185" s="54" t="s">
        <v>2</v>
      </c>
      <c r="X5185" s="54" t="s">
        <v>2</v>
      </c>
      <c r="Y5185" s="54" t="s">
        <v>2</v>
      </c>
      <c r="Z5185" s="54" t="s">
        <v>2</v>
      </c>
      <c r="AA5185" s="54" t="s">
        <v>2</v>
      </c>
      <c r="AB5185" s="54" t="s">
        <v>2</v>
      </c>
      <c r="AC5185" s="54" t="s">
        <v>2</v>
      </c>
      <c r="AD5185" s="54" t="s">
        <v>2</v>
      </c>
      <c r="AE5185" s="54" t="s">
        <v>2</v>
      </c>
      <c r="AF5185" s="54" t="s">
        <v>2</v>
      </c>
      <c r="AG5185" s="54" t="s">
        <v>2</v>
      </c>
    </row>
    <row r="5186" ht="15.75" customHeight="1">
      <c r="B5186" s="56"/>
      <c r="U5186" s="46" t="str">
        <f t="array" ref="U5186">IF($D5186="","",IFERROR(_xlfn.XLOOKUP($D5186,'TIR店舗一覧'!$D:$D,'TIR店舗一覧'!$E:$E,""),""))</f>
        <v/>
      </c>
      <c r="V5186" s="54" t="s">
        <v>2</v>
      </c>
      <c r="W5186" s="54" t="s">
        <v>2</v>
      </c>
      <c r="X5186" s="54" t="s">
        <v>2</v>
      </c>
      <c r="Y5186" s="54" t="s">
        <v>2</v>
      </c>
      <c r="Z5186" s="54" t="s">
        <v>2</v>
      </c>
      <c r="AA5186" s="54" t="s">
        <v>2</v>
      </c>
      <c r="AB5186" s="54" t="s">
        <v>2</v>
      </c>
      <c r="AC5186" s="54" t="s">
        <v>2</v>
      </c>
      <c r="AD5186" s="54" t="s">
        <v>2</v>
      </c>
      <c r="AE5186" s="54" t="s">
        <v>2</v>
      </c>
      <c r="AF5186" s="54" t="s">
        <v>2</v>
      </c>
      <c r="AG5186" s="54" t="s">
        <v>2</v>
      </c>
    </row>
    <row r="5187" ht="15.75" customHeight="1">
      <c r="B5187" s="56"/>
      <c r="U5187" s="46" t="str">
        <f t="array" ref="U5187">IF($D5187="","",IFERROR(_xlfn.XLOOKUP($D5187,'TIR店舗一覧'!$D:$D,'TIR店舗一覧'!$E:$E,""),""))</f>
        <v/>
      </c>
      <c r="V5187" s="54" t="s">
        <v>2</v>
      </c>
      <c r="W5187" s="54" t="s">
        <v>2</v>
      </c>
      <c r="X5187" s="54" t="s">
        <v>2</v>
      </c>
      <c r="Y5187" s="54" t="s">
        <v>2</v>
      </c>
      <c r="Z5187" s="54" t="s">
        <v>2</v>
      </c>
      <c r="AA5187" s="54" t="s">
        <v>2</v>
      </c>
      <c r="AB5187" s="54" t="s">
        <v>2</v>
      </c>
      <c r="AC5187" s="54" t="s">
        <v>2</v>
      </c>
      <c r="AD5187" s="54" t="s">
        <v>2</v>
      </c>
      <c r="AE5187" s="54" t="s">
        <v>2</v>
      </c>
      <c r="AF5187" s="54" t="s">
        <v>2</v>
      </c>
      <c r="AG5187" s="54" t="s">
        <v>2</v>
      </c>
    </row>
    <row r="5188" ht="15.75" customHeight="1">
      <c r="B5188" s="56"/>
      <c r="U5188" s="46" t="str">
        <f t="array" ref="U5188">IF($D5188="","",IFERROR(_xlfn.XLOOKUP($D5188,'TIR店舗一覧'!$D:$D,'TIR店舗一覧'!$E:$E,""),""))</f>
        <v/>
      </c>
      <c r="V5188" s="54" t="s">
        <v>2</v>
      </c>
      <c r="W5188" s="54" t="s">
        <v>2</v>
      </c>
      <c r="X5188" s="54" t="s">
        <v>2</v>
      </c>
      <c r="Y5188" s="54" t="s">
        <v>2</v>
      </c>
      <c r="Z5188" s="54" t="s">
        <v>2</v>
      </c>
      <c r="AA5188" s="54" t="s">
        <v>2</v>
      </c>
      <c r="AB5188" s="54" t="s">
        <v>2</v>
      </c>
      <c r="AC5188" s="54" t="s">
        <v>2</v>
      </c>
      <c r="AD5188" s="54" t="s">
        <v>2</v>
      </c>
      <c r="AE5188" s="54" t="s">
        <v>2</v>
      </c>
      <c r="AF5188" s="54" t="s">
        <v>2</v>
      </c>
      <c r="AG5188" s="54" t="s">
        <v>2</v>
      </c>
    </row>
    <row r="5189" ht="15.75" customHeight="1">
      <c r="B5189" s="56"/>
      <c r="U5189" s="46" t="str">
        <f t="array" ref="U5189">IF($D5189="","",IFERROR(_xlfn.XLOOKUP($D5189,'TIR店舗一覧'!$D:$D,'TIR店舗一覧'!$E:$E,""),""))</f>
        <v/>
      </c>
      <c r="V5189" s="54" t="s">
        <v>2</v>
      </c>
      <c r="W5189" s="54" t="s">
        <v>2</v>
      </c>
      <c r="X5189" s="54" t="s">
        <v>2</v>
      </c>
      <c r="Y5189" s="54" t="s">
        <v>2</v>
      </c>
      <c r="Z5189" s="54" t="s">
        <v>2</v>
      </c>
      <c r="AA5189" s="54" t="s">
        <v>2</v>
      </c>
      <c r="AB5189" s="54" t="s">
        <v>2</v>
      </c>
      <c r="AC5189" s="54" t="s">
        <v>2</v>
      </c>
      <c r="AD5189" s="54" t="s">
        <v>2</v>
      </c>
      <c r="AE5189" s="54" t="s">
        <v>2</v>
      </c>
      <c r="AF5189" s="54" t="s">
        <v>2</v>
      </c>
      <c r="AG5189" s="54" t="s">
        <v>2</v>
      </c>
    </row>
    <row r="5190" ht="15.75" customHeight="1">
      <c r="B5190" s="56"/>
      <c r="U5190" s="46" t="str">
        <f t="array" ref="U5190">IF($D5190="","",IFERROR(_xlfn.XLOOKUP($D5190,'TIR店舗一覧'!$D:$D,'TIR店舗一覧'!$E:$E,""),""))</f>
        <v/>
      </c>
      <c r="V5190" s="54" t="s">
        <v>2</v>
      </c>
      <c r="W5190" s="54" t="s">
        <v>2</v>
      </c>
      <c r="X5190" s="54" t="s">
        <v>2</v>
      </c>
      <c r="Y5190" s="54" t="s">
        <v>2</v>
      </c>
      <c r="Z5190" s="54" t="s">
        <v>2</v>
      </c>
      <c r="AA5190" s="54" t="s">
        <v>2</v>
      </c>
      <c r="AB5190" s="54" t="s">
        <v>2</v>
      </c>
      <c r="AC5190" s="54" t="s">
        <v>2</v>
      </c>
      <c r="AD5190" s="54" t="s">
        <v>2</v>
      </c>
      <c r="AE5190" s="54" t="s">
        <v>2</v>
      </c>
      <c r="AF5190" s="54" t="s">
        <v>2</v>
      </c>
      <c r="AG5190" s="54" t="s">
        <v>2</v>
      </c>
    </row>
    <row r="5191" ht="15.75" customHeight="1">
      <c r="B5191" s="56"/>
      <c r="U5191" s="46" t="str">
        <f t="array" ref="U5191">IF($D5191="","",IFERROR(_xlfn.XLOOKUP($D5191,'TIR店舗一覧'!$D:$D,'TIR店舗一覧'!$E:$E,""),""))</f>
        <v/>
      </c>
      <c r="V5191" s="54" t="s">
        <v>2</v>
      </c>
      <c r="W5191" s="54" t="s">
        <v>2</v>
      </c>
      <c r="X5191" s="54" t="s">
        <v>2</v>
      </c>
      <c r="Y5191" s="54" t="s">
        <v>2</v>
      </c>
      <c r="Z5191" s="54" t="s">
        <v>2</v>
      </c>
      <c r="AA5191" s="54" t="s">
        <v>2</v>
      </c>
      <c r="AB5191" s="54" t="s">
        <v>2</v>
      </c>
      <c r="AC5191" s="54" t="s">
        <v>2</v>
      </c>
      <c r="AD5191" s="54" t="s">
        <v>2</v>
      </c>
      <c r="AE5191" s="54" t="s">
        <v>2</v>
      </c>
      <c r="AF5191" s="54" t="s">
        <v>2</v>
      </c>
      <c r="AG5191" s="54" t="s">
        <v>2</v>
      </c>
    </row>
    <row r="5192" ht="15.75" customHeight="1">
      <c r="B5192" s="56"/>
      <c r="U5192" s="46" t="str">
        <f t="array" ref="U5192">IF($D5192="","",IFERROR(_xlfn.XLOOKUP($D5192,'TIR店舗一覧'!$D:$D,'TIR店舗一覧'!$E:$E,""),""))</f>
        <v/>
      </c>
      <c r="V5192" s="54" t="s">
        <v>2</v>
      </c>
      <c r="W5192" s="54" t="s">
        <v>2</v>
      </c>
      <c r="X5192" s="54" t="s">
        <v>2</v>
      </c>
      <c r="Y5192" s="54" t="s">
        <v>2</v>
      </c>
      <c r="Z5192" s="54" t="s">
        <v>2</v>
      </c>
      <c r="AA5192" s="54" t="s">
        <v>2</v>
      </c>
      <c r="AB5192" s="54" t="s">
        <v>2</v>
      </c>
      <c r="AC5192" s="54" t="s">
        <v>2</v>
      </c>
      <c r="AD5192" s="54" t="s">
        <v>2</v>
      </c>
      <c r="AE5192" s="54" t="s">
        <v>2</v>
      </c>
      <c r="AF5192" s="54" t="s">
        <v>2</v>
      </c>
      <c r="AG5192" s="54" t="s">
        <v>2</v>
      </c>
    </row>
    <row r="5193" ht="15.75" customHeight="1">
      <c r="B5193" s="56"/>
      <c r="U5193" s="46" t="str">
        <f t="array" ref="U5193">IF($D5193="","",IFERROR(_xlfn.XLOOKUP($D5193,'TIR店舗一覧'!$D:$D,'TIR店舗一覧'!$E:$E,""),""))</f>
        <v/>
      </c>
      <c r="V5193" s="54" t="s">
        <v>2</v>
      </c>
      <c r="W5193" s="54" t="s">
        <v>2</v>
      </c>
      <c r="X5193" s="54" t="s">
        <v>2</v>
      </c>
      <c r="Y5193" s="54" t="s">
        <v>2</v>
      </c>
      <c r="Z5193" s="54" t="s">
        <v>2</v>
      </c>
      <c r="AA5193" s="54" t="s">
        <v>2</v>
      </c>
      <c r="AB5193" s="54" t="s">
        <v>2</v>
      </c>
      <c r="AC5193" s="54" t="s">
        <v>2</v>
      </c>
      <c r="AD5193" s="54" t="s">
        <v>2</v>
      </c>
      <c r="AE5193" s="54" t="s">
        <v>2</v>
      </c>
      <c r="AF5193" s="54" t="s">
        <v>2</v>
      </c>
      <c r="AG5193" s="54" t="s">
        <v>2</v>
      </c>
    </row>
    <row r="5194" ht="15.75" customHeight="1">
      <c r="B5194" s="56"/>
      <c r="U5194" s="46" t="str">
        <f t="array" ref="U5194">IF($D5194="","",IFERROR(_xlfn.XLOOKUP($D5194,'TIR店舗一覧'!$D:$D,'TIR店舗一覧'!$E:$E,""),""))</f>
        <v/>
      </c>
      <c r="V5194" s="54" t="s">
        <v>2</v>
      </c>
      <c r="W5194" s="54" t="s">
        <v>2</v>
      </c>
      <c r="X5194" s="54" t="s">
        <v>2</v>
      </c>
      <c r="Y5194" s="54" t="s">
        <v>2</v>
      </c>
      <c r="Z5194" s="54" t="s">
        <v>2</v>
      </c>
      <c r="AA5194" s="54" t="s">
        <v>2</v>
      </c>
      <c r="AB5194" s="54" t="s">
        <v>2</v>
      </c>
      <c r="AC5194" s="54" t="s">
        <v>2</v>
      </c>
      <c r="AD5194" s="54" t="s">
        <v>2</v>
      </c>
      <c r="AE5194" s="54" t="s">
        <v>2</v>
      </c>
      <c r="AF5194" s="54" t="s">
        <v>2</v>
      </c>
      <c r="AG5194" s="54" t="s">
        <v>2</v>
      </c>
    </row>
    <row r="5195" ht="15.75" customHeight="1">
      <c r="B5195" s="56"/>
      <c r="U5195" s="46" t="str">
        <f t="array" ref="U5195">IF($D5195="","",IFERROR(_xlfn.XLOOKUP($D5195,'TIR店舗一覧'!$D:$D,'TIR店舗一覧'!$E:$E,""),""))</f>
        <v/>
      </c>
      <c r="V5195" s="54" t="s">
        <v>2</v>
      </c>
      <c r="W5195" s="54" t="s">
        <v>2</v>
      </c>
      <c r="X5195" s="54" t="s">
        <v>2</v>
      </c>
      <c r="Y5195" s="54" t="s">
        <v>2</v>
      </c>
      <c r="Z5195" s="54" t="s">
        <v>2</v>
      </c>
      <c r="AA5195" s="54" t="s">
        <v>2</v>
      </c>
      <c r="AB5195" s="54" t="s">
        <v>2</v>
      </c>
      <c r="AC5195" s="54" t="s">
        <v>2</v>
      </c>
      <c r="AD5195" s="54" t="s">
        <v>2</v>
      </c>
      <c r="AE5195" s="54" t="s">
        <v>2</v>
      </c>
      <c r="AF5195" s="54" t="s">
        <v>2</v>
      </c>
      <c r="AG5195" s="54" t="s">
        <v>2</v>
      </c>
    </row>
    <row r="5196" ht="15.75" customHeight="1">
      <c r="B5196" s="56"/>
      <c r="U5196" s="46" t="str">
        <f t="array" ref="U5196">IF($D5196="","",IFERROR(_xlfn.XLOOKUP($D5196,'TIR店舗一覧'!$D:$D,'TIR店舗一覧'!$E:$E,""),""))</f>
        <v/>
      </c>
      <c r="V5196" s="54" t="s">
        <v>2</v>
      </c>
      <c r="W5196" s="54" t="s">
        <v>2</v>
      </c>
      <c r="X5196" s="54" t="s">
        <v>2</v>
      </c>
      <c r="Y5196" s="54" t="s">
        <v>2</v>
      </c>
      <c r="Z5196" s="54" t="s">
        <v>2</v>
      </c>
      <c r="AA5196" s="54" t="s">
        <v>2</v>
      </c>
      <c r="AB5196" s="54" t="s">
        <v>2</v>
      </c>
      <c r="AC5196" s="54" t="s">
        <v>2</v>
      </c>
      <c r="AD5196" s="54" t="s">
        <v>2</v>
      </c>
      <c r="AE5196" s="54" t="s">
        <v>2</v>
      </c>
      <c r="AF5196" s="54" t="s">
        <v>2</v>
      </c>
      <c r="AG5196" s="54" t="s">
        <v>2</v>
      </c>
    </row>
    <row r="5197" ht="15.75" customHeight="1">
      <c r="B5197" s="56"/>
      <c r="U5197" s="46" t="str">
        <f t="array" ref="U5197">IF($D5197="","",IFERROR(_xlfn.XLOOKUP($D5197,'TIR店舗一覧'!$D:$D,'TIR店舗一覧'!$E:$E,""),""))</f>
        <v/>
      </c>
      <c r="V5197" s="54" t="s">
        <v>2</v>
      </c>
      <c r="W5197" s="54" t="s">
        <v>2</v>
      </c>
      <c r="X5197" s="54" t="s">
        <v>2</v>
      </c>
      <c r="Y5197" s="54" t="s">
        <v>2</v>
      </c>
      <c r="Z5197" s="54" t="s">
        <v>2</v>
      </c>
      <c r="AA5197" s="54" t="s">
        <v>2</v>
      </c>
      <c r="AB5197" s="54" t="s">
        <v>2</v>
      </c>
      <c r="AC5197" s="54" t="s">
        <v>2</v>
      </c>
      <c r="AD5197" s="54" t="s">
        <v>2</v>
      </c>
      <c r="AE5197" s="54" t="s">
        <v>2</v>
      </c>
      <c r="AF5197" s="54" t="s">
        <v>2</v>
      </c>
      <c r="AG5197" s="54" t="s">
        <v>2</v>
      </c>
    </row>
    <row r="5198" ht="15.75" customHeight="1">
      <c r="B5198" s="56"/>
      <c r="U5198" s="46" t="str">
        <f t="array" ref="U5198">IF($D5198="","",IFERROR(_xlfn.XLOOKUP($D5198,'TIR店舗一覧'!$D:$D,'TIR店舗一覧'!$E:$E,""),""))</f>
        <v/>
      </c>
      <c r="V5198" s="54" t="s">
        <v>2</v>
      </c>
      <c r="W5198" s="54" t="s">
        <v>2</v>
      </c>
      <c r="X5198" s="54" t="s">
        <v>2</v>
      </c>
      <c r="Y5198" s="54" t="s">
        <v>2</v>
      </c>
      <c r="Z5198" s="54" t="s">
        <v>2</v>
      </c>
      <c r="AA5198" s="54" t="s">
        <v>2</v>
      </c>
      <c r="AB5198" s="54" t="s">
        <v>2</v>
      </c>
      <c r="AC5198" s="54" t="s">
        <v>2</v>
      </c>
      <c r="AD5198" s="54" t="s">
        <v>2</v>
      </c>
      <c r="AE5198" s="54" t="s">
        <v>2</v>
      </c>
      <c r="AF5198" s="54" t="s">
        <v>2</v>
      </c>
      <c r="AG5198" s="54" t="s">
        <v>2</v>
      </c>
    </row>
    <row r="5199" ht="15.75" customHeight="1">
      <c r="B5199" s="56"/>
      <c r="U5199" s="46" t="str">
        <f t="array" ref="U5199">IF($D5199="","",IFERROR(_xlfn.XLOOKUP($D5199,'TIR店舗一覧'!$D:$D,'TIR店舗一覧'!$E:$E,""),""))</f>
        <v/>
      </c>
      <c r="V5199" s="54" t="s">
        <v>2</v>
      </c>
      <c r="W5199" s="54" t="s">
        <v>2</v>
      </c>
      <c r="X5199" s="54" t="s">
        <v>2</v>
      </c>
      <c r="Y5199" s="54" t="s">
        <v>2</v>
      </c>
      <c r="Z5199" s="54" t="s">
        <v>2</v>
      </c>
      <c r="AA5199" s="54" t="s">
        <v>2</v>
      </c>
      <c r="AB5199" s="54" t="s">
        <v>2</v>
      </c>
      <c r="AC5199" s="54" t="s">
        <v>2</v>
      </c>
      <c r="AD5199" s="54" t="s">
        <v>2</v>
      </c>
      <c r="AE5199" s="54" t="s">
        <v>2</v>
      </c>
      <c r="AF5199" s="54" t="s">
        <v>2</v>
      </c>
      <c r="AG5199" s="54" t="s">
        <v>2</v>
      </c>
    </row>
    <row r="5200" ht="15.75" customHeight="1">
      <c r="B5200" s="56"/>
      <c r="U5200" s="46" t="str">
        <f t="array" ref="U5200">IF($D5200="","",IFERROR(_xlfn.XLOOKUP($D5200,'TIR店舗一覧'!$D:$D,'TIR店舗一覧'!$E:$E,""),""))</f>
        <v/>
      </c>
      <c r="V5200" s="54" t="s">
        <v>2</v>
      </c>
      <c r="W5200" s="54" t="s">
        <v>2</v>
      </c>
      <c r="X5200" s="54" t="s">
        <v>2</v>
      </c>
      <c r="Y5200" s="54" t="s">
        <v>2</v>
      </c>
      <c r="Z5200" s="54" t="s">
        <v>2</v>
      </c>
      <c r="AA5200" s="54" t="s">
        <v>2</v>
      </c>
      <c r="AB5200" s="54" t="s">
        <v>2</v>
      </c>
      <c r="AC5200" s="54" t="s">
        <v>2</v>
      </c>
      <c r="AD5200" s="54" t="s">
        <v>2</v>
      </c>
      <c r="AE5200" s="54" t="s">
        <v>2</v>
      </c>
      <c r="AF5200" s="54" t="s">
        <v>2</v>
      </c>
      <c r="AG5200" s="54" t="s">
        <v>2</v>
      </c>
    </row>
    <row r="5201" ht="15.75" customHeight="1">
      <c r="B5201" s="56"/>
      <c r="U5201" s="46" t="str">
        <f t="array" ref="U5201">IF($D5201="","",IFERROR(_xlfn.XLOOKUP($D5201,'TIR店舗一覧'!$D:$D,'TIR店舗一覧'!$E:$E,""),""))</f>
        <v/>
      </c>
      <c r="V5201" s="54" t="s">
        <v>2</v>
      </c>
      <c r="W5201" s="54" t="s">
        <v>2</v>
      </c>
      <c r="X5201" s="54" t="s">
        <v>2</v>
      </c>
      <c r="Y5201" s="54" t="s">
        <v>2</v>
      </c>
      <c r="Z5201" s="54" t="s">
        <v>2</v>
      </c>
      <c r="AA5201" s="54" t="s">
        <v>2</v>
      </c>
      <c r="AB5201" s="54" t="s">
        <v>2</v>
      </c>
      <c r="AC5201" s="54" t="s">
        <v>2</v>
      </c>
      <c r="AD5201" s="54" t="s">
        <v>2</v>
      </c>
      <c r="AE5201" s="54" t="s">
        <v>2</v>
      </c>
      <c r="AF5201" s="54" t="s">
        <v>2</v>
      </c>
      <c r="AG5201" s="54" t="s">
        <v>2</v>
      </c>
    </row>
    <row r="5202" ht="15.75" customHeight="1">
      <c r="B5202" s="56"/>
      <c r="U5202" s="46" t="str">
        <f t="array" ref="U5202">IF($D5202="","",IFERROR(_xlfn.XLOOKUP($D5202,'TIR店舗一覧'!$D:$D,'TIR店舗一覧'!$E:$E,""),""))</f>
        <v/>
      </c>
      <c r="V5202" s="54" t="s">
        <v>2</v>
      </c>
      <c r="W5202" s="54" t="s">
        <v>2</v>
      </c>
      <c r="X5202" s="54" t="s">
        <v>2</v>
      </c>
      <c r="Y5202" s="54" t="s">
        <v>2</v>
      </c>
      <c r="Z5202" s="54" t="s">
        <v>2</v>
      </c>
      <c r="AA5202" s="54" t="s">
        <v>2</v>
      </c>
      <c r="AB5202" s="54" t="s">
        <v>2</v>
      </c>
      <c r="AC5202" s="54" t="s">
        <v>2</v>
      </c>
      <c r="AD5202" s="54" t="s">
        <v>2</v>
      </c>
      <c r="AE5202" s="54" t="s">
        <v>2</v>
      </c>
      <c r="AF5202" s="54" t="s">
        <v>2</v>
      </c>
      <c r="AG5202" s="54" t="s">
        <v>2</v>
      </c>
    </row>
    <row r="5203" ht="15.75" customHeight="1">
      <c r="B5203" s="56"/>
      <c r="U5203" s="46" t="str">
        <f t="array" ref="U5203">IF($D5203="","",IFERROR(_xlfn.XLOOKUP($D5203,'TIR店舗一覧'!$D:$D,'TIR店舗一覧'!$E:$E,""),""))</f>
        <v/>
      </c>
      <c r="V5203" s="54" t="s">
        <v>2</v>
      </c>
      <c r="W5203" s="54" t="s">
        <v>2</v>
      </c>
      <c r="X5203" s="54" t="s">
        <v>2</v>
      </c>
      <c r="Y5203" s="54" t="s">
        <v>2</v>
      </c>
      <c r="Z5203" s="54" t="s">
        <v>2</v>
      </c>
      <c r="AA5203" s="54" t="s">
        <v>2</v>
      </c>
      <c r="AB5203" s="54" t="s">
        <v>2</v>
      </c>
      <c r="AC5203" s="54" t="s">
        <v>2</v>
      </c>
      <c r="AD5203" s="54" t="s">
        <v>2</v>
      </c>
      <c r="AE5203" s="54" t="s">
        <v>2</v>
      </c>
      <c r="AF5203" s="54" t="s">
        <v>2</v>
      </c>
      <c r="AG5203" s="54" t="s">
        <v>2</v>
      </c>
    </row>
    <row r="5204" ht="15.75" customHeight="1">
      <c r="B5204" s="56"/>
      <c r="U5204" s="46" t="str">
        <f t="array" ref="U5204">IF($D5204="","",IFERROR(_xlfn.XLOOKUP($D5204,'TIR店舗一覧'!$D:$D,'TIR店舗一覧'!$E:$E,""),""))</f>
        <v/>
      </c>
      <c r="V5204" s="54" t="s">
        <v>2</v>
      </c>
      <c r="W5204" s="54" t="s">
        <v>2</v>
      </c>
      <c r="X5204" s="54" t="s">
        <v>2</v>
      </c>
      <c r="Y5204" s="54" t="s">
        <v>2</v>
      </c>
      <c r="Z5204" s="54" t="s">
        <v>2</v>
      </c>
      <c r="AA5204" s="54" t="s">
        <v>2</v>
      </c>
      <c r="AB5204" s="54" t="s">
        <v>2</v>
      </c>
      <c r="AC5204" s="54" t="s">
        <v>2</v>
      </c>
      <c r="AD5204" s="54" t="s">
        <v>2</v>
      </c>
      <c r="AE5204" s="54" t="s">
        <v>2</v>
      </c>
      <c r="AF5204" s="54" t="s">
        <v>2</v>
      </c>
      <c r="AG5204" s="54" t="s">
        <v>2</v>
      </c>
    </row>
    <row r="5205" ht="15.75" customHeight="1">
      <c r="B5205" s="56"/>
      <c r="U5205" s="46" t="str">
        <f t="array" ref="U5205">IF($D5205="","",IFERROR(_xlfn.XLOOKUP($D5205,'TIR店舗一覧'!$D:$D,'TIR店舗一覧'!$E:$E,""),""))</f>
        <v/>
      </c>
      <c r="V5205" s="54" t="s">
        <v>2</v>
      </c>
      <c r="W5205" s="54" t="s">
        <v>2</v>
      </c>
      <c r="X5205" s="54" t="s">
        <v>2</v>
      </c>
      <c r="Y5205" s="54" t="s">
        <v>2</v>
      </c>
      <c r="Z5205" s="54" t="s">
        <v>2</v>
      </c>
      <c r="AA5205" s="54" t="s">
        <v>2</v>
      </c>
      <c r="AB5205" s="54" t="s">
        <v>2</v>
      </c>
      <c r="AC5205" s="54" t="s">
        <v>2</v>
      </c>
      <c r="AD5205" s="54" t="s">
        <v>2</v>
      </c>
      <c r="AE5205" s="54" t="s">
        <v>2</v>
      </c>
      <c r="AF5205" s="54" t="s">
        <v>2</v>
      </c>
      <c r="AG5205" s="54" t="s">
        <v>2</v>
      </c>
    </row>
    <row r="5206" ht="15.75" customHeight="1">
      <c r="B5206" s="56"/>
      <c r="U5206" s="46" t="str">
        <f t="array" ref="U5206">IF($D5206="","",IFERROR(_xlfn.XLOOKUP($D5206,'TIR店舗一覧'!$D:$D,'TIR店舗一覧'!$E:$E,""),""))</f>
        <v/>
      </c>
      <c r="V5206" s="54" t="s">
        <v>2</v>
      </c>
      <c r="W5206" s="54" t="s">
        <v>2</v>
      </c>
      <c r="X5206" s="54" t="s">
        <v>2</v>
      </c>
      <c r="Y5206" s="54" t="s">
        <v>2</v>
      </c>
      <c r="Z5206" s="54" t="s">
        <v>2</v>
      </c>
      <c r="AA5206" s="54" t="s">
        <v>2</v>
      </c>
      <c r="AB5206" s="54" t="s">
        <v>2</v>
      </c>
      <c r="AC5206" s="54" t="s">
        <v>2</v>
      </c>
      <c r="AD5206" s="54" t="s">
        <v>2</v>
      </c>
      <c r="AE5206" s="54" t="s">
        <v>2</v>
      </c>
      <c r="AF5206" s="54" t="s">
        <v>2</v>
      </c>
      <c r="AG5206" s="54" t="s">
        <v>2</v>
      </c>
    </row>
    <row r="5207" ht="15.75" customHeight="1">
      <c r="B5207" s="56"/>
      <c r="U5207" s="46" t="str">
        <f t="array" ref="U5207">IF($D5207="","",IFERROR(_xlfn.XLOOKUP($D5207,'TIR店舗一覧'!$D:$D,'TIR店舗一覧'!$E:$E,""),""))</f>
        <v/>
      </c>
      <c r="V5207" s="54" t="s">
        <v>2</v>
      </c>
      <c r="W5207" s="54" t="s">
        <v>2</v>
      </c>
      <c r="X5207" s="54" t="s">
        <v>2</v>
      </c>
      <c r="Y5207" s="54" t="s">
        <v>2</v>
      </c>
      <c r="Z5207" s="54" t="s">
        <v>2</v>
      </c>
      <c r="AA5207" s="54" t="s">
        <v>2</v>
      </c>
      <c r="AB5207" s="54" t="s">
        <v>2</v>
      </c>
      <c r="AC5207" s="54" t="s">
        <v>2</v>
      </c>
      <c r="AD5207" s="54" t="s">
        <v>2</v>
      </c>
      <c r="AE5207" s="54" t="s">
        <v>2</v>
      </c>
      <c r="AF5207" s="54" t="s">
        <v>2</v>
      </c>
      <c r="AG5207" s="54" t="s">
        <v>2</v>
      </c>
    </row>
    <row r="5208" ht="15.75" customHeight="1">
      <c r="B5208" s="56"/>
      <c r="U5208" s="46" t="str">
        <f t="array" ref="U5208">IF($D5208="","",IFERROR(_xlfn.XLOOKUP($D5208,'TIR店舗一覧'!$D:$D,'TIR店舗一覧'!$E:$E,""),""))</f>
        <v/>
      </c>
      <c r="V5208" s="54" t="s">
        <v>2</v>
      </c>
      <c r="W5208" s="54" t="s">
        <v>2</v>
      </c>
      <c r="X5208" s="54" t="s">
        <v>2</v>
      </c>
      <c r="Y5208" s="54" t="s">
        <v>2</v>
      </c>
      <c r="Z5208" s="54" t="s">
        <v>2</v>
      </c>
      <c r="AA5208" s="54" t="s">
        <v>2</v>
      </c>
      <c r="AB5208" s="54" t="s">
        <v>2</v>
      </c>
      <c r="AC5208" s="54" t="s">
        <v>2</v>
      </c>
      <c r="AD5208" s="54" t="s">
        <v>2</v>
      </c>
      <c r="AE5208" s="54" t="s">
        <v>2</v>
      </c>
      <c r="AF5208" s="54" t="s">
        <v>2</v>
      </c>
      <c r="AG5208" s="54" t="s">
        <v>2</v>
      </c>
    </row>
    <row r="5209" ht="15.75" customHeight="1">
      <c r="B5209" s="56"/>
      <c r="U5209" s="46" t="str">
        <f t="array" ref="U5209">IF($D5209="","",IFERROR(_xlfn.XLOOKUP($D5209,'TIR店舗一覧'!$D:$D,'TIR店舗一覧'!$E:$E,""),""))</f>
        <v/>
      </c>
      <c r="V5209" s="54" t="s">
        <v>2</v>
      </c>
      <c r="W5209" s="54" t="s">
        <v>2</v>
      </c>
      <c r="X5209" s="54" t="s">
        <v>2</v>
      </c>
      <c r="Y5209" s="54" t="s">
        <v>2</v>
      </c>
      <c r="Z5209" s="54" t="s">
        <v>2</v>
      </c>
      <c r="AA5209" s="54" t="s">
        <v>2</v>
      </c>
      <c r="AB5209" s="54" t="s">
        <v>2</v>
      </c>
      <c r="AC5209" s="54" t="s">
        <v>2</v>
      </c>
      <c r="AD5209" s="54" t="s">
        <v>2</v>
      </c>
      <c r="AE5209" s="54" t="s">
        <v>2</v>
      </c>
      <c r="AF5209" s="54" t="s">
        <v>2</v>
      </c>
      <c r="AG5209" s="54" t="s">
        <v>2</v>
      </c>
    </row>
    <row r="5210" ht="15.75" customHeight="1">
      <c r="B5210" s="56"/>
      <c r="U5210" s="46" t="str">
        <f t="array" ref="U5210">IF($D5210="","",IFERROR(_xlfn.XLOOKUP($D5210,'TIR店舗一覧'!$D:$D,'TIR店舗一覧'!$E:$E,""),""))</f>
        <v/>
      </c>
      <c r="V5210" s="54" t="s">
        <v>2</v>
      </c>
      <c r="W5210" s="54" t="s">
        <v>2</v>
      </c>
      <c r="X5210" s="54" t="s">
        <v>2</v>
      </c>
      <c r="Y5210" s="54" t="s">
        <v>2</v>
      </c>
      <c r="Z5210" s="54" t="s">
        <v>2</v>
      </c>
      <c r="AA5210" s="54" t="s">
        <v>2</v>
      </c>
      <c r="AB5210" s="54" t="s">
        <v>2</v>
      </c>
      <c r="AC5210" s="54" t="s">
        <v>2</v>
      </c>
      <c r="AD5210" s="54" t="s">
        <v>2</v>
      </c>
      <c r="AE5210" s="54" t="s">
        <v>2</v>
      </c>
      <c r="AF5210" s="54" t="s">
        <v>2</v>
      </c>
      <c r="AG5210" s="54" t="s">
        <v>2</v>
      </c>
    </row>
    <row r="5211" ht="15.75" customHeight="1">
      <c r="B5211" s="56"/>
      <c r="U5211" s="46" t="str">
        <f t="array" ref="U5211">IF($D5211="","",IFERROR(_xlfn.XLOOKUP($D5211,'TIR店舗一覧'!$D:$D,'TIR店舗一覧'!$E:$E,""),""))</f>
        <v/>
      </c>
      <c r="V5211" s="54" t="s">
        <v>2</v>
      </c>
      <c r="W5211" s="54" t="s">
        <v>2</v>
      </c>
      <c r="X5211" s="54" t="s">
        <v>2</v>
      </c>
      <c r="Y5211" s="54" t="s">
        <v>2</v>
      </c>
      <c r="Z5211" s="54" t="s">
        <v>2</v>
      </c>
      <c r="AA5211" s="54" t="s">
        <v>2</v>
      </c>
      <c r="AB5211" s="54" t="s">
        <v>2</v>
      </c>
      <c r="AC5211" s="54" t="s">
        <v>2</v>
      </c>
      <c r="AD5211" s="54" t="s">
        <v>2</v>
      </c>
      <c r="AE5211" s="54" t="s">
        <v>2</v>
      </c>
      <c r="AF5211" s="54" t="s">
        <v>2</v>
      </c>
      <c r="AG5211" s="54" t="s">
        <v>2</v>
      </c>
    </row>
    <row r="5212" ht="15.75" customHeight="1">
      <c r="B5212" s="56"/>
      <c r="U5212" s="46" t="str">
        <f t="array" ref="U5212">IF($D5212="","",IFERROR(_xlfn.XLOOKUP($D5212,'TIR店舗一覧'!$D:$D,'TIR店舗一覧'!$E:$E,""),""))</f>
        <v/>
      </c>
      <c r="V5212" s="54" t="s">
        <v>2</v>
      </c>
      <c r="W5212" s="54" t="s">
        <v>2</v>
      </c>
      <c r="X5212" s="54" t="s">
        <v>2</v>
      </c>
      <c r="Y5212" s="54" t="s">
        <v>2</v>
      </c>
      <c r="Z5212" s="54" t="s">
        <v>2</v>
      </c>
      <c r="AA5212" s="54" t="s">
        <v>2</v>
      </c>
      <c r="AB5212" s="54" t="s">
        <v>2</v>
      </c>
      <c r="AC5212" s="54" t="s">
        <v>2</v>
      </c>
      <c r="AD5212" s="54" t="s">
        <v>2</v>
      </c>
      <c r="AE5212" s="54" t="s">
        <v>2</v>
      </c>
      <c r="AF5212" s="54" t="s">
        <v>2</v>
      </c>
      <c r="AG5212" s="54" t="s">
        <v>2</v>
      </c>
    </row>
    <row r="5213" ht="15.75" customHeight="1">
      <c r="B5213" s="56"/>
      <c r="U5213" s="46" t="str">
        <f t="array" ref="U5213">IF($D5213="","",IFERROR(_xlfn.XLOOKUP($D5213,'TIR店舗一覧'!$D:$D,'TIR店舗一覧'!$E:$E,""),""))</f>
        <v/>
      </c>
      <c r="V5213" s="54" t="s">
        <v>2</v>
      </c>
      <c r="W5213" s="54" t="s">
        <v>2</v>
      </c>
      <c r="X5213" s="54" t="s">
        <v>2</v>
      </c>
      <c r="Y5213" s="54" t="s">
        <v>2</v>
      </c>
      <c r="Z5213" s="54" t="s">
        <v>2</v>
      </c>
      <c r="AA5213" s="54" t="s">
        <v>2</v>
      </c>
      <c r="AB5213" s="54" t="s">
        <v>2</v>
      </c>
      <c r="AC5213" s="54" t="s">
        <v>2</v>
      </c>
      <c r="AD5213" s="54" t="s">
        <v>2</v>
      </c>
      <c r="AE5213" s="54" t="s">
        <v>2</v>
      </c>
      <c r="AF5213" s="54" t="s">
        <v>2</v>
      </c>
      <c r="AG5213" s="54" t="s">
        <v>2</v>
      </c>
    </row>
    <row r="5214" ht="15.75" customHeight="1">
      <c r="B5214" s="56"/>
      <c r="U5214" s="46" t="str">
        <f t="array" ref="U5214">IF($D5214="","",IFERROR(_xlfn.XLOOKUP($D5214,'TIR店舗一覧'!$D:$D,'TIR店舗一覧'!$E:$E,""),""))</f>
        <v/>
      </c>
      <c r="V5214" s="54" t="s">
        <v>2</v>
      </c>
      <c r="W5214" s="54" t="s">
        <v>2</v>
      </c>
      <c r="X5214" s="54" t="s">
        <v>2</v>
      </c>
      <c r="Y5214" s="54" t="s">
        <v>2</v>
      </c>
      <c r="Z5214" s="54" t="s">
        <v>2</v>
      </c>
      <c r="AA5214" s="54" t="s">
        <v>2</v>
      </c>
      <c r="AB5214" s="54" t="s">
        <v>2</v>
      </c>
      <c r="AC5214" s="54" t="s">
        <v>2</v>
      </c>
      <c r="AD5214" s="54" t="s">
        <v>2</v>
      </c>
      <c r="AE5214" s="54" t="s">
        <v>2</v>
      </c>
      <c r="AF5214" s="54" t="s">
        <v>2</v>
      </c>
      <c r="AG5214" s="54" t="s">
        <v>2</v>
      </c>
    </row>
    <row r="5215" ht="15.75" customHeight="1">
      <c r="B5215" s="56"/>
      <c r="U5215" s="46" t="str">
        <f t="array" ref="U5215">IF($D5215="","",IFERROR(_xlfn.XLOOKUP($D5215,'TIR店舗一覧'!$D:$D,'TIR店舗一覧'!$E:$E,""),""))</f>
        <v/>
      </c>
      <c r="V5215" s="54" t="s">
        <v>2</v>
      </c>
      <c r="W5215" s="54" t="s">
        <v>2</v>
      </c>
      <c r="X5215" s="54" t="s">
        <v>2</v>
      </c>
      <c r="Y5215" s="54" t="s">
        <v>2</v>
      </c>
      <c r="Z5215" s="54" t="s">
        <v>2</v>
      </c>
      <c r="AA5215" s="54" t="s">
        <v>2</v>
      </c>
      <c r="AB5215" s="54" t="s">
        <v>2</v>
      </c>
      <c r="AC5215" s="54" t="s">
        <v>2</v>
      </c>
      <c r="AD5215" s="54" t="s">
        <v>2</v>
      </c>
      <c r="AE5215" s="54" t="s">
        <v>2</v>
      </c>
      <c r="AF5215" s="54" t="s">
        <v>2</v>
      </c>
      <c r="AG5215" s="54" t="s">
        <v>2</v>
      </c>
    </row>
    <row r="5216" ht="15.75" customHeight="1">
      <c r="B5216" s="56"/>
      <c r="U5216" s="46" t="str">
        <f t="array" ref="U5216">IF($D5216="","",IFERROR(_xlfn.XLOOKUP($D5216,'TIR店舗一覧'!$D:$D,'TIR店舗一覧'!$E:$E,""),""))</f>
        <v/>
      </c>
      <c r="V5216" s="54" t="s">
        <v>2</v>
      </c>
      <c r="W5216" s="54" t="s">
        <v>2</v>
      </c>
      <c r="X5216" s="54" t="s">
        <v>2</v>
      </c>
      <c r="Y5216" s="54" t="s">
        <v>2</v>
      </c>
      <c r="Z5216" s="54" t="s">
        <v>2</v>
      </c>
      <c r="AA5216" s="54" t="s">
        <v>2</v>
      </c>
      <c r="AB5216" s="54" t="s">
        <v>2</v>
      </c>
      <c r="AC5216" s="54" t="s">
        <v>2</v>
      </c>
      <c r="AD5216" s="54" t="s">
        <v>2</v>
      </c>
      <c r="AE5216" s="54" t="s">
        <v>2</v>
      </c>
      <c r="AF5216" s="54" t="s">
        <v>2</v>
      </c>
      <c r="AG5216" s="54" t="s">
        <v>2</v>
      </c>
    </row>
    <row r="5217" ht="15.75" customHeight="1">
      <c r="B5217" s="56"/>
      <c r="U5217" s="46" t="str">
        <f t="array" ref="U5217">IF($D5217="","",IFERROR(_xlfn.XLOOKUP($D5217,'TIR店舗一覧'!$D:$D,'TIR店舗一覧'!$E:$E,""),""))</f>
        <v/>
      </c>
      <c r="V5217" s="54" t="s">
        <v>2</v>
      </c>
      <c r="W5217" s="54" t="s">
        <v>2</v>
      </c>
      <c r="X5217" s="54" t="s">
        <v>2</v>
      </c>
      <c r="Y5217" s="54" t="s">
        <v>2</v>
      </c>
      <c r="Z5217" s="54" t="s">
        <v>2</v>
      </c>
      <c r="AA5217" s="54" t="s">
        <v>2</v>
      </c>
      <c r="AB5217" s="54" t="s">
        <v>2</v>
      </c>
      <c r="AC5217" s="54" t="s">
        <v>2</v>
      </c>
      <c r="AD5217" s="54" t="s">
        <v>2</v>
      </c>
      <c r="AE5217" s="54" t="s">
        <v>2</v>
      </c>
      <c r="AF5217" s="54" t="s">
        <v>2</v>
      </c>
      <c r="AG5217" s="54" t="s">
        <v>2</v>
      </c>
    </row>
    <row r="5218" ht="15.75" customHeight="1">
      <c r="B5218" s="56"/>
      <c r="U5218" s="46" t="str">
        <f t="array" ref="U5218">IF($D5218="","",IFERROR(_xlfn.XLOOKUP($D5218,'TIR店舗一覧'!$D:$D,'TIR店舗一覧'!$E:$E,""),""))</f>
        <v/>
      </c>
      <c r="V5218" s="54" t="s">
        <v>2</v>
      </c>
      <c r="W5218" s="54" t="s">
        <v>2</v>
      </c>
      <c r="X5218" s="54" t="s">
        <v>2</v>
      </c>
      <c r="Y5218" s="54" t="s">
        <v>2</v>
      </c>
      <c r="Z5218" s="54" t="s">
        <v>2</v>
      </c>
      <c r="AA5218" s="54" t="s">
        <v>2</v>
      </c>
      <c r="AB5218" s="54" t="s">
        <v>2</v>
      </c>
      <c r="AC5218" s="54" t="s">
        <v>2</v>
      </c>
      <c r="AD5218" s="54" t="s">
        <v>2</v>
      </c>
      <c r="AE5218" s="54" t="s">
        <v>2</v>
      </c>
      <c r="AF5218" s="54" t="s">
        <v>2</v>
      </c>
      <c r="AG5218" s="54" t="s">
        <v>2</v>
      </c>
    </row>
    <row r="5219" ht="15.75" customHeight="1">
      <c r="B5219" s="56"/>
      <c r="U5219" s="46" t="str">
        <f t="array" ref="U5219">IF($D5219="","",IFERROR(_xlfn.XLOOKUP($D5219,'TIR店舗一覧'!$D:$D,'TIR店舗一覧'!$E:$E,""),""))</f>
        <v/>
      </c>
      <c r="V5219" s="54" t="s">
        <v>2</v>
      </c>
      <c r="W5219" s="54" t="s">
        <v>2</v>
      </c>
      <c r="X5219" s="54" t="s">
        <v>2</v>
      </c>
      <c r="Y5219" s="54" t="s">
        <v>2</v>
      </c>
      <c r="Z5219" s="54" t="s">
        <v>2</v>
      </c>
      <c r="AA5219" s="54" t="s">
        <v>2</v>
      </c>
      <c r="AB5219" s="54" t="s">
        <v>2</v>
      </c>
      <c r="AC5219" s="54" t="s">
        <v>2</v>
      </c>
      <c r="AD5219" s="54" t="s">
        <v>2</v>
      </c>
      <c r="AE5219" s="54" t="s">
        <v>2</v>
      </c>
      <c r="AF5219" s="54" t="s">
        <v>2</v>
      </c>
      <c r="AG5219" s="54" t="s">
        <v>2</v>
      </c>
    </row>
    <row r="5220" ht="15.75" customHeight="1">
      <c r="B5220" s="56"/>
      <c r="U5220" s="46" t="str">
        <f t="array" ref="U5220">IF($D5220="","",IFERROR(_xlfn.XLOOKUP($D5220,'TIR店舗一覧'!$D:$D,'TIR店舗一覧'!$E:$E,""),""))</f>
        <v/>
      </c>
      <c r="V5220" s="54" t="s">
        <v>2</v>
      </c>
      <c r="W5220" s="54" t="s">
        <v>2</v>
      </c>
      <c r="X5220" s="54" t="s">
        <v>2</v>
      </c>
      <c r="Y5220" s="54" t="s">
        <v>2</v>
      </c>
      <c r="Z5220" s="54" t="s">
        <v>2</v>
      </c>
      <c r="AA5220" s="54" t="s">
        <v>2</v>
      </c>
      <c r="AB5220" s="54" t="s">
        <v>2</v>
      </c>
      <c r="AC5220" s="54" t="s">
        <v>2</v>
      </c>
      <c r="AD5220" s="54" t="s">
        <v>2</v>
      </c>
      <c r="AE5220" s="54" t="s">
        <v>2</v>
      </c>
      <c r="AF5220" s="54" t="s">
        <v>2</v>
      </c>
      <c r="AG5220" s="54" t="s">
        <v>2</v>
      </c>
    </row>
    <row r="5221" ht="15.75" customHeight="1">
      <c r="B5221" s="56"/>
      <c r="U5221" s="46" t="str">
        <f t="array" ref="U5221">IF($D5221="","",IFERROR(_xlfn.XLOOKUP($D5221,'TIR店舗一覧'!$D:$D,'TIR店舗一覧'!$E:$E,""),""))</f>
        <v/>
      </c>
      <c r="V5221" s="54" t="s">
        <v>2</v>
      </c>
      <c r="W5221" s="54" t="s">
        <v>2</v>
      </c>
      <c r="X5221" s="54" t="s">
        <v>2</v>
      </c>
      <c r="Y5221" s="54" t="s">
        <v>2</v>
      </c>
      <c r="Z5221" s="54" t="s">
        <v>2</v>
      </c>
      <c r="AA5221" s="54" t="s">
        <v>2</v>
      </c>
      <c r="AB5221" s="54" t="s">
        <v>2</v>
      </c>
      <c r="AC5221" s="54" t="s">
        <v>2</v>
      </c>
      <c r="AD5221" s="54" t="s">
        <v>2</v>
      </c>
      <c r="AE5221" s="54" t="s">
        <v>2</v>
      </c>
      <c r="AF5221" s="54" t="s">
        <v>2</v>
      </c>
      <c r="AG5221" s="54" t="s">
        <v>2</v>
      </c>
    </row>
    <row r="5222" ht="15.75" customHeight="1">
      <c r="B5222" s="56"/>
      <c r="U5222" s="46" t="str">
        <f t="array" ref="U5222">IF($D5222="","",IFERROR(_xlfn.XLOOKUP($D5222,'TIR店舗一覧'!$D:$D,'TIR店舗一覧'!$E:$E,""),""))</f>
        <v/>
      </c>
      <c r="V5222" s="54" t="s">
        <v>2</v>
      </c>
      <c r="W5222" s="54" t="s">
        <v>2</v>
      </c>
      <c r="X5222" s="54" t="s">
        <v>2</v>
      </c>
      <c r="Y5222" s="54" t="s">
        <v>2</v>
      </c>
      <c r="Z5222" s="54" t="s">
        <v>2</v>
      </c>
      <c r="AA5222" s="54" t="s">
        <v>2</v>
      </c>
      <c r="AB5222" s="54" t="s">
        <v>2</v>
      </c>
      <c r="AC5222" s="54" t="s">
        <v>2</v>
      </c>
      <c r="AD5222" s="54" t="s">
        <v>2</v>
      </c>
      <c r="AE5222" s="54" t="s">
        <v>2</v>
      </c>
      <c r="AF5222" s="54" t="s">
        <v>2</v>
      </c>
      <c r="AG5222" s="54" t="s">
        <v>2</v>
      </c>
    </row>
    <row r="5223" ht="15.75" customHeight="1">
      <c r="B5223" s="56"/>
      <c r="U5223" s="46" t="str">
        <f t="array" ref="U5223">IF($D5223="","",IFERROR(_xlfn.XLOOKUP($D5223,'TIR店舗一覧'!$D:$D,'TIR店舗一覧'!$E:$E,""),""))</f>
        <v/>
      </c>
      <c r="V5223" s="54" t="s">
        <v>2</v>
      </c>
      <c r="W5223" s="54" t="s">
        <v>2</v>
      </c>
      <c r="X5223" s="54" t="s">
        <v>2</v>
      </c>
      <c r="Y5223" s="54" t="s">
        <v>2</v>
      </c>
      <c r="Z5223" s="54" t="s">
        <v>2</v>
      </c>
      <c r="AA5223" s="54" t="s">
        <v>2</v>
      </c>
      <c r="AB5223" s="54" t="s">
        <v>2</v>
      </c>
      <c r="AC5223" s="54" t="s">
        <v>2</v>
      </c>
      <c r="AD5223" s="54" t="s">
        <v>2</v>
      </c>
      <c r="AE5223" s="54" t="s">
        <v>2</v>
      </c>
      <c r="AF5223" s="54" t="s">
        <v>2</v>
      </c>
      <c r="AG5223" s="54" t="s">
        <v>2</v>
      </c>
    </row>
    <row r="5224" ht="15.75" customHeight="1">
      <c r="B5224" s="56"/>
      <c r="U5224" s="46" t="str">
        <f t="array" ref="U5224">IF($D5224="","",IFERROR(_xlfn.XLOOKUP($D5224,'TIR店舗一覧'!$D:$D,'TIR店舗一覧'!$E:$E,""),""))</f>
        <v/>
      </c>
      <c r="V5224" s="54" t="s">
        <v>2</v>
      </c>
      <c r="W5224" s="54" t="s">
        <v>2</v>
      </c>
      <c r="X5224" s="54" t="s">
        <v>2</v>
      </c>
      <c r="Y5224" s="54" t="s">
        <v>2</v>
      </c>
      <c r="Z5224" s="54" t="s">
        <v>2</v>
      </c>
      <c r="AA5224" s="54" t="s">
        <v>2</v>
      </c>
      <c r="AB5224" s="54" t="s">
        <v>2</v>
      </c>
      <c r="AC5224" s="54" t="s">
        <v>2</v>
      </c>
      <c r="AD5224" s="54" t="s">
        <v>2</v>
      </c>
      <c r="AE5224" s="54" t="s">
        <v>2</v>
      </c>
      <c r="AF5224" s="54" t="s">
        <v>2</v>
      </c>
      <c r="AG5224" s="54" t="s">
        <v>2</v>
      </c>
    </row>
    <row r="5225" ht="15.75" customHeight="1">
      <c r="B5225" s="56"/>
      <c r="U5225" s="46" t="str">
        <f t="array" ref="U5225">IF($D5225="","",IFERROR(_xlfn.XLOOKUP($D5225,'TIR店舗一覧'!$D:$D,'TIR店舗一覧'!$E:$E,""),""))</f>
        <v/>
      </c>
      <c r="V5225" s="54" t="s">
        <v>2</v>
      </c>
      <c r="W5225" s="54" t="s">
        <v>2</v>
      </c>
      <c r="X5225" s="54" t="s">
        <v>2</v>
      </c>
      <c r="Y5225" s="54" t="s">
        <v>2</v>
      </c>
      <c r="Z5225" s="54" t="s">
        <v>2</v>
      </c>
      <c r="AA5225" s="54" t="s">
        <v>2</v>
      </c>
      <c r="AB5225" s="54" t="s">
        <v>2</v>
      </c>
      <c r="AC5225" s="54" t="s">
        <v>2</v>
      </c>
      <c r="AD5225" s="54" t="s">
        <v>2</v>
      </c>
      <c r="AE5225" s="54" t="s">
        <v>2</v>
      </c>
      <c r="AF5225" s="54" t="s">
        <v>2</v>
      </c>
      <c r="AG5225" s="54" t="s">
        <v>2</v>
      </c>
    </row>
    <row r="5226" ht="15.75" customHeight="1">
      <c r="B5226" s="56"/>
      <c r="U5226" s="46" t="str">
        <f t="array" ref="U5226">IF($D5226="","",IFERROR(_xlfn.XLOOKUP($D5226,'TIR店舗一覧'!$D:$D,'TIR店舗一覧'!$E:$E,""),""))</f>
        <v/>
      </c>
      <c r="V5226" s="54" t="s">
        <v>2</v>
      </c>
      <c r="W5226" s="54" t="s">
        <v>2</v>
      </c>
      <c r="X5226" s="54" t="s">
        <v>2</v>
      </c>
      <c r="Y5226" s="54" t="s">
        <v>2</v>
      </c>
      <c r="Z5226" s="54" t="s">
        <v>2</v>
      </c>
      <c r="AA5226" s="54" t="s">
        <v>2</v>
      </c>
      <c r="AB5226" s="54" t="s">
        <v>2</v>
      </c>
      <c r="AC5226" s="54" t="s">
        <v>2</v>
      </c>
      <c r="AD5226" s="54" t="s">
        <v>2</v>
      </c>
      <c r="AE5226" s="54" t="s">
        <v>2</v>
      </c>
      <c r="AF5226" s="54" t="s">
        <v>2</v>
      </c>
      <c r="AG5226" s="54" t="s">
        <v>2</v>
      </c>
    </row>
    <row r="5227" ht="15.75" customHeight="1">
      <c r="B5227" s="56"/>
      <c r="U5227" s="46" t="str">
        <f t="array" ref="U5227">IF($D5227="","",IFERROR(_xlfn.XLOOKUP($D5227,'TIR店舗一覧'!$D:$D,'TIR店舗一覧'!$E:$E,""),""))</f>
        <v/>
      </c>
      <c r="V5227" s="54" t="s">
        <v>2</v>
      </c>
      <c r="W5227" s="54" t="s">
        <v>2</v>
      </c>
      <c r="X5227" s="54" t="s">
        <v>2</v>
      </c>
      <c r="Y5227" s="54" t="s">
        <v>2</v>
      </c>
      <c r="Z5227" s="54" t="s">
        <v>2</v>
      </c>
      <c r="AA5227" s="54" t="s">
        <v>2</v>
      </c>
      <c r="AB5227" s="54" t="s">
        <v>2</v>
      </c>
      <c r="AC5227" s="54" t="s">
        <v>2</v>
      </c>
      <c r="AD5227" s="54" t="s">
        <v>2</v>
      </c>
      <c r="AE5227" s="54" t="s">
        <v>2</v>
      </c>
      <c r="AF5227" s="54" t="s">
        <v>2</v>
      </c>
      <c r="AG5227" s="54" t="s">
        <v>2</v>
      </c>
    </row>
    <row r="5228" ht="15.75" customHeight="1">
      <c r="B5228" s="56"/>
      <c r="U5228" s="46" t="str">
        <f t="array" ref="U5228">IF($D5228="","",IFERROR(_xlfn.XLOOKUP($D5228,'TIR店舗一覧'!$D:$D,'TIR店舗一覧'!$E:$E,""),""))</f>
        <v/>
      </c>
      <c r="V5228" s="54" t="s">
        <v>2</v>
      </c>
      <c r="W5228" s="54" t="s">
        <v>2</v>
      </c>
      <c r="X5228" s="54" t="s">
        <v>2</v>
      </c>
      <c r="Y5228" s="54" t="s">
        <v>2</v>
      </c>
      <c r="Z5228" s="54" t="s">
        <v>2</v>
      </c>
      <c r="AA5228" s="54" t="s">
        <v>2</v>
      </c>
      <c r="AB5228" s="54" t="s">
        <v>2</v>
      </c>
      <c r="AC5228" s="54" t="s">
        <v>2</v>
      </c>
      <c r="AD5228" s="54" t="s">
        <v>2</v>
      </c>
      <c r="AE5228" s="54" t="s">
        <v>2</v>
      </c>
      <c r="AF5228" s="54" t="s">
        <v>2</v>
      </c>
      <c r="AG5228" s="54" t="s">
        <v>2</v>
      </c>
    </row>
    <row r="5229" ht="15.75" customHeight="1">
      <c r="B5229" s="56"/>
      <c r="U5229" s="46" t="str">
        <f t="array" ref="U5229">IF($D5229="","",IFERROR(_xlfn.XLOOKUP($D5229,'TIR店舗一覧'!$D:$D,'TIR店舗一覧'!$E:$E,""),""))</f>
        <v/>
      </c>
      <c r="V5229" s="54" t="s">
        <v>2</v>
      </c>
      <c r="W5229" s="54" t="s">
        <v>2</v>
      </c>
      <c r="X5229" s="54" t="s">
        <v>2</v>
      </c>
      <c r="Y5229" s="54" t="s">
        <v>2</v>
      </c>
      <c r="Z5229" s="54" t="s">
        <v>2</v>
      </c>
      <c r="AA5229" s="54" t="s">
        <v>2</v>
      </c>
      <c r="AB5229" s="54" t="s">
        <v>2</v>
      </c>
      <c r="AC5229" s="54" t="s">
        <v>2</v>
      </c>
      <c r="AD5229" s="54" t="s">
        <v>2</v>
      </c>
      <c r="AE5229" s="54" t="s">
        <v>2</v>
      </c>
      <c r="AF5229" s="54" t="s">
        <v>2</v>
      </c>
      <c r="AG5229" s="54" t="s">
        <v>2</v>
      </c>
    </row>
    <row r="5230" ht="15.75" customHeight="1">
      <c r="B5230" s="56"/>
      <c r="U5230" s="46" t="str">
        <f t="array" ref="U5230">IF($D5230="","",IFERROR(_xlfn.XLOOKUP($D5230,'TIR店舗一覧'!$D:$D,'TIR店舗一覧'!$E:$E,""),""))</f>
        <v/>
      </c>
      <c r="V5230" s="54" t="s">
        <v>2</v>
      </c>
      <c r="W5230" s="54" t="s">
        <v>2</v>
      </c>
      <c r="X5230" s="54" t="s">
        <v>2</v>
      </c>
      <c r="Y5230" s="54" t="s">
        <v>2</v>
      </c>
      <c r="Z5230" s="54" t="s">
        <v>2</v>
      </c>
      <c r="AA5230" s="54" t="s">
        <v>2</v>
      </c>
      <c r="AB5230" s="54" t="s">
        <v>2</v>
      </c>
      <c r="AC5230" s="54" t="s">
        <v>2</v>
      </c>
      <c r="AD5230" s="54" t="s">
        <v>2</v>
      </c>
      <c r="AE5230" s="54" t="s">
        <v>2</v>
      </c>
      <c r="AF5230" s="54" t="s">
        <v>2</v>
      </c>
      <c r="AG5230" s="54" t="s">
        <v>2</v>
      </c>
    </row>
    <row r="5231" ht="15.75" customHeight="1">
      <c r="B5231" s="56"/>
      <c r="U5231" s="46" t="str">
        <f t="array" ref="U5231">IF($D5231="","",IFERROR(_xlfn.XLOOKUP($D5231,'TIR店舗一覧'!$D:$D,'TIR店舗一覧'!$E:$E,""),""))</f>
        <v/>
      </c>
      <c r="V5231" s="54" t="s">
        <v>2</v>
      </c>
      <c r="W5231" s="54" t="s">
        <v>2</v>
      </c>
      <c r="X5231" s="54" t="s">
        <v>2</v>
      </c>
      <c r="Y5231" s="54" t="s">
        <v>2</v>
      </c>
      <c r="Z5231" s="54" t="s">
        <v>2</v>
      </c>
      <c r="AA5231" s="54" t="s">
        <v>2</v>
      </c>
      <c r="AB5231" s="54" t="s">
        <v>2</v>
      </c>
      <c r="AC5231" s="54" t="s">
        <v>2</v>
      </c>
      <c r="AD5231" s="54" t="s">
        <v>2</v>
      </c>
      <c r="AE5231" s="54" t="s">
        <v>2</v>
      </c>
      <c r="AF5231" s="54" t="s">
        <v>2</v>
      </c>
      <c r="AG5231" s="54" t="s">
        <v>2</v>
      </c>
    </row>
    <row r="5232" ht="15.75" customHeight="1">
      <c r="B5232" s="56"/>
      <c r="U5232" s="46" t="str">
        <f t="array" ref="U5232">IF($D5232="","",IFERROR(_xlfn.XLOOKUP($D5232,'TIR店舗一覧'!$D:$D,'TIR店舗一覧'!$E:$E,""),""))</f>
        <v/>
      </c>
      <c r="V5232" s="54" t="s">
        <v>2</v>
      </c>
      <c r="W5232" s="54" t="s">
        <v>2</v>
      </c>
      <c r="X5232" s="54" t="s">
        <v>2</v>
      </c>
      <c r="Y5232" s="54" t="s">
        <v>2</v>
      </c>
      <c r="Z5232" s="54" t="s">
        <v>2</v>
      </c>
      <c r="AA5232" s="54" t="s">
        <v>2</v>
      </c>
      <c r="AB5232" s="54" t="s">
        <v>2</v>
      </c>
      <c r="AC5232" s="54" t="s">
        <v>2</v>
      </c>
      <c r="AD5232" s="54" t="s">
        <v>2</v>
      </c>
      <c r="AE5232" s="54" t="s">
        <v>2</v>
      </c>
      <c r="AF5232" s="54" t="s">
        <v>2</v>
      </c>
      <c r="AG5232" s="54" t="s">
        <v>2</v>
      </c>
    </row>
    <row r="5233" ht="15.75" customHeight="1">
      <c r="B5233" s="56"/>
      <c r="U5233" s="46" t="str">
        <f t="array" ref="U5233">IF($D5233="","",IFERROR(_xlfn.XLOOKUP($D5233,'TIR店舗一覧'!$D:$D,'TIR店舗一覧'!$E:$E,""),""))</f>
        <v/>
      </c>
      <c r="V5233" s="54" t="s">
        <v>2</v>
      </c>
      <c r="W5233" s="54" t="s">
        <v>2</v>
      </c>
      <c r="X5233" s="54" t="s">
        <v>2</v>
      </c>
      <c r="Y5233" s="54" t="s">
        <v>2</v>
      </c>
      <c r="Z5233" s="54" t="s">
        <v>2</v>
      </c>
      <c r="AA5233" s="54" t="s">
        <v>2</v>
      </c>
      <c r="AB5233" s="54" t="s">
        <v>2</v>
      </c>
      <c r="AC5233" s="54" t="s">
        <v>2</v>
      </c>
      <c r="AD5233" s="54" t="s">
        <v>2</v>
      </c>
      <c r="AE5233" s="54" t="s">
        <v>2</v>
      </c>
      <c r="AF5233" s="54" t="s">
        <v>2</v>
      </c>
      <c r="AG5233" s="54" t="s">
        <v>2</v>
      </c>
    </row>
    <row r="5234" ht="15.75" customHeight="1">
      <c r="B5234" s="56"/>
      <c r="U5234" s="46" t="str">
        <f t="array" ref="U5234">IF($D5234="","",IFERROR(_xlfn.XLOOKUP($D5234,'TIR店舗一覧'!$D:$D,'TIR店舗一覧'!$E:$E,""),""))</f>
        <v/>
      </c>
      <c r="V5234" s="54" t="s">
        <v>2</v>
      </c>
      <c r="W5234" s="54" t="s">
        <v>2</v>
      </c>
      <c r="X5234" s="54" t="s">
        <v>2</v>
      </c>
      <c r="Y5234" s="54" t="s">
        <v>2</v>
      </c>
      <c r="Z5234" s="54" t="s">
        <v>2</v>
      </c>
      <c r="AA5234" s="54" t="s">
        <v>2</v>
      </c>
      <c r="AB5234" s="54" t="s">
        <v>2</v>
      </c>
      <c r="AC5234" s="54" t="s">
        <v>2</v>
      </c>
      <c r="AD5234" s="54" t="s">
        <v>2</v>
      </c>
      <c r="AE5234" s="54" t="s">
        <v>2</v>
      </c>
      <c r="AF5234" s="54" t="s">
        <v>2</v>
      </c>
      <c r="AG5234" s="54" t="s">
        <v>2</v>
      </c>
    </row>
    <row r="5235" ht="15.75" customHeight="1">
      <c r="B5235" s="56"/>
      <c r="U5235" s="46" t="str">
        <f t="array" ref="U5235">IF($D5235="","",IFERROR(_xlfn.XLOOKUP($D5235,'TIR店舗一覧'!$D:$D,'TIR店舗一覧'!$E:$E,""),""))</f>
        <v/>
      </c>
      <c r="V5235" s="54" t="s">
        <v>2</v>
      </c>
      <c r="W5235" s="54" t="s">
        <v>2</v>
      </c>
      <c r="X5235" s="54" t="s">
        <v>2</v>
      </c>
      <c r="Y5235" s="54" t="s">
        <v>2</v>
      </c>
      <c r="Z5235" s="54" t="s">
        <v>2</v>
      </c>
      <c r="AA5235" s="54" t="s">
        <v>2</v>
      </c>
      <c r="AB5235" s="54" t="s">
        <v>2</v>
      </c>
      <c r="AC5235" s="54" t="s">
        <v>2</v>
      </c>
      <c r="AD5235" s="54" t="s">
        <v>2</v>
      </c>
      <c r="AE5235" s="54" t="s">
        <v>2</v>
      </c>
      <c r="AF5235" s="54" t="s">
        <v>2</v>
      </c>
      <c r="AG5235" s="54" t="s">
        <v>2</v>
      </c>
    </row>
    <row r="5236" ht="15.75" customHeight="1">
      <c r="B5236" s="56"/>
      <c r="U5236" s="46" t="str">
        <f t="array" ref="U5236">IF($D5236="","",IFERROR(_xlfn.XLOOKUP($D5236,'TIR店舗一覧'!$D:$D,'TIR店舗一覧'!$E:$E,""),""))</f>
        <v/>
      </c>
      <c r="V5236" s="54" t="s">
        <v>2</v>
      </c>
      <c r="W5236" s="54" t="s">
        <v>2</v>
      </c>
      <c r="X5236" s="54" t="s">
        <v>2</v>
      </c>
      <c r="Y5236" s="54" t="s">
        <v>2</v>
      </c>
      <c r="Z5236" s="54" t="s">
        <v>2</v>
      </c>
      <c r="AA5236" s="54" t="s">
        <v>2</v>
      </c>
      <c r="AB5236" s="54" t="s">
        <v>2</v>
      </c>
      <c r="AC5236" s="54" t="s">
        <v>2</v>
      </c>
      <c r="AD5236" s="54" t="s">
        <v>2</v>
      </c>
      <c r="AE5236" s="54" t="s">
        <v>2</v>
      </c>
      <c r="AF5236" s="54" t="s">
        <v>2</v>
      </c>
      <c r="AG5236" s="54" t="s">
        <v>2</v>
      </c>
    </row>
    <row r="5237" ht="15.75" customHeight="1">
      <c r="B5237" s="56"/>
      <c r="U5237" s="46" t="str">
        <f t="array" ref="U5237">IF($D5237="","",IFERROR(_xlfn.XLOOKUP($D5237,'TIR店舗一覧'!$D:$D,'TIR店舗一覧'!$E:$E,""),""))</f>
        <v/>
      </c>
      <c r="V5237" s="54" t="s">
        <v>2</v>
      </c>
      <c r="W5237" s="54" t="s">
        <v>2</v>
      </c>
      <c r="X5237" s="54" t="s">
        <v>2</v>
      </c>
      <c r="Y5237" s="54" t="s">
        <v>2</v>
      </c>
      <c r="Z5237" s="54" t="s">
        <v>2</v>
      </c>
      <c r="AA5237" s="54" t="s">
        <v>2</v>
      </c>
      <c r="AB5237" s="54" t="s">
        <v>2</v>
      </c>
      <c r="AC5237" s="54" t="s">
        <v>2</v>
      </c>
      <c r="AD5237" s="54" t="s">
        <v>2</v>
      </c>
      <c r="AE5237" s="54" t="s">
        <v>2</v>
      </c>
      <c r="AF5237" s="54" t="s">
        <v>2</v>
      </c>
      <c r="AG5237" s="54" t="s">
        <v>2</v>
      </c>
    </row>
    <row r="5238" ht="15.75" customHeight="1">
      <c r="B5238" s="56"/>
      <c r="U5238" s="46" t="str">
        <f t="array" ref="U5238">IF($D5238="","",IFERROR(_xlfn.XLOOKUP($D5238,'TIR店舗一覧'!$D:$D,'TIR店舗一覧'!$E:$E,""),""))</f>
        <v/>
      </c>
      <c r="V5238" s="54" t="s">
        <v>2</v>
      </c>
      <c r="W5238" s="54" t="s">
        <v>2</v>
      </c>
      <c r="X5238" s="54" t="s">
        <v>2</v>
      </c>
      <c r="Y5238" s="54" t="s">
        <v>2</v>
      </c>
      <c r="Z5238" s="54" t="s">
        <v>2</v>
      </c>
      <c r="AA5238" s="54" t="s">
        <v>2</v>
      </c>
      <c r="AB5238" s="54" t="s">
        <v>2</v>
      </c>
      <c r="AC5238" s="54" t="s">
        <v>2</v>
      </c>
      <c r="AD5238" s="54" t="s">
        <v>2</v>
      </c>
      <c r="AE5238" s="54" t="s">
        <v>2</v>
      </c>
      <c r="AF5238" s="54" t="s">
        <v>2</v>
      </c>
      <c r="AG5238" s="54" t="s">
        <v>2</v>
      </c>
    </row>
    <row r="5239" ht="15.75" customHeight="1">
      <c r="B5239" s="56"/>
      <c r="U5239" s="46" t="str">
        <f t="array" ref="U5239">IF($D5239="","",IFERROR(_xlfn.XLOOKUP($D5239,'TIR店舗一覧'!$D:$D,'TIR店舗一覧'!$E:$E,""),""))</f>
        <v/>
      </c>
      <c r="V5239" s="54" t="s">
        <v>2</v>
      </c>
      <c r="W5239" s="54" t="s">
        <v>2</v>
      </c>
      <c r="X5239" s="54" t="s">
        <v>2</v>
      </c>
      <c r="Y5239" s="54" t="s">
        <v>2</v>
      </c>
      <c r="Z5239" s="54" t="s">
        <v>2</v>
      </c>
      <c r="AA5239" s="54" t="s">
        <v>2</v>
      </c>
      <c r="AB5239" s="54" t="s">
        <v>2</v>
      </c>
      <c r="AC5239" s="54" t="s">
        <v>2</v>
      </c>
      <c r="AD5239" s="54" t="s">
        <v>2</v>
      </c>
      <c r="AE5239" s="54" t="s">
        <v>2</v>
      </c>
      <c r="AF5239" s="54" t="s">
        <v>2</v>
      </c>
      <c r="AG5239" s="54" t="s">
        <v>2</v>
      </c>
    </row>
    <row r="5240" ht="15.75" customHeight="1">
      <c r="B5240" s="56"/>
      <c r="U5240" s="46" t="str">
        <f t="array" ref="U5240">IF($D5240="","",IFERROR(_xlfn.XLOOKUP($D5240,'TIR店舗一覧'!$D:$D,'TIR店舗一覧'!$E:$E,""),""))</f>
        <v/>
      </c>
      <c r="V5240" s="54" t="s">
        <v>2</v>
      </c>
      <c r="W5240" s="54" t="s">
        <v>2</v>
      </c>
      <c r="X5240" s="54" t="s">
        <v>2</v>
      </c>
      <c r="Y5240" s="54" t="s">
        <v>2</v>
      </c>
      <c r="Z5240" s="54" t="s">
        <v>2</v>
      </c>
      <c r="AA5240" s="54" t="s">
        <v>2</v>
      </c>
      <c r="AB5240" s="54" t="s">
        <v>2</v>
      </c>
      <c r="AC5240" s="54" t="s">
        <v>2</v>
      </c>
      <c r="AD5240" s="54" t="s">
        <v>2</v>
      </c>
      <c r="AE5240" s="54" t="s">
        <v>2</v>
      </c>
      <c r="AF5240" s="54" t="s">
        <v>2</v>
      </c>
      <c r="AG5240" s="54" t="s">
        <v>2</v>
      </c>
    </row>
    <row r="5241" ht="15.75" customHeight="1">
      <c r="B5241" s="56"/>
      <c r="U5241" s="46" t="str">
        <f t="array" ref="U5241">IF($D5241="","",IFERROR(_xlfn.XLOOKUP($D5241,'TIR店舗一覧'!$D:$D,'TIR店舗一覧'!$E:$E,""),""))</f>
        <v/>
      </c>
      <c r="V5241" s="54" t="s">
        <v>2</v>
      </c>
      <c r="W5241" s="54" t="s">
        <v>2</v>
      </c>
      <c r="X5241" s="54" t="s">
        <v>2</v>
      </c>
      <c r="Y5241" s="54" t="s">
        <v>2</v>
      </c>
      <c r="Z5241" s="54" t="s">
        <v>2</v>
      </c>
      <c r="AA5241" s="54" t="s">
        <v>2</v>
      </c>
      <c r="AB5241" s="54" t="s">
        <v>2</v>
      </c>
      <c r="AC5241" s="54" t="s">
        <v>2</v>
      </c>
      <c r="AD5241" s="54" t="s">
        <v>2</v>
      </c>
      <c r="AE5241" s="54" t="s">
        <v>2</v>
      </c>
      <c r="AF5241" s="54" t="s">
        <v>2</v>
      </c>
      <c r="AG5241" s="54" t="s">
        <v>2</v>
      </c>
    </row>
    <row r="5242" ht="15.75" customHeight="1">
      <c r="B5242" s="56"/>
      <c r="U5242" s="46" t="str">
        <f t="array" ref="U5242">IF($D5242="","",IFERROR(_xlfn.XLOOKUP($D5242,'TIR店舗一覧'!$D:$D,'TIR店舗一覧'!$E:$E,""),""))</f>
        <v/>
      </c>
      <c r="V5242" s="54" t="s">
        <v>2</v>
      </c>
      <c r="W5242" s="54" t="s">
        <v>2</v>
      </c>
      <c r="X5242" s="54" t="s">
        <v>2</v>
      </c>
      <c r="Y5242" s="54" t="s">
        <v>2</v>
      </c>
      <c r="Z5242" s="54" t="s">
        <v>2</v>
      </c>
      <c r="AA5242" s="54" t="s">
        <v>2</v>
      </c>
      <c r="AB5242" s="54" t="s">
        <v>2</v>
      </c>
      <c r="AC5242" s="54" t="s">
        <v>2</v>
      </c>
      <c r="AD5242" s="54" t="s">
        <v>2</v>
      </c>
      <c r="AE5242" s="54" t="s">
        <v>2</v>
      </c>
      <c r="AF5242" s="54" t="s">
        <v>2</v>
      </c>
      <c r="AG5242" s="54" t="s">
        <v>2</v>
      </c>
    </row>
    <row r="5243" ht="15.75" customHeight="1">
      <c r="B5243" s="56"/>
      <c r="U5243" s="46" t="str">
        <f t="array" ref="U5243">IF($D5243="","",IFERROR(_xlfn.XLOOKUP($D5243,'TIR店舗一覧'!$D:$D,'TIR店舗一覧'!$E:$E,""),""))</f>
        <v/>
      </c>
      <c r="V5243" s="54" t="s">
        <v>2</v>
      </c>
      <c r="W5243" s="54" t="s">
        <v>2</v>
      </c>
      <c r="X5243" s="54" t="s">
        <v>2</v>
      </c>
      <c r="Y5243" s="54" t="s">
        <v>2</v>
      </c>
      <c r="Z5243" s="54" t="s">
        <v>2</v>
      </c>
      <c r="AA5243" s="54" t="s">
        <v>2</v>
      </c>
      <c r="AB5243" s="54" t="s">
        <v>2</v>
      </c>
      <c r="AC5243" s="54" t="s">
        <v>2</v>
      </c>
      <c r="AD5243" s="54" t="s">
        <v>2</v>
      </c>
      <c r="AE5243" s="54" t="s">
        <v>2</v>
      </c>
      <c r="AF5243" s="54" t="s">
        <v>2</v>
      </c>
      <c r="AG5243" s="54" t="s">
        <v>2</v>
      </c>
    </row>
    <row r="5244" ht="15.75" customHeight="1">
      <c r="B5244" s="56"/>
      <c r="U5244" s="46" t="str">
        <f t="array" ref="U5244">IF($D5244="","",IFERROR(_xlfn.XLOOKUP($D5244,'TIR店舗一覧'!$D:$D,'TIR店舗一覧'!$E:$E,""),""))</f>
        <v/>
      </c>
      <c r="V5244" s="54" t="s">
        <v>2</v>
      </c>
      <c r="W5244" s="54" t="s">
        <v>2</v>
      </c>
      <c r="X5244" s="54" t="s">
        <v>2</v>
      </c>
      <c r="Y5244" s="54" t="s">
        <v>2</v>
      </c>
      <c r="Z5244" s="54" t="s">
        <v>2</v>
      </c>
      <c r="AA5244" s="54" t="s">
        <v>2</v>
      </c>
      <c r="AB5244" s="54" t="s">
        <v>2</v>
      </c>
      <c r="AC5244" s="54" t="s">
        <v>2</v>
      </c>
      <c r="AD5244" s="54" t="s">
        <v>2</v>
      </c>
      <c r="AE5244" s="54" t="s">
        <v>2</v>
      </c>
      <c r="AF5244" s="54" t="s">
        <v>2</v>
      </c>
      <c r="AG5244" s="54" t="s">
        <v>2</v>
      </c>
    </row>
    <row r="5245" ht="15.75" customHeight="1">
      <c r="B5245" s="56"/>
      <c r="U5245" s="46" t="str">
        <f t="array" ref="U5245">IF($D5245="","",IFERROR(_xlfn.XLOOKUP($D5245,'TIR店舗一覧'!$D:$D,'TIR店舗一覧'!$E:$E,""),""))</f>
        <v/>
      </c>
      <c r="V5245" s="54" t="s">
        <v>2</v>
      </c>
      <c r="W5245" s="54" t="s">
        <v>2</v>
      </c>
      <c r="X5245" s="54" t="s">
        <v>2</v>
      </c>
      <c r="Y5245" s="54" t="s">
        <v>2</v>
      </c>
      <c r="Z5245" s="54" t="s">
        <v>2</v>
      </c>
      <c r="AA5245" s="54" t="s">
        <v>2</v>
      </c>
      <c r="AB5245" s="54" t="s">
        <v>2</v>
      </c>
      <c r="AC5245" s="54" t="s">
        <v>2</v>
      </c>
      <c r="AD5245" s="54" t="s">
        <v>2</v>
      </c>
      <c r="AE5245" s="54" t="s">
        <v>2</v>
      </c>
      <c r="AF5245" s="54" t="s">
        <v>2</v>
      </c>
      <c r="AG5245" s="54" t="s">
        <v>2</v>
      </c>
    </row>
    <row r="5246" ht="15.75" customHeight="1">
      <c r="B5246" s="56"/>
      <c r="U5246" s="46" t="str">
        <f t="array" ref="U5246">IF($D5246="","",IFERROR(_xlfn.XLOOKUP($D5246,'TIR店舗一覧'!$D:$D,'TIR店舗一覧'!$E:$E,""),""))</f>
        <v/>
      </c>
      <c r="V5246" s="54" t="s">
        <v>2</v>
      </c>
      <c r="W5246" s="54" t="s">
        <v>2</v>
      </c>
      <c r="X5246" s="54" t="s">
        <v>2</v>
      </c>
      <c r="Y5246" s="54" t="s">
        <v>2</v>
      </c>
      <c r="Z5246" s="54" t="s">
        <v>2</v>
      </c>
      <c r="AA5246" s="54" t="s">
        <v>2</v>
      </c>
      <c r="AB5246" s="54" t="s">
        <v>2</v>
      </c>
      <c r="AC5246" s="54" t="s">
        <v>2</v>
      </c>
      <c r="AD5246" s="54" t="s">
        <v>2</v>
      </c>
      <c r="AE5246" s="54" t="s">
        <v>2</v>
      </c>
      <c r="AF5246" s="54" t="s">
        <v>2</v>
      </c>
      <c r="AG5246" s="54" t="s">
        <v>2</v>
      </c>
    </row>
    <row r="5247" ht="15.75" customHeight="1">
      <c r="B5247" s="56"/>
      <c r="U5247" s="46" t="str">
        <f t="array" ref="U5247">IF($D5247="","",IFERROR(_xlfn.XLOOKUP($D5247,'TIR店舗一覧'!$D:$D,'TIR店舗一覧'!$E:$E,""),""))</f>
        <v/>
      </c>
      <c r="V5247" s="54" t="s">
        <v>2</v>
      </c>
      <c r="W5247" s="54" t="s">
        <v>2</v>
      </c>
      <c r="X5247" s="54" t="s">
        <v>2</v>
      </c>
      <c r="Y5247" s="54" t="s">
        <v>2</v>
      </c>
      <c r="Z5247" s="54" t="s">
        <v>2</v>
      </c>
      <c r="AA5247" s="54" t="s">
        <v>2</v>
      </c>
      <c r="AB5247" s="54" t="s">
        <v>2</v>
      </c>
      <c r="AC5247" s="54" t="s">
        <v>2</v>
      </c>
      <c r="AD5247" s="54" t="s">
        <v>2</v>
      </c>
      <c r="AE5247" s="54" t="s">
        <v>2</v>
      </c>
      <c r="AF5247" s="54" t="s">
        <v>2</v>
      </c>
      <c r="AG5247" s="54" t="s">
        <v>2</v>
      </c>
    </row>
    <row r="5248" ht="15.75" customHeight="1">
      <c r="B5248" s="56"/>
      <c r="U5248" s="46" t="str">
        <f t="array" ref="U5248">IF($D5248="","",IFERROR(_xlfn.XLOOKUP($D5248,'TIR店舗一覧'!$D:$D,'TIR店舗一覧'!$E:$E,""),""))</f>
        <v/>
      </c>
      <c r="V5248" s="54" t="s">
        <v>2</v>
      </c>
      <c r="W5248" s="54" t="s">
        <v>2</v>
      </c>
      <c r="X5248" s="54" t="s">
        <v>2</v>
      </c>
      <c r="Y5248" s="54" t="s">
        <v>2</v>
      </c>
      <c r="Z5248" s="54" t="s">
        <v>2</v>
      </c>
      <c r="AA5248" s="54" t="s">
        <v>2</v>
      </c>
      <c r="AB5248" s="54" t="s">
        <v>2</v>
      </c>
      <c r="AC5248" s="54" t="s">
        <v>2</v>
      </c>
      <c r="AD5248" s="54" t="s">
        <v>2</v>
      </c>
      <c r="AE5248" s="54" t="s">
        <v>2</v>
      </c>
      <c r="AF5248" s="54" t="s">
        <v>2</v>
      </c>
      <c r="AG5248" s="54" t="s">
        <v>2</v>
      </c>
    </row>
    <row r="5249" ht="15.75" customHeight="1">
      <c r="B5249" s="56"/>
      <c r="U5249" s="46" t="str">
        <f t="array" ref="U5249">IF($D5249="","",IFERROR(_xlfn.XLOOKUP($D5249,'TIR店舗一覧'!$D:$D,'TIR店舗一覧'!$E:$E,""),""))</f>
        <v/>
      </c>
      <c r="V5249" s="54" t="s">
        <v>2</v>
      </c>
      <c r="W5249" s="54" t="s">
        <v>2</v>
      </c>
      <c r="X5249" s="54" t="s">
        <v>2</v>
      </c>
      <c r="Y5249" s="54" t="s">
        <v>2</v>
      </c>
      <c r="Z5249" s="54" t="s">
        <v>2</v>
      </c>
      <c r="AA5249" s="54" t="s">
        <v>2</v>
      </c>
      <c r="AB5249" s="54" t="s">
        <v>2</v>
      </c>
      <c r="AC5249" s="54" t="s">
        <v>2</v>
      </c>
      <c r="AD5249" s="54" t="s">
        <v>2</v>
      </c>
      <c r="AE5249" s="54" t="s">
        <v>2</v>
      </c>
      <c r="AF5249" s="54" t="s">
        <v>2</v>
      </c>
      <c r="AG5249" s="54" t="s">
        <v>2</v>
      </c>
    </row>
    <row r="5250" ht="15.75" customHeight="1">
      <c r="B5250" s="56"/>
      <c r="U5250" s="46" t="str">
        <f t="array" ref="U5250">IF($D5250="","",IFERROR(_xlfn.XLOOKUP($D5250,'TIR店舗一覧'!$D:$D,'TIR店舗一覧'!$E:$E,""),""))</f>
        <v/>
      </c>
      <c r="V5250" s="54" t="s">
        <v>2</v>
      </c>
      <c r="W5250" s="54" t="s">
        <v>2</v>
      </c>
      <c r="X5250" s="54" t="s">
        <v>2</v>
      </c>
      <c r="Y5250" s="54" t="s">
        <v>2</v>
      </c>
      <c r="Z5250" s="54" t="s">
        <v>2</v>
      </c>
      <c r="AA5250" s="54" t="s">
        <v>2</v>
      </c>
      <c r="AB5250" s="54" t="s">
        <v>2</v>
      </c>
      <c r="AC5250" s="54" t="s">
        <v>2</v>
      </c>
      <c r="AD5250" s="54" t="s">
        <v>2</v>
      </c>
      <c r="AE5250" s="54" t="s">
        <v>2</v>
      </c>
      <c r="AF5250" s="54" t="s">
        <v>2</v>
      </c>
      <c r="AG5250" s="54" t="s">
        <v>2</v>
      </c>
    </row>
    <row r="5251" ht="15.75" customHeight="1">
      <c r="B5251" s="56"/>
      <c r="U5251" s="46" t="str">
        <f t="array" ref="U5251">IF($D5251="","",IFERROR(_xlfn.XLOOKUP($D5251,'TIR店舗一覧'!$D:$D,'TIR店舗一覧'!$E:$E,""),""))</f>
        <v/>
      </c>
      <c r="V5251" s="54" t="s">
        <v>2</v>
      </c>
      <c r="W5251" s="54" t="s">
        <v>2</v>
      </c>
      <c r="X5251" s="54" t="s">
        <v>2</v>
      </c>
      <c r="Y5251" s="54" t="s">
        <v>2</v>
      </c>
      <c r="Z5251" s="54" t="s">
        <v>2</v>
      </c>
      <c r="AA5251" s="54" t="s">
        <v>2</v>
      </c>
      <c r="AB5251" s="54" t="s">
        <v>2</v>
      </c>
      <c r="AC5251" s="54" t="s">
        <v>2</v>
      </c>
      <c r="AD5251" s="54" t="s">
        <v>2</v>
      </c>
      <c r="AE5251" s="54" t="s">
        <v>2</v>
      </c>
      <c r="AF5251" s="54" t="s">
        <v>2</v>
      </c>
      <c r="AG5251" s="54" t="s">
        <v>2</v>
      </c>
    </row>
    <row r="5252" ht="15.75" customHeight="1">
      <c r="B5252" s="56"/>
      <c r="U5252" s="46" t="str">
        <f t="array" ref="U5252">IF($D5252="","",IFERROR(_xlfn.XLOOKUP($D5252,'TIR店舗一覧'!$D:$D,'TIR店舗一覧'!$E:$E,""),""))</f>
        <v/>
      </c>
      <c r="V5252" s="54" t="s">
        <v>2</v>
      </c>
      <c r="W5252" s="54" t="s">
        <v>2</v>
      </c>
      <c r="X5252" s="54" t="s">
        <v>2</v>
      </c>
      <c r="Y5252" s="54" t="s">
        <v>2</v>
      </c>
      <c r="Z5252" s="54" t="s">
        <v>2</v>
      </c>
      <c r="AA5252" s="54" t="s">
        <v>2</v>
      </c>
      <c r="AB5252" s="54" t="s">
        <v>2</v>
      </c>
      <c r="AC5252" s="54" t="s">
        <v>2</v>
      </c>
      <c r="AD5252" s="54" t="s">
        <v>2</v>
      </c>
      <c r="AE5252" s="54" t="s">
        <v>2</v>
      </c>
      <c r="AF5252" s="54" t="s">
        <v>2</v>
      </c>
      <c r="AG5252" s="54" t="s">
        <v>2</v>
      </c>
    </row>
    <row r="5253" ht="15.75" customHeight="1">
      <c r="B5253" s="56"/>
      <c r="U5253" s="46" t="str">
        <f t="array" ref="U5253">IF($D5253="","",IFERROR(_xlfn.XLOOKUP($D5253,'TIR店舗一覧'!$D:$D,'TIR店舗一覧'!$E:$E,""),""))</f>
        <v/>
      </c>
      <c r="V5253" s="54" t="s">
        <v>2</v>
      </c>
      <c r="W5253" s="54" t="s">
        <v>2</v>
      </c>
      <c r="X5253" s="54" t="s">
        <v>2</v>
      </c>
      <c r="Y5253" s="54" t="s">
        <v>2</v>
      </c>
      <c r="Z5253" s="54" t="s">
        <v>2</v>
      </c>
      <c r="AA5253" s="54" t="s">
        <v>2</v>
      </c>
      <c r="AB5253" s="54" t="s">
        <v>2</v>
      </c>
      <c r="AC5253" s="54" t="s">
        <v>2</v>
      </c>
      <c r="AD5253" s="54" t="s">
        <v>2</v>
      </c>
      <c r="AE5253" s="54" t="s">
        <v>2</v>
      </c>
      <c r="AF5253" s="54" t="s">
        <v>2</v>
      </c>
      <c r="AG5253" s="54" t="s">
        <v>2</v>
      </c>
    </row>
    <row r="5254" ht="15.75" customHeight="1">
      <c r="B5254" s="56"/>
      <c r="U5254" s="46" t="str">
        <f t="array" ref="U5254">IF($D5254="","",IFERROR(_xlfn.XLOOKUP($D5254,'TIR店舗一覧'!$D:$D,'TIR店舗一覧'!$E:$E,""),""))</f>
        <v/>
      </c>
      <c r="V5254" s="54" t="s">
        <v>2</v>
      </c>
      <c r="W5254" s="54" t="s">
        <v>2</v>
      </c>
      <c r="X5254" s="54" t="s">
        <v>2</v>
      </c>
      <c r="Y5254" s="54" t="s">
        <v>2</v>
      </c>
      <c r="Z5254" s="54" t="s">
        <v>2</v>
      </c>
      <c r="AA5254" s="54" t="s">
        <v>2</v>
      </c>
      <c r="AB5254" s="54" t="s">
        <v>2</v>
      </c>
      <c r="AC5254" s="54" t="s">
        <v>2</v>
      </c>
      <c r="AD5254" s="54" t="s">
        <v>2</v>
      </c>
      <c r="AE5254" s="54" t="s">
        <v>2</v>
      </c>
      <c r="AF5254" s="54" t="s">
        <v>2</v>
      </c>
      <c r="AG5254" s="54" t="s">
        <v>2</v>
      </c>
    </row>
    <row r="5255" ht="15.75" customHeight="1">
      <c r="B5255" s="56"/>
      <c r="U5255" s="46" t="str">
        <f t="array" ref="U5255">IF($D5255="","",IFERROR(_xlfn.XLOOKUP($D5255,'TIR店舗一覧'!$D:$D,'TIR店舗一覧'!$E:$E,""),""))</f>
        <v/>
      </c>
      <c r="V5255" s="54" t="s">
        <v>2</v>
      </c>
      <c r="W5255" s="54" t="s">
        <v>2</v>
      </c>
      <c r="X5255" s="54" t="s">
        <v>2</v>
      </c>
      <c r="Y5255" s="54" t="s">
        <v>2</v>
      </c>
      <c r="Z5255" s="54" t="s">
        <v>2</v>
      </c>
      <c r="AA5255" s="54" t="s">
        <v>2</v>
      </c>
      <c r="AB5255" s="54" t="s">
        <v>2</v>
      </c>
      <c r="AC5255" s="54" t="s">
        <v>2</v>
      </c>
      <c r="AD5255" s="54" t="s">
        <v>2</v>
      </c>
      <c r="AE5255" s="54" t="s">
        <v>2</v>
      </c>
      <c r="AF5255" s="54" t="s">
        <v>2</v>
      </c>
      <c r="AG5255" s="54" t="s">
        <v>2</v>
      </c>
    </row>
    <row r="5256" ht="15.75" customHeight="1">
      <c r="B5256" s="56"/>
      <c r="U5256" s="46" t="str">
        <f t="array" ref="U5256">IF($D5256="","",IFERROR(_xlfn.XLOOKUP($D5256,'TIR店舗一覧'!$D:$D,'TIR店舗一覧'!$E:$E,""),""))</f>
        <v/>
      </c>
      <c r="V5256" s="54" t="s">
        <v>2</v>
      </c>
      <c r="W5256" s="54" t="s">
        <v>2</v>
      </c>
      <c r="X5256" s="54" t="s">
        <v>2</v>
      </c>
      <c r="Y5256" s="54" t="s">
        <v>2</v>
      </c>
      <c r="Z5256" s="54" t="s">
        <v>2</v>
      </c>
      <c r="AA5256" s="54" t="s">
        <v>2</v>
      </c>
      <c r="AB5256" s="54" t="s">
        <v>2</v>
      </c>
      <c r="AC5256" s="54" t="s">
        <v>2</v>
      </c>
      <c r="AD5256" s="54" t="s">
        <v>2</v>
      </c>
      <c r="AE5256" s="54" t="s">
        <v>2</v>
      </c>
      <c r="AF5256" s="54" t="s">
        <v>2</v>
      </c>
      <c r="AG5256" s="54" t="s">
        <v>2</v>
      </c>
    </row>
    <row r="5257" ht="15.75" customHeight="1">
      <c r="B5257" s="56"/>
      <c r="U5257" s="46" t="str">
        <f t="array" ref="U5257">IF($D5257="","",IFERROR(_xlfn.XLOOKUP($D5257,'TIR店舗一覧'!$D:$D,'TIR店舗一覧'!$E:$E,""),""))</f>
        <v/>
      </c>
      <c r="V5257" s="54" t="s">
        <v>2</v>
      </c>
      <c r="W5257" s="54" t="s">
        <v>2</v>
      </c>
      <c r="X5257" s="54" t="s">
        <v>2</v>
      </c>
      <c r="Y5257" s="54" t="s">
        <v>2</v>
      </c>
      <c r="Z5257" s="54" t="s">
        <v>2</v>
      </c>
      <c r="AA5257" s="54" t="s">
        <v>2</v>
      </c>
      <c r="AB5257" s="54" t="s">
        <v>2</v>
      </c>
      <c r="AC5257" s="54" t="s">
        <v>2</v>
      </c>
      <c r="AD5257" s="54" t="s">
        <v>2</v>
      </c>
      <c r="AE5257" s="54" t="s">
        <v>2</v>
      </c>
      <c r="AF5257" s="54" t="s">
        <v>2</v>
      </c>
      <c r="AG5257" s="54" t="s">
        <v>2</v>
      </c>
    </row>
    <row r="5258" ht="15.75" customHeight="1">
      <c r="B5258" s="56"/>
      <c r="U5258" s="46" t="str">
        <f t="array" ref="U5258">IF($D5258="","",IFERROR(_xlfn.XLOOKUP($D5258,'TIR店舗一覧'!$D:$D,'TIR店舗一覧'!$E:$E,""),""))</f>
        <v/>
      </c>
      <c r="V5258" s="54" t="s">
        <v>2</v>
      </c>
      <c r="W5258" s="54" t="s">
        <v>2</v>
      </c>
      <c r="X5258" s="54" t="s">
        <v>2</v>
      </c>
      <c r="Y5258" s="54" t="s">
        <v>2</v>
      </c>
      <c r="Z5258" s="54" t="s">
        <v>2</v>
      </c>
      <c r="AA5258" s="54" t="s">
        <v>2</v>
      </c>
      <c r="AB5258" s="54" t="s">
        <v>2</v>
      </c>
      <c r="AC5258" s="54" t="s">
        <v>2</v>
      </c>
      <c r="AD5258" s="54" t="s">
        <v>2</v>
      </c>
      <c r="AE5258" s="54" t="s">
        <v>2</v>
      </c>
      <c r="AF5258" s="54" t="s">
        <v>2</v>
      </c>
      <c r="AG5258" s="54" t="s">
        <v>2</v>
      </c>
    </row>
    <row r="5259" ht="15.75" customHeight="1">
      <c r="B5259" s="56"/>
      <c r="U5259" s="46" t="str">
        <f t="array" ref="U5259">IF($D5259="","",IFERROR(_xlfn.XLOOKUP($D5259,'TIR店舗一覧'!$D:$D,'TIR店舗一覧'!$E:$E,""),""))</f>
        <v/>
      </c>
      <c r="V5259" s="54" t="s">
        <v>2</v>
      </c>
      <c r="W5259" s="54" t="s">
        <v>2</v>
      </c>
      <c r="X5259" s="54" t="s">
        <v>2</v>
      </c>
      <c r="Y5259" s="54" t="s">
        <v>2</v>
      </c>
      <c r="Z5259" s="54" t="s">
        <v>2</v>
      </c>
      <c r="AA5259" s="54" t="s">
        <v>2</v>
      </c>
      <c r="AB5259" s="54" t="s">
        <v>2</v>
      </c>
      <c r="AC5259" s="54" t="s">
        <v>2</v>
      </c>
      <c r="AD5259" s="54" t="s">
        <v>2</v>
      </c>
      <c r="AE5259" s="54" t="s">
        <v>2</v>
      </c>
      <c r="AF5259" s="54" t="s">
        <v>2</v>
      </c>
      <c r="AG5259" s="54" t="s">
        <v>2</v>
      </c>
    </row>
    <row r="5260" ht="15.75" customHeight="1">
      <c r="B5260" s="56"/>
      <c r="U5260" s="46" t="str">
        <f t="array" ref="U5260">IF($D5260="","",IFERROR(_xlfn.XLOOKUP($D5260,'TIR店舗一覧'!$D:$D,'TIR店舗一覧'!$E:$E,""),""))</f>
        <v/>
      </c>
      <c r="V5260" s="54" t="s">
        <v>2</v>
      </c>
      <c r="W5260" s="54" t="s">
        <v>2</v>
      </c>
      <c r="X5260" s="54" t="s">
        <v>2</v>
      </c>
      <c r="Y5260" s="54" t="s">
        <v>2</v>
      </c>
      <c r="Z5260" s="54" t="s">
        <v>2</v>
      </c>
      <c r="AA5260" s="54" t="s">
        <v>2</v>
      </c>
      <c r="AB5260" s="54" t="s">
        <v>2</v>
      </c>
      <c r="AC5260" s="54" t="s">
        <v>2</v>
      </c>
      <c r="AD5260" s="54" t="s">
        <v>2</v>
      </c>
      <c r="AE5260" s="54" t="s">
        <v>2</v>
      </c>
      <c r="AF5260" s="54" t="s">
        <v>2</v>
      </c>
      <c r="AG5260" s="54" t="s">
        <v>2</v>
      </c>
    </row>
    <row r="5261" ht="15.75" customHeight="1">
      <c r="B5261" s="56"/>
      <c r="U5261" s="46" t="str">
        <f t="array" ref="U5261">IF($D5261="","",IFERROR(_xlfn.XLOOKUP($D5261,'TIR店舗一覧'!$D:$D,'TIR店舗一覧'!$E:$E,""),""))</f>
        <v/>
      </c>
      <c r="V5261" s="54" t="s">
        <v>2</v>
      </c>
      <c r="W5261" s="54" t="s">
        <v>2</v>
      </c>
      <c r="X5261" s="54" t="s">
        <v>2</v>
      </c>
      <c r="Y5261" s="54" t="s">
        <v>2</v>
      </c>
      <c r="Z5261" s="54" t="s">
        <v>2</v>
      </c>
      <c r="AA5261" s="54" t="s">
        <v>2</v>
      </c>
      <c r="AB5261" s="54" t="s">
        <v>2</v>
      </c>
      <c r="AC5261" s="54" t="s">
        <v>2</v>
      </c>
      <c r="AD5261" s="54" t="s">
        <v>2</v>
      </c>
      <c r="AE5261" s="54" t="s">
        <v>2</v>
      </c>
      <c r="AF5261" s="54" t="s">
        <v>2</v>
      </c>
      <c r="AG5261" s="54" t="s">
        <v>2</v>
      </c>
    </row>
    <row r="5262" ht="15.75" customHeight="1">
      <c r="B5262" s="56"/>
      <c r="U5262" s="46" t="str">
        <f t="array" ref="U5262">IF($D5262="","",IFERROR(_xlfn.XLOOKUP($D5262,'TIR店舗一覧'!$D:$D,'TIR店舗一覧'!$E:$E,""),""))</f>
        <v/>
      </c>
      <c r="V5262" s="54" t="s">
        <v>2</v>
      </c>
      <c r="W5262" s="54" t="s">
        <v>2</v>
      </c>
      <c r="X5262" s="54" t="s">
        <v>2</v>
      </c>
      <c r="Y5262" s="54" t="s">
        <v>2</v>
      </c>
      <c r="Z5262" s="54" t="s">
        <v>2</v>
      </c>
      <c r="AA5262" s="54" t="s">
        <v>2</v>
      </c>
      <c r="AB5262" s="54" t="s">
        <v>2</v>
      </c>
      <c r="AC5262" s="54" t="s">
        <v>2</v>
      </c>
      <c r="AD5262" s="54" t="s">
        <v>2</v>
      </c>
      <c r="AE5262" s="54" t="s">
        <v>2</v>
      </c>
      <c r="AF5262" s="54" t="s">
        <v>2</v>
      </c>
      <c r="AG5262" s="54" t="s">
        <v>2</v>
      </c>
    </row>
    <row r="5263" ht="15.75" customHeight="1">
      <c r="B5263" s="56"/>
      <c r="U5263" s="46" t="str">
        <f t="array" ref="U5263">IF($D5263="","",IFERROR(_xlfn.XLOOKUP($D5263,'TIR店舗一覧'!$D:$D,'TIR店舗一覧'!$E:$E,""),""))</f>
        <v/>
      </c>
      <c r="V5263" s="54" t="s">
        <v>2</v>
      </c>
      <c r="W5263" s="54" t="s">
        <v>2</v>
      </c>
      <c r="X5263" s="54" t="s">
        <v>2</v>
      </c>
      <c r="Y5263" s="54" t="s">
        <v>2</v>
      </c>
      <c r="Z5263" s="54" t="s">
        <v>2</v>
      </c>
      <c r="AA5263" s="54" t="s">
        <v>2</v>
      </c>
      <c r="AB5263" s="54" t="s">
        <v>2</v>
      </c>
      <c r="AC5263" s="54" t="s">
        <v>2</v>
      </c>
      <c r="AD5263" s="54" t="s">
        <v>2</v>
      </c>
      <c r="AE5263" s="54" t="s">
        <v>2</v>
      </c>
      <c r="AF5263" s="54" t="s">
        <v>2</v>
      </c>
      <c r="AG5263" s="54" t="s">
        <v>2</v>
      </c>
    </row>
    <row r="5264" ht="15.75" customHeight="1">
      <c r="B5264" s="56"/>
      <c r="U5264" s="46" t="str">
        <f t="array" ref="U5264">IF($D5264="","",IFERROR(_xlfn.XLOOKUP($D5264,'TIR店舗一覧'!$D:$D,'TIR店舗一覧'!$E:$E,""),""))</f>
        <v/>
      </c>
      <c r="V5264" s="54" t="s">
        <v>2</v>
      </c>
      <c r="W5264" s="54" t="s">
        <v>2</v>
      </c>
      <c r="X5264" s="54" t="s">
        <v>2</v>
      </c>
      <c r="Y5264" s="54" t="s">
        <v>2</v>
      </c>
      <c r="Z5264" s="54" t="s">
        <v>2</v>
      </c>
      <c r="AA5264" s="54" t="s">
        <v>2</v>
      </c>
      <c r="AB5264" s="54" t="s">
        <v>2</v>
      </c>
      <c r="AC5264" s="54" t="s">
        <v>2</v>
      </c>
      <c r="AD5264" s="54" t="s">
        <v>2</v>
      </c>
      <c r="AE5264" s="54" t="s">
        <v>2</v>
      </c>
      <c r="AF5264" s="54" t="s">
        <v>2</v>
      </c>
      <c r="AG5264" s="54" t="s">
        <v>2</v>
      </c>
    </row>
    <row r="5265" ht="15.75" customHeight="1">
      <c r="B5265" s="56"/>
      <c r="U5265" s="46" t="str">
        <f t="array" ref="U5265">IF($D5265="","",IFERROR(_xlfn.XLOOKUP($D5265,'TIR店舗一覧'!$D:$D,'TIR店舗一覧'!$E:$E,""),""))</f>
        <v/>
      </c>
      <c r="V5265" s="54" t="s">
        <v>2</v>
      </c>
      <c r="W5265" s="54" t="s">
        <v>2</v>
      </c>
      <c r="X5265" s="54" t="s">
        <v>2</v>
      </c>
      <c r="Y5265" s="54" t="s">
        <v>2</v>
      </c>
      <c r="Z5265" s="54" t="s">
        <v>2</v>
      </c>
      <c r="AA5265" s="54" t="s">
        <v>2</v>
      </c>
      <c r="AB5265" s="54" t="s">
        <v>2</v>
      </c>
      <c r="AC5265" s="54" t="s">
        <v>2</v>
      </c>
      <c r="AD5265" s="54" t="s">
        <v>2</v>
      </c>
      <c r="AE5265" s="54" t="s">
        <v>2</v>
      </c>
      <c r="AF5265" s="54" t="s">
        <v>2</v>
      </c>
      <c r="AG5265" s="54" t="s">
        <v>2</v>
      </c>
    </row>
    <row r="5266" ht="15.75" customHeight="1">
      <c r="B5266" s="56"/>
      <c r="U5266" s="46" t="str">
        <f t="array" ref="U5266">IF($D5266="","",IFERROR(_xlfn.XLOOKUP($D5266,'TIR店舗一覧'!$D:$D,'TIR店舗一覧'!$E:$E,""),""))</f>
        <v/>
      </c>
      <c r="V5266" s="54" t="s">
        <v>2</v>
      </c>
      <c r="W5266" s="54" t="s">
        <v>2</v>
      </c>
      <c r="X5266" s="54" t="s">
        <v>2</v>
      </c>
      <c r="Y5266" s="54" t="s">
        <v>2</v>
      </c>
      <c r="Z5266" s="54" t="s">
        <v>2</v>
      </c>
      <c r="AA5266" s="54" t="s">
        <v>2</v>
      </c>
      <c r="AB5266" s="54" t="s">
        <v>2</v>
      </c>
      <c r="AC5266" s="54" t="s">
        <v>2</v>
      </c>
      <c r="AD5266" s="54" t="s">
        <v>2</v>
      </c>
      <c r="AE5266" s="54" t="s">
        <v>2</v>
      </c>
      <c r="AF5266" s="54" t="s">
        <v>2</v>
      </c>
      <c r="AG5266" s="54" t="s">
        <v>2</v>
      </c>
    </row>
    <row r="5267" ht="15.75" customHeight="1">
      <c r="B5267" s="56"/>
      <c r="U5267" s="46" t="str">
        <f t="array" ref="U5267">IF($D5267="","",IFERROR(_xlfn.XLOOKUP($D5267,'TIR店舗一覧'!$D:$D,'TIR店舗一覧'!$E:$E,""),""))</f>
        <v/>
      </c>
      <c r="V5267" s="54" t="s">
        <v>2</v>
      </c>
      <c r="W5267" s="54" t="s">
        <v>2</v>
      </c>
      <c r="X5267" s="54" t="s">
        <v>2</v>
      </c>
      <c r="Y5267" s="54" t="s">
        <v>2</v>
      </c>
      <c r="Z5267" s="54" t="s">
        <v>2</v>
      </c>
      <c r="AA5267" s="54" t="s">
        <v>2</v>
      </c>
      <c r="AB5267" s="54" t="s">
        <v>2</v>
      </c>
      <c r="AC5267" s="54" t="s">
        <v>2</v>
      </c>
      <c r="AD5267" s="54" t="s">
        <v>2</v>
      </c>
      <c r="AE5267" s="54" t="s">
        <v>2</v>
      </c>
      <c r="AF5267" s="54" t="s">
        <v>2</v>
      </c>
      <c r="AG5267" s="54" t="s">
        <v>2</v>
      </c>
    </row>
    <row r="5268" ht="15.75" customHeight="1">
      <c r="B5268" s="56"/>
      <c r="U5268" s="46" t="str">
        <f t="array" ref="U5268">IF($D5268="","",IFERROR(_xlfn.XLOOKUP($D5268,'TIR店舗一覧'!$D:$D,'TIR店舗一覧'!$E:$E,""),""))</f>
        <v/>
      </c>
      <c r="V5268" s="54" t="s">
        <v>2</v>
      </c>
      <c r="W5268" s="54" t="s">
        <v>2</v>
      </c>
      <c r="X5268" s="54" t="s">
        <v>2</v>
      </c>
      <c r="Y5268" s="54" t="s">
        <v>2</v>
      </c>
      <c r="Z5268" s="54" t="s">
        <v>2</v>
      </c>
      <c r="AA5268" s="54" t="s">
        <v>2</v>
      </c>
      <c r="AB5268" s="54" t="s">
        <v>2</v>
      </c>
      <c r="AC5268" s="54" t="s">
        <v>2</v>
      </c>
      <c r="AD5268" s="54" t="s">
        <v>2</v>
      </c>
      <c r="AE5268" s="54" t="s">
        <v>2</v>
      </c>
      <c r="AF5268" s="54" t="s">
        <v>2</v>
      </c>
      <c r="AG5268" s="54" t="s">
        <v>2</v>
      </c>
    </row>
    <row r="5269" ht="15.75" customHeight="1">
      <c r="B5269" s="56"/>
      <c r="U5269" s="46" t="str">
        <f t="array" ref="U5269">IF($D5269="","",IFERROR(_xlfn.XLOOKUP($D5269,'TIR店舗一覧'!$D:$D,'TIR店舗一覧'!$E:$E,""),""))</f>
        <v/>
      </c>
      <c r="V5269" s="54" t="s">
        <v>2</v>
      </c>
      <c r="W5269" s="54" t="s">
        <v>2</v>
      </c>
      <c r="X5269" s="54" t="s">
        <v>2</v>
      </c>
      <c r="Y5269" s="54" t="s">
        <v>2</v>
      </c>
      <c r="Z5269" s="54" t="s">
        <v>2</v>
      </c>
      <c r="AA5269" s="54" t="s">
        <v>2</v>
      </c>
      <c r="AB5269" s="54" t="s">
        <v>2</v>
      </c>
      <c r="AC5269" s="54" t="s">
        <v>2</v>
      </c>
      <c r="AD5269" s="54" t="s">
        <v>2</v>
      </c>
      <c r="AE5269" s="54" t="s">
        <v>2</v>
      </c>
      <c r="AF5269" s="54" t="s">
        <v>2</v>
      </c>
      <c r="AG5269" s="54" t="s">
        <v>2</v>
      </c>
    </row>
    <row r="5270" ht="15.75" customHeight="1">
      <c r="B5270" s="56"/>
      <c r="U5270" s="46" t="str">
        <f t="array" ref="U5270">IF($D5270="","",IFERROR(_xlfn.XLOOKUP($D5270,'TIR店舗一覧'!$D:$D,'TIR店舗一覧'!$E:$E,""),""))</f>
        <v/>
      </c>
      <c r="V5270" s="54" t="s">
        <v>2</v>
      </c>
      <c r="W5270" s="54" t="s">
        <v>2</v>
      </c>
      <c r="X5270" s="54" t="s">
        <v>2</v>
      </c>
      <c r="Y5270" s="54" t="s">
        <v>2</v>
      </c>
      <c r="Z5270" s="54" t="s">
        <v>2</v>
      </c>
      <c r="AA5270" s="54" t="s">
        <v>2</v>
      </c>
      <c r="AB5270" s="54" t="s">
        <v>2</v>
      </c>
      <c r="AC5270" s="54" t="s">
        <v>2</v>
      </c>
      <c r="AD5270" s="54" t="s">
        <v>2</v>
      </c>
      <c r="AE5270" s="54" t="s">
        <v>2</v>
      </c>
      <c r="AF5270" s="54" t="s">
        <v>2</v>
      </c>
      <c r="AG5270" s="54" t="s">
        <v>2</v>
      </c>
    </row>
    <row r="5271" ht="15.75" customHeight="1">
      <c r="B5271" s="56"/>
      <c r="U5271" s="46" t="str">
        <f t="array" ref="U5271">IF($D5271="","",IFERROR(_xlfn.XLOOKUP($D5271,'TIR店舗一覧'!$D:$D,'TIR店舗一覧'!$E:$E,""),""))</f>
        <v/>
      </c>
      <c r="V5271" s="54" t="s">
        <v>2</v>
      </c>
      <c r="W5271" s="54" t="s">
        <v>2</v>
      </c>
      <c r="X5271" s="54" t="s">
        <v>2</v>
      </c>
      <c r="Y5271" s="54" t="s">
        <v>2</v>
      </c>
      <c r="Z5271" s="54" t="s">
        <v>2</v>
      </c>
      <c r="AA5271" s="54" t="s">
        <v>2</v>
      </c>
      <c r="AB5271" s="54" t="s">
        <v>2</v>
      </c>
      <c r="AC5271" s="54" t="s">
        <v>2</v>
      </c>
      <c r="AD5271" s="54" t="s">
        <v>2</v>
      </c>
      <c r="AE5271" s="54" t="s">
        <v>2</v>
      </c>
      <c r="AF5271" s="54" t="s">
        <v>2</v>
      </c>
      <c r="AG5271" s="54" t="s">
        <v>2</v>
      </c>
    </row>
    <row r="5272" ht="15.75" customHeight="1">
      <c r="B5272" s="56"/>
      <c r="U5272" s="46" t="str">
        <f t="array" ref="U5272">IF($D5272="","",IFERROR(_xlfn.XLOOKUP($D5272,'TIR店舗一覧'!$D:$D,'TIR店舗一覧'!$E:$E,""),""))</f>
        <v/>
      </c>
      <c r="V5272" s="54" t="s">
        <v>2</v>
      </c>
      <c r="W5272" s="54" t="s">
        <v>2</v>
      </c>
      <c r="X5272" s="54" t="s">
        <v>2</v>
      </c>
      <c r="Y5272" s="54" t="s">
        <v>2</v>
      </c>
      <c r="Z5272" s="54" t="s">
        <v>2</v>
      </c>
      <c r="AA5272" s="54" t="s">
        <v>2</v>
      </c>
      <c r="AB5272" s="54" t="s">
        <v>2</v>
      </c>
      <c r="AC5272" s="54" t="s">
        <v>2</v>
      </c>
      <c r="AD5272" s="54" t="s">
        <v>2</v>
      </c>
      <c r="AE5272" s="54" t="s">
        <v>2</v>
      </c>
      <c r="AF5272" s="54" t="s">
        <v>2</v>
      </c>
      <c r="AG5272" s="54" t="s">
        <v>2</v>
      </c>
    </row>
    <row r="5273" ht="15.75" customHeight="1">
      <c r="B5273" s="56"/>
      <c r="U5273" s="46" t="str">
        <f t="array" ref="U5273">IF($D5273="","",IFERROR(_xlfn.XLOOKUP($D5273,'TIR店舗一覧'!$D:$D,'TIR店舗一覧'!$E:$E,""),""))</f>
        <v/>
      </c>
      <c r="V5273" s="54" t="s">
        <v>2</v>
      </c>
      <c r="W5273" s="54" t="s">
        <v>2</v>
      </c>
      <c r="X5273" s="54" t="s">
        <v>2</v>
      </c>
      <c r="Y5273" s="54" t="s">
        <v>2</v>
      </c>
      <c r="Z5273" s="54" t="s">
        <v>2</v>
      </c>
      <c r="AA5273" s="54" t="s">
        <v>2</v>
      </c>
      <c r="AB5273" s="54" t="s">
        <v>2</v>
      </c>
      <c r="AC5273" s="54" t="s">
        <v>2</v>
      </c>
      <c r="AD5273" s="54" t="s">
        <v>2</v>
      </c>
      <c r="AE5273" s="54" t="s">
        <v>2</v>
      </c>
      <c r="AF5273" s="54" t="s">
        <v>2</v>
      </c>
      <c r="AG5273" s="54" t="s">
        <v>2</v>
      </c>
    </row>
    <row r="5274" ht="15.75" customHeight="1">
      <c r="B5274" s="56"/>
      <c r="U5274" s="46" t="str">
        <f t="array" ref="U5274">IF($D5274="","",IFERROR(_xlfn.XLOOKUP($D5274,'TIR店舗一覧'!$D:$D,'TIR店舗一覧'!$E:$E,""),""))</f>
        <v/>
      </c>
      <c r="V5274" s="54" t="s">
        <v>2</v>
      </c>
      <c r="W5274" s="54" t="s">
        <v>2</v>
      </c>
      <c r="X5274" s="54" t="s">
        <v>2</v>
      </c>
      <c r="Y5274" s="54" t="s">
        <v>2</v>
      </c>
      <c r="Z5274" s="54" t="s">
        <v>2</v>
      </c>
      <c r="AA5274" s="54" t="s">
        <v>2</v>
      </c>
      <c r="AB5274" s="54" t="s">
        <v>2</v>
      </c>
      <c r="AC5274" s="54" t="s">
        <v>2</v>
      </c>
      <c r="AD5274" s="54" t="s">
        <v>2</v>
      </c>
      <c r="AE5274" s="54" t="s">
        <v>2</v>
      </c>
      <c r="AF5274" s="54" t="s">
        <v>2</v>
      </c>
      <c r="AG5274" s="54" t="s">
        <v>2</v>
      </c>
    </row>
    <row r="5275" ht="15.75" customHeight="1">
      <c r="B5275" s="56"/>
      <c r="U5275" s="46" t="str">
        <f t="array" ref="U5275">IF($D5275="","",IFERROR(_xlfn.XLOOKUP($D5275,'TIR店舗一覧'!$D:$D,'TIR店舗一覧'!$E:$E,""),""))</f>
        <v/>
      </c>
      <c r="V5275" s="54" t="s">
        <v>2</v>
      </c>
      <c r="W5275" s="54" t="s">
        <v>2</v>
      </c>
      <c r="X5275" s="54" t="s">
        <v>2</v>
      </c>
      <c r="Y5275" s="54" t="s">
        <v>2</v>
      </c>
      <c r="Z5275" s="54" t="s">
        <v>2</v>
      </c>
      <c r="AA5275" s="54" t="s">
        <v>2</v>
      </c>
      <c r="AB5275" s="54" t="s">
        <v>2</v>
      </c>
      <c r="AC5275" s="54" t="s">
        <v>2</v>
      </c>
      <c r="AD5275" s="54" t="s">
        <v>2</v>
      </c>
      <c r="AE5275" s="54" t="s">
        <v>2</v>
      </c>
      <c r="AF5275" s="54" t="s">
        <v>2</v>
      </c>
      <c r="AG5275" s="54" t="s">
        <v>2</v>
      </c>
    </row>
    <row r="5276" ht="15.75" customHeight="1">
      <c r="B5276" s="56"/>
      <c r="U5276" s="46" t="str">
        <f t="array" ref="U5276">IF($D5276="","",IFERROR(_xlfn.XLOOKUP($D5276,'TIR店舗一覧'!$D:$D,'TIR店舗一覧'!$E:$E,""),""))</f>
        <v/>
      </c>
      <c r="V5276" s="54" t="s">
        <v>2</v>
      </c>
      <c r="W5276" s="54" t="s">
        <v>2</v>
      </c>
      <c r="X5276" s="54" t="s">
        <v>2</v>
      </c>
      <c r="Y5276" s="54" t="s">
        <v>2</v>
      </c>
      <c r="Z5276" s="54" t="s">
        <v>2</v>
      </c>
      <c r="AA5276" s="54" t="s">
        <v>2</v>
      </c>
      <c r="AB5276" s="54" t="s">
        <v>2</v>
      </c>
      <c r="AC5276" s="54" t="s">
        <v>2</v>
      </c>
      <c r="AD5276" s="54" t="s">
        <v>2</v>
      </c>
      <c r="AE5276" s="54" t="s">
        <v>2</v>
      </c>
      <c r="AF5276" s="54" t="s">
        <v>2</v>
      </c>
      <c r="AG5276" s="54" t="s">
        <v>2</v>
      </c>
    </row>
    <row r="5277" ht="15.75" customHeight="1">
      <c r="B5277" s="56"/>
      <c r="U5277" s="46" t="str">
        <f t="array" ref="U5277">IF($D5277="","",IFERROR(_xlfn.XLOOKUP($D5277,'TIR店舗一覧'!$D:$D,'TIR店舗一覧'!$E:$E,""),""))</f>
        <v/>
      </c>
      <c r="V5277" s="54" t="s">
        <v>2</v>
      </c>
      <c r="W5277" s="54" t="s">
        <v>2</v>
      </c>
      <c r="X5277" s="54" t="s">
        <v>2</v>
      </c>
      <c r="Y5277" s="54" t="s">
        <v>2</v>
      </c>
      <c r="Z5277" s="54" t="s">
        <v>2</v>
      </c>
      <c r="AA5277" s="54" t="s">
        <v>2</v>
      </c>
      <c r="AB5277" s="54" t="s">
        <v>2</v>
      </c>
      <c r="AC5277" s="54" t="s">
        <v>2</v>
      </c>
      <c r="AD5277" s="54" t="s">
        <v>2</v>
      </c>
      <c r="AE5277" s="54" t="s">
        <v>2</v>
      </c>
      <c r="AF5277" s="54" t="s">
        <v>2</v>
      </c>
      <c r="AG5277" s="54" t="s">
        <v>2</v>
      </c>
    </row>
    <row r="5278" ht="15.75" customHeight="1">
      <c r="B5278" s="56"/>
      <c r="U5278" s="46" t="str">
        <f t="array" ref="U5278">IF($D5278="","",IFERROR(_xlfn.XLOOKUP($D5278,'TIR店舗一覧'!$D:$D,'TIR店舗一覧'!$E:$E,""),""))</f>
        <v/>
      </c>
      <c r="V5278" s="54" t="s">
        <v>2</v>
      </c>
      <c r="W5278" s="54" t="s">
        <v>2</v>
      </c>
      <c r="X5278" s="54" t="s">
        <v>2</v>
      </c>
      <c r="Y5278" s="54" t="s">
        <v>2</v>
      </c>
      <c r="Z5278" s="54" t="s">
        <v>2</v>
      </c>
      <c r="AA5278" s="54" t="s">
        <v>2</v>
      </c>
      <c r="AB5278" s="54" t="s">
        <v>2</v>
      </c>
      <c r="AC5278" s="54" t="s">
        <v>2</v>
      </c>
      <c r="AD5278" s="54" t="s">
        <v>2</v>
      </c>
      <c r="AE5278" s="54" t="s">
        <v>2</v>
      </c>
      <c r="AF5278" s="54" t="s">
        <v>2</v>
      </c>
      <c r="AG5278" s="54" t="s">
        <v>2</v>
      </c>
    </row>
    <row r="5279" ht="15.75" customHeight="1">
      <c r="B5279" s="56"/>
      <c r="U5279" s="46" t="str">
        <f t="array" ref="U5279">IF($D5279="","",IFERROR(_xlfn.XLOOKUP($D5279,'TIR店舗一覧'!$D:$D,'TIR店舗一覧'!$E:$E,""),""))</f>
        <v/>
      </c>
      <c r="V5279" s="54" t="s">
        <v>2</v>
      </c>
      <c r="W5279" s="54" t="s">
        <v>2</v>
      </c>
      <c r="X5279" s="54" t="s">
        <v>2</v>
      </c>
      <c r="Y5279" s="54" t="s">
        <v>2</v>
      </c>
      <c r="Z5279" s="54" t="s">
        <v>2</v>
      </c>
      <c r="AA5279" s="54" t="s">
        <v>2</v>
      </c>
      <c r="AB5279" s="54" t="s">
        <v>2</v>
      </c>
      <c r="AC5279" s="54" t="s">
        <v>2</v>
      </c>
      <c r="AD5279" s="54" t="s">
        <v>2</v>
      </c>
      <c r="AE5279" s="54" t="s">
        <v>2</v>
      </c>
      <c r="AF5279" s="54" t="s">
        <v>2</v>
      </c>
      <c r="AG5279" s="54" t="s">
        <v>2</v>
      </c>
    </row>
    <row r="5280" ht="15.75" customHeight="1">
      <c r="B5280" s="56"/>
      <c r="U5280" s="46" t="str">
        <f t="array" ref="U5280">IF($D5280="","",IFERROR(_xlfn.XLOOKUP($D5280,'TIR店舗一覧'!$D:$D,'TIR店舗一覧'!$E:$E,""),""))</f>
        <v/>
      </c>
      <c r="V5280" s="54" t="s">
        <v>2</v>
      </c>
      <c r="W5280" s="54" t="s">
        <v>2</v>
      </c>
      <c r="X5280" s="54" t="s">
        <v>2</v>
      </c>
      <c r="Y5280" s="54" t="s">
        <v>2</v>
      </c>
      <c r="Z5280" s="54" t="s">
        <v>2</v>
      </c>
      <c r="AA5280" s="54" t="s">
        <v>2</v>
      </c>
      <c r="AB5280" s="54" t="s">
        <v>2</v>
      </c>
      <c r="AC5280" s="54" t="s">
        <v>2</v>
      </c>
      <c r="AD5280" s="54" t="s">
        <v>2</v>
      </c>
      <c r="AE5280" s="54" t="s">
        <v>2</v>
      </c>
      <c r="AF5280" s="54" t="s">
        <v>2</v>
      </c>
      <c r="AG5280" s="54" t="s">
        <v>2</v>
      </c>
    </row>
    <row r="5281" ht="15.75" customHeight="1">
      <c r="B5281" s="56"/>
      <c r="U5281" s="46" t="str">
        <f t="array" ref="U5281">IF($D5281="","",IFERROR(_xlfn.XLOOKUP($D5281,'TIR店舗一覧'!$D:$D,'TIR店舗一覧'!$E:$E,""),""))</f>
        <v/>
      </c>
      <c r="V5281" s="54" t="s">
        <v>2</v>
      </c>
      <c r="W5281" s="54" t="s">
        <v>2</v>
      </c>
      <c r="X5281" s="54" t="s">
        <v>2</v>
      </c>
      <c r="Y5281" s="54" t="s">
        <v>2</v>
      </c>
      <c r="Z5281" s="54" t="s">
        <v>2</v>
      </c>
      <c r="AA5281" s="54" t="s">
        <v>2</v>
      </c>
      <c r="AB5281" s="54" t="s">
        <v>2</v>
      </c>
      <c r="AC5281" s="54" t="s">
        <v>2</v>
      </c>
      <c r="AD5281" s="54" t="s">
        <v>2</v>
      </c>
      <c r="AE5281" s="54" t="s">
        <v>2</v>
      </c>
      <c r="AF5281" s="54" t="s">
        <v>2</v>
      </c>
      <c r="AG5281" s="54" t="s">
        <v>2</v>
      </c>
    </row>
    <row r="5282" ht="15.75" customHeight="1">
      <c r="B5282" s="56"/>
      <c r="U5282" s="46" t="str">
        <f t="array" ref="U5282">IF($D5282="","",IFERROR(_xlfn.XLOOKUP($D5282,'TIR店舗一覧'!$D:$D,'TIR店舗一覧'!$E:$E,""),""))</f>
        <v/>
      </c>
      <c r="V5282" s="54" t="s">
        <v>2</v>
      </c>
      <c r="W5282" s="54" t="s">
        <v>2</v>
      </c>
      <c r="X5282" s="54" t="s">
        <v>2</v>
      </c>
      <c r="Y5282" s="54" t="s">
        <v>2</v>
      </c>
      <c r="Z5282" s="54" t="s">
        <v>2</v>
      </c>
      <c r="AA5282" s="54" t="s">
        <v>2</v>
      </c>
      <c r="AB5282" s="54" t="s">
        <v>2</v>
      </c>
      <c r="AC5282" s="54" t="s">
        <v>2</v>
      </c>
      <c r="AD5282" s="54" t="s">
        <v>2</v>
      </c>
      <c r="AE5282" s="54" t="s">
        <v>2</v>
      </c>
      <c r="AF5282" s="54" t="s">
        <v>2</v>
      </c>
      <c r="AG5282" s="54" t="s">
        <v>2</v>
      </c>
    </row>
    <row r="5283" ht="15.75" customHeight="1">
      <c r="B5283" s="56"/>
      <c r="U5283" s="46" t="str">
        <f t="array" ref="U5283">IF($D5283="","",IFERROR(_xlfn.XLOOKUP($D5283,'TIR店舗一覧'!$D:$D,'TIR店舗一覧'!$E:$E,""),""))</f>
        <v/>
      </c>
      <c r="V5283" s="54" t="s">
        <v>2</v>
      </c>
      <c r="W5283" s="54" t="s">
        <v>2</v>
      </c>
      <c r="X5283" s="54" t="s">
        <v>2</v>
      </c>
      <c r="Y5283" s="54" t="s">
        <v>2</v>
      </c>
      <c r="Z5283" s="54" t="s">
        <v>2</v>
      </c>
      <c r="AA5283" s="54" t="s">
        <v>2</v>
      </c>
      <c r="AB5283" s="54" t="s">
        <v>2</v>
      </c>
      <c r="AC5283" s="54" t="s">
        <v>2</v>
      </c>
      <c r="AD5283" s="54" t="s">
        <v>2</v>
      </c>
      <c r="AE5283" s="54" t="s">
        <v>2</v>
      </c>
      <c r="AF5283" s="54" t="s">
        <v>2</v>
      </c>
      <c r="AG5283" s="54" t="s">
        <v>2</v>
      </c>
    </row>
    <row r="5284" ht="15.75" customHeight="1">
      <c r="B5284" s="56"/>
      <c r="U5284" s="46" t="str">
        <f t="array" ref="U5284">IF($D5284="","",IFERROR(_xlfn.XLOOKUP($D5284,'TIR店舗一覧'!$D:$D,'TIR店舗一覧'!$E:$E,""),""))</f>
        <v/>
      </c>
      <c r="V5284" s="54" t="s">
        <v>2</v>
      </c>
      <c r="W5284" s="54" t="s">
        <v>2</v>
      </c>
      <c r="X5284" s="54" t="s">
        <v>2</v>
      </c>
      <c r="Y5284" s="54" t="s">
        <v>2</v>
      </c>
      <c r="Z5284" s="54" t="s">
        <v>2</v>
      </c>
      <c r="AA5284" s="54" t="s">
        <v>2</v>
      </c>
      <c r="AB5284" s="54" t="s">
        <v>2</v>
      </c>
      <c r="AC5284" s="54" t="s">
        <v>2</v>
      </c>
      <c r="AD5284" s="54" t="s">
        <v>2</v>
      </c>
      <c r="AE5284" s="54" t="s">
        <v>2</v>
      </c>
      <c r="AF5284" s="54" t="s">
        <v>2</v>
      </c>
      <c r="AG5284" s="54" t="s">
        <v>2</v>
      </c>
    </row>
    <row r="5285" ht="15.75" customHeight="1">
      <c r="B5285" s="56"/>
      <c r="U5285" s="46" t="str">
        <f t="array" ref="U5285">IF($D5285="","",IFERROR(_xlfn.XLOOKUP($D5285,'TIR店舗一覧'!$D:$D,'TIR店舗一覧'!$E:$E,""),""))</f>
        <v/>
      </c>
      <c r="V5285" s="54" t="s">
        <v>2</v>
      </c>
      <c r="W5285" s="54" t="s">
        <v>2</v>
      </c>
      <c r="X5285" s="54" t="s">
        <v>2</v>
      </c>
      <c r="Y5285" s="54" t="s">
        <v>2</v>
      </c>
      <c r="Z5285" s="54" t="s">
        <v>2</v>
      </c>
      <c r="AA5285" s="54" t="s">
        <v>2</v>
      </c>
      <c r="AB5285" s="54" t="s">
        <v>2</v>
      </c>
      <c r="AC5285" s="54" t="s">
        <v>2</v>
      </c>
      <c r="AD5285" s="54" t="s">
        <v>2</v>
      </c>
      <c r="AE5285" s="54" t="s">
        <v>2</v>
      </c>
      <c r="AF5285" s="54" t="s">
        <v>2</v>
      </c>
      <c r="AG5285" s="54" t="s">
        <v>2</v>
      </c>
    </row>
    <row r="5286" ht="15.75" customHeight="1">
      <c r="B5286" s="56"/>
      <c r="U5286" s="46" t="str">
        <f t="array" ref="U5286">IF($D5286="","",IFERROR(_xlfn.XLOOKUP($D5286,'TIR店舗一覧'!$D:$D,'TIR店舗一覧'!$E:$E,""),""))</f>
        <v/>
      </c>
      <c r="V5286" s="54" t="s">
        <v>2</v>
      </c>
      <c r="W5286" s="54" t="s">
        <v>2</v>
      </c>
      <c r="X5286" s="54" t="s">
        <v>2</v>
      </c>
      <c r="Y5286" s="54" t="s">
        <v>2</v>
      </c>
      <c r="Z5286" s="54" t="s">
        <v>2</v>
      </c>
      <c r="AA5286" s="54" t="s">
        <v>2</v>
      </c>
      <c r="AB5286" s="54" t="s">
        <v>2</v>
      </c>
      <c r="AC5286" s="54" t="s">
        <v>2</v>
      </c>
      <c r="AD5286" s="54" t="s">
        <v>2</v>
      </c>
      <c r="AE5286" s="54" t="s">
        <v>2</v>
      </c>
      <c r="AF5286" s="54" t="s">
        <v>2</v>
      </c>
      <c r="AG5286" s="54" t="s">
        <v>2</v>
      </c>
    </row>
    <row r="5287" ht="15.75" customHeight="1">
      <c r="B5287" s="56"/>
      <c r="U5287" s="46" t="str">
        <f t="array" ref="U5287">IF($D5287="","",IFERROR(_xlfn.XLOOKUP($D5287,'TIR店舗一覧'!$D:$D,'TIR店舗一覧'!$E:$E,""),""))</f>
        <v/>
      </c>
      <c r="V5287" s="54" t="s">
        <v>2</v>
      </c>
      <c r="W5287" s="54" t="s">
        <v>2</v>
      </c>
      <c r="X5287" s="54" t="s">
        <v>2</v>
      </c>
      <c r="Y5287" s="54" t="s">
        <v>2</v>
      </c>
      <c r="Z5287" s="54" t="s">
        <v>2</v>
      </c>
      <c r="AA5287" s="54" t="s">
        <v>2</v>
      </c>
      <c r="AB5287" s="54" t="s">
        <v>2</v>
      </c>
      <c r="AC5287" s="54" t="s">
        <v>2</v>
      </c>
      <c r="AD5287" s="54" t="s">
        <v>2</v>
      </c>
      <c r="AE5287" s="54" t="s">
        <v>2</v>
      </c>
      <c r="AF5287" s="54" t="s">
        <v>2</v>
      </c>
      <c r="AG5287" s="54" t="s">
        <v>2</v>
      </c>
    </row>
    <row r="5288" ht="15.75" customHeight="1">
      <c r="B5288" s="56"/>
      <c r="U5288" s="46" t="str">
        <f t="array" ref="U5288">IF($D5288="","",IFERROR(_xlfn.XLOOKUP($D5288,'TIR店舗一覧'!$D:$D,'TIR店舗一覧'!$E:$E,""),""))</f>
        <v/>
      </c>
      <c r="V5288" s="54" t="s">
        <v>2</v>
      </c>
      <c r="W5288" s="54" t="s">
        <v>2</v>
      </c>
      <c r="X5288" s="54" t="s">
        <v>2</v>
      </c>
      <c r="Y5288" s="54" t="s">
        <v>2</v>
      </c>
      <c r="Z5288" s="54" t="s">
        <v>2</v>
      </c>
      <c r="AA5288" s="54" t="s">
        <v>2</v>
      </c>
      <c r="AB5288" s="54" t="s">
        <v>2</v>
      </c>
      <c r="AC5288" s="54" t="s">
        <v>2</v>
      </c>
      <c r="AD5288" s="54" t="s">
        <v>2</v>
      </c>
      <c r="AE5288" s="54" t="s">
        <v>2</v>
      </c>
      <c r="AF5288" s="54" t="s">
        <v>2</v>
      </c>
      <c r="AG5288" s="54" t="s">
        <v>2</v>
      </c>
    </row>
    <row r="5289" ht="15.75" customHeight="1">
      <c r="B5289" s="56"/>
      <c r="U5289" s="46" t="str">
        <f t="array" ref="U5289">IF($D5289="","",IFERROR(_xlfn.XLOOKUP($D5289,'TIR店舗一覧'!$D:$D,'TIR店舗一覧'!$E:$E,""),""))</f>
        <v/>
      </c>
      <c r="V5289" s="54" t="s">
        <v>2</v>
      </c>
      <c r="W5289" s="54" t="s">
        <v>2</v>
      </c>
      <c r="X5289" s="54" t="s">
        <v>2</v>
      </c>
      <c r="Y5289" s="54" t="s">
        <v>2</v>
      </c>
      <c r="Z5289" s="54" t="s">
        <v>2</v>
      </c>
      <c r="AA5289" s="54" t="s">
        <v>2</v>
      </c>
      <c r="AB5289" s="54" t="s">
        <v>2</v>
      </c>
      <c r="AC5289" s="54" t="s">
        <v>2</v>
      </c>
      <c r="AD5289" s="54" t="s">
        <v>2</v>
      </c>
      <c r="AE5289" s="54" t="s">
        <v>2</v>
      </c>
      <c r="AF5289" s="54" t="s">
        <v>2</v>
      </c>
      <c r="AG5289" s="54" t="s">
        <v>2</v>
      </c>
    </row>
    <row r="5290" ht="15.75" customHeight="1">
      <c r="B5290" s="56"/>
      <c r="U5290" s="46" t="str">
        <f t="array" ref="U5290">IF($D5290="","",IFERROR(_xlfn.XLOOKUP($D5290,'TIR店舗一覧'!$D:$D,'TIR店舗一覧'!$E:$E,""),""))</f>
        <v/>
      </c>
      <c r="V5290" s="54" t="s">
        <v>2</v>
      </c>
      <c r="W5290" s="54" t="s">
        <v>2</v>
      </c>
      <c r="X5290" s="54" t="s">
        <v>2</v>
      </c>
      <c r="Y5290" s="54" t="s">
        <v>2</v>
      </c>
      <c r="Z5290" s="54" t="s">
        <v>2</v>
      </c>
      <c r="AA5290" s="54" t="s">
        <v>2</v>
      </c>
      <c r="AB5290" s="54" t="s">
        <v>2</v>
      </c>
      <c r="AC5290" s="54" t="s">
        <v>2</v>
      </c>
      <c r="AD5290" s="54" t="s">
        <v>2</v>
      </c>
      <c r="AE5290" s="54" t="s">
        <v>2</v>
      </c>
      <c r="AF5290" s="54" t="s">
        <v>2</v>
      </c>
      <c r="AG5290" s="54" t="s">
        <v>2</v>
      </c>
    </row>
    <row r="5291" ht="15.75" customHeight="1">
      <c r="B5291" s="56"/>
      <c r="U5291" s="46" t="str">
        <f t="array" ref="U5291">IF($D5291="","",IFERROR(_xlfn.XLOOKUP($D5291,'TIR店舗一覧'!$D:$D,'TIR店舗一覧'!$E:$E,""),""))</f>
        <v/>
      </c>
      <c r="V5291" s="54" t="s">
        <v>2</v>
      </c>
      <c r="W5291" s="54" t="s">
        <v>2</v>
      </c>
      <c r="X5291" s="54" t="s">
        <v>2</v>
      </c>
      <c r="Y5291" s="54" t="s">
        <v>2</v>
      </c>
      <c r="Z5291" s="54" t="s">
        <v>2</v>
      </c>
      <c r="AA5291" s="54" t="s">
        <v>2</v>
      </c>
      <c r="AB5291" s="54" t="s">
        <v>2</v>
      </c>
      <c r="AC5291" s="54" t="s">
        <v>2</v>
      </c>
      <c r="AD5291" s="54" t="s">
        <v>2</v>
      </c>
      <c r="AE5291" s="54" t="s">
        <v>2</v>
      </c>
      <c r="AF5291" s="54" t="s">
        <v>2</v>
      </c>
      <c r="AG5291" s="54" t="s">
        <v>2</v>
      </c>
    </row>
    <row r="5292" ht="15.75" customHeight="1">
      <c r="B5292" s="56"/>
      <c r="U5292" s="46" t="str">
        <f t="array" ref="U5292">IF($D5292="","",IFERROR(_xlfn.XLOOKUP($D5292,'TIR店舗一覧'!$D:$D,'TIR店舗一覧'!$E:$E,""),""))</f>
        <v/>
      </c>
      <c r="V5292" s="54" t="s">
        <v>2</v>
      </c>
      <c r="W5292" s="54" t="s">
        <v>2</v>
      </c>
      <c r="X5292" s="54" t="s">
        <v>2</v>
      </c>
      <c r="Y5292" s="54" t="s">
        <v>2</v>
      </c>
      <c r="Z5292" s="54" t="s">
        <v>2</v>
      </c>
      <c r="AA5292" s="54" t="s">
        <v>2</v>
      </c>
      <c r="AB5292" s="54" t="s">
        <v>2</v>
      </c>
      <c r="AC5292" s="54" t="s">
        <v>2</v>
      </c>
      <c r="AD5292" s="54" t="s">
        <v>2</v>
      </c>
      <c r="AE5292" s="54" t="s">
        <v>2</v>
      </c>
      <c r="AF5292" s="54" t="s">
        <v>2</v>
      </c>
      <c r="AG5292" s="54" t="s">
        <v>2</v>
      </c>
    </row>
    <row r="5293" ht="15.75" customHeight="1">
      <c r="B5293" s="56"/>
      <c r="U5293" s="46" t="str">
        <f t="array" ref="U5293">IF($D5293="","",IFERROR(_xlfn.XLOOKUP($D5293,'TIR店舗一覧'!$D:$D,'TIR店舗一覧'!$E:$E,""),""))</f>
        <v/>
      </c>
      <c r="V5293" s="54" t="s">
        <v>2</v>
      </c>
      <c r="W5293" s="54" t="s">
        <v>2</v>
      </c>
      <c r="X5293" s="54" t="s">
        <v>2</v>
      </c>
      <c r="Y5293" s="54" t="s">
        <v>2</v>
      </c>
      <c r="Z5293" s="54" t="s">
        <v>2</v>
      </c>
      <c r="AA5293" s="54" t="s">
        <v>2</v>
      </c>
      <c r="AB5293" s="54" t="s">
        <v>2</v>
      </c>
      <c r="AC5293" s="54" t="s">
        <v>2</v>
      </c>
      <c r="AD5293" s="54" t="s">
        <v>2</v>
      </c>
      <c r="AE5293" s="54" t="s">
        <v>2</v>
      </c>
      <c r="AF5293" s="54" t="s">
        <v>2</v>
      </c>
      <c r="AG5293" s="54" t="s">
        <v>2</v>
      </c>
    </row>
    <row r="5294" ht="15.75" customHeight="1">
      <c r="B5294" s="56"/>
      <c r="U5294" s="46" t="str">
        <f t="array" ref="U5294">IF($D5294="","",IFERROR(_xlfn.XLOOKUP($D5294,'TIR店舗一覧'!$D:$D,'TIR店舗一覧'!$E:$E,""),""))</f>
        <v/>
      </c>
      <c r="V5294" s="54" t="s">
        <v>2</v>
      </c>
      <c r="W5294" s="54" t="s">
        <v>2</v>
      </c>
      <c r="X5294" s="54" t="s">
        <v>2</v>
      </c>
      <c r="Y5294" s="54" t="s">
        <v>2</v>
      </c>
      <c r="Z5294" s="54" t="s">
        <v>2</v>
      </c>
      <c r="AA5294" s="54" t="s">
        <v>2</v>
      </c>
      <c r="AB5294" s="54" t="s">
        <v>2</v>
      </c>
      <c r="AC5294" s="54" t="s">
        <v>2</v>
      </c>
      <c r="AD5294" s="54" t="s">
        <v>2</v>
      </c>
      <c r="AE5294" s="54" t="s">
        <v>2</v>
      </c>
      <c r="AF5294" s="54" t="s">
        <v>2</v>
      </c>
      <c r="AG5294" s="54" t="s">
        <v>2</v>
      </c>
    </row>
    <row r="5295" ht="15.75" customHeight="1">
      <c r="B5295" s="56"/>
      <c r="U5295" s="46" t="str">
        <f t="array" ref="U5295">IF($D5295="","",IFERROR(_xlfn.XLOOKUP($D5295,'TIR店舗一覧'!$D:$D,'TIR店舗一覧'!$E:$E,""),""))</f>
        <v/>
      </c>
      <c r="V5295" s="54" t="s">
        <v>2</v>
      </c>
      <c r="W5295" s="54" t="s">
        <v>2</v>
      </c>
      <c r="X5295" s="54" t="s">
        <v>2</v>
      </c>
      <c r="Y5295" s="54" t="s">
        <v>2</v>
      </c>
      <c r="Z5295" s="54" t="s">
        <v>2</v>
      </c>
      <c r="AA5295" s="54" t="s">
        <v>2</v>
      </c>
      <c r="AB5295" s="54" t="s">
        <v>2</v>
      </c>
      <c r="AC5295" s="54" t="s">
        <v>2</v>
      </c>
      <c r="AD5295" s="54" t="s">
        <v>2</v>
      </c>
      <c r="AE5295" s="54" t="s">
        <v>2</v>
      </c>
      <c r="AF5295" s="54" t="s">
        <v>2</v>
      </c>
      <c r="AG5295" s="54" t="s">
        <v>2</v>
      </c>
    </row>
    <row r="5296" ht="15.75" customHeight="1">
      <c r="B5296" s="56"/>
      <c r="U5296" s="46" t="str">
        <f t="array" ref="U5296">IF($D5296="","",IFERROR(_xlfn.XLOOKUP($D5296,'TIR店舗一覧'!$D:$D,'TIR店舗一覧'!$E:$E,""),""))</f>
        <v/>
      </c>
      <c r="V5296" s="54" t="s">
        <v>2</v>
      </c>
      <c r="W5296" s="54" t="s">
        <v>2</v>
      </c>
      <c r="X5296" s="54" t="s">
        <v>2</v>
      </c>
      <c r="Y5296" s="54" t="s">
        <v>2</v>
      </c>
      <c r="Z5296" s="54" t="s">
        <v>2</v>
      </c>
      <c r="AA5296" s="54" t="s">
        <v>2</v>
      </c>
      <c r="AB5296" s="54" t="s">
        <v>2</v>
      </c>
      <c r="AC5296" s="54" t="s">
        <v>2</v>
      </c>
      <c r="AD5296" s="54" t="s">
        <v>2</v>
      </c>
      <c r="AE5296" s="54" t="s">
        <v>2</v>
      </c>
      <c r="AF5296" s="54" t="s">
        <v>2</v>
      </c>
      <c r="AG5296" s="54" t="s">
        <v>2</v>
      </c>
    </row>
    <row r="5297" ht="15.75" customHeight="1">
      <c r="B5297" s="56"/>
      <c r="U5297" s="46" t="str">
        <f t="array" ref="U5297">IF($D5297="","",IFERROR(_xlfn.XLOOKUP($D5297,'TIR店舗一覧'!$D:$D,'TIR店舗一覧'!$E:$E,""),""))</f>
        <v/>
      </c>
      <c r="V5297" s="54" t="s">
        <v>2</v>
      </c>
      <c r="W5297" s="54" t="s">
        <v>2</v>
      </c>
      <c r="X5297" s="54" t="s">
        <v>2</v>
      </c>
      <c r="Y5297" s="54" t="s">
        <v>2</v>
      </c>
      <c r="Z5297" s="54" t="s">
        <v>2</v>
      </c>
      <c r="AA5297" s="54" t="s">
        <v>2</v>
      </c>
      <c r="AB5297" s="54" t="s">
        <v>2</v>
      </c>
      <c r="AC5297" s="54" t="s">
        <v>2</v>
      </c>
      <c r="AD5297" s="54" t="s">
        <v>2</v>
      </c>
      <c r="AE5297" s="54" t="s">
        <v>2</v>
      </c>
      <c r="AF5297" s="54" t="s">
        <v>2</v>
      </c>
      <c r="AG5297" s="54" t="s">
        <v>2</v>
      </c>
    </row>
    <row r="5298" ht="15.75" customHeight="1">
      <c r="B5298" s="56"/>
      <c r="U5298" s="46" t="str">
        <f t="array" ref="U5298">IF($D5298="","",IFERROR(_xlfn.XLOOKUP($D5298,'TIR店舗一覧'!$D:$D,'TIR店舗一覧'!$E:$E,""),""))</f>
        <v/>
      </c>
      <c r="V5298" s="54" t="s">
        <v>2</v>
      </c>
      <c r="W5298" s="54" t="s">
        <v>2</v>
      </c>
      <c r="X5298" s="54" t="s">
        <v>2</v>
      </c>
      <c r="Y5298" s="54" t="s">
        <v>2</v>
      </c>
      <c r="Z5298" s="54" t="s">
        <v>2</v>
      </c>
      <c r="AA5298" s="54" t="s">
        <v>2</v>
      </c>
      <c r="AB5298" s="54" t="s">
        <v>2</v>
      </c>
      <c r="AC5298" s="54" t="s">
        <v>2</v>
      </c>
      <c r="AD5298" s="54" t="s">
        <v>2</v>
      </c>
      <c r="AE5298" s="54" t="s">
        <v>2</v>
      </c>
      <c r="AF5298" s="54" t="s">
        <v>2</v>
      </c>
      <c r="AG5298" s="54" t="s">
        <v>2</v>
      </c>
    </row>
    <row r="5299" ht="15.75" customHeight="1">
      <c r="B5299" s="56"/>
      <c r="U5299" s="46" t="str">
        <f t="array" ref="U5299">IF($D5299="","",IFERROR(_xlfn.XLOOKUP($D5299,'TIR店舗一覧'!$D:$D,'TIR店舗一覧'!$E:$E,""),""))</f>
        <v/>
      </c>
      <c r="V5299" s="54" t="s">
        <v>2</v>
      </c>
      <c r="W5299" s="54" t="s">
        <v>2</v>
      </c>
      <c r="X5299" s="54" t="s">
        <v>2</v>
      </c>
      <c r="Y5299" s="54" t="s">
        <v>2</v>
      </c>
      <c r="Z5299" s="54" t="s">
        <v>2</v>
      </c>
      <c r="AA5299" s="54" t="s">
        <v>2</v>
      </c>
      <c r="AB5299" s="54" t="s">
        <v>2</v>
      </c>
      <c r="AC5299" s="54" t="s">
        <v>2</v>
      </c>
      <c r="AD5299" s="54" t="s">
        <v>2</v>
      </c>
      <c r="AE5299" s="54" t="s">
        <v>2</v>
      </c>
      <c r="AF5299" s="54" t="s">
        <v>2</v>
      </c>
      <c r="AG5299" s="54" t="s">
        <v>2</v>
      </c>
    </row>
    <row r="5300" ht="15.75" customHeight="1">
      <c r="B5300" s="56"/>
      <c r="U5300" s="46" t="str">
        <f t="array" ref="U5300">IF($D5300="","",IFERROR(_xlfn.XLOOKUP($D5300,'TIR店舗一覧'!$D:$D,'TIR店舗一覧'!$E:$E,""),""))</f>
        <v/>
      </c>
      <c r="V5300" s="54" t="s">
        <v>2</v>
      </c>
      <c r="W5300" s="54" t="s">
        <v>2</v>
      </c>
      <c r="X5300" s="54" t="s">
        <v>2</v>
      </c>
      <c r="Y5300" s="54" t="s">
        <v>2</v>
      </c>
      <c r="Z5300" s="54" t="s">
        <v>2</v>
      </c>
      <c r="AA5300" s="54" t="s">
        <v>2</v>
      </c>
      <c r="AB5300" s="54" t="s">
        <v>2</v>
      </c>
      <c r="AC5300" s="54" t="s">
        <v>2</v>
      </c>
      <c r="AD5300" s="54" t="s">
        <v>2</v>
      </c>
      <c r="AE5300" s="54" t="s">
        <v>2</v>
      </c>
      <c r="AF5300" s="54" t="s">
        <v>2</v>
      </c>
      <c r="AG5300" s="54" t="s">
        <v>2</v>
      </c>
    </row>
    <row r="5301" ht="15.75" customHeight="1">
      <c r="B5301" s="56"/>
      <c r="U5301" s="46" t="str">
        <f t="array" ref="U5301">IF($D5301="","",IFERROR(_xlfn.XLOOKUP($D5301,'TIR店舗一覧'!$D:$D,'TIR店舗一覧'!$E:$E,""),""))</f>
        <v/>
      </c>
      <c r="V5301" s="54" t="s">
        <v>2</v>
      </c>
      <c r="W5301" s="54" t="s">
        <v>2</v>
      </c>
      <c r="X5301" s="54" t="s">
        <v>2</v>
      </c>
      <c r="Y5301" s="54" t="s">
        <v>2</v>
      </c>
      <c r="Z5301" s="54" t="s">
        <v>2</v>
      </c>
      <c r="AA5301" s="54" t="s">
        <v>2</v>
      </c>
      <c r="AB5301" s="54" t="s">
        <v>2</v>
      </c>
      <c r="AC5301" s="54" t="s">
        <v>2</v>
      </c>
      <c r="AD5301" s="54" t="s">
        <v>2</v>
      </c>
      <c r="AE5301" s="54" t="s">
        <v>2</v>
      </c>
      <c r="AF5301" s="54" t="s">
        <v>2</v>
      </c>
      <c r="AG5301" s="54" t="s">
        <v>2</v>
      </c>
    </row>
    <row r="5302" ht="15.75" customHeight="1">
      <c r="B5302" s="56"/>
      <c r="U5302" s="46" t="str">
        <f t="array" ref="U5302">IF($D5302="","",IFERROR(_xlfn.XLOOKUP($D5302,'TIR店舗一覧'!$D:$D,'TIR店舗一覧'!$E:$E,""),""))</f>
        <v/>
      </c>
      <c r="V5302" s="54" t="s">
        <v>2</v>
      </c>
      <c r="W5302" s="54" t="s">
        <v>2</v>
      </c>
      <c r="X5302" s="54" t="s">
        <v>2</v>
      </c>
      <c r="Y5302" s="54" t="s">
        <v>2</v>
      </c>
      <c r="Z5302" s="54" t="s">
        <v>2</v>
      </c>
      <c r="AA5302" s="54" t="s">
        <v>2</v>
      </c>
      <c r="AB5302" s="54" t="s">
        <v>2</v>
      </c>
      <c r="AC5302" s="54" t="s">
        <v>2</v>
      </c>
      <c r="AD5302" s="54" t="s">
        <v>2</v>
      </c>
      <c r="AE5302" s="54" t="s">
        <v>2</v>
      </c>
      <c r="AF5302" s="54" t="s">
        <v>2</v>
      </c>
      <c r="AG5302" s="54" t="s">
        <v>2</v>
      </c>
    </row>
    <row r="5303" ht="15.75" customHeight="1">
      <c r="B5303" s="56"/>
      <c r="U5303" s="46" t="str">
        <f t="array" ref="U5303">IF($D5303="","",IFERROR(_xlfn.XLOOKUP($D5303,'TIR店舗一覧'!$D:$D,'TIR店舗一覧'!$E:$E,""),""))</f>
        <v/>
      </c>
      <c r="V5303" s="54" t="s">
        <v>2</v>
      </c>
      <c r="W5303" s="54" t="s">
        <v>2</v>
      </c>
      <c r="X5303" s="54" t="s">
        <v>2</v>
      </c>
      <c r="Y5303" s="54" t="s">
        <v>2</v>
      </c>
      <c r="Z5303" s="54" t="s">
        <v>2</v>
      </c>
      <c r="AA5303" s="54" t="s">
        <v>2</v>
      </c>
      <c r="AB5303" s="54" t="s">
        <v>2</v>
      </c>
      <c r="AC5303" s="54" t="s">
        <v>2</v>
      </c>
      <c r="AD5303" s="54" t="s">
        <v>2</v>
      </c>
      <c r="AE5303" s="54" t="s">
        <v>2</v>
      </c>
      <c r="AF5303" s="54" t="s">
        <v>2</v>
      </c>
      <c r="AG5303" s="54" t="s">
        <v>2</v>
      </c>
    </row>
    <row r="5304" ht="15.75" customHeight="1">
      <c r="B5304" s="56"/>
      <c r="U5304" s="46" t="str">
        <f t="array" ref="U5304">IF($D5304="","",IFERROR(_xlfn.XLOOKUP($D5304,'TIR店舗一覧'!$D:$D,'TIR店舗一覧'!$E:$E,""),""))</f>
        <v/>
      </c>
      <c r="V5304" s="54" t="s">
        <v>2</v>
      </c>
      <c r="W5304" s="54" t="s">
        <v>2</v>
      </c>
      <c r="X5304" s="54" t="s">
        <v>2</v>
      </c>
      <c r="Y5304" s="54" t="s">
        <v>2</v>
      </c>
      <c r="Z5304" s="54" t="s">
        <v>2</v>
      </c>
      <c r="AA5304" s="54" t="s">
        <v>2</v>
      </c>
      <c r="AB5304" s="54" t="s">
        <v>2</v>
      </c>
      <c r="AC5304" s="54" t="s">
        <v>2</v>
      </c>
      <c r="AD5304" s="54" t="s">
        <v>2</v>
      </c>
      <c r="AE5304" s="54" t="s">
        <v>2</v>
      </c>
      <c r="AF5304" s="54" t="s">
        <v>2</v>
      </c>
      <c r="AG5304" s="54" t="s">
        <v>2</v>
      </c>
    </row>
    <row r="5305" ht="15.75" customHeight="1">
      <c r="B5305" s="56"/>
      <c r="U5305" s="46" t="str">
        <f t="array" ref="U5305">IF($D5305="","",IFERROR(_xlfn.XLOOKUP($D5305,'TIR店舗一覧'!$D:$D,'TIR店舗一覧'!$E:$E,""),""))</f>
        <v/>
      </c>
      <c r="V5305" s="54" t="s">
        <v>2</v>
      </c>
      <c r="W5305" s="54" t="s">
        <v>2</v>
      </c>
      <c r="X5305" s="54" t="s">
        <v>2</v>
      </c>
      <c r="Y5305" s="54" t="s">
        <v>2</v>
      </c>
      <c r="Z5305" s="54" t="s">
        <v>2</v>
      </c>
      <c r="AA5305" s="54" t="s">
        <v>2</v>
      </c>
      <c r="AB5305" s="54" t="s">
        <v>2</v>
      </c>
      <c r="AC5305" s="54" t="s">
        <v>2</v>
      </c>
      <c r="AD5305" s="54" t="s">
        <v>2</v>
      </c>
      <c r="AE5305" s="54" t="s">
        <v>2</v>
      </c>
      <c r="AF5305" s="54" t="s">
        <v>2</v>
      </c>
      <c r="AG5305" s="54" t="s">
        <v>2</v>
      </c>
    </row>
    <row r="5306" ht="15.75" customHeight="1">
      <c r="B5306" s="56"/>
      <c r="U5306" s="46" t="str">
        <f t="array" ref="U5306">IF($D5306="","",IFERROR(_xlfn.XLOOKUP($D5306,'TIR店舗一覧'!$D:$D,'TIR店舗一覧'!$E:$E,""),""))</f>
        <v/>
      </c>
      <c r="V5306" s="54" t="s">
        <v>2</v>
      </c>
      <c r="W5306" s="54" t="s">
        <v>2</v>
      </c>
      <c r="X5306" s="54" t="s">
        <v>2</v>
      </c>
      <c r="Y5306" s="54" t="s">
        <v>2</v>
      </c>
      <c r="Z5306" s="54" t="s">
        <v>2</v>
      </c>
      <c r="AA5306" s="54" t="s">
        <v>2</v>
      </c>
      <c r="AB5306" s="54" t="s">
        <v>2</v>
      </c>
      <c r="AC5306" s="54" t="s">
        <v>2</v>
      </c>
      <c r="AD5306" s="54" t="s">
        <v>2</v>
      </c>
      <c r="AE5306" s="54" t="s">
        <v>2</v>
      </c>
      <c r="AF5306" s="54" t="s">
        <v>2</v>
      </c>
      <c r="AG5306" s="54" t="s">
        <v>2</v>
      </c>
    </row>
    <row r="5307" ht="15.75" customHeight="1">
      <c r="B5307" s="56"/>
      <c r="U5307" s="46" t="str">
        <f t="array" ref="U5307">IF($D5307="","",IFERROR(_xlfn.XLOOKUP($D5307,'TIR店舗一覧'!$D:$D,'TIR店舗一覧'!$E:$E,""),""))</f>
        <v/>
      </c>
      <c r="V5307" s="54" t="s">
        <v>2</v>
      </c>
      <c r="W5307" s="54" t="s">
        <v>2</v>
      </c>
      <c r="X5307" s="54" t="s">
        <v>2</v>
      </c>
      <c r="Y5307" s="54" t="s">
        <v>2</v>
      </c>
      <c r="Z5307" s="54" t="s">
        <v>2</v>
      </c>
      <c r="AA5307" s="54" t="s">
        <v>2</v>
      </c>
      <c r="AB5307" s="54" t="s">
        <v>2</v>
      </c>
      <c r="AC5307" s="54" t="s">
        <v>2</v>
      </c>
      <c r="AD5307" s="54" t="s">
        <v>2</v>
      </c>
      <c r="AE5307" s="54" t="s">
        <v>2</v>
      </c>
      <c r="AF5307" s="54" t="s">
        <v>2</v>
      </c>
      <c r="AG5307" s="54" t="s">
        <v>2</v>
      </c>
    </row>
    <row r="5308" ht="15.75" customHeight="1">
      <c r="B5308" s="56"/>
      <c r="U5308" s="46" t="str">
        <f t="array" ref="U5308">IF($D5308="","",IFERROR(_xlfn.XLOOKUP($D5308,'TIR店舗一覧'!$D:$D,'TIR店舗一覧'!$E:$E,""),""))</f>
        <v/>
      </c>
      <c r="V5308" s="54" t="s">
        <v>2</v>
      </c>
      <c r="W5308" s="54" t="s">
        <v>2</v>
      </c>
      <c r="X5308" s="54" t="s">
        <v>2</v>
      </c>
      <c r="Y5308" s="54" t="s">
        <v>2</v>
      </c>
      <c r="Z5308" s="54" t="s">
        <v>2</v>
      </c>
      <c r="AA5308" s="54" t="s">
        <v>2</v>
      </c>
      <c r="AB5308" s="54" t="s">
        <v>2</v>
      </c>
      <c r="AC5308" s="54" t="s">
        <v>2</v>
      </c>
      <c r="AD5308" s="54" t="s">
        <v>2</v>
      </c>
      <c r="AE5308" s="54" t="s">
        <v>2</v>
      </c>
      <c r="AF5308" s="54" t="s">
        <v>2</v>
      </c>
      <c r="AG5308" s="54" t="s">
        <v>2</v>
      </c>
    </row>
    <row r="5309" ht="15.75" customHeight="1">
      <c r="B5309" s="56"/>
      <c r="U5309" s="46" t="str">
        <f t="array" ref="U5309">IF($D5309="","",IFERROR(_xlfn.XLOOKUP($D5309,'TIR店舗一覧'!$D:$D,'TIR店舗一覧'!$E:$E,""),""))</f>
        <v/>
      </c>
      <c r="V5309" s="54" t="s">
        <v>2</v>
      </c>
      <c r="W5309" s="54" t="s">
        <v>2</v>
      </c>
      <c r="X5309" s="54" t="s">
        <v>2</v>
      </c>
      <c r="Y5309" s="54" t="s">
        <v>2</v>
      </c>
      <c r="Z5309" s="54" t="s">
        <v>2</v>
      </c>
      <c r="AA5309" s="54" t="s">
        <v>2</v>
      </c>
      <c r="AB5309" s="54" t="s">
        <v>2</v>
      </c>
      <c r="AC5309" s="54" t="s">
        <v>2</v>
      </c>
      <c r="AD5309" s="54" t="s">
        <v>2</v>
      </c>
      <c r="AE5309" s="54" t="s">
        <v>2</v>
      </c>
      <c r="AF5309" s="54" t="s">
        <v>2</v>
      </c>
      <c r="AG5309" s="54" t="s">
        <v>2</v>
      </c>
    </row>
    <row r="5310" ht="15.75" customHeight="1">
      <c r="B5310" s="56"/>
      <c r="U5310" s="46" t="str">
        <f t="array" ref="U5310">IF($D5310="","",IFERROR(_xlfn.XLOOKUP($D5310,'TIR店舗一覧'!$D:$D,'TIR店舗一覧'!$E:$E,""),""))</f>
        <v/>
      </c>
      <c r="V5310" s="54" t="s">
        <v>2</v>
      </c>
      <c r="W5310" s="54" t="s">
        <v>2</v>
      </c>
      <c r="X5310" s="54" t="s">
        <v>2</v>
      </c>
      <c r="Y5310" s="54" t="s">
        <v>2</v>
      </c>
      <c r="Z5310" s="54" t="s">
        <v>2</v>
      </c>
      <c r="AA5310" s="54" t="s">
        <v>2</v>
      </c>
      <c r="AB5310" s="54" t="s">
        <v>2</v>
      </c>
      <c r="AC5310" s="54" t="s">
        <v>2</v>
      </c>
      <c r="AD5310" s="54" t="s">
        <v>2</v>
      </c>
      <c r="AE5310" s="54" t="s">
        <v>2</v>
      </c>
      <c r="AF5310" s="54" t="s">
        <v>2</v>
      </c>
      <c r="AG5310" s="54" t="s">
        <v>2</v>
      </c>
    </row>
    <row r="5311" ht="15.75" customHeight="1">
      <c r="B5311" s="56"/>
      <c r="U5311" s="46" t="str">
        <f t="array" ref="U5311">IF($D5311="","",IFERROR(_xlfn.XLOOKUP($D5311,'TIR店舗一覧'!$D:$D,'TIR店舗一覧'!$E:$E,""),""))</f>
        <v/>
      </c>
      <c r="V5311" s="54" t="s">
        <v>2</v>
      </c>
      <c r="W5311" s="54" t="s">
        <v>2</v>
      </c>
      <c r="X5311" s="54" t="s">
        <v>2</v>
      </c>
      <c r="Y5311" s="54" t="s">
        <v>2</v>
      </c>
      <c r="Z5311" s="54" t="s">
        <v>2</v>
      </c>
      <c r="AA5311" s="54" t="s">
        <v>2</v>
      </c>
      <c r="AB5311" s="54" t="s">
        <v>2</v>
      </c>
      <c r="AC5311" s="54" t="s">
        <v>2</v>
      </c>
      <c r="AD5311" s="54" t="s">
        <v>2</v>
      </c>
      <c r="AE5311" s="54" t="s">
        <v>2</v>
      </c>
      <c r="AF5311" s="54" t="s">
        <v>2</v>
      </c>
      <c r="AG5311" s="54" t="s">
        <v>2</v>
      </c>
    </row>
    <row r="5312" ht="15.75" customHeight="1">
      <c r="B5312" s="56"/>
      <c r="U5312" s="46" t="str">
        <f t="array" ref="U5312">IF($D5312="","",IFERROR(_xlfn.XLOOKUP($D5312,'TIR店舗一覧'!$D:$D,'TIR店舗一覧'!$E:$E,""),""))</f>
        <v/>
      </c>
      <c r="V5312" s="54" t="s">
        <v>2</v>
      </c>
      <c r="W5312" s="54" t="s">
        <v>2</v>
      </c>
      <c r="X5312" s="54" t="s">
        <v>2</v>
      </c>
      <c r="Y5312" s="54" t="s">
        <v>2</v>
      </c>
      <c r="Z5312" s="54" t="s">
        <v>2</v>
      </c>
      <c r="AA5312" s="54" t="s">
        <v>2</v>
      </c>
      <c r="AB5312" s="54" t="s">
        <v>2</v>
      </c>
      <c r="AC5312" s="54" t="s">
        <v>2</v>
      </c>
      <c r="AD5312" s="54" t="s">
        <v>2</v>
      </c>
      <c r="AE5312" s="54" t="s">
        <v>2</v>
      </c>
      <c r="AF5312" s="54" t="s">
        <v>2</v>
      </c>
      <c r="AG5312" s="54" t="s">
        <v>2</v>
      </c>
    </row>
    <row r="5313" ht="15.75" customHeight="1">
      <c r="B5313" s="56"/>
      <c r="U5313" s="46" t="str">
        <f t="array" ref="U5313">IF($D5313="","",IFERROR(_xlfn.XLOOKUP($D5313,'TIR店舗一覧'!$D:$D,'TIR店舗一覧'!$E:$E,""),""))</f>
        <v/>
      </c>
      <c r="V5313" s="54" t="s">
        <v>2</v>
      </c>
      <c r="W5313" s="54" t="s">
        <v>2</v>
      </c>
      <c r="X5313" s="54" t="s">
        <v>2</v>
      </c>
      <c r="Y5313" s="54" t="s">
        <v>2</v>
      </c>
      <c r="Z5313" s="54" t="s">
        <v>2</v>
      </c>
      <c r="AA5313" s="54" t="s">
        <v>2</v>
      </c>
      <c r="AB5313" s="54" t="s">
        <v>2</v>
      </c>
      <c r="AC5313" s="54" t="s">
        <v>2</v>
      </c>
      <c r="AD5313" s="54" t="s">
        <v>2</v>
      </c>
      <c r="AE5313" s="54" t="s">
        <v>2</v>
      </c>
      <c r="AF5313" s="54" t="s">
        <v>2</v>
      </c>
      <c r="AG5313" s="54" t="s">
        <v>2</v>
      </c>
    </row>
    <row r="5314" ht="15.75" customHeight="1">
      <c r="B5314" s="56"/>
      <c r="U5314" s="46" t="str">
        <f t="array" ref="U5314">IF($D5314="","",IFERROR(_xlfn.XLOOKUP($D5314,'TIR店舗一覧'!$D:$D,'TIR店舗一覧'!$E:$E,""),""))</f>
        <v/>
      </c>
      <c r="V5314" s="54" t="s">
        <v>2</v>
      </c>
      <c r="W5314" s="54" t="s">
        <v>2</v>
      </c>
      <c r="X5314" s="54" t="s">
        <v>2</v>
      </c>
      <c r="Y5314" s="54" t="s">
        <v>2</v>
      </c>
      <c r="Z5314" s="54" t="s">
        <v>2</v>
      </c>
      <c r="AA5314" s="54" t="s">
        <v>2</v>
      </c>
      <c r="AB5314" s="54" t="s">
        <v>2</v>
      </c>
      <c r="AC5314" s="54" t="s">
        <v>2</v>
      </c>
      <c r="AD5314" s="54" t="s">
        <v>2</v>
      </c>
      <c r="AE5314" s="54" t="s">
        <v>2</v>
      </c>
      <c r="AF5314" s="54" t="s">
        <v>2</v>
      </c>
      <c r="AG5314" s="54" t="s">
        <v>2</v>
      </c>
    </row>
    <row r="5315" ht="15.75" customHeight="1">
      <c r="B5315" s="56"/>
      <c r="U5315" s="46" t="str">
        <f t="array" ref="U5315">IF($D5315="","",IFERROR(_xlfn.XLOOKUP($D5315,'TIR店舗一覧'!$D:$D,'TIR店舗一覧'!$E:$E,""),""))</f>
        <v/>
      </c>
      <c r="V5315" s="54" t="s">
        <v>2</v>
      </c>
      <c r="W5315" s="54" t="s">
        <v>2</v>
      </c>
      <c r="X5315" s="54" t="s">
        <v>2</v>
      </c>
      <c r="Y5315" s="54" t="s">
        <v>2</v>
      </c>
      <c r="Z5315" s="54" t="s">
        <v>2</v>
      </c>
      <c r="AA5315" s="54" t="s">
        <v>2</v>
      </c>
      <c r="AB5315" s="54" t="s">
        <v>2</v>
      </c>
      <c r="AC5315" s="54" t="s">
        <v>2</v>
      </c>
      <c r="AD5315" s="54" t="s">
        <v>2</v>
      </c>
      <c r="AE5315" s="54" t="s">
        <v>2</v>
      </c>
      <c r="AF5315" s="54" t="s">
        <v>2</v>
      </c>
      <c r="AG5315" s="54" t="s">
        <v>2</v>
      </c>
    </row>
    <row r="5316" ht="15.75" customHeight="1">
      <c r="B5316" s="56"/>
      <c r="U5316" s="46" t="str">
        <f t="array" ref="U5316">IF($D5316="","",IFERROR(_xlfn.XLOOKUP($D5316,'TIR店舗一覧'!$D:$D,'TIR店舗一覧'!$E:$E,""),""))</f>
        <v/>
      </c>
      <c r="V5316" s="54" t="s">
        <v>2</v>
      </c>
      <c r="W5316" s="54" t="s">
        <v>2</v>
      </c>
      <c r="X5316" s="54" t="s">
        <v>2</v>
      </c>
      <c r="Y5316" s="54" t="s">
        <v>2</v>
      </c>
      <c r="Z5316" s="54" t="s">
        <v>2</v>
      </c>
      <c r="AA5316" s="54" t="s">
        <v>2</v>
      </c>
      <c r="AB5316" s="54" t="s">
        <v>2</v>
      </c>
      <c r="AC5316" s="54" t="s">
        <v>2</v>
      </c>
      <c r="AD5316" s="54" t="s">
        <v>2</v>
      </c>
      <c r="AE5316" s="54" t="s">
        <v>2</v>
      </c>
      <c r="AF5316" s="54" t="s">
        <v>2</v>
      </c>
      <c r="AG5316" s="54" t="s">
        <v>2</v>
      </c>
    </row>
    <row r="5317" ht="15.75" customHeight="1">
      <c r="B5317" s="56"/>
      <c r="U5317" s="46" t="str">
        <f t="array" ref="U5317">IF($D5317="","",IFERROR(_xlfn.XLOOKUP($D5317,'TIR店舗一覧'!$D:$D,'TIR店舗一覧'!$E:$E,""),""))</f>
        <v/>
      </c>
      <c r="V5317" s="54" t="s">
        <v>2</v>
      </c>
      <c r="W5317" s="54" t="s">
        <v>2</v>
      </c>
      <c r="X5317" s="54" t="s">
        <v>2</v>
      </c>
      <c r="Y5317" s="54" t="s">
        <v>2</v>
      </c>
      <c r="Z5317" s="54" t="s">
        <v>2</v>
      </c>
      <c r="AA5317" s="54" t="s">
        <v>2</v>
      </c>
      <c r="AB5317" s="54" t="s">
        <v>2</v>
      </c>
      <c r="AC5317" s="54" t="s">
        <v>2</v>
      </c>
      <c r="AD5317" s="54" t="s">
        <v>2</v>
      </c>
      <c r="AE5317" s="54" t="s">
        <v>2</v>
      </c>
      <c r="AF5317" s="54" t="s">
        <v>2</v>
      </c>
      <c r="AG5317" s="54" t="s">
        <v>2</v>
      </c>
    </row>
    <row r="5318" ht="15.75" customHeight="1">
      <c r="B5318" s="56"/>
      <c r="U5318" s="46" t="str">
        <f t="array" ref="U5318">IF($D5318="","",IFERROR(_xlfn.XLOOKUP($D5318,'TIR店舗一覧'!$D:$D,'TIR店舗一覧'!$E:$E,""),""))</f>
        <v/>
      </c>
      <c r="V5318" s="54" t="s">
        <v>2</v>
      </c>
      <c r="W5318" s="54" t="s">
        <v>2</v>
      </c>
      <c r="X5318" s="54" t="s">
        <v>2</v>
      </c>
      <c r="Y5318" s="54" t="s">
        <v>2</v>
      </c>
      <c r="Z5318" s="54" t="s">
        <v>2</v>
      </c>
      <c r="AA5318" s="54" t="s">
        <v>2</v>
      </c>
      <c r="AB5318" s="54" t="s">
        <v>2</v>
      </c>
      <c r="AC5318" s="54" t="s">
        <v>2</v>
      </c>
      <c r="AD5318" s="54" t="s">
        <v>2</v>
      </c>
      <c r="AE5318" s="54" t="s">
        <v>2</v>
      </c>
      <c r="AF5318" s="54" t="s">
        <v>2</v>
      </c>
      <c r="AG5318" s="54" t="s">
        <v>2</v>
      </c>
    </row>
    <row r="5319" ht="15.75" customHeight="1">
      <c r="B5319" s="56"/>
      <c r="U5319" s="46" t="str">
        <f t="array" ref="U5319">IF($D5319="","",IFERROR(_xlfn.XLOOKUP($D5319,'TIR店舗一覧'!$D:$D,'TIR店舗一覧'!$E:$E,""),""))</f>
        <v/>
      </c>
      <c r="V5319" s="54" t="s">
        <v>2</v>
      </c>
      <c r="W5319" s="54" t="s">
        <v>2</v>
      </c>
      <c r="X5319" s="54" t="s">
        <v>2</v>
      </c>
      <c r="Y5319" s="54" t="s">
        <v>2</v>
      </c>
      <c r="Z5319" s="54" t="s">
        <v>2</v>
      </c>
      <c r="AA5319" s="54" t="s">
        <v>2</v>
      </c>
      <c r="AB5319" s="54" t="s">
        <v>2</v>
      </c>
      <c r="AC5319" s="54" t="s">
        <v>2</v>
      </c>
      <c r="AD5319" s="54" t="s">
        <v>2</v>
      </c>
      <c r="AE5319" s="54" t="s">
        <v>2</v>
      </c>
      <c r="AF5319" s="54" t="s">
        <v>2</v>
      </c>
      <c r="AG5319" s="54" t="s">
        <v>2</v>
      </c>
    </row>
    <row r="5320" ht="15.75" customHeight="1">
      <c r="B5320" s="56"/>
      <c r="U5320" s="46" t="str">
        <f t="array" ref="U5320">IF($D5320="","",IFERROR(_xlfn.XLOOKUP($D5320,'TIR店舗一覧'!$D:$D,'TIR店舗一覧'!$E:$E,""),""))</f>
        <v/>
      </c>
      <c r="V5320" s="54" t="s">
        <v>2</v>
      </c>
      <c r="W5320" s="54" t="s">
        <v>2</v>
      </c>
      <c r="X5320" s="54" t="s">
        <v>2</v>
      </c>
      <c r="Y5320" s="54" t="s">
        <v>2</v>
      </c>
      <c r="Z5320" s="54" t="s">
        <v>2</v>
      </c>
      <c r="AA5320" s="54" t="s">
        <v>2</v>
      </c>
      <c r="AB5320" s="54" t="s">
        <v>2</v>
      </c>
      <c r="AC5320" s="54" t="s">
        <v>2</v>
      </c>
      <c r="AD5320" s="54" t="s">
        <v>2</v>
      </c>
      <c r="AE5320" s="54" t="s">
        <v>2</v>
      </c>
      <c r="AF5320" s="54" t="s">
        <v>2</v>
      </c>
      <c r="AG5320" s="54" t="s">
        <v>2</v>
      </c>
    </row>
    <row r="5321" ht="15.75" customHeight="1">
      <c r="B5321" s="56"/>
      <c r="U5321" s="46" t="str">
        <f t="array" ref="U5321">IF($D5321="","",IFERROR(_xlfn.XLOOKUP($D5321,'TIR店舗一覧'!$D:$D,'TIR店舗一覧'!$E:$E,""),""))</f>
        <v/>
      </c>
      <c r="V5321" s="54" t="s">
        <v>2</v>
      </c>
      <c r="W5321" s="54" t="s">
        <v>2</v>
      </c>
      <c r="X5321" s="54" t="s">
        <v>2</v>
      </c>
      <c r="Y5321" s="54" t="s">
        <v>2</v>
      </c>
      <c r="Z5321" s="54" t="s">
        <v>2</v>
      </c>
      <c r="AA5321" s="54" t="s">
        <v>2</v>
      </c>
      <c r="AB5321" s="54" t="s">
        <v>2</v>
      </c>
      <c r="AC5321" s="54" t="s">
        <v>2</v>
      </c>
      <c r="AD5321" s="54" t="s">
        <v>2</v>
      </c>
      <c r="AE5321" s="54" t="s">
        <v>2</v>
      </c>
      <c r="AF5321" s="54" t="s">
        <v>2</v>
      </c>
      <c r="AG5321" s="54" t="s">
        <v>2</v>
      </c>
    </row>
    <row r="5322" ht="15.75" customHeight="1">
      <c r="B5322" s="56"/>
      <c r="U5322" s="46" t="str">
        <f t="array" ref="U5322">IF($D5322="","",IFERROR(_xlfn.XLOOKUP($D5322,'TIR店舗一覧'!$D:$D,'TIR店舗一覧'!$E:$E,""),""))</f>
        <v/>
      </c>
      <c r="V5322" s="54" t="s">
        <v>2</v>
      </c>
      <c r="W5322" s="54" t="s">
        <v>2</v>
      </c>
      <c r="X5322" s="54" t="s">
        <v>2</v>
      </c>
      <c r="Y5322" s="54" t="s">
        <v>2</v>
      </c>
      <c r="Z5322" s="54" t="s">
        <v>2</v>
      </c>
      <c r="AA5322" s="54" t="s">
        <v>2</v>
      </c>
      <c r="AB5322" s="54" t="s">
        <v>2</v>
      </c>
      <c r="AC5322" s="54" t="s">
        <v>2</v>
      </c>
      <c r="AD5322" s="54" t="s">
        <v>2</v>
      </c>
      <c r="AE5322" s="54" t="s">
        <v>2</v>
      </c>
      <c r="AF5322" s="54" t="s">
        <v>2</v>
      </c>
      <c r="AG5322" s="54" t="s">
        <v>2</v>
      </c>
    </row>
    <row r="5323" ht="15.75" customHeight="1">
      <c r="B5323" s="56"/>
      <c r="U5323" s="46" t="str">
        <f t="array" ref="U5323">IF($D5323="","",IFERROR(_xlfn.XLOOKUP($D5323,'TIR店舗一覧'!$D:$D,'TIR店舗一覧'!$E:$E,""),""))</f>
        <v/>
      </c>
      <c r="V5323" s="54" t="s">
        <v>2</v>
      </c>
      <c r="W5323" s="54" t="s">
        <v>2</v>
      </c>
      <c r="X5323" s="54" t="s">
        <v>2</v>
      </c>
      <c r="Y5323" s="54" t="s">
        <v>2</v>
      </c>
      <c r="Z5323" s="54" t="s">
        <v>2</v>
      </c>
      <c r="AA5323" s="54" t="s">
        <v>2</v>
      </c>
      <c r="AB5323" s="54" t="s">
        <v>2</v>
      </c>
      <c r="AC5323" s="54" t="s">
        <v>2</v>
      </c>
      <c r="AD5323" s="54" t="s">
        <v>2</v>
      </c>
      <c r="AE5323" s="54" t="s">
        <v>2</v>
      </c>
      <c r="AF5323" s="54" t="s">
        <v>2</v>
      </c>
      <c r="AG5323" s="54" t="s">
        <v>2</v>
      </c>
    </row>
    <row r="5324" ht="15.75" customHeight="1">
      <c r="B5324" s="56"/>
      <c r="U5324" s="46" t="str">
        <f t="array" ref="U5324">IF($D5324="","",IFERROR(_xlfn.XLOOKUP($D5324,'TIR店舗一覧'!$D:$D,'TIR店舗一覧'!$E:$E,""),""))</f>
        <v/>
      </c>
      <c r="V5324" s="54" t="s">
        <v>2</v>
      </c>
      <c r="W5324" s="54" t="s">
        <v>2</v>
      </c>
      <c r="X5324" s="54" t="s">
        <v>2</v>
      </c>
      <c r="Y5324" s="54" t="s">
        <v>2</v>
      </c>
      <c r="Z5324" s="54" t="s">
        <v>2</v>
      </c>
      <c r="AA5324" s="54" t="s">
        <v>2</v>
      </c>
      <c r="AB5324" s="54" t="s">
        <v>2</v>
      </c>
      <c r="AC5324" s="54" t="s">
        <v>2</v>
      </c>
      <c r="AD5324" s="54" t="s">
        <v>2</v>
      </c>
      <c r="AE5324" s="54" t="s">
        <v>2</v>
      </c>
      <c r="AF5324" s="54" t="s">
        <v>2</v>
      </c>
      <c r="AG5324" s="54" t="s">
        <v>2</v>
      </c>
    </row>
    <row r="5325" ht="15.75" customHeight="1">
      <c r="B5325" s="56"/>
      <c r="U5325" s="46" t="str">
        <f t="array" ref="U5325">IF($D5325="","",IFERROR(_xlfn.XLOOKUP($D5325,'TIR店舗一覧'!$D:$D,'TIR店舗一覧'!$E:$E,""),""))</f>
        <v/>
      </c>
      <c r="V5325" s="54" t="s">
        <v>2</v>
      </c>
      <c r="W5325" s="54" t="s">
        <v>2</v>
      </c>
      <c r="X5325" s="54" t="s">
        <v>2</v>
      </c>
      <c r="Y5325" s="54" t="s">
        <v>2</v>
      </c>
      <c r="Z5325" s="54" t="s">
        <v>2</v>
      </c>
      <c r="AA5325" s="54" t="s">
        <v>2</v>
      </c>
      <c r="AB5325" s="54" t="s">
        <v>2</v>
      </c>
      <c r="AC5325" s="54" t="s">
        <v>2</v>
      </c>
      <c r="AD5325" s="54" t="s">
        <v>2</v>
      </c>
      <c r="AE5325" s="54" t="s">
        <v>2</v>
      </c>
      <c r="AF5325" s="54" t="s">
        <v>2</v>
      </c>
      <c r="AG5325" s="54" t="s">
        <v>2</v>
      </c>
    </row>
    <row r="5326" ht="15.75" customHeight="1">
      <c r="B5326" s="56"/>
      <c r="U5326" s="46" t="str">
        <f t="array" ref="U5326">IF($D5326="","",IFERROR(_xlfn.XLOOKUP($D5326,'TIR店舗一覧'!$D:$D,'TIR店舗一覧'!$E:$E,""),""))</f>
        <v/>
      </c>
      <c r="V5326" s="54" t="s">
        <v>2</v>
      </c>
      <c r="W5326" s="54" t="s">
        <v>2</v>
      </c>
      <c r="X5326" s="54" t="s">
        <v>2</v>
      </c>
      <c r="Y5326" s="54" t="s">
        <v>2</v>
      </c>
      <c r="Z5326" s="54" t="s">
        <v>2</v>
      </c>
      <c r="AA5326" s="54" t="s">
        <v>2</v>
      </c>
      <c r="AB5326" s="54" t="s">
        <v>2</v>
      </c>
      <c r="AC5326" s="54" t="s">
        <v>2</v>
      </c>
      <c r="AD5326" s="54" t="s">
        <v>2</v>
      </c>
      <c r="AE5326" s="54" t="s">
        <v>2</v>
      </c>
      <c r="AF5326" s="54" t="s">
        <v>2</v>
      </c>
      <c r="AG5326" s="54" t="s">
        <v>2</v>
      </c>
    </row>
    <row r="5327" ht="15.75" customHeight="1">
      <c r="B5327" s="56"/>
      <c r="U5327" s="46" t="str">
        <f t="array" ref="U5327">IF($D5327="","",IFERROR(_xlfn.XLOOKUP($D5327,'TIR店舗一覧'!$D:$D,'TIR店舗一覧'!$E:$E,""),""))</f>
        <v/>
      </c>
      <c r="V5327" s="54" t="s">
        <v>2</v>
      </c>
      <c r="W5327" s="54" t="s">
        <v>2</v>
      </c>
      <c r="X5327" s="54" t="s">
        <v>2</v>
      </c>
      <c r="Y5327" s="54" t="s">
        <v>2</v>
      </c>
      <c r="Z5327" s="54" t="s">
        <v>2</v>
      </c>
      <c r="AA5327" s="54" t="s">
        <v>2</v>
      </c>
      <c r="AB5327" s="54" t="s">
        <v>2</v>
      </c>
      <c r="AC5327" s="54" t="s">
        <v>2</v>
      </c>
      <c r="AD5327" s="54" t="s">
        <v>2</v>
      </c>
      <c r="AE5327" s="54" t="s">
        <v>2</v>
      </c>
      <c r="AF5327" s="54" t="s">
        <v>2</v>
      </c>
      <c r="AG5327" s="54" t="s">
        <v>2</v>
      </c>
    </row>
    <row r="5328" ht="15.75" customHeight="1">
      <c r="B5328" s="56"/>
      <c r="U5328" s="46" t="str">
        <f t="array" ref="U5328">IF($D5328="","",IFERROR(_xlfn.XLOOKUP($D5328,'TIR店舗一覧'!$D:$D,'TIR店舗一覧'!$E:$E,""),""))</f>
        <v/>
      </c>
      <c r="V5328" s="54" t="s">
        <v>2</v>
      </c>
      <c r="W5328" s="54" t="s">
        <v>2</v>
      </c>
      <c r="X5328" s="54" t="s">
        <v>2</v>
      </c>
      <c r="Y5328" s="54" t="s">
        <v>2</v>
      </c>
      <c r="Z5328" s="54" t="s">
        <v>2</v>
      </c>
      <c r="AA5328" s="54" t="s">
        <v>2</v>
      </c>
      <c r="AB5328" s="54" t="s">
        <v>2</v>
      </c>
      <c r="AC5328" s="54" t="s">
        <v>2</v>
      </c>
      <c r="AD5328" s="54" t="s">
        <v>2</v>
      </c>
      <c r="AE5328" s="54" t="s">
        <v>2</v>
      </c>
      <c r="AF5328" s="54" t="s">
        <v>2</v>
      </c>
      <c r="AG5328" s="54" t="s">
        <v>2</v>
      </c>
    </row>
    <row r="5329" ht="15.75" customHeight="1">
      <c r="B5329" s="56"/>
      <c r="U5329" s="46" t="str">
        <f t="array" ref="U5329">IF($D5329="","",IFERROR(_xlfn.XLOOKUP($D5329,'TIR店舗一覧'!$D:$D,'TIR店舗一覧'!$E:$E,""),""))</f>
        <v/>
      </c>
      <c r="V5329" s="54" t="s">
        <v>2</v>
      </c>
      <c r="W5329" s="54" t="s">
        <v>2</v>
      </c>
      <c r="X5329" s="54" t="s">
        <v>2</v>
      </c>
      <c r="Y5329" s="54" t="s">
        <v>2</v>
      </c>
      <c r="Z5329" s="54" t="s">
        <v>2</v>
      </c>
      <c r="AA5329" s="54" t="s">
        <v>2</v>
      </c>
      <c r="AB5329" s="54" t="s">
        <v>2</v>
      </c>
      <c r="AC5329" s="54" t="s">
        <v>2</v>
      </c>
      <c r="AD5329" s="54" t="s">
        <v>2</v>
      </c>
      <c r="AE5329" s="54" t="s">
        <v>2</v>
      </c>
      <c r="AF5329" s="54" t="s">
        <v>2</v>
      </c>
      <c r="AG5329" s="54" t="s">
        <v>2</v>
      </c>
    </row>
    <row r="5330" ht="15.75" customHeight="1">
      <c r="B5330" s="56"/>
      <c r="U5330" s="46" t="str">
        <f t="array" ref="U5330">IF($D5330="","",IFERROR(_xlfn.XLOOKUP($D5330,'TIR店舗一覧'!$D:$D,'TIR店舗一覧'!$E:$E,""),""))</f>
        <v/>
      </c>
      <c r="V5330" s="54" t="s">
        <v>2</v>
      </c>
      <c r="W5330" s="54" t="s">
        <v>2</v>
      </c>
      <c r="X5330" s="54" t="s">
        <v>2</v>
      </c>
      <c r="Y5330" s="54" t="s">
        <v>2</v>
      </c>
      <c r="Z5330" s="54" t="s">
        <v>2</v>
      </c>
      <c r="AA5330" s="54" t="s">
        <v>2</v>
      </c>
      <c r="AB5330" s="54" t="s">
        <v>2</v>
      </c>
      <c r="AC5330" s="54" t="s">
        <v>2</v>
      </c>
      <c r="AD5330" s="54" t="s">
        <v>2</v>
      </c>
      <c r="AE5330" s="54" t="s">
        <v>2</v>
      </c>
      <c r="AF5330" s="54" t="s">
        <v>2</v>
      </c>
      <c r="AG5330" s="54" t="s">
        <v>2</v>
      </c>
    </row>
    <row r="5331" ht="15.75" customHeight="1">
      <c r="B5331" s="56"/>
      <c r="U5331" s="46" t="str">
        <f t="array" ref="U5331">IF($D5331="","",IFERROR(_xlfn.XLOOKUP($D5331,'TIR店舗一覧'!$D:$D,'TIR店舗一覧'!$E:$E,""),""))</f>
        <v/>
      </c>
      <c r="V5331" s="54" t="s">
        <v>2</v>
      </c>
      <c r="W5331" s="54" t="s">
        <v>2</v>
      </c>
      <c r="X5331" s="54" t="s">
        <v>2</v>
      </c>
      <c r="Y5331" s="54" t="s">
        <v>2</v>
      </c>
      <c r="Z5331" s="54" t="s">
        <v>2</v>
      </c>
      <c r="AA5331" s="54" t="s">
        <v>2</v>
      </c>
      <c r="AB5331" s="54" t="s">
        <v>2</v>
      </c>
      <c r="AC5331" s="54" t="s">
        <v>2</v>
      </c>
      <c r="AD5331" s="54" t="s">
        <v>2</v>
      </c>
      <c r="AE5331" s="54" t="s">
        <v>2</v>
      </c>
      <c r="AF5331" s="54" t="s">
        <v>2</v>
      </c>
      <c r="AG5331" s="54" t="s">
        <v>2</v>
      </c>
    </row>
    <row r="5332" ht="15.75" customHeight="1">
      <c r="B5332" s="56"/>
      <c r="U5332" s="46" t="str">
        <f t="array" ref="U5332">IF($D5332="","",IFERROR(_xlfn.XLOOKUP($D5332,'TIR店舗一覧'!$D:$D,'TIR店舗一覧'!$E:$E,""),""))</f>
        <v/>
      </c>
      <c r="V5332" s="54" t="s">
        <v>2</v>
      </c>
      <c r="W5332" s="54" t="s">
        <v>2</v>
      </c>
      <c r="X5332" s="54" t="s">
        <v>2</v>
      </c>
      <c r="Y5332" s="54" t="s">
        <v>2</v>
      </c>
      <c r="Z5332" s="54" t="s">
        <v>2</v>
      </c>
      <c r="AA5332" s="54" t="s">
        <v>2</v>
      </c>
      <c r="AB5332" s="54" t="s">
        <v>2</v>
      </c>
      <c r="AC5332" s="54" t="s">
        <v>2</v>
      </c>
      <c r="AD5332" s="54" t="s">
        <v>2</v>
      </c>
      <c r="AE5332" s="54" t="s">
        <v>2</v>
      </c>
      <c r="AF5332" s="54" t="s">
        <v>2</v>
      </c>
      <c r="AG5332" s="54" t="s">
        <v>2</v>
      </c>
    </row>
    <row r="5333" ht="15.75" customHeight="1">
      <c r="B5333" s="56"/>
      <c r="U5333" s="46" t="str">
        <f t="array" ref="U5333">IF($D5333="","",IFERROR(_xlfn.XLOOKUP($D5333,'TIR店舗一覧'!$D:$D,'TIR店舗一覧'!$E:$E,""),""))</f>
        <v/>
      </c>
      <c r="V5333" s="54" t="s">
        <v>2</v>
      </c>
      <c r="W5333" s="54" t="s">
        <v>2</v>
      </c>
      <c r="X5333" s="54" t="s">
        <v>2</v>
      </c>
      <c r="Y5333" s="54" t="s">
        <v>2</v>
      </c>
      <c r="Z5333" s="54" t="s">
        <v>2</v>
      </c>
      <c r="AA5333" s="54" t="s">
        <v>2</v>
      </c>
      <c r="AB5333" s="54" t="s">
        <v>2</v>
      </c>
      <c r="AC5333" s="54" t="s">
        <v>2</v>
      </c>
      <c r="AD5333" s="54" t="s">
        <v>2</v>
      </c>
      <c r="AE5333" s="54" t="s">
        <v>2</v>
      </c>
      <c r="AF5333" s="54" t="s">
        <v>2</v>
      </c>
      <c r="AG5333" s="54" t="s">
        <v>2</v>
      </c>
    </row>
    <row r="5334" ht="15.75" customHeight="1">
      <c r="B5334" s="56"/>
      <c r="U5334" s="46" t="str">
        <f t="array" ref="U5334">IF($D5334="","",IFERROR(_xlfn.XLOOKUP($D5334,'TIR店舗一覧'!$D:$D,'TIR店舗一覧'!$E:$E,""),""))</f>
        <v/>
      </c>
      <c r="V5334" s="54" t="s">
        <v>2</v>
      </c>
      <c r="W5334" s="54" t="s">
        <v>2</v>
      </c>
      <c r="X5334" s="54" t="s">
        <v>2</v>
      </c>
      <c r="Y5334" s="54" t="s">
        <v>2</v>
      </c>
      <c r="Z5334" s="54" t="s">
        <v>2</v>
      </c>
      <c r="AA5334" s="54" t="s">
        <v>2</v>
      </c>
      <c r="AB5334" s="54" t="s">
        <v>2</v>
      </c>
      <c r="AC5334" s="54" t="s">
        <v>2</v>
      </c>
      <c r="AD5334" s="54" t="s">
        <v>2</v>
      </c>
      <c r="AE5334" s="54" t="s">
        <v>2</v>
      </c>
      <c r="AF5334" s="54" t="s">
        <v>2</v>
      </c>
      <c r="AG5334" s="54" t="s">
        <v>2</v>
      </c>
    </row>
    <row r="5335" ht="15.75" customHeight="1">
      <c r="B5335" s="56"/>
      <c r="U5335" s="46" t="str">
        <f t="array" ref="U5335">IF($D5335="","",IFERROR(_xlfn.XLOOKUP($D5335,'TIR店舗一覧'!$D:$D,'TIR店舗一覧'!$E:$E,""),""))</f>
        <v/>
      </c>
      <c r="V5335" s="54" t="s">
        <v>2</v>
      </c>
      <c r="W5335" s="54" t="s">
        <v>2</v>
      </c>
      <c r="X5335" s="54" t="s">
        <v>2</v>
      </c>
      <c r="Y5335" s="54" t="s">
        <v>2</v>
      </c>
      <c r="Z5335" s="54" t="s">
        <v>2</v>
      </c>
      <c r="AA5335" s="54" t="s">
        <v>2</v>
      </c>
      <c r="AB5335" s="54" t="s">
        <v>2</v>
      </c>
      <c r="AC5335" s="54" t="s">
        <v>2</v>
      </c>
      <c r="AD5335" s="54" t="s">
        <v>2</v>
      </c>
      <c r="AE5335" s="54" t="s">
        <v>2</v>
      </c>
      <c r="AF5335" s="54" t="s">
        <v>2</v>
      </c>
      <c r="AG5335" s="54" t="s">
        <v>2</v>
      </c>
    </row>
    <row r="5336" ht="15.75" customHeight="1">
      <c r="B5336" s="56"/>
      <c r="U5336" s="46" t="str">
        <f t="array" ref="U5336">IF($D5336="","",IFERROR(_xlfn.XLOOKUP($D5336,'TIR店舗一覧'!$D:$D,'TIR店舗一覧'!$E:$E,""),""))</f>
        <v/>
      </c>
      <c r="V5336" s="54" t="s">
        <v>2</v>
      </c>
      <c r="W5336" s="54" t="s">
        <v>2</v>
      </c>
      <c r="X5336" s="54" t="s">
        <v>2</v>
      </c>
      <c r="Y5336" s="54" t="s">
        <v>2</v>
      </c>
      <c r="Z5336" s="54" t="s">
        <v>2</v>
      </c>
      <c r="AA5336" s="54" t="s">
        <v>2</v>
      </c>
      <c r="AB5336" s="54" t="s">
        <v>2</v>
      </c>
      <c r="AC5336" s="54" t="s">
        <v>2</v>
      </c>
      <c r="AD5336" s="54" t="s">
        <v>2</v>
      </c>
      <c r="AE5336" s="54" t="s">
        <v>2</v>
      </c>
      <c r="AF5336" s="54" t="s">
        <v>2</v>
      </c>
      <c r="AG5336" s="54" t="s">
        <v>2</v>
      </c>
    </row>
    <row r="5337" ht="15.75" customHeight="1">
      <c r="B5337" s="56"/>
      <c r="U5337" s="46" t="str">
        <f t="array" ref="U5337">IF($D5337="","",IFERROR(_xlfn.XLOOKUP($D5337,'TIR店舗一覧'!$D:$D,'TIR店舗一覧'!$E:$E,""),""))</f>
        <v/>
      </c>
      <c r="V5337" s="54" t="s">
        <v>2</v>
      </c>
      <c r="W5337" s="54" t="s">
        <v>2</v>
      </c>
      <c r="X5337" s="54" t="s">
        <v>2</v>
      </c>
      <c r="Y5337" s="54" t="s">
        <v>2</v>
      </c>
      <c r="Z5337" s="54" t="s">
        <v>2</v>
      </c>
      <c r="AA5337" s="54" t="s">
        <v>2</v>
      </c>
      <c r="AB5337" s="54" t="s">
        <v>2</v>
      </c>
      <c r="AC5337" s="54" t="s">
        <v>2</v>
      </c>
      <c r="AD5337" s="54" t="s">
        <v>2</v>
      </c>
      <c r="AE5337" s="54" t="s">
        <v>2</v>
      </c>
      <c r="AF5337" s="54" t="s">
        <v>2</v>
      </c>
      <c r="AG5337" s="54" t="s">
        <v>2</v>
      </c>
    </row>
    <row r="5338" ht="15.75" customHeight="1">
      <c r="B5338" s="56"/>
      <c r="U5338" s="46" t="str">
        <f t="array" ref="U5338">IF($D5338="","",IFERROR(_xlfn.XLOOKUP($D5338,'TIR店舗一覧'!$D:$D,'TIR店舗一覧'!$E:$E,""),""))</f>
        <v/>
      </c>
      <c r="V5338" s="54" t="s">
        <v>2</v>
      </c>
      <c r="W5338" s="54" t="s">
        <v>2</v>
      </c>
      <c r="X5338" s="54" t="s">
        <v>2</v>
      </c>
      <c r="Y5338" s="54" t="s">
        <v>2</v>
      </c>
      <c r="Z5338" s="54" t="s">
        <v>2</v>
      </c>
      <c r="AA5338" s="54" t="s">
        <v>2</v>
      </c>
      <c r="AB5338" s="54" t="s">
        <v>2</v>
      </c>
      <c r="AC5338" s="54" t="s">
        <v>2</v>
      </c>
      <c r="AD5338" s="54" t="s">
        <v>2</v>
      </c>
      <c r="AE5338" s="54" t="s">
        <v>2</v>
      </c>
      <c r="AF5338" s="54" t="s">
        <v>2</v>
      </c>
      <c r="AG5338" s="54" t="s">
        <v>2</v>
      </c>
    </row>
    <row r="5339" ht="15.75" customHeight="1">
      <c r="B5339" s="56"/>
      <c r="U5339" s="46" t="str">
        <f t="array" ref="U5339">IF($D5339="","",IFERROR(_xlfn.XLOOKUP($D5339,'TIR店舗一覧'!$D:$D,'TIR店舗一覧'!$E:$E,""),""))</f>
        <v/>
      </c>
      <c r="V5339" s="54" t="s">
        <v>2</v>
      </c>
      <c r="W5339" s="54" t="s">
        <v>2</v>
      </c>
      <c r="X5339" s="54" t="s">
        <v>2</v>
      </c>
      <c r="Y5339" s="54" t="s">
        <v>2</v>
      </c>
      <c r="Z5339" s="54" t="s">
        <v>2</v>
      </c>
      <c r="AA5339" s="54" t="s">
        <v>2</v>
      </c>
      <c r="AB5339" s="54" t="s">
        <v>2</v>
      </c>
      <c r="AC5339" s="54" t="s">
        <v>2</v>
      </c>
      <c r="AD5339" s="54" t="s">
        <v>2</v>
      </c>
      <c r="AE5339" s="54" t="s">
        <v>2</v>
      </c>
      <c r="AF5339" s="54" t="s">
        <v>2</v>
      </c>
      <c r="AG5339" s="54" t="s">
        <v>2</v>
      </c>
    </row>
    <row r="5340" ht="15.75" customHeight="1">
      <c r="B5340" s="56"/>
      <c r="U5340" s="46" t="str">
        <f t="array" ref="U5340">IF($D5340="","",IFERROR(_xlfn.XLOOKUP($D5340,'TIR店舗一覧'!$D:$D,'TIR店舗一覧'!$E:$E,""),""))</f>
        <v/>
      </c>
      <c r="V5340" s="54" t="s">
        <v>2</v>
      </c>
      <c r="W5340" s="54" t="s">
        <v>2</v>
      </c>
      <c r="X5340" s="54" t="s">
        <v>2</v>
      </c>
      <c r="Y5340" s="54" t="s">
        <v>2</v>
      </c>
      <c r="Z5340" s="54" t="s">
        <v>2</v>
      </c>
      <c r="AA5340" s="54" t="s">
        <v>2</v>
      </c>
      <c r="AB5340" s="54" t="s">
        <v>2</v>
      </c>
      <c r="AC5340" s="54" t="s">
        <v>2</v>
      </c>
      <c r="AD5340" s="54" t="s">
        <v>2</v>
      </c>
      <c r="AE5340" s="54" t="s">
        <v>2</v>
      </c>
      <c r="AF5340" s="54" t="s">
        <v>2</v>
      </c>
      <c r="AG5340" s="54" t="s">
        <v>2</v>
      </c>
    </row>
    <row r="5341" ht="15.75" customHeight="1">
      <c r="B5341" s="56"/>
      <c r="U5341" s="46" t="str">
        <f t="array" ref="U5341">IF($D5341="","",IFERROR(_xlfn.XLOOKUP($D5341,'TIR店舗一覧'!$D:$D,'TIR店舗一覧'!$E:$E,""),""))</f>
        <v/>
      </c>
      <c r="V5341" s="54" t="s">
        <v>2</v>
      </c>
      <c r="W5341" s="54" t="s">
        <v>2</v>
      </c>
      <c r="X5341" s="54" t="s">
        <v>2</v>
      </c>
      <c r="Y5341" s="54" t="s">
        <v>2</v>
      </c>
      <c r="Z5341" s="54" t="s">
        <v>2</v>
      </c>
      <c r="AA5341" s="54" t="s">
        <v>2</v>
      </c>
      <c r="AB5341" s="54" t="s">
        <v>2</v>
      </c>
      <c r="AC5341" s="54" t="s">
        <v>2</v>
      </c>
      <c r="AD5341" s="54" t="s">
        <v>2</v>
      </c>
      <c r="AE5341" s="54" t="s">
        <v>2</v>
      </c>
      <c r="AF5341" s="54" t="s">
        <v>2</v>
      </c>
      <c r="AG5341" s="54" t="s">
        <v>2</v>
      </c>
    </row>
    <row r="5342" ht="15.75" customHeight="1">
      <c r="B5342" s="56"/>
      <c r="U5342" s="46" t="str">
        <f t="array" ref="U5342">IF($D5342="","",IFERROR(_xlfn.XLOOKUP($D5342,'TIR店舗一覧'!$D:$D,'TIR店舗一覧'!$E:$E,""),""))</f>
        <v/>
      </c>
      <c r="V5342" s="54" t="s">
        <v>2</v>
      </c>
      <c r="W5342" s="54" t="s">
        <v>2</v>
      </c>
      <c r="X5342" s="54" t="s">
        <v>2</v>
      </c>
      <c r="Y5342" s="54" t="s">
        <v>2</v>
      </c>
      <c r="Z5342" s="54" t="s">
        <v>2</v>
      </c>
      <c r="AA5342" s="54" t="s">
        <v>2</v>
      </c>
      <c r="AB5342" s="54" t="s">
        <v>2</v>
      </c>
      <c r="AC5342" s="54" t="s">
        <v>2</v>
      </c>
      <c r="AD5342" s="54" t="s">
        <v>2</v>
      </c>
      <c r="AE5342" s="54" t="s">
        <v>2</v>
      </c>
      <c r="AF5342" s="54" t="s">
        <v>2</v>
      </c>
      <c r="AG5342" s="54" t="s">
        <v>2</v>
      </c>
    </row>
    <row r="5343" ht="15.75" customHeight="1">
      <c r="B5343" s="56"/>
      <c r="U5343" s="46" t="str">
        <f t="array" ref="U5343">IF($D5343="","",IFERROR(_xlfn.XLOOKUP($D5343,'TIR店舗一覧'!$D:$D,'TIR店舗一覧'!$E:$E,""),""))</f>
        <v/>
      </c>
      <c r="V5343" s="54" t="s">
        <v>2</v>
      </c>
      <c r="W5343" s="54" t="s">
        <v>2</v>
      </c>
      <c r="X5343" s="54" t="s">
        <v>2</v>
      </c>
      <c r="Y5343" s="54" t="s">
        <v>2</v>
      </c>
      <c r="Z5343" s="54" t="s">
        <v>2</v>
      </c>
      <c r="AA5343" s="54" t="s">
        <v>2</v>
      </c>
      <c r="AB5343" s="54" t="s">
        <v>2</v>
      </c>
      <c r="AC5343" s="54" t="s">
        <v>2</v>
      </c>
      <c r="AD5343" s="54" t="s">
        <v>2</v>
      </c>
      <c r="AE5343" s="54" t="s">
        <v>2</v>
      </c>
      <c r="AF5343" s="54" t="s">
        <v>2</v>
      </c>
      <c r="AG5343" s="54" t="s">
        <v>2</v>
      </c>
    </row>
    <row r="5344" ht="15.75" customHeight="1">
      <c r="B5344" s="56"/>
      <c r="U5344" s="46" t="str">
        <f t="array" ref="U5344">IF($D5344="","",IFERROR(_xlfn.XLOOKUP($D5344,'TIR店舗一覧'!$D:$D,'TIR店舗一覧'!$E:$E,""),""))</f>
        <v/>
      </c>
      <c r="V5344" s="54" t="s">
        <v>2</v>
      </c>
      <c r="W5344" s="54" t="s">
        <v>2</v>
      </c>
      <c r="X5344" s="54" t="s">
        <v>2</v>
      </c>
      <c r="Y5344" s="54" t="s">
        <v>2</v>
      </c>
      <c r="Z5344" s="54" t="s">
        <v>2</v>
      </c>
      <c r="AA5344" s="54" t="s">
        <v>2</v>
      </c>
      <c r="AB5344" s="54" t="s">
        <v>2</v>
      </c>
      <c r="AC5344" s="54" t="s">
        <v>2</v>
      </c>
      <c r="AD5344" s="54" t="s">
        <v>2</v>
      </c>
      <c r="AE5344" s="54" t="s">
        <v>2</v>
      </c>
      <c r="AF5344" s="54" t="s">
        <v>2</v>
      </c>
      <c r="AG5344" s="54" t="s">
        <v>2</v>
      </c>
    </row>
    <row r="5345" ht="15.75" customHeight="1">
      <c r="B5345" s="56"/>
      <c r="U5345" s="46" t="str">
        <f t="array" ref="U5345">IF($D5345="","",IFERROR(_xlfn.XLOOKUP($D5345,'TIR店舗一覧'!$D:$D,'TIR店舗一覧'!$E:$E,""),""))</f>
        <v/>
      </c>
      <c r="V5345" s="54" t="s">
        <v>2</v>
      </c>
      <c r="W5345" s="54" t="s">
        <v>2</v>
      </c>
      <c r="X5345" s="54" t="s">
        <v>2</v>
      </c>
      <c r="Y5345" s="54" t="s">
        <v>2</v>
      </c>
      <c r="Z5345" s="54" t="s">
        <v>2</v>
      </c>
      <c r="AA5345" s="54" t="s">
        <v>2</v>
      </c>
      <c r="AB5345" s="54" t="s">
        <v>2</v>
      </c>
      <c r="AC5345" s="54" t="s">
        <v>2</v>
      </c>
      <c r="AD5345" s="54" t="s">
        <v>2</v>
      </c>
      <c r="AE5345" s="54" t="s">
        <v>2</v>
      </c>
      <c r="AF5345" s="54" t="s">
        <v>2</v>
      </c>
      <c r="AG5345" s="54" t="s">
        <v>2</v>
      </c>
    </row>
    <row r="5346" ht="15.75" customHeight="1">
      <c r="B5346" s="56"/>
      <c r="U5346" s="46" t="str">
        <f t="array" ref="U5346">IF($D5346="","",IFERROR(_xlfn.XLOOKUP($D5346,'TIR店舗一覧'!$D:$D,'TIR店舗一覧'!$E:$E,""),""))</f>
        <v/>
      </c>
      <c r="V5346" s="54" t="s">
        <v>2</v>
      </c>
      <c r="W5346" s="54" t="s">
        <v>2</v>
      </c>
      <c r="X5346" s="54" t="s">
        <v>2</v>
      </c>
      <c r="Y5346" s="54" t="s">
        <v>2</v>
      </c>
      <c r="Z5346" s="54" t="s">
        <v>2</v>
      </c>
      <c r="AA5346" s="54" t="s">
        <v>2</v>
      </c>
      <c r="AB5346" s="54" t="s">
        <v>2</v>
      </c>
      <c r="AC5346" s="54" t="s">
        <v>2</v>
      </c>
      <c r="AD5346" s="54" t="s">
        <v>2</v>
      </c>
      <c r="AE5346" s="54" t="s">
        <v>2</v>
      </c>
      <c r="AF5346" s="54" t="s">
        <v>2</v>
      </c>
      <c r="AG5346" s="54" t="s">
        <v>2</v>
      </c>
    </row>
    <row r="5347" ht="15.75" customHeight="1">
      <c r="B5347" s="56"/>
      <c r="U5347" s="46" t="str">
        <f t="array" ref="U5347">IF($D5347="","",IFERROR(_xlfn.XLOOKUP($D5347,'TIR店舗一覧'!$D:$D,'TIR店舗一覧'!$E:$E,""),""))</f>
        <v/>
      </c>
      <c r="V5347" s="54" t="s">
        <v>2</v>
      </c>
      <c r="W5347" s="54" t="s">
        <v>2</v>
      </c>
      <c r="X5347" s="54" t="s">
        <v>2</v>
      </c>
      <c r="Y5347" s="54" t="s">
        <v>2</v>
      </c>
      <c r="Z5347" s="54" t="s">
        <v>2</v>
      </c>
      <c r="AA5347" s="54" t="s">
        <v>2</v>
      </c>
      <c r="AB5347" s="54" t="s">
        <v>2</v>
      </c>
      <c r="AC5347" s="54" t="s">
        <v>2</v>
      </c>
      <c r="AD5347" s="54" t="s">
        <v>2</v>
      </c>
      <c r="AE5347" s="54" t="s">
        <v>2</v>
      </c>
      <c r="AF5347" s="54" t="s">
        <v>2</v>
      </c>
      <c r="AG5347" s="54" t="s">
        <v>2</v>
      </c>
    </row>
    <row r="5348" ht="15.75" customHeight="1">
      <c r="B5348" s="56"/>
      <c r="U5348" s="46" t="str">
        <f t="array" ref="U5348">IF($D5348="","",IFERROR(_xlfn.XLOOKUP($D5348,'TIR店舗一覧'!$D:$D,'TIR店舗一覧'!$E:$E,""),""))</f>
        <v/>
      </c>
      <c r="V5348" s="54" t="s">
        <v>2</v>
      </c>
      <c r="W5348" s="54" t="s">
        <v>2</v>
      </c>
      <c r="X5348" s="54" t="s">
        <v>2</v>
      </c>
      <c r="Y5348" s="54" t="s">
        <v>2</v>
      </c>
      <c r="Z5348" s="54" t="s">
        <v>2</v>
      </c>
      <c r="AA5348" s="54" t="s">
        <v>2</v>
      </c>
      <c r="AB5348" s="54" t="s">
        <v>2</v>
      </c>
      <c r="AC5348" s="54" t="s">
        <v>2</v>
      </c>
      <c r="AD5348" s="54" t="s">
        <v>2</v>
      </c>
      <c r="AE5348" s="54" t="s">
        <v>2</v>
      </c>
      <c r="AF5348" s="54" t="s">
        <v>2</v>
      </c>
      <c r="AG5348" s="54" t="s">
        <v>2</v>
      </c>
    </row>
    <row r="5349" ht="15.75" customHeight="1">
      <c r="B5349" s="56"/>
      <c r="U5349" s="46" t="str">
        <f t="array" ref="U5349">IF($D5349="","",IFERROR(_xlfn.XLOOKUP($D5349,'TIR店舗一覧'!$D:$D,'TIR店舗一覧'!$E:$E,""),""))</f>
        <v/>
      </c>
      <c r="V5349" s="54" t="s">
        <v>2</v>
      </c>
      <c r="W5349" s="54" t="s">
        <v>2</v>
      </c>
      <c r="X5349" s="54" t="s">
        <v>2</v>
      </c>
      <c r="Y5349" s="54" t="s">
        <v>2</v>
      </c>
      <c r="Z5349" s="54" t="s">
        <v>2</v>
      </c>
      <c r="AA5349" s="54" t="s">
        <v>2</v>
      </c>
      <c r="AB5349" s="54" t="s">
        <v>2</v>
      </c>
      <c r="AC5349" s="54" t="s">
        <v>2</v>
      </c>
      <c r="AD5349" s="54" t="s">
        <v>2</v>
      </c>
      <c r="AE5349" s="54" t="s">
        <v>2</v>
      </c>
      <c r="AF5349" s="54" t="s">
        <v>2</v>
      </c>
      <c r="AG5349" s="54" t="s">
        <v>2</v>
      </c>
    </row>
    <row r="5350" ht="15.75" customHeight="1">
      <c r="B5350" s="56"/>
      <c r="U5350" s="46" t="str">
        <f t="array" ref="U5350">IF($D5350="","",IFERROR(_xlfn.XLOOKUP($D5350,'TIR店舗一覧'!$D:$D,'TIR店舗一覧'!$E:$E,""),""))</f>
        <v/>
      </c>
      <c r="V5350" s="54" t="s">
        <v>2</v>
      </c>
      <c r="W5350" s="54" t="s">
        <v>2</v>
      </c>
      <c r="X5350" s="54" t="s">
        <v>2</v>
      </c>
      <c r="Y5350" s="54" t="s">
        <v>2</v>
      </c>
      <c r="Z5350" s="54" t="s">
        <v>2</v>
      </c>
      <c r="AA5350" s="54" t="s">
        <v>2</v>
      </c>
      <c r="AB5350" s="54" t="s">
        <v>2</v>
      </c>
      <c r="AC5350" s="54" t="s">
        <v>2</v>
      </c>
      <c r="AD5350" s="54" t="s">
        <v>2</v>
      </c>
      <c r="AE5350" s="54" t="s">
        <v>2</v>
      </c>
      <c r="AF5350" s="54" t="s">
        <v>2</v>
      </c>
      <c r="AG5350" s="54" t="s">
        <v>2</v>
      </c>
    </row>
    <row r="5351" ht="15.75" customHeight="1">
      <c r="B5351" s="56"/>
      <c r="U5351" s="46" t="str">
        <f t="array" ref="U5351">IF($D5351="","",IFERROR(_xlfn.XLOOKUP($D5351,'TIR店舗一覧'!$D:$D,'TIR店舗一覧'!$E:$E,""),""))</f>
        <v/>
      </c>
      <c r="V5351" s="54" t="s">
        <v>2</v>
      </c>
      <c r="W5351" s="54" t="s">
        <v>2</v>
      </c>
      <c r="X5351" s="54" t="s">
        <v>2</v>
      </c>
      <c r="Y5351" s="54" t="s">
        <v>2</v>
      </c>
      <c r="Z5351" s="54" t="s">
        <v>2</v>
      </c>
      <c r="AA5351" s="54" t="s">
        <v>2</v>
      </c>
      <c r="AB5351" s="54" t="s">
        <v>2</v>
      </c>
      <c r="AC5351" s="54" t="s">
        <v>2</v>
      </c>
      <c r="AD5351" s="54" t="s">
        <v>2</v>
      </c>
      <c r="AE5351" s="54" t="s">
        <v>2</v>
      </c>
      <c r="AF5351" s="54" t="s">
        <v>2</v>
      </c>
      <c r="AG5351" s="54" t="s">
        <v>2</v>
      </c>
    </row>
    <row r="5352" ht="15.75" customHeight="1">
      <c r="B5352" s="56"/>
      <c r="U5352" s="46" t="str">
        <f t="array" ref="U5352">IF($D5352="","",IFERROR(_xlfn.XLOOKUP($D5352,'TIR店舗一覧'!$D:$D,'TIR店舗一覧'!$E:$E,""),""))</f>
        <v/>
      </c>
      <c r="V5352" s="54" t="s">
        <v>2</v>
      </c>
      <c r="W5352" s="54" t="s">
        <v>2</v>
      </c>
      <c r="X5352" s="54" t="s">
        <v>2</v>
      </c>
      <c r="Y5352" s="54" t="s">
        <v>2</v>
      </c>
      <c r="Z5352" s="54" t="s">
        <v>2</v>
      </c>
      <c r="AA5352" s="54" t="s">
        <v>2</v>
      </c>
      <c r="AB5352" s="54" t="s">
        <v>2</v>
      </c>
      <c r="AC5352" s="54" t="s">
        <v>2</v>
      </c>
      <c r="AD5352" s="54" t="s">
        <v>2</v>
      </c>
      <c r="AE5352" s="54" t="s">
        <v>2</v>
      </c>
      <c r="AF5352" s="54" t="s">
        <v>2</v>
      </c>
      <c r="AG5352" s="54" t="s">
        <v>2</v>
      </c>
    </row>
    <row r="5353" ht="15.75" customHeight="1">
      <c r="B5353" s="56"/>
      <c r="U5353" s="46" t="str">
        <f t="array" ref="U5353">IF($D5353="","",IFERROR(_xlfn.XLOOKUP($D5353,'TIR店舗一覧'!$D:$D,'TIR店舗一覧'!$E:$E,""),""))</f>
        <v/>
      </c>
      <c r="V5353" s="54" t="s">
        <v>2</v>
      </c>
      <c r="W5353" s="54" t="s">
        <v>2</v>
      </c>
      <c r="X5353" s="54" t="s">
        <v>2</v>
      </c>
      <c r="Y5353" s="54" t="s">
        <v>2</v>
      </c>
      <c r="Z5353" s="54" t="s">
        <v>2</v>
      </c>
      <c r="AA5353" s="54" t="s">
        <v>2</v>
      </c>
      <c r="AB5353" s="54" t="s">
        <v>2</v>
      </c>
      <c r="AC5353" s="54" t="s">
        <v>2</v>
      </c>
      <c r="AD5353" s="54" t="s">
        <v>2</v>
      </c>
      <c r="AE5353" s="54" t="s">
        <v>2</v>
      </c>
      <c r="AF5353" s="54" t="s">
        <v>2</v>
      </c>
      <c r="AG5353" s="54" t="s">
        <v>2</v>
      </c>
    </row>
    <row r="5354" ht="15.75" customHeight="1">
      <c r="B5354" s="56"/>
      <c r="U5354" s="46" t="str">
        <f t="array" ref="U5354">IF($D5354="","",IFERROR(_xlfn.XLOOKUP($D5354,'TIR店舗一覧'!$D:$D,'TIR店舗一覧'!$E:$E,""),""))</f>
        <v/>
      </c>
      <c r="V5354" s="54" t="s">
        <v>2</v>
      </c>
      <c r="W5354" s="54" t="s">
        <v>2</v>
      </c>
      <c r="X5354" s="54" t="s">
        <v>2</v>
      </c>
      <c r="Y5354" s="54" t="s">
        <v>2</v>
      </c>
      <c r="Z5354" s="54" t="s">
        <v>2</v>
      </c>
      <c r="AA5354" s="54" t="s">
        <v>2</v>
      </c>
      <c r="AB5354" s="54" t="s">
        <v>2</v>
      </c>
      <c r="AC5354" s="54" t="s">
        <v>2</v>
      </c>
      <c r="AD5354" s="54" t="s">
        <v>2</v>
      </c>
      <c r="AE5354" s="54" t="s">
        <v>2</v>
      </c>
      <c r="AF5354" s="54" t="s">
        <v>2</v>
      </c>
      <c r="AG5354" s="54" t="s">
        <v>2</v>
      </c>
    </row>
    <row r="5355" ht="15.75" customHeight="1">
      <c r="B5355" s="56"/>
      <c r="U5355" s="46" t="str">
        <f t="array" ref="U5355">IF($D5355="","",IFERROR(_xlfn.XLOOKUP($D5355,'TIR店舗一覧'!$D:$D,'TIR店舗一覧'!$E:$E,""),""))</f>
        <v/>
      </c>
      <c r="V5355" s="54" t="s">
        <v>2</v>
      </c>
      <c r="W5355" s="54" t="s">
        <v>2</v>
      </c>
      <c r="X5355" s="54" t="s">
        <v>2</v>
      </c>
      <c r="Y5355" s="54" t="s">
        <v>2</v>
      </c>
      <c r="Z5355" s="54" t="s">
        <v>2</v>
      </c>
      <c r="AA5355" s="54" t="s">
        <v>2</v>
      </c>
      <c r="AB5355" s="54" t="s">
        <v>2</v>
      </c>
      <c r="AC5355" s="54" t="s">
        <v>2</v>
      </c>
      <c r="AD5355" s="54" t="s">
        <v>2</v>
      </c>
      <c r="AE5355" s="54" t="s">
        <v>2</v>
      </c>
      <c r="AF5355" s="54" t="s">
        <v>2</v>
      </c>
      <c r="AG5355" s="54" t="s">
        <v>2</v>
      </c>
    </row>
    <row r="5356" ht="15.75" customHeight="1">
      <c r="B5356" s="56"/>
      <c r="U5356" s="46" t="str">
        <f t="array" ref="U5356">IF($D5356="","",IFERROR(_xlfn.XLOOKUP($D5356,'TIR店舗一覧'!$D:$D,'TIR店舗一覧'!$E:$E,""),""))</f>
        <v/>
      </c>
      <c r="V5356" s="54" t="s">
        <v>2</v>
      </c>
      <c r="W5356" s="54" t="s">
        <v>2</v>
      </c>
      <c r="X5356" s="54" t="s">
        <v>2</v>
      </c>
      <c r="Y5356" s="54" t="s">
        <v>2</v>
      </c>
      <c r="Z5356" s="54" t="s">
        <v>2</v>
      </c>
      <c r="AA5356" s="54" t="s">
        <v>2</v>
      </c>
      <c r="AB5356" s="54" t="s">
        <v>2</v>
      </c>
      <c r="AC5356" s="54" t="s">
        <v>2</v>
      </c>
      <c r="AD5356" s="54" t="s">
        <v>2</v>
      </c>
      <c r="AE5356" s="54" t="s">
        <v>2</v>
      </c>
      <c r="AF5356" s="54" t="s">
        <v>2</v>
      </c>
      <c r="AG5356" s="54" t="s">
        <v>2</v>
      </c>
    </row>
    <row r="5357" ht="15.75" customHeight="1">
      <c r="B5357" s="56"/>
      <c r="U5357" s="46" t="str">
        <f t="array" ref="U5357">IF($D5357="","",IFERROR(_xlfn.XLOOKUP($D5357,'TIR店舗一覧'!$D:$D,'TIR店舗一覧'!$E:$E,""),""))</f>
        <v/>
      </c>
      <c r="V5357" s="54" t="s">
        <v>2</v>
      </c>
      <c r="W5357" s="54" t="s">
        <v>2</v>
      </c>
      <c r="X5357" s="54" t="s">
        <v>2</v>
      </c>
      <c r="Y5357" s="54" t="s">
        <v>2</v>
      </c>
      <c r="Z5357" s="54" t="s">
        <v>2</v>
      </c>
      <c r="AA5357" s="54" t="s">
        <v>2</v>
      </c>
      <c r="AB5357" s="54" t="s">
        <v>2</v>
      </c>
      <c r="AC5357" s="54" t="s">
        <v>2</v>
      </c>
      <c r="AD5357" s="54" t="s">
        <v>2</v>
      </c>
      <c r="AE5357" s="54" t="s">
        <v>2</v>
      </c>
      <c r="AF5357" s="54" t="s">
        <v>2</v>
      </c>
      <c r="AG5357" s="54" t="s">
        <v>2</v>
      </c>
    </row>
    <row r="5358" ht="15.75" customHeight="1">
      <c r="B5358" s="56"/>
      <c r="U5358" s="46" t="str">
        <f t="array" ref="U5358">IF($D5358="","",IFERROR(_xlfn.XLOOKUP($D5358,'TIR店舗一覧'!$D:$D,'TIR店舗一覧'!$E:$E,""),""))</f>
        <v/>
      </c>
      <c r="V5358" s="54" t="s">
        <v>2</v>
      </c>
      <c r="W5358" s="54" t="s">
        <v>2</v>
      </c>
      <c r="X5358" s="54" t="s">
        <v>2</v>
      </c>
      <c r="Y5358" s="54" t="s">
        <v>2</v>
      </c>
      <c r="Z5358" s="54" t="s">
        <v>2</v>
      </c>
      <c r="AA5358" s="54" t="s">
        <v>2</v>
      </c>
      <c r="AB5358" s="54" t="s">
        <v>2</v>
      </c>
      <c r="AC5358" s="54" t="s">
        <v>2</v>
      </c>
      <c r="AD5358" s="54" t="s">
        <v>2</v>
      </c>
      <c r="AE5358" s="54" t="s">
        <v>2</v>
      </c>
      <c r="AF5358" s="54" t="s">
        <v>2</v>
      </c>
      <c r="AG5358" s="54" t="s">
        <v>2</v>
      </c>
    </row>
    <row r="5359" ht="15.75" customHeight="1">
      <c r="B5359" s="56"/>
      <c r="U5359" s="46" t="str">
        <f t="array" ref="U5359">IF($D5359="","",IFERROR(_xlfn.XLOOKUP($D5359,'TIR店舗一覧'!$D:$D,'TIR店舗一覧'!$E:$E,""),""))</f>
        <v/>
      </c>
      <c r="V5359" s="54" t="s">
        <v>2</v>
      </c>
      <c r="W5359" s="54" t="s">
        <v>2</v>
      </c>
      <c r="X5359" s="54" t="s">
        <v>2</v>
      </c>
      <c r="Y5359" s="54" t="s">
        <v>2</v>
      </c>
      <c r="Z5359" s="54" t="s">
        <v>2</v>
      </c>
      <c r="AA5359" s="54" t="s">
        <v>2</v>
      </c>
      <c r="AB5359" s="54" t="s">
        <v>2</v>
      </c>
      <c r="AC5359" s="54" t="s">
        <v>2</v>
      </c>
      <c r="AD5359" s="54" t="s">
        <v>2</v>
      </c>
      <c r="AE5359" s="54" t="s">
        <v>2</v>
      </c>
      <c r="AF5359" s="54" t="s">
        <v>2</v>
      </c>
      <c r="AG5359" s="54" t="s">
        <v>2</v>
      </c>
    </row>
    <row r="5360" ht="15.75" customHeight="1">
      <c r="B5360" s="56"/>
      <c r="U5360" s="46" t="str">
        <f t="array" ref="U5360">IF($D5360="","",IFERROR(_xlfn.XLOOKUP($D5360,'TIR店舗一覧'!$D:$D,'TIR店舗一覧'!$E:$E,""),""))</f>
        <v/>
      </c>
      <c r="V5360" s="54" t="s">
        <v>2</v>
      </c>
      <c r="W5360" s="54" t="s">
        <v>2</v>
      </c>
      <c r="X5360" s="54" t="s">
        <v>2</v>
      </c>
      <c r="Y5360" s="54" t="s">
        <v>2</v>
      </c>
      <c r="Z5360" s="54" t="s">
        <v>2</v>
      </c>
      <c r="AA5360" s="54" t="s">
        <v>2</v>
      </c>
      <c r="AB5360" s="54" t="s">
        <v>2</v>
      </c>
      <c r="AC5360" s="54" t="s">
        <v>2</v>
      </c>
      <c r="AD5360" s="54" t="s">
        <v>2</v>
      </c>
      <c r="AE5360" s="54" t="s">
        <v>2</v>
      </c>
      <c r="AF5360" s="54" t="s">
        <v>2</v>
      </c>
      <c r="AG5360" s="54" t="s">
        <v>2</v>
      </c>
    </row>
    <row r="5361" ht="15.75" customHeight="1">
      <c r="B5361" s="56"/>
      <c r="U5361" s="46" t="str">
        <f t="array" ref="U5361">IF($D5361="","",IFERROR(_xlfn.XLOOKUP($D5361,'TIR店舗一覧'!$D:$D,'TIR店舗一覧'!$E:$E,""),""))</f>
        <v/>
      </c>
      <c r="V5361" s="54" t="s">
        <v>2</v>
      </c>
      <c r="W5361" s="54" t="s">
        <v>2</v>
      </c>
      <c r="X5361" s="54" t="s">
        <v>2</v>
      </c>
      <c r="Y5361" s="54" t="s">
        <v>2</v>
      </c>
      <c r="Z5361" s="54" t="s">
        <v>2</v>
      </c>
      <c r="AA5361" s="54" t="s">
        <v>2</v>
      </c>
      <c r="AB5361" s="54" t="s">
        <v>2</v>
      </c>
      <c r="AC5361" s="54" t="s">
        <v>2</v>
      </c>
      <c r="AD5361" s="54" t="s">
        <v>2</v>
      </c>
      <c r="AE5361" s="54" t="s">
        <v>2</v>
      </c>
      <c r="AF5361" s="54" t="s">
        <v>2</v>
      </c>
      <c r="AG5361" s="54" t="s">
        <v>2</v>
      </c>
    </row>
    <row r="5362" ht="15.75" customHeight="1">
      <c r="B5362" s="56"/>
      <c r="U5362" s="46" t="str">
        <f t="array" ref="U5362">IF($D5362="","",IFERROR(_xlfn.XLOOKUP($D5362,'TIR店舗一覧'!$D:$D,'TIR店舗一覧'!$E:$E,""),""))</f>
        <v/>
      </c>
      <c r="V5362" s="54" t="s">
        <v>2</v>
      </c>
      <c r="W5362" s="54" t="s">
        <v>2</v>
      </c>
      <c r="X5362" s="54" t="s">
        <v>2</v>
      </c>
      <c r="Y5362" s="54" t="s">
        <v>2</v>
      </c>
      <c r="Z5362" s="54" t="s">
        <v>2</v>
      </c>
      <c r="AA5362" s="54" t="s">
        <v>2</v>
      </c>
      <c r="AB5362" s="54" t="s">
        <v>2</v>
      </c>
      <c r="AC5362" s="54" t="s">
        <v>2</v>
      </c>
      <c r="AD5362" s="54" t="s">
        <v>2</v>
      </c>
      <c r="AE5362" s="54" t="s">
        <v>2</v>
      </c>
      <c r="AF5362" s="54" t="s">
        <v>2</v>
      </c>
      <c r="AG5362" s="54" t="s">
        <v>2</v>
      </c>
    </row>
    <row r="5363" ht="15.75" customHeight="1">
      <c r="B5363" s="56"/>
      <c r="U5363" s="46" t="str">
        <f t="array" ref="U5363">IF($D5363="","",IFERROR(_xlfn.XLOOKUP($D5363,'TIR店舗一覧'!$D:$D,'TIR店舗一覧'!$E:$E,""),""))</f>
        <v/>
      </c>
      <c r="V5363" s="54" t="s">
        <v>2</v>
      </c>
      <c r="W5363" s="54" t="s">
        <v>2</v>
      </c>
      <c r="X5363" s="54" t="s">
        <v>2</v>
      </c>
      <c r="Y5363" s="54" t="s">
        <v>2</v>
      </c>
      <c r="Z5363" s="54" t="s">
        <v>2</v>
      </c>
      <c r="AA5363" s="54" t="s">
        <v>2</v>
      </c>
      <c r="AB5363" s="54" t="s">
        <v>2</v>
      </c>
      <c r="AC5363" s="54" t="s">
        <v>2</v>
      </c>
      <c r="AD5363" s="54" t="s">
        <v>2</v>
      </c>
      <c r="AE5363" s="54" t="s">
        <v>2</v>
      </c>
      <c r="AF5363" s="54" t="s">
        <v>2</v>
      </c>
      <c r="AG5363" s="54" t="s">
        <v>2</v>
      </c>
    </row>
    <row r="5364" ht="15.75" customHeight="1">
      <c r="B5364" s="56"/>
      <c r="U5364" s="46" t="str">
        <f t="array" ref="U5364">IF($D5364="","",IFERROR(_xlfn.XLOOKUP($D5364,'TIR店舗一覧'!$D:$D,'TIR店舗一覧'!$E:$E,""),""))</f>
        <v/>
      </c>
      <c r="V5364" s="54" t="s">
        <v>2</v>
      </c>
      <c r="W5364" s="54" t="s">
        <v>2</v>
      </c>
      <c r="X5364" s="54" t="s">
        <v>2</v>
      </c>
      <c r="Y5364" s="54" t="s">
        <v>2</v>
      </c>
      <c r="Z5364" s="54" t="s">
        <v>2</v>
      </c>
      <c r="AA5364" s="54" t="s">
        <v>2</v>
      </c>
      <c r="AB5364" s="54" t="s">
        <v>2</v>
      </c>
      <c r="AC5364" s="54" t="s">
        <v>2</v>
      </c>
      <c r="AD5364" s="54" t="s">
        <v>2</v>
      </c>
      <c r="AE5364" s="54" t="s">
        <v>2</v>
      </c>
      <c r="AF5364" s="54" t="s">
        <v>2</v>
      </c>
      <c r="AG5364" s="54" t="s">
        <v>2</v>
      </c>
    </row>
    <row r="5365" ht="15.75" customHeight="1">
      <c r="B5365" s="56"/>
      <c r="U5365" s="46" t="str">
        <f t="array" ref="U5365">IF($D5365="","",IFERROR(_xlfn.XLOOKUP($D5365,'TIR店舗一覧'!$D:$D,'TIR店舗一覧'!$E:$E,""),""))</f>
        <v/>
      </c>
      <c r="V5365" s="54" t="s">
        <v>2</v>
      </c>
      <c r="W5365" s="54" t="s">
        <v>2</v>
      </c>
      <c r="X5365" s="54" t="s">
        <v>2</v>
      </c>
      <c r="Y5365" s="54" t="s">
        <v>2</v>
      </c>
      <c r="Z5365" s="54" t="s">
        <v>2</v>
      </c>
      <c r="AA5365" s="54" t="s">
        <v>2</v>
      </c>
      <c r="AB5365" s="54" t="s">
        <v>2</v>
      </c>
      <c r="AC5365" s="54" t="s">
        <v>2</v>
      </c>
      <c r="AD5365" s="54" t="s">
        <v>2</v>
      </c>
      <c r="AE5365" s="54" t="s">
        <v>2</v>
      </c>
      <c r="AF5365" s="54" t="s">
        <v>2</v>
      </c>
      <c r="AG5365" s="54" t="s">
        <v>2</v>
      </c>
    </row>
    <row r="5366" ht="15.75" customHeight="1">
      <c r="B5366" s="56"/>
      <c r="U5366" s="46" t="str">
        <f t="array" ref="U5366">IF($D5366="","",IFERROR(_xlfn.XLOOKUP($D5366,'TIR店舗一覧'!$D:$D,'TIR店舗一覧'!$E:$E,""),""))</f>
        <v/>
      </c>
      <c r="V5366" s="54" t="s">
        <v>2</v>
      </c>
      <c r="W5366" s="54" t="s">
        <v>2</v>
      </c>
      <c r="X5366" s="54" t="s">
        <v>2</v>
      </c>
      <c r="Y5366" s="54" t="s">
        <v>2</v>
      </c>
      <c r="Z5366" s="54" t="s">
        <v>2</v>
      </c>
      <c r="AA5366" s="54" t="s">
        <v>2</v>
      </c>
      <c r="AB5366" s="54" t="s">
        <v>2</v>
      </c>
      <c r="AC5366" s="54" t="s">
        <v>2</v>
      </c>
      <c r="AD5366" s="54" t="s">
        <v>2</v>
      </c>
      <c r="AE5366" s="54" t="s">
        <v>2</v>
      </c>
      <c r="AF5366" s="54" t="s">
        <v>2</v>
      </c>
      <c r="AG5366" s="54" t="s">
        <v>2</v>
      </c>
    </row>
    <row r="5367" ht="15.75" customHeight="1">
      <c r="B5367" s="56"/>
      <c r="U5367" s="46" t="str">
        <f t="array" ref="U5367">IF($D5367="","",IFERROR(_xlfn.XLOOKUP($D5367,'TIR店舗一覧'!$D:$D,'TIR店舗一覧'!$E:$E,""),""))</f>
        <v/>
      </c>
      <c r="V5367" s="54" t="s">
        <v>2</v>
      </c>
      <c r="W5367" s="54" t="s">
        <v>2</v>
      </c>
      <c r="X5367" s="54" t="s">
        <v>2</v>
      </c>
      <c r="Y5367" s="54" t="s">
        <v>2</v>
      </c>
      <c r="Z5367" s="54" t="s">
        <v>2</v>
      </c>
      <c r="AA5367" s="54" t="s">
        <v>2</v>
      </c>
      <c r="AB5367" s="54" t="s">
        <v>2</v>
      </c>
      <c r="AC5367" s="54" t="s">
        <v>2</v>
      </c>
      <c r="AD5367" s="54" t="s">
        <v>2</v>
      </c>
      <c r="AE5367" s="54" t="s">
        <v>2</v>
      </c>
      <c r="AF5367" s="54" t="s">
        <v>2</v>
      </c>
      <c r="AG5367" s="54" t="s">
        <v>2</v>
      </c>
    </row>
    <row r="5368" ht="15.75" customHeight="1">
      <c r="B5368" s="56"/>
      <c r="U5368" s="46" t="str">
        <f t="array" ref="U5368">IF($D5368="","",IFERROR(_xlfn.XLOOKUP($D5368,'TIR店舗一覧'!$D:$D,'TIR店舗一覧'!$E:$E,""),""))</f>
        <v/>
      </c>
      <c r="V5368" s="54" t="s">
        <v>2</v>
      </c>
      <c r="W5368" s="54" t="s">
        <v>2</v>
      </c>
      <c r="X5368" s="54" t="s">
        <v>2</v>
      </c>
      <c r="Y5368" s="54" t="s">
        <v>2</v>
      </c>
      <c r="Z5368" s="54" t="s">
        <v>2</v>
      </c>
      <c r="AA5368" s="54" t="s">
        <v>2</v>
      </c>
      <c r="AB5368" s="54" t="s">
        <v>2</v>
      </c>
      <c r="AC5368" s="54" t="s">
        <v>2</v>
      </c>
      <c r="AD5368" s="54" t="s">
        <v>2</v>
      </c>
      <c r="AE5368" s="54" t="s">
        <v>2</v>
      </c>
      <c r="AF5368" s="54" t="s">
        <v>2</v>
      </c>
      <c r="AG5368" s="54" t="s">
        <v>2</v>
      </c>
    </row>
    <row r="5369" ht="15.75" customHeight="1">
      <c r="B5369" s="56"/>
      <c r="U5369" s="46" t="str">
        <f t="array" ref="U5369">IF($D5369="","",IFERROR(_xlfn.XLOOKUP($D5369,'TIR店舗一覧'!$D:$D,'TIR店舗一覧'!$E:$E,""),""))</f>
        <v/>
      </c>
      <c r="V5369" s="54" t="s">
        <v>2</v>
      </c>
      <c r="W5369" s="54" t="s">
        <v>2</v>
      </c>
      <c r="X5369" s="54" t="s">
        <v>2</v>
      </c>
      <c r="Y5369" s="54" t="s">
        <v>2</v>
      </c>
      <c r="Z5369" s="54" t="s">
        <v>2</v>
      </c>
      <c r="AA5369" s="54" t="s">
        <v>2</v>
      </c>
      <c r="AB5369" s="54" t="s">
        <v>2</v>
      </c>
      <c r="AC5369" s="54" t="s">
        <v>2</v>
      </c>
      <c r="AD5369" s="54" t="s">
        <v>2</v>
      </c>
      <c r="AE5369" s="54" t="s">
        <v>2</v>
      </c>
      <c r="AF5369" s="54" t="s">
        <v>2</v>
      </c>
      <c r="AG5369" s="54" t="s">
        <v>2</v>
      </c>
    </row>
    <row r="5370" ht="15.75" customHeight="1">
      <c r="B5370" s="56"/>
      <c r="U5370" s="46" t="str">
        <f t="array" ref="U5370">IF($D5370="","",IFERROR(_xlfn.XLOOKUP($D5370,'TIR店舗一覧'!$D:$D,'TIR店舗一覧'!$E:$E,""),""))</f>
        <v/>
      </c>
      <c r="V5370" s="54" t="s">
        <v>2</v>
      </c>
      <c r="W5370" s="54" t="s">
        <v>2</v>
      </c>
      <c r="X5370" s="54" t="s">
        <v>2</v>
      </c>
      <c r="Y5370" s="54" t="s">
        <v>2</v>
      </c>
      <c r="Z5370" s="54" t="s">
        <v>2</v>
      </c>
      <c r="AA5370" s="54" t="s">
        <v>2</v>
      </c>
      <c r="AB5370" s="54" t="s">
        <v>2</v>
      </c>
      <c r="AC5370" s="54" t="s">
        <v>2</v>
      </c>
      <c r="AD5370" s="54" t="s">
        <v>2</v>
      </c>
      <c r="AE5370" s="54" t="s">
        <v>2</v>
      </c>
      <c r="AF5370" s="54" t="s">
        <v>2</v>
      </c>
      <c r="AG5370" s="54" t="s">
        <v>2</v>
      </c>
    </row>
    <row r="5371" ht="15.75" customHeight="1">
      <c r="B5371" s="56"/>
      <c r="U5371" s="46" t="str">
        <f t="array" ref="U5371">IF($D5371="","",IFERROR(_xlfn.XLOOKUP($D5371,'TIR店舗一覧'!$D:$D,'TIR店舗一覧'!$E:$E,""),""))</f>
        <v/>
      </c>
      <c r="V5371" s="54" t="s">
        <v>2</v>
      </c>
      <c r="W5371" s="54" t="s">
        <v>2</v>
      </c>
      <c r="X5371" s="54" t="s">
        <v>2</v>
      </c>
      <c r="Y5371" s="54" t="s">
        <v>2</v>
      </c>
      <c r="Z5371" s="54" t="s">
        <v>2</v>
      </c>
      <c r="AA5371" s="54" t="s">
        <v>2</v>
      </c>
      <c r="AB5371" s="54" t="s">
        <v>2</v>
      </c>
      <c r="AC5371" s="54" t="s">
        <v>2</v>
      </c>
      <c r="AD5371" s="54" t="s">
        <v>2</v>
      </c>
      <c r="AE5371" s="54" t="s">
        <v>2</v>
      </c>
      <c r="AF5371" s="54" t="s">
        <v>2</v>
      </c>
      <c r="AG5371" s="54" t="s">
        <v>2</v>
      </c>
    </row>
    <row r="5372" ht="15.75" customHeight="1">
      <c r="B5372" s="56"/>
      <c r="U5372" s="46" t="str">
        <f t="array" ref="U5372">IF($D5372="","",IFERROR(_xlfn.XLOOKUP($D5372,'TIR店舗一覧'!$D:$D,'TIR店舗一覧'!$E:$E,""),""))</f>
        <v/>
      </c>
      <c r="V5372" s="54" t="s">
        <v>2</v>
      </c>
      <c r="W5372" s="54" t="s">
        <v>2</v>
      </c>
      <c r="X5372" s="54" t="s">
        <v>2</v>
      </c>
      <c r="Y5372" s="54" t="s">
        <v>2</v>
      </c>
      <c r="Z5372" s="54" t="s">
        <v>2</v>
      </c>
      <c r="AA5372" s="54" t="s">
        <v>2</v>
      </c>
      <c r="AB5372" s="54" t="s">
        <v>2</v>
      </c>
      <c r="AC5372" s="54" t="s">
        <v>2</v>
      </c>
      <c r="AD5372" s="54" t="s">
        <v>2</v>
      </c>
      <c r="AE5372" s="54" t="s">
        <v>2</v>
      </c>
      <c r="AF5372" s="54" t="s">
        <v>2</v>
      </c>
      <c r="AG5372" s="54" t="s">
        <v>2</v>
      </c>
    </row>
    <row r="5373" ht="15.75" customHeight="1">
      <c r="B5373" s="56"/>
      <c r="U5373" s="46" t="str">
        <f t="array" ref="U5373">IF($D5373="","",IFERROR(_xlfn.XLOOKUP($D5373,'TIR店舗一覧'!$D:$D,'TIR店舗一覧'!$E:$E,""),""))</f>
        <v/>
      </c>
      <c r="V5373" s="54" t="s">
        <v>2</v>
      </c>
      <c r="W5373" s="54" t="s">
        <v>2</v>
      </c>
      <c r="X5373" s="54" t="s">
        <v>2</v>
      </c>
      <c r="Y5373" s="54" t="s">
        <v>2</v>
      </c>
      <c r="Z5373" s="54" t="s">
        <v>2</v>
      </c>
      <c r="AA5373" s="54" t="s">
        <v>2</v>
      </c>
      <c r="AB5373" s="54" t="s">
        <v>2</v>
      </c>
      <c r="AC5373" s="54" t="s">
        <v>2</v>
      </c>
      <c r="AD5373" s="54" t="s">
        <v>2</v>
      </c>
      <c r="AE5373" s="54" t="s">
        <v>2</v>
      </c>
      <c r="AF5373" s="54" t="s">
        <v>2</v>
      </c>
      <c r="AG5373" s="54" t="s">
        <v>2</v>
      </c>
    </row>
    <row r="5374" ht="15.75" customHeight="1">
      <c r="B5374" s="56"/>
      <c r="U5374" s="46" t="str">
        <f t="array" ref="U5374">IF($D5374="","",IFERROR(_xlfn.XLOOKUP($D5374,'TIR店舗一覧'!$D:$D,'TIR店舗一覧'!$E:$E,""),""))</f>
        <v/>
      </c>
      <c r="V5374" s="54" t="s">
        <v>2</v>
      </c>
      <c r="W5374" s="54" t="s">
        <v>2</v>
      </c>
      <c r="X5374" s="54" t="s">
        <v>2</v>
      </c>
      <c r="Y5374" s="54" t="s">
        <v>2</v>
      </c>
      <c r="Z5374" s="54" t="s">
        <v>2</v>
      </c>
      <c r="AA5374" s="54" t="s">
        <v>2</v>
      </c>
      <c r="AB5374" s="54" t="s">
        <v>2</v>
      </c>
      <c r="AC5374" s="54" t="s">
        <v>2</v>
      </c>
      <c r="AD5374" s="54" t="s">
        <v>2</v>
      </c>
      <c r="AE5374" s="54" t="s">
        <v>2</v>
      </c>
      <c r="AF5374" s="54" t="s">
        <v>2</v>
      </c>
      <c r="AG5374" s="54" t="s">
        <v>2</v>
      </c>
    </row>
    <row r="5375" ht="15.75" customHeight="1">
      <c r="B5375" s="56"/>
      <c r="U5375" s="46" t="str">
        <f t="array" ref="U5375">IF($D5375="","",IFERROR(_xlfn.XLOOKUP($D5375,'TIR店舗一覧'!$D:$D,'TIR店舗一覧'!$E:$E,""),""))</f>
        <v/>
      </c>
      <c r="V5375" s="54" t="s">
        <v>2</v>
      </c>
      <c r="W5375" s="54" t="s">
        <v>2</v>
      </c>
      <c r="X5375" s="54" t="s">
        <v>2</v>
      </c>
      <c r="Y5375" s="54" t="s">
        <v>2</v>
      </c>
      <c r="Z5375" s="54" t="s">
        <v>2</v>
      </c>
      <c r="AA5375" s="54" t="s">
        <v>2</v>
      </c>
      <c r="AB5375" s="54" t="s">
        <v>2</v>
      </c>
      <c r="AC5375" s="54" t="s">
        <v>2</v>
      </c>
      <c r="AD5375" s="54" t="s">
        <v>2</v>
      </c>
      <c r="AE5375" s="54" t="s">
        <v>2</v>
      </c>
      <c r="AF5375" s="54" t="s">
        <v>2</v>
      </c>
      <c r="AG5375" s="54" t="s">
        <v>2</v>
      </c>
    </row>
    <row r="5376" ht="15.75" customHeight="1">
      <c r="B5376" s="56"/>
      <c r="U5376" s="46" t="str">
        <f t="array" ref="U5376">IF($D5376="","",IFERROR(_xlfn.XLOOKUP($D5376,'TIR店舗一覧'!$D:$D,'TIR店舗一覧'!$E:$E,""),""))</f>
        <v/>
      </c>
      <c r="V5376" s="54" t="s">
        <v>2</v>
      </c>
      <c r="W5376" s="54" t="s">
        <v>2</v>
      </c>
      <c r="X5376" s="54" t="s">
        <v>2</v>
      </c>
      <c r="Y5376" s="54" t="s">
        <v>2</v>
      </c>
      <c r="Z5376" s="54" t="s">
        <v>2</v>
      </c>
      <c r="AA5376" s="54" t="s">
        <v>2</v>
      </c>
      <c r="AB5376" s="54" t="s">
        <v>2</v>
      </c>
      <c r="AC5376" s="54" t="s">
        <v>2</v>
      </c>
      <c r="AD5376" s="54" t="s">
        <v>2</v>
      </c>
      <c r="AE5376" s="54" t="s">
        <v>2</v>
      </c>
      <c r="AF5376" s="54" t="s">
        <v>2</v>
      </c>
      <c r="AG5376" s="54" t="s">
        <v>2</v>
      </c>
    </row>
    <row r="5377" ht="15.75" customHeight="1">
      <c r="B5377" s="56"/>
      <c r="U5377" s="46" t="str">
        <f t="array" ref="U5377">IF($D5377="","",IFERROR(_xlfn.XLOOKUP($D5377,'TIR店舗一覧'!$D:$D,'TIR店舗一覧'!$E:$E,""),""))</f>
        <v/>
      </c>
      <c r="V5377" s="54" t="s">
        <v>2</v>
      </c>
      <c r="W5377" s="54" t="s">
        <v>2</v>
      </c>
      <c r="X5377" s="54" t="s">
        <v>2</v>
      </c>
      <c r="Y5377" s="54" t="s">
        <v>2</v>
      </c>
      <c r="Z5377" s="54" t="s">
        <v>2</v>
      </c>
      <c r="AA5377" s="54" t="s">
        <v>2</v>
      </c>
      <c r="AB5377" s="54" t="s">
        <v>2</v>
      </c>
      <c r="AC5377" s="54" t="s">
        <v>2</v>
      </c>
      <c r="AD5377" s="54" t="s">
        <v>2</v>
      </c>
      <c r="AE5377" s="54" t="s">
        <v>2</v>
      </c>
      <c r="AF5377" s="54" t="s">
        <v>2</v>
      </c>
      <c r="AG5377" s="54" t="s">
        <v>2</v>
      </c>
    </row>
    <row r="5378" ht="15.75" customHeight="1">
      <c r="B5378" s="56"/>
      <c r="U5378" s="46" t="str">
        <f t="array" ref="U5378">IF($D5378="","",IFERROR(_xlfn.XLOOKUP($D5378,'TIR店舗一覧'!$D:$D,'TIR店舗一覧'!$E:$E,""),""))</f>
        <v/>
      </c>
      <c r="V5378" s="54" t="s">
        <v>2</v>
      </c>
      <c r="W5378" s="54" t="s">
        <v>2</v>
      </c>
      <c r="X5378" s="54" t="s">
        <v>2</v>
      </c>
      <c r="Y5378" s="54" t="s">
        <v>2</v>
      </c>
      <c r="Z5378" s="54" t="s">
        <v>2</v>
      </c>
      <c r="AA5378" s="54" t="s">
        <v>2</v>
      </c>
      <c r="AB5378" s="54" t="s">
        <v>2</v>
      </c>
      <c r="AC5378" s="54" t="s">
        <v>2</v>
      </c>
      <c r="AD5378" s="54" t="s">
        <v>2</v>
      </c>
      <c r="AE5378" s="54" t="s">
        <v>2</v>
      </c>
      <c r="AF5378" s="54" t="s">
        <v>2</v>
      </c>
      <c r="AG5378" s="54" t="s">
        <v>2</v>
      </c>
    </row>
    <row r="5379" ht="15.75" customHeight="1">
      <c r="B5379" s="56"/>
      <c r="U5379" s="46" t="str">
        <f t="array" ref="U5379">IF($D5379="","",IFERROR(_xlfn.XLOOKUP($D5379,'TIR店舗一覧'!$D:$D,'TIR店舗一覧'!$E:$E,""),""))</f>
        <v/>
      </c>
      <c r="V5379" s="54" t="s">
        <v>2</v>
      </c>
      <c r="W5379" s="54" t="s">
        <v>2</v>
      </c>
      <c r="X5379" s="54" t="s">
        <v>2</v>
      </c>
      <c r="Y5379" s="54" t="s">
        <v>2</v>
      </c>
      <c r="Z5379" s="54" t="s">
        <v>2</v>
      </c>
      <c r="AA5379" s="54" t="s">
        <v>2</v>
      </c>
      <c r="AB5379" s="54" t="s">
        <v>2</v>
      </c>
      <c r="AC5379" s="54" t="s">
        <v>2</v>
      </c>
      <c r="AD5379" s="54" t="s">
        <v>2</v>
      </c>
      <c r="AE5379" s="54" t="s">
        <v>2</v>
      </c>
      <c r="AF5379" s="54" t="s">
        <v>2</v>
      </c>
      <c r="AG5379" s="54" t="s">
        <v>2</v>
      </c>
    </row>
    <row r="5380" ht="15.75" customHeight="1">
      <c r="B5380" s="56"/>
      <c r="U5380" s="46" t="str">
        <f t="array" ref="U5380">IF($D5380="","",IFERROR(_xlfn.XLOOKUP($D5380,'TIR店舗一覧'!$D:$D,'TIR店舗一覧'!$E:$E,""),""))</f>
        <v/>
      </c>
      <c r="V5380" s="54" t="s">
        <v>2</v>
      </c>
      <c r="W5380" s="54" t="s">
        <v>2</v>
      </c>
      <c r="X5380" s="54" t="s">
        <v>2</v>
      </c>
      <c r="Y5380" s="54" t="s">
        <v>2</v>
      </c>
      <c r="Z5380" s="54" t="s">
        <v>2</v>
      </c>
      <c r="AA5380" s="54" t="s">
        <v>2</v>
      </c>
      <c r="AB5380" s="54" t="s">
        <v>2</v>
      </c>
      <c r="AC5380" s="54" t="s">
        <v>2</v>
      </c>
      <c r="AD5380" s="54" t="s">
        <v>2</v>
      </c>
      <c r="AE5380" s="54" t="s">
        <v>2</v>
      </c>
      <c r="AF5380" s="54" t="s">
        <v>2</v>
      </c>
      <c r="AG5380" s="54" t="s">
        <v>2</v>
      </c>
    </row>
    <row r="5381" ht="15.75" customHeight="1">
      <c r="B5381" s="56"/>
      <c r="U5381" s="46" t="str">
        <f t="array" ref="U5381">IF($D5381="","",IFERROR(_xlfn.XLOOKUP($D5381,'TIR店舗一覧'!$D:$D,'TIR店舗一覧'!$E:$E,""),""))</f>
        <v/>
      </c>
      <c r="V5381" s="54" t="s">
        <v>2</v>
      </c>
      <c r="W5381" s="54" t="s">
        <v>2</v>
      </c>
      <c r="X5381" s="54" t="s">
        <v>2</v>
      </c>
      <c r="Y5381" s="54" t="s">
        <v>2</v>
      </c>
      <c r="Z5381" s="54" t="s">
        <v>2</v>
      </c>
      <c r="AA5381" s="54" t="s">
        <v>2</v>
      </c>
      <c r="AB5381" s="54" t="s">
        <v>2</v>
      </c>
      <c r="AC5381" s="54" t="s">
        <v>2</v>
      </c>
      <c r="AD5381" s="54" t="s">
        <v>2</v>
      </c>
      <c r="AE5381" s="54" t="s">
        <v>2</v>
      </c>
      <c r="AF5381" s="54" t="s">
        <v>2</v>
      </c>
      <c r="AG5381" s="54" t="s">
        <v>2</v>
      </c>
    </row>
    <row r="5382" ht="15.75" customHeight="1">
      <c r="B5382" s="56"/>
      <c r="U5382" s="46" t="str">
        <f t="array" ref="U5382">IF($D5382="","",IFERROR(_xlfn.XLOOKUP($D5382,'TIR店舗一覧'!$D:$D,'TIR店舗一覧'!$E:$E,""),""))</f>
        <v/>
      </c>
      <c r="V5382" s="54" t="s">
        <v>2</v>
      </c>
      <c r="W5382" s="54" t="s">
        <v>2</v>
      </c>
      <c r="X5382" s="54" t="s">
        <v>2</v>
      </c>
      <c r="Y5382" s="54" t="s">
        <v>2</v>
      </c>
      <c r="Z5382" s="54" t="s">
        <v>2</v>
      </c>
      <c r="AA5382" s="54" t="s">
        <v>2</v>
      </c>
      <c r="AB5382" s="54" t="s">
        <v>2</v>
      </c>
      <c r="AC5382" s="54" t="s">
        <v>2</v>
      </c>
      <c r="AD5382" s="54" t="s">
        <v>2</v>
      </c>
      <c r="AE5382" s="54" t="s">
        <v>2</v>
      </c>
      <c r="AF5382" s="54" t="s">
        <v>2</v>
      </c>
      <c r="AG5382" s="54" t="s">
        <v>2</v>
      </c>
    </row>
    <row r="5383" ht="15.75" customHeight="1">
      <c r="B5383" s="56"/>
      <c r="U5383" s="46" t="str">
        <f t="array" ref="U5383">IF($D5383="","",IFERROR(_xlfn.XLOOKUP($D5383,'TIR店舗一覧'!$D:$D,'TIR店舗一覧'!$E:$E,""),""))</f>
        <v/>
      </c>
      <c r="V5383" s="54" t="s">
        <v>2</v>
      </c>
      <c r="W5383" s="54" t="s">
        <v>2</v>
      </c>
      <c r="X5383" s="54" t="s">
        <v>2</v>
      </c>
      <c r="Y5383" s="54" t="s">
        <v>2</v>
      </c>
      <c r="Z5383" s="54" t="s">
        <v>2</v>
      </c>
      <c r="AA5383" s="54" t="s">
        <v>2</v>
      </c>
      <c r="AB5383" s="54" t="s">
        <v>2</v>
      </c>
      <c r="AC5383" s="54" t="s">
        <v>2</v>
      </c>
      <c r="AD5383" s="54" t="s">
        <v>2</v>
      </c>
      <c r="AE5383" s="54" t="s">
        <v>2</v>
      </c>
      <c r="AF5383" s="54" t="s">
        <v>2</v>
      </c>
      <c r="AG5383" s="54" t="s">
        <v>2</v>
      </c>
    </row>
    <row r="5384" ht="15.75" customHeight="1">
      <c r="B5384" s="56"/>
      <c r="U5384" s="46" t="str">
        <f t="array" ref="U5384">IF($D5384="","",IFERROR(_xlfn.XLOOKUP($D5384,'TIR店舗一覧'!$D:$D,'TIR店舗一覧'!$E:$E,""),""))</f>
        <v/>
      </c>
      <c r="V5384" s="54" t="s">
        <v>2</v>
      </c>
      <c r="W5384" s="54" t="s">
        <v>2</v>
      </c>
      <c r="X5384" s="54" t="s">
        <v>2</v>
      </c>
      <c r="Y5384" s="54" t="s">
        <v>2</v>
      </c>
      <c r="Z5384" s="54" t="s">
        <v>2</v>
      </c>
      <c r="AA5384" s="54" t="s">
        <v>2</v>
      </c>
      <c r="AB5384" s="54" t="s">
        <v>2</v>
      </c>
      <c r="AC5384" s="54" t="s">
        <v>2</v>
      </c>
      <c r="AD5384" s="54" t="s">
        <v>2</v>
      </c>
      <c r="AE5384" s="54" t="s">
        <v>2</v>
      </c>
      <c r="AF5384" s="54" t="s">
        <v>2</v>
      </c>
      <c r="AG5384" s="54" t="s">
        <v>2</v>
      </c>
    </row>
    <row r="5385" ht="15.75" customHeight="1">
      <c r="B5385" s="56"/>
      <c r="U5385" s="46" t="str">
        <f t="array" ref="U5385">IF($D5385="","",IFERROR(_xlfn.XLOOKUP($D5385,'TIR店舗一覧'!$D:$D,'TIR店舗一覧'!$E:$E,""),""))</f>
        <v/>
      </c>
      <c r="V5385" s="54" t="s">
        <v>2</v>
      </c>
      <c r="W5385" s="54" t="s">
        <v>2</v>
      </c>
      <c r="X5385" s="54" t="s">
        <v>2</v>
      </c>
      <c r="Y5385" s="54" t="s">
        <v>2</v>
      </c>
      <c r="Z5385" s="54" t="s">
        <v>2</v>
      </c>
      <c r="AA5385" s="54" t="s">
        <v>2</v>
      </c>
      <c r="AB5385" s="54" t="s">
        <v>2</v>
      </c>
      <c r="AC5385" s="54" t="s">
        <v>2</v>
      </c>
      <c r="AD5385" s="54" t="s">
        <v>2</v>
      </c>
      <c r="AE5385" s="54" t="s">
        <v>2</v>
      </c>
      <c r="AF5385" s="54" t="s">
        <v>2</v>
      </c>
      <c r="AG5385" s="54" t="s">
        <v>2</v>
      </c>
    </row>
    <row r="5386" ht="15.75" customHeight="1">
      <c r="B5386" s="56"/>
      <c r="U5386" s="46" t="str">
        <f t="array" ref="U5386">IF($D5386="","",IFERROR(_xlfn.XLOOKUP($D5386,'TIR店舗一覧'!$D:$D,'TIR店舗一覧'!$E:$E,""),""))</f>
        <v/>
      </c>
      <c r="V5386" s="54" t="s">
        <v>2</v>
      </c>
      <c r="W5386" s="54" t="s">
        <v>2</v>
      </c>
      <c r="X5386" s="54" t="s">
        <v>2</v>
      </c>
      <c r="Y5386" s="54" t="s">
        <v>2</v>
      </c>
      <c r="Z5386" s="54" t="s">
        <v>2</v>
      </c>
      <c r="AA5386" s="54" t="s">
        <v>2</v>
      </c>
      <c r="AB5386" s="54" t="s">
        <v>2</v>
      </c>
      <c r="AC5386" s="54" t="s">
        <v>2</v>
      </c>
      <c r="AD5386" s="54" t="s">
        <v>2</v>
      </c>
      <c r="AE5386" s="54" t="s">
        <v>2</v>
      </c>
      <c r="AF5386" s="54" t="s">
        <v>2</v>
      </c>
      <c r="AG5386" s="54" t="s">
        <v>2</v>
      </c>
    </row>
    <row r="5387" ht="15.75" customHeight="1">
      <c r="B5387" s="56"/>
      <c r="U5387" s="46" t="str">
        <f t="array" ref="U5387">IF($D5387="","",IFERROR(_xlfn.XLOOKUP($D5387,'TIR店舗一覧'!$D:$D,'TIR店舗一覧'!$E:$E,""),""))</f>
        <v/>
      </c>
      <c r="V5387" s="54" t="s">
        <v>2</v>
      </c>
      <c r="W5387" s="54" t="s">
        <v>2</v>
      </c>
      <c r="X5387" s="54" t="s">
        <v>2</v>
      </c>
      <c r="Y5387" s="54" t="s">
        <v>2</v>
      </c>
      <c r="Z5387" s="54" t="s">
        <v>2</v>
      </c>
      <c r="AA5387" s="54" t="s">
        <v>2</v>
      </c>
      <c r="AB5387" s="54" t="s">
        <v>2</v>
      </c>
      <c r="AC5387" s="54" t="s">
        <v>2</v>
      </c>
      <c r="AD5387" s="54" t="s">
        <v>2</v>
      </c>
      <c r="AE5387" s="54" t="s">
        <v>2</v>
      </c>
      <c r="AF5387" s="54" t="s">
        <v>2</v>
      </c>
      <c r="AG5387" s="54" t="s">
        <v>2</v>
      </c>
    </row>
    <row r="5388" ht="15.75" customHeight="1">
      <c r="B5388" s="56"/>
      <c r="U5388" s="46" t="str">
        <f t="array" ref="U5388">IF($D5388="","",IFERROR(_xlfn.XLOOKUP($D5388,'TIR店舗一覧'!$D:$D,'TIR店舗一覧'!$E:$E,""),""))</f>
        <v/>
      </c>
      <c r="V5388" s="54" t="s">
        <v>2</v>
      </c>
      <c r="W5388" s="54" t="s">
        <v>2</v>
      </c>
      <c r="X5388" s="54" t="s">
        <v>2</v>
      </c>
      <c r="Y5388" s="54" t="s">
        <v>2</v>
      </c>
      <c r="Z5388" s="54" t="s">
        <v>2</v>
      </c>
      <c r="AA5388" s="54" t="s">
        <v>2</v>
      </c>
      <c r="AB5388" s="54" t="s">
        <v>2</v>
      </c>
      <c r="AC5388" s="54" t="s">
        <v>2</v>
      </c>
      <c r="AD5388" s="54" t="s">
        <v>2</v>
      </c>
      <c r="AE5388" s="54" t="s">
        <v>2</v>
      </c>
      <c r="AF5388" s="54" t="s">
        <v>2</v>
      </c>
      <c r="AG5388" s="54" t="s">
        <v>2</v>
      </c>
    </row>
    <row r="5389" ht="15.75" customHeight="1">
      <c r="B5389" s="56"/>
      <c r="U5389" s="46" t="str">
        <f t="array" ref="U5389">IF($D5389="","",IFERROR(_xlfn.XLOOKUP($D5389,'TIR店舗一覧'!$D:$D,'TIR店舗一覧'!$E:$E,""),""))</f>
        <v/>
      </c>
      <c r="V5389" s="54" t="s">
        <v>2</v>
      </c>
      <c r="W5389" s="54" t="s">
        <v>2</v>
      </c>
      <c r="X5389" s="54" t="s">
        <v>2</v>
      </c>
      <c r="Y5389" s="54" t="s">
        <v>2</v>
      </c>
      <c r="Z5389" s="54" t="s">
        <v>2</v>
      </c>
      <c r="AA5389" s="54" t="s">
        <v>2</v>
      </c>
      <c r="AB5389" s="54" t="s">
        <v>2</v>
      </c>
      <c r="AC5389" s="54" t="s">
        <v>2</v>
      </c>
      <c r="AD5389" s="54" t="s">
        <v>2</v>
      </c>
      <c r="AE5389" s="54" t="s">
        <v>2</v>
      </c>
      <c r="AF5389" s="54" t="s">
        <v>2</v>
      </c>
      <c r="AG5389" s="54" t="s">
        <v>2</v>
      </c>
    </row>
    <row r="5390" ht="15.75" customHeight="1">
      <c r="B5390" s="56"/>
      <c r="U5390" s="46" t="str">
        <f t="array" ref="U5390">IF($D5390="","",IFERROR(_xlfn.XLOOKUP($D5390,'TIR店舗一覧'!$D:$D,'TIR店舗一覧'!$E:$E,""),""))</f>
        <v/>
      </c>
      <c r="V5390" s="54" t="s">
        <v>2</v>
      </c>
      <c r="W5390" s="54" t="s">
        <v>2</v>
      </c>
      <c r="X5390" s="54" t="s">
        <v>2</v>
      </c>
      <c r="Y5390" s="54" t="s">
        <v>2</v>
      </c>
      <c r="Z5390" s="54" t="s">
        <v>2</v>
      </c>
      <c r="AA5390" s="54" t="s">
        <v>2</v>
      </c>
      <c r="AB5390" s="54" t="s">
        <v>2</v>
      </c>
      <c r="AC5390" s="54" t="s">
        <v>2</v>
      </c>
      <c r="AD5390" s="54" t="s">
        <v>2</v>
      </c>
      <c r="AE5390" s="54" t="s">
        <v>2</v>
      </c>
      <c r="AF5390" s="54" t="s">
        <v>2</v>
      </c>
      <c r="AG5390" s="54" t="s">
        <v>2</v>
      </c>
    </row>
    <row r="5391" ht="15.75" customHeight="1">
      <c r="B5391" s="56"/>
      <c r="U5391" s="46" t="str">
        <f t="array" ref="U5391">IF($D5391="","",IFERROR(_xlfn.XLOOKUP($D5391,'TIR店舗一覧'!$D:$D,'TIR店舗一覧'!$E:$E,""),""))</f>
        <v/>
      </c>
      <c r="V5391" s="54" t="s">
        <v>2</v>
      </c>
      <c r="W5391" s="54" t="s">
        <v>2</v>
      </c>
      <c r="X5391" s="54" t="s">
        <v>2</v>
      </c>
      <c r="Y5391" s="54" t="s">
        <v>2</v>
      </c>
      <c r="Z5391" s="54" t="s">
        <v>2</v>
      </c>
      <c r="AA5391" s="54" t="s">
        <v>2</v>
      </c>
      <c r="AB5391" s="54" t="s">
        <v>2</v>
      </c>
      <c r="AC5391" s="54" t="s">
        <v>2</v>
      </c>
      <c r="AD5391" s="54" t="s">
        <v>2</v>
      </c>
      <c r="AE5391" s="54" t="s">
        <v>2</v>
      </c>
      <c r="AF5391" s="54" t="s">
        <v>2</v>
      </c>
      <c r="AG5391" s="54" t="s">
        <v>2</v>
      </c>
    </row>
    <row r="5392" ht="15.75" customHeight="1">
      <c r="B5392" s="56"/>
      <c r="U5392" s="46" t="str">
        <f t="array" ref="U5392">IF($D5392="","",IFERROR(_xlfn.XLOOKUP($D5392,'TIR店舗一覧'!$D:$D,'TIR店舗一覧'!$E:$E,""),""))</f>
        <v/>
      </c>
      <c r="V5392" s="54" t="s">
        <v>2</v>
      </c>
      <c r="W5392" s="54" t="s">
        <v>2</v>
      </c>
      <c r="X5392" s="54" t="s">
        <v>2</v>
      </c>
      <c r="Y5392" s="54" t="s">
        <v>2</v>
      </c>
      <c r="Z5392" s="54" t="s">
        <v>2</v>
      </c>
      <c r="AA5392" s="54" t="s">
        <v>2</v>
      </c>
      <c r="AB5392" s="54" t="s">
        <v>2</v>
      </c>
      <c r="AC5392" s="54" t="s">
        <v>2</v>
      </c>
      <c r="AD5392" s="54" t="s">
        <v>2</v>
      </c>
      <c r="AE5392" s="54" t="s">
        <v>2</v>
      </c>
      <c r="AF5392" s="54" t="s">
        <v>2</v>
      </c>
      <c r="AG5392" s="54" t="s">
        <v>2</v>
      </c>
    </row>
    <row r="5393" ht="15.75" customHeight="1">
      <c r="B5393" s="56"/>
      <c r="U5393" s="46" t="str">
        <f t="array" ref="U5393">IF($D5393="","",IFERROR(_xlfn.XLOOKUP($D5393,'TIR店舗一覧'!$D:$D,'TIR店舗一覧'!$E:$E,""),""))</f>
        <v/>
      </c>
      <c r="V5393" s="54" t="s">
        <v>2</v>
      </c>
      <c r="W5393" s="54" t="s">
        <v>2</v>
      </c>
      <c r="X5393" s="54" t="s">
        <v>2</v>
      </c>
      <c r="Y5393" s="54" t="s">
        <v>2</v>
      </c>
      <c r="Z5393" s="54" t="s">
        <v>2</v>
      </c>
      <c r="AA5393" s="54" t="s">
        <v>2</v>
      </c>
      <c r="AB5393" s="54" t="s">
        <v>2</v>
      </c>
      <c r="AC5393" s="54" t="s">
        <v>2</v>
      </c>
      <c r="AD5393" s="54" t="s">
        <v>2</v>
      </c>
      <c r="AE5393" s="54" t="s">
        <v>2</v>
      </c>
      <c r="AF5393" s="54" t="s">
        <v>2</v>
      </c>
      <c r="AG5393" s="54" t="s">
        <v>2</v>
      </c>
    </row>
    <row r="5394" ht="15.75" customHeight="1">
      <c r="B5394" s="56"/>
      <c r="U5394" s="46" t="str">
        <f t="array" ref="U5394">IF($D5394="","",IFERROR(_xlfn.XLOOKUP($D5394,'TIR店舗一覧'!$D:$D,'TIR店舗一覧'!$E:$E,""),""))</f>
        <v/>
      </c>
      <c r="V5394" s="54" t="s">
        <v>2</v>
      </c>
      <c r="W5394" s="54" t="s">
        <v>2</v>
      </c>
      <c r="X5394" s="54" t="s">
        <v>2</v>
      </c>
      <c r="Y5394" s="54" t="s">
        <v>2</v>
      </c>
      <c r="Z5394" s="54" t="s">
        <v>2</v>
      </c>
      <c r="AA5394" s="54" t="s">
        <v>2</v>
      </c>
      <c r="AB5394" s="54" t="s">
        <v>2</v>
      </c>
      <c r="AC5394" s="54" t="s">
        <v>2</v>
      </c>
      <c r="AD5394" s="54" t="s">
        <v>2</v>
      </c>
      <c r="AE5394" s="54" t="s">
        <v>2</v>
      </c>
      <c r="AF5394" s="54" t="s">
        <v>2</v>
      </c>
      <c r="AG5394" s="54" t="s">
        <v>2</v>
      </c>
    </row>
    <row r="5395" ht="15.75" customHeight="1">
      <c r="B5395" s="56"/>
      <c r="U5395" s="46" t="str">
        <f t="array" ref="U5395">IF($D5395="","",IFERROR(_xlfn.XLOOKUP($D5395,'TIR店舗一覧'!$D:$D,'TIR店舗一覧'!$E:$E,""),""))</f>
        <v/>
      </c>
      <c r="V5395" s="54" t="s">
        <v>2</v>
      </c>
      <c r="W5395" s="54" t="s">
        <v>2</v>
      </c>
      <c r="X5395" s="54" t="s">
        <v>2</v>
      </c>
      <c r="Y5395" s="54" t="s">
        <v>2</v>
      </c>
      <c r="Z5395" s="54" t="s">
        <v>2</v>
      </c>
      <c r="AA5395" s="54" t="s">
        <v>2</v>
      </c>
      <c r="AB5395" s="54" t="s">
        <v>2</v>
      </c>
      <c r="AC5395" s="54" t="s">
        <v>2</v>
      </c>
      <c r="AD5395" s="54" t="s">
        <v>2</v>
      </c>
      <c r="AE5395" s="54" t="s">
        <v>2</v>
      </c>
      <c r="AF5395" s="54" t="s">
        <v>2</v>
      </c>
      <c r="AG5395" s="54" t="s">
        <v>2</v>
      </c>
    </row>
    <row r="5396" ht="15.75" customHeight="1">
      <c r="B5396" s="56"/>
      <c r="U5396" s="46" t="str">
        <f t="array" ref="U5396">IF($D5396="","",IFERROR(_xlfn.XLOOKUP($D5396,'TIR店舗一覧'!$D:$D,'TIR店舗一覧'!$E:$E,""),""))</f>
        <v/>
      </c>
      <c r="V5396" s="54" t="s">
        <v>2</v>
      </c>
      <c r="W5396" s="54" t="s">
        <v>2</v>
      </c>
      <c r="X5396" s="54" t="s">
        <v>2</v>
      </c>
      <c r="Y5396" s="54" t="s">
        <v>2</v>
      </c>
      <c r="Z5396" s="54" t="s">
        <v>2</v>
      </c>
      <c r="AA5396" s="54" t="s">
        <v>2</v>
      </c>
      <c r="AB5396" s="54" t="s">
        <v>2</v>
      </c>
      <c r="AC5396" s="54" t="s">
        <v>2</v>
      </c>
      <c r="AD5396" s="54" t="s">
        <v>2</v>
      </c>
      <c r="AE5396" s="54" t="s">
        <v>2</v>
      </c>
      <c r="AF5396" s="54" t="s">
        <v>2</v>
      </c>
      <c r="AG5396" s="54" t="s">
        <v>2</v>
      </c>
    </row>
    <row r="5397" ht="15.75" customHeight="1">
      <c r="B5397" s="56"/>
      <c r="U5397" s="46" t="str">
        <f t="array" ref="U5397">IF($D5397="","",IFERROR(_xlfn.XLOOKUP($D5397,'TIR店舗一覧'!$D:$D,'TIR店舗一覧'!$E:$E,""),""))</f>
        <v/>
      </c>
      <c r="V5397" s="54" t="s">
        <v>2</v>
      </c>
      <c r="W5397" s="54" t="s">
        <v>2</v>
      </c>
      <c r="X5397" s="54" t="s">
        <v>2</v>
      </c>
      <c r="Y5397" s="54" t="s">
        <v>2</v>
      </c>
      <c r="Z5397" s="54" t="s">
        <v>2</v>
      </c>
      <c r="AA5397" s="54" t="s">
        <v>2</v>
      </c>
      <c r="AB5397" s="54" t="s">
        <v>2</v>
      </c>
      <c r="AC5397" s="54" t="s">
        <v>2</v>
      </c>
      <c r="AD5397" s="54" t="s">
        <v>2</v>
      </c>
      <c r="AE5397" s="54" t="s">
        <v>2</v>
      </c>
      <c r="AF5397" s="54" t="s">
        <v>2</v>
      </c>
      <c r="AG5397" s="54" t="s">
        <v>2</v>
      </c>
    </row>
    <row r="5398" ht="15.75" customHeight="1">
      <c r="B5398" s="56"/>
      <c r="U5398" s="46" t="str">
        <f t="array" ref="U5398">IF($D5398="","",IFERROR(_xlfn.XLOOKUP($D5398,'TIR店舗一覧'!$D:$D,'TIR店舗一覧'!$E:$E,""),""))</f>
        <v/>
      </c>
      <c r="V5398" s="54" t="s">
        <v>2</v>
      </c>
      <c r="W5398" s="54" t="s">
        <v>2</v>
      </c>
      <c r="X5398" s="54" t="s">
        <v>2</v>
      </c>
      <c r="Y5398" s="54" t="s">
        <v>2</v>
      </c>
      <c r="Z5398" s="54" t="s">
        <v>2</v>
      </c>
      <c r="AA5398" s="54" t="s">
        <v>2</v>
      </c>
      <c r="AB5398" s="54" t="s">
        <v>2</v>
      </c>
      <c r="AC5398" s="54" t="s">
        <v>2</v>
      </c>
      <c r="AD5398" s="54" t="s">
        <v>2</v>
      </c>
      <c r="AE5398" s="54" t="s">
        <v>2</v>
      </c>
      <c r="AF5398" s="54" t="s">
        <v>2</v>
      </c>
      <c r="AG5398" s="54" t="s">
        <v>2</v>
      </c>
    </row>
    <row r="5399" ht="15.75" customHeight="1">
      <c r="B5399" s="56"/>
      <c r="U5399" s="46" t="str">
        <f t="array" ref="U5399">IF($D5399="","",IFERROR(_xlfn.XLOOKUP($D5399,'TIR店舗一覧'!$D:$D,'TIR店舗一覧'!$E:$E,""),""))</f>
        <v/>
      </c>
      <c r="V5399" s="54" t="s">
        <v>2</v>
      </c>
      <c r="W5399" s="54" t="s">
        <v>2</v>
      </c>
      <c r="X5399" s="54" t="s">
        <v>2</v>
      </c>
      <c r="Y5399" s="54" t="s">
        <v>2</v>
      </c>
      <c r="Z5399" s="54" t="s">
        <v>2</v>
      </c>
      <c r="AA5399" s="54" t="s">
        <v>2</v>
      </c>
      <c r="AB5399" s="54" t="s">
        <v>2</v>
      </c>
      <c r="AC5399" s="54" t="s">
        <v>2</v>
      </c>
      <c r="AD5399" s="54" t="s">
        <v>2</v>
      </c>
      <c r="AE5399" s="54" t="s">
        <v>2</v>
      </c>
      <c r="AF5399" s="54" t="s">
        <v>2</v>
      </c>
      <c r="AG5399" s="54" t="s">
        <v>2</v>
      </c>
    </row>
    <row r="5400" ht="15.75" customHeight="1">
      <c r="B5400" s="56"/>
      <c r="U5400" s="46" t="str">
        <f t="array" ref="U5400">IF($D5400="","",IFERROR(_xlfn.XLOOKUP($D5400,'TIR店舗一覧'!$D:$D,'TIR店舗一覧'!$E:$E,""),""))</f>
        <v/>
      </c>
      <c r="V5400" s="54" t="s">
        <v>2</v>
      </c>
      <c r="W5400" s="54" t="s">
        <v>2</v>
      </c>
      <c r="X5400" s="54" t="s">
        <v>2</v>
      </c>
      <c r="Y5400" s="54" t="s">
        <v>2</v>
      </c>
      <c r="Z5400" s="54" t="s">
        <v>2</v>
      </c>
      <c r="AA5400" s="54" t="s">
        <v>2</v>
      </c>
      <c r="AB5400" s="54" t="s">
        <v>2</v>
      </c>
      <c r="AC5400" s="54" t="s">
        <v>2</v>
      </c>
      <c r="AD5400" s="54" t="s">
        <v>2</v>
      </c>
      <c r="AE5400" s="54" t="s">
        <v>2</v>
      </c>
      <c r="AF5400" s="54" t="s">
        <v>2</v>
      </c>
      <c r="AG5400" s="54" t="s">
        <v>2</v>
      </c>
    </row>
    <row r="5401" ht="15.75" customHeight="1">
      <c r="B5401" s="56"/>
      <c r="U5401" s="46" t="str">
        <f t="array" ref="U5401">IF($D5401="","",IFERROR(_xlfn.XLOOKUP($D5401,'TIR店舗一覧'!$D:$D,'TIR店舗一覧'!$E:$E,""),""))</f>
        <v/>
      </c>
      <c r="V5401" s="54" t="s">
        <v>2</v>
      </c>
      <c r="W5401" s="54" t="s">
        <v>2</v>
      </c>
      <c r="X5401" s="54" t="s">
        <v>2</v>
      </c>
      <c r="Y5401" s="54" t="s">
        <v>2</v>
      </c>
      <c r="Z5401" s="54" t="s">
        <v>2</v>
      </c>
      <c r="AA5401" s="54" t="s">
        <v>2</v>
      </c>
      <c r="AB5401" s="54" t="s">
        <v>2</v>
      </c>
      <c r="AC5401" s="54" t="s">
        <v>2</v>
      </c>
      <c r="AD5401" s="54" t="s">
        <v>2</v>
      </c>
      <c r="AE5401" s="54" t="s">
        <v>2</v>
      </c>
      <c r="AF5401" s="54" t="s">
        <v>2</v>
      </c>
      <c r="AG5401" s="54" t="s">
        <v>2</v>
      </c>
    </row>
    <row r="5402" ht="15.75" customHeight="1">
      <c r="B5402" s="56"/>
      <c r="U5402" s="46" t="str">
        <f t="array" ref="U5402">IF($D5402="","",IFERROR(_xlfn.XLOOKUP($D5402,'TIR店舗一覧'!$D:$D,'TIR店舗一覧'!$E:$E,""),""))</f>
        <v/>
      </c>
      <c r="V5402" s="54" t="s">
        <v>2</v>
      </c>
      <c r="W5402" s="54" t="s">
        <v>2</v>
      </c>
      <c r="X5402" s="54" t="s">
        <v>2</v>
      </c>
      <c r="Y5402" s="54" t="s">
        <v>2</v>
      </c>
      <c r="Z5402" s="54" t="s">
        <v>2</v>
      </c>
      <c r="AA5402" s="54" t="s">
        <v>2</v>
      </c>
      <c r="AB5402" s="54" t="s">
        <v>2</v>
      </c>
      <c r="AC5402" s="54" t="s">
        <v>2</v>
      </c>
      <c r="AD5402" s="54" t="s">
        <v>2</v>
      </c>
      <c r="AE5402" s="54" t="s">
        <v>2</v>
      </c>
      <c r="AF5402" s="54" t="s">
        <v>2</v>
      </c>
      <c r="AG5402" s="54" t="s">
        <v>2</v>
      </c>
    </row>
    <row r="5403" ht="15.75" customHeight="1">
      <c r="B5403" s="56"/>
      <c r="U5403" s="46" t="str">
        <f t="array" ref="U5403">IF($D5403="","",IFERROR(_xlfn.XLOOKUP($D5403,'TIR店舗一覧'!$D:$D,'TIR店舗一覧'!$E:$E,""),""))</f>
        <v/>
      </c>
      <c r="V5403" s="54" t="s">
        <v>2</v>
      </c>
      <c r="W5403" s="54" t="s">
        <v>2</v>
      </c>
      <c r="X5403" s="54" t="s">
        <v>2</v>
      </c>
      <c r="Y5403" s="54" t="s">
        <v>2</v>
      </c>
      <c r="Z5403" s="54" t="s">
        <v>2</v>
      </c>
      <c r="AA5403" s="54" t="s">
        <v>2</v>
      </c>
      <c r="AB5403" s="54" t="s">
        <v>2</v>
      </c>
      <c r="AC5403" s="54" t="s">
        <v>2</v>
      </c>
      <c r="AD5403" s="54" t="s">
        <v>2</v>
      </c>
      <c r="AE5403" s="54" t="s">
        <v>2</v>
      </c>
      <c r="AF5403" s="54" t="s">
        <v>2</v>
      </c>
      <c r="AG5403" s="54" t="s">
        <v>2</v>
      </c>
    </row>
    <row r="5404" ht="15.75" customHeight="1">
      <c r="B5404" s="56"/>
      <c r="U5404" s="46" t="str">
        <f t="array" ref="U5404">IF($D5404="","",IFERROR(_xlfn.XLOOKUP($D5404,'TIR店舗一覧'!$D:$D,'TIR店舗一覧'!$E:$E,""),""))</f>
        <v/>
      </c>
      <c r="V5404" s="54" t="s">
        <v>2</v>
      </c>
      <c r="W5404" s="54" t="s">
        <v>2</v>
      </c>
      <c r="X5404" s="54" t="s">
        <v>2</v>
      </c>
      <c r="Y5404" s="54" t="s">
        <v>2</v>
      </c>
      <c r="Z5404" s="54" t="s">
        <v>2</v>
      </c>
      <c r="AA5404" s="54" t="s">
        <v>2</v>
      </c>
      <c r="AB5404" s="54" t="s">
        <v>2</v>
      </c>
      <c r="AC5404" s="54" t="s">
        <v>2</v>
      </c>
      <c r="AD5404" s="54" t="s">
        <v>2</v>
      </c>
      <c r="AE5404" s="54" t="s">
        <v>2</v>
      </c>
      <c r="AF5404" s="54" t="s">
        <v>2</v>
      </c>
      <c r="AG5404" s="54" t="s">
        <v>2</v>
      </c>
    </row>
    <row r="5405" ht="15.75" customHeight="1">
      <c r="B5405" s="56"/>
      <c r="U5405" s="46" t="str">
        <f t="array" ref="U5405">IF($D5405="","",IFERROR(_xlfn.XLOOKUP($D5405,'TIR店舗一覧'!$D:$D,'TIR店舗一覧'!$E:$E,""),""))</f>
        <v/>
      </c>
      <c r="V5405" s="54" t="s">
        <v>2</v>
      </c>
      <c r="W5405" s="54" t="s">
        <v>2</v>
      </c>
      <c r="X5405" s="54" t="s">
        <v>2</v>
      </c>
      <c r="Y5405" s="54" t="s">
        <v>2</v>
      </c>
      <c r="Z5405" s="54" t="s">
        <v>2</v>
      </c>
      <c r="AA5405" s="54" t="s">
        <v>2</v>
      </c>
      <c r="AB5405" s="54" t="s">
        <v>2</v>
      </c>
      <c r="AC5405" s="54" t="s">
        <v>2</v>
      </c>
      <c r="AD5405" s="54" t="s">
        <v>2</v>
      </c>
      <c r="AE5405" s="54" t="s">
        <v>2</v>
      </c>
      <c r="AF5405" s="54" t="s">
        <v>2</v>
      </c>
      <c r="AG5405" s="54" t="s">
        <v>2</v>
      </c>
    </row>
    <row r="5406" ht="15.75" customHeight="1">
      <c r="B5406" s="56"/>
      <c r="U5406" s="46" t="str">
        <f t="array" ref="U5406">IF($D5406="","",IFERROR(_xlfn.XLOOKUP($D5406,'TIR店舗一覧'!$D:$D,'TIR店舗一覧'!$E:$E,""),""))</f>
        <v/>
      </c>
      <c r="V5406" s="54" t="s">
        <v>2</v>
      </c>
      <c r="W5406" s="54" t="s">
        <v>2</v>
      </c>
      <c r="X5406" s="54" t="s">
        <v>2</v>
      </c>
      <c r="Y5406" s="54" t="s">
        <v>2</v>
      </c>
      <c r="Z5406" s="54" t="s">
        <v>2</v>
      </c>
      <c r="AA5406" s="54" t="s">
        <v>2</v>
      </c>
      <c r="AB5406" s="54" t="s">
        <v>2</v>
      </c>
      <c r="AC5406" s="54" t="s">
        <v>2</v>
      </c>
      <c r="AD5406" s="54" t="s">
        <v>2</v>
      </c>
      <c r="AE5406" s="54" t="s">
        <v>2</v>
      </c>
      <c r="AF5406" s="54" t="s">
        <v>2</v>
      </c>
      <c r="AG5406" s="54" t="s">
        <v>2</v>
      </c>
    </row>
    <row r="5407" ht="15.75" customHeight="1">
      <c r="B5407" s="56"/>
      <c r="U5407" s="46" t="str">
        <f t="array" ref="U5407">IF($D5407="","",IFERROR(_xlfn.XLOOKUP($D5407,'TIR店舗一覧'!$D:$D,'TIR店舗一覧'!$E:$E,""),""))</f>
        <v/>
      </c>
      <c r="V5407" s="54" t="s">
        <v>2</v>
      </c>
      <c r="W5407" s="54" t="s">
        <v>2</v>
      </c>
      <c r="X5407" s="54" t="s">
        <v>2</v>
      </c>
      <c r="Y5407" s="54" t="s">
        <v>2</v>
      </c>
      <c r="Z5407" s="54" t="s">
        <v>2</v>
      </c>
      <c r="AA5407" s="54" t="s">
        <v>2</v>
      </c>
      <c r="AB5407" s="54" t="s">
        <v>2</v>
      </c>
      <c r="AC5407" s="54" t="s">
        <v>2</v>
      </c>
      <c r="AD5407" s="54" t="s">
        <v>2</v>
      </c>
      <c r="AE5407" s="54" t="s">
        <v>2</v>
      </c>
      <c r="AF5407" s="54" t="s">
        <v>2</v>
      </c>
      <c r="AG5407" s="54" t="s">
        <v>2</v>
      </c>
    </row>
    <row r="5408" ht="15.75" customHeight="1">
      <c r="B5408" s="56"/>
      <c r="U5408" s="46" t="str">
        <f t="array" ref="U5408">IF($D5408="","",IFERROR(_xlfn.XLOOKUP($D5408,'TIR店舗一覧'!$D:$D,'TIR店舗一覧'!$E:$E,""),""))</f>
        <v/>
      </c>
      <c r="V5408" s="54" t="s">
        <v>2</v>
      </c>
      <c r="W5408" s="54" t="s">
        <v>2</v>
      </c>
      <c r="X5408" s="54" t="s">
        <v>2</v>
      </c>
      <c r="Y5408" s="54" t="s">
        <v>2</v>
      </c>
      <c r="Z5408" s="54" t="s">
        <v>2</v>
      </c>
      <c r="AA5408" s="54" t="s">
        <v>2</v>
      </c>
      <c r="AB5408" s="54" t="s">
        <v>2</v>
      </c>
      <c r="AC5408" s="54" t="s">
        <v>2</v>
      </c>
      <c r="AD5408" s="54" t="s">
        <v>2</v>
      </c>
      <c r="AE5408" s="54" t="s">
        <v>2</v>
      </c>
      <c r="AF5408" s="54" t="s">
        <v>2</v>
      </c>
      <c r="AG5408" s="54" t="s">
        <v>2</v>
      </c>
    </row>
    <row r="5409" ht="15.75" customHeight="1">
      <c r="B5409" s="56"/>
      <c r="U5409" s="46" t="str">
        <f t="array" ref="U5409">IF($D5409="","",IFERROR(_xlfn.XLOOKUP($D5409,'TIR店舗一覧'!$D:$D,'TIR店舗一覧'!$E:$E,""),""))</f>
        <v/>
      </c>
      <c r="V5409" s="54" t="s">
        <v>2</v>
      </c>
      <c r="W5409" s="54" t="s">
        <v>2</v>
      </c>
      <c r="X5409" s="54" t="s">
        <v>2</v>
      </c>
      <c r="Y5409" s="54" t="s">
        <v>2</v>
      </c>
      <c r="Z5409" s="54" t="s">
        <v>2</v>
      </c>
      <c r="AA5409" s="54" t="s">
        <v>2</v>
      </c>
      <c r="AB5409" s="54" t="s">
        <v>2</v>
      </c>
      <c r="AC5409" s="54" t="s">
        <v>2</v>
      </c>
      <c r="AD5409" s="54" t="s">
        <v>2</v>
      </c>
      <c r="AE5409" s="54" t="s">
        <v>2</v>
      </c>
      <c r="AF5409" s="54" t="s">
        <v>2</v>
      </c>
      <c r="AG5409" s="54" t="s">
        <v>2</v>
      </c>
    </row>
    <row r="5410" ht="15.75" customHeight="1">
      <c r="B5410" s="56"/>
      <c r="U5410" s="46" t="str">
        <f t="array" ref="U5410">IF($D5410="","",IFERROR(_xlfn.XLOOKUP($D5410,'TIR店舗一覧'!$D:$D,'TIR店舗一覧'!$E:$E,""),""))</f>
        <v/>
      </c>
      <c r="V5410" s="54" t="s">
        <v>2</v>
      </c>
      <c r="W5410" s="54" t="s">
        <v>2</v>
      </c>
      <c r="X5410" s="54" t="s">
        <v>2</v>
      </c>
      <c r="Y5410" s="54" t="s">
        <v>2</v>
      </c>
      <c r="Z5410" s="54" t="s">
        <v>2</v>
      </c>
      <c r="AA5410" s="54" t="s">
        <v>2</v>
      </c>
      <c r="AB5410" s="54" t="s">
        <v>2</v>
      </c>
      <c r="AC5410" s="54" t="s">
        <v>2</v>
      </c>
      <c r="AD5410" s="54" t="s">
        <v>2</v>
      </c>
      <c r="AE5410" s="54" t="s">
        <v>2</v>
      </c>
      <c r="AF5410" s="54" t="s">
        <v>2</v>
      </c>
      <c r="AG5410" s="54" t="s">
        <v>2</v>
      </c>
    </row>
    <row r="5411" ht="15.75" customHeight="1">
      <c r="B5411" s="56"/>
      <c r="U5411" s="46" t="str">
        <f t="array" ref="U5411">IF($D5411="","",IFERROR(_xlfn.XLOOKUP($D5411,'TIR店舗一覧'!$D:$D,'TIR店舗一覧'!$E:$E,""),""))</f>
        <v/>
      </c>
      <c r="V5411" s="54" t="s">
        <v>2</v>
      </c>
      <c r="W5411" s="54" t="s">
        <v>2</v>
      </c>
      <c r="X5411" s="54" t="s">
        <v>2</v>
      </c>
      <c r="Y5411" s="54" t="s">
        <v>2</v>
      </c>
      <c r="Z5411" s="54" t="s">
        <v>2</v>
      </c>
      <c r="AA5411" s="54" t="s">
        <v>2</v>
      </c>
      <c r="AB5411" s="54" t="s">
        <v>2</v>
      </c>
      <c r="AC5411" s="54" t="s">
        <v>2</v>
      </c>
      <c r="AD5411" s="54" t="s">
        <v>2</v>
      </c>
      <c r="AE5411" s="54" t="s">
        <v>2</v>
      </c>
      <c r="AF5411" s="54" t="s">
        <v>2</v>
      </c>
      <c r="AG5411" s="54" t="s">
        <v>2</v>
      </c>
    </row>
    <row r="5412" ht="15.75" customHeight="1">
      <c r="B5412" s="56"/>
      <c r="U5412" s="46" t="str">
        <f t="array" ref="U5412">IF($D5412="","",IFERROR(_xlfn.XLOOKUP($D5412,'TIR店舗一覧'!$D:$D,'TIR店舗一覧'!$E:$E,""),""))</f>
        <v/>
      </c>
      <c r="V5412" s="54" t="s">
        <v>2</v>
      </c>
      <c r="W5412" s="54" t="s">
        <v>2</v>
      </c>
      <c r="X5412" s="54" t="s">
        <v>2</v>
      </c>
      <c r="Y5412" s="54" t="s">
        <v>2</v>
      </c>
      <c r="Z5412" s="54" t="s">
        <v>2</v>
      </c>
      <c r="AA5412" s="54" t="s">
        <v>2</v>
      </c>
      <c r="AB5412" s="54" t="s">
        <v>2</v>
      </c>
      <c r="AC5412" s="54" t="s">
        <v>2</v>
      </c>
      <c r="AD5412" s="54" t="s">
        <v>2</v>
      </c>
      <c r="AE5412" s="54" t="s">
        <v>2</v>
      </c>
      <c r="AF5412" s="54" t="s">
        <v>2</v>
      </c>
      <c r="AG5412" s="54" t="s">
        <v>2</v>
      </c>
    </row>
    <row r="5413" ht="15.75" customHeight="1">
      <c r="B5413" s="56"/>
      <c r="U5413" s="46" t="str">
        <f t="array" ref="U5413">IF($D5413="","",IFERROR(_xlfn.XLOOKUP($D5413,'TIR店舗一覧'!$D:$D,'TIR店舗一覧'!$E:$E,""),""))</f>
        <v/>
      </c>
      <c r="V5413" s="54" t="s">
        <v>2</v>
      </c>
      <c r="W5413" s="54" t="s">
        <v>2</v>
      </c>
      <c r="X5413" s="54" t="s">
        <v>2</v>
      </c>
      <c r="Y5413" s="54" t="s">
        <v>2</v>
      </c>
      <c r="Z5413" s="54" t="s">
        <v>2</v>
      </c>
      <c r="AA5413" s="54" t="s">
        <v>2</v>
      </c>
      <c r="AB5413" s="54" t="s">
        <v>2</v>
      </c>
      <c r="AC5413" s="54" t="s">
        <v>2</v>
      </c>
      <c r="AD5413" s="54" t="s">
        <v>2</v>
      </c>
      <c r="AE5413" s="54" t="s">
        <v>2</v>
      </c>
      <c r="AF5413" s="54" t="s">
        <v>2</v>
      </c>
      <c r="AG5413" s="54" t="s">
        <v>2</v>
      </c>
    </row>
    <row r="5414" ht="15.75" customHeight="1">
      <c r="B5414" s="56"/>
      <c r="U5414" s="46" t="str">
        <f t="array" ref="U5414">IF($D5414="","",IFERROR(_xlfn.XLOOKUP($D5414,'TIR店舗一覧'!$D:$D,'TIR店舗一覧'!$E:$E,""),""))</f>
        <v/>
      </c>
      <c r="V5414" s="54" t="s">
        <v>2</v>
      </c>
      <c r="W5414" s="54" t="s">
        <v>2</v>
      </c>
      <c r="X5414" s="54" t="s">
        <v>2</v>
      </c>
      <c r="Y5414" s="54" t="s">
        <v>2</v>
      </c>
      <c r="Z5414" s="54" t="s">
        <v>2</v>
      </c>
      <c r="AA5414" s="54" t="s">
        <v>2</v>
      </c>
      <c r="AB5414" s="54" t="s">
        <v>2</v>
      </c>
      <c r="AC5414" s="54" t="s">
        <v>2</v>
      </c>
      <c r="AD5414" s="54" t="s">
        <v>2</v>
      </c>
      <c r="AE5414" s="54" t="s">
        <v>2</v>
      </c>
      <c r="AF5414" s="54" t="s">
        <v>2</v>
      </c>
      <c r="AG5414" s="54" t="s">
        <v>2</v>
      </c>
    </row>
    <row r="5415" ht="15.75" customHeight="1">
      <c r="B5415" s="56"/>
      <c r="U5415" s="46" t="str">
        <f t="array" ref="U5415">IF($D5415="","",IFERROR(_xlfn.XLOOKUP($D5415,'TIR店舗一覧'!$D:$D,'TIR店舗一覧'!$E:$E,""),""))</f>
        <v/>
      </c>
      <c r="V5415" s="54" t="s">
        <v>2</v>
      </c>
      <c r="W5415" s="54" t="s">
        <v>2</v>
      </c>
      <c r="X5415" s="54" t="s">
        <v>2</v>
      </c>
      <c r="Y5415" s="54" t="s">
        <v>2</v>
      </c>
      <c r="Z5415" s="54" t="s">
        <v>2</v>
      </c>
      <c r="AA5415" s="54" t="s">
        <v>2</v>
      </c>
      <c r="AB5415" s="54" t="s">
        <v>2</v>
      </c>
      <c r="AC5415" s="54" t="s">
        <v>2</v>
      </c>
      <c r="AD5415" s="54" t="s">
        <v>2</v>
      </c>
      <c r="AE5415" s="54" t="s">
        <v>2</v>
      </c>
      <c r="AF5415" s="54" t="s">
        <v>2</v>
      </c>
      <c r="AG5415" s="54" t="s">
        <v>2</v>
      </c>
    </row>
    <row r="5416" ht="15.75" customHeight="1">
      <c r="B5416" s="56"/>
      <c r="U5416" s="46" t="str">
        <f t="array" ref="U5416">IF($D5416="","",IFERROR(_xlfn.XLOOKUP($D5416,'TIR店舗一覧'!$D:$D,'TIR店舗一覧'!$E:$E,""),""))</f>
        <v/>
      </c>
      <c r="V5416" s="54" t="s">
        <v>2</v>
      </c>
      <c r="W5416" s="54" t="s">
        <v>2</v>
      </c>
      <c r="X5416" s="54" t="s">
        <v>2</v>
      </c>
      <c r="Y5416" s="54" t="s">
        <v>2</v>
      </c>
      <c r="Z5416" s="54" t="s">
        <v>2</v>
      </c>
      <c r="AA5416" s="54" t="s">
        <v>2</v>
      </c>
      <c r="AB5416" s="54" t="s">
        <v>2</v>
      </c>
      <c r="AC5416" s="54" t="s">
        <v>2</v>
      </c>
      <c r="AD5416" s="54" t="s">
        <v>2</v>
      </c>
      <c r="AE5416" s="54" t="s">
        <v>2</v>
      </c>
      <c r="AF5416" s="54" t="s">
        <v>2</v>
      </c>
      <c r="AG5416" s="54" t="s">
        <v>2</v>
      </c>
    </row>
    <row r="5417" ht="15.75" customHeight="1">
      <c r="B5417" s="56"/>
      <c r="U5417" s="46" t="str">
        <f t="array" ref="U5417">IF($D5417="","",IFERROR(_xlfn.XLOOKUP($D5417,'TIR店舗一覧'!$D:$D,'TIR店舗一覧'!$E:$E,""),""))</f>
        <v/>
      </c>
      <c r="V5417" s="54" t="s">
        <v>2</v>
      </c>
      <c r="W5417" s="54" t="s">
        <v>2</v>
      </c>
      <c r="X5417" s="54" t="s">
        <v>2</v>
      </c>
      <c r="Y5417" s="54" t="s">
        <v>2</v>
      </c>
      <c r="Z5417" s="54" t="s">
        <v>2</v>
      </c>
      <c r="AA5417" s="54" t="s">
        <v>2</v>
      </c>
      <c r="AB5417" s="54" t="s">
        <v>2</v>
      </c>
      <c r="AC5417" s="54" t="s">
        <v>2</v>
      </c>
      <c r="AD5417" s="54" t="s">
        <v>2</v>
      </c>
      <c r="AE5417" s="54" t="s">
        <v>2</v>
      </c>
      <c r="AF5417" s="54" t="s">
        <v>2</v>
      </c>
      <c r="AG5417" s="54" t="s">
        <v>2</v>
      </c>
    </row>
    <row r="5418" ht="15.75" customHeight="1">
      <c r="B5418" s="56"/>
      <c r="U5418" s="46" t="str">
        <f t="array" ref="U5418">IF($D5418="","",IFERROR(_xlfn.XLOOKUP($D5418,'TIR店舗一覧'!$D:$D,'TIR店舗一覧'!$E:$E,""),""))</f>
        <v/>
      </c>
      <c r="V5418" s="54" t="s">
        <v>2</v>
      </c>
      <c r="W5418" s="54" t="s">
        <v>2</v>
      </c>
      <c r="X5418" s="54" t="s">
        <v>2</v>
      </c>
      <c r="Y5418" s="54" t="s">
        <v>2</v>
      </c>
      <c r="Z5418" s="54" t="s">
        <v>2</v>
      </c>
      <c r="AA5418" s="54" t="s">
        <v>2</v>
      </c>
      <c r="AB5418" s="54" t="s">
        <v>2</v>
      </c>
      <c r="AC5418" s="54" t="s">
        <v>2</v>
      </c>
      <c r="AD5418" s="54" t="s">
        <v>2</v>
      </c>
      <c r="AE5418" s="54" t="s">
        <v>2</v>
      </c>
      <c r="AF5418" s="54" t="s">
        <v>2</v>
      </c>
      <c r="AG5418" s="54" t="s">
        <v>2</v>
      </c>
    </row>
    <row r="5419" ht="15.75" customHeight="1">
      <c r="B5419" s="56"/>
      <c r="U5419" s="46" t="str">
        <f t="array" ref="U5419">IF($D5419="","",IFERROR(_xlfn.XLOOKUP($D5419,'TIR店舗一覧'!$D:$D,'TIR店舗一覧'!$E:$E,""),""))</f>
        <v/>
      </c>
      <c r="V5419" s="54" t="s">
        <v>2</v>
      </c>
      <c r="W5419" s="54" t="s">
        <v>2</v>
      </c>
      <c r="X5419" s="54" t="s">
        <v>2</v>
      </c>
      <c r="Y5419" s="54" t="s">
        <v>2</v>
      </c>
      <c r="Z5419" s="54" t="s">
        <v>2</v>
      </c>
      <c r="AA5419" s="54" t="s">
        <v>2</v>
      </c>
      <c r="AB5419" s="54" t="s">
        <v>2</v>
      </c>
      <c r="AC5419" s="54" t="s">
        <v>2</v>
      </c>
      <c r="AD5419" s="54" t="s">
        <v>2</v>
      </c>
      <c r="AE5419" s="54" t="s">
        <v>2</v>
      </c>
      <c r="AF5419" s="54" t="s">
        <v>2</v>
      </c>
      <c r="AG5419" s="54" t="s">
        <v>2</v>
      </c>
    </row>
    <row r="5420" ht="15.75" customHeight="1">
      <c r="B5420" s="56"/>
      <c r="U5420" s="46" t="str">
        <f t="array" ref="U5420">IF($D5420="","",IFERROR(_xlfn.XLOOKUP($D5420,'TIR店舗一覧'!$D:$D,'TIR店舗一覧'!$E:$E,""),""))</f>
        <v/>
      </c>
      <c r="V5420" s="54" t="s">
        <v>2</v>
      </c>
      <c r="W5420" s="54" t="s">
        <v>2</v>
      </c>
      <c r="X5420" s="54" t="s">
        <v>2</v>
      </c>
      <c r="Y5420" s="54" t="s">
        <v>2</v>
      </c>
      <c r="Z5420" s="54" t="s">
        <v>2</v>
      </c>
      <c r="AA5420" s="54" t="s">
        <v>2</v>
      </c>
      <c r="AB5420" s="54" t="s">
        <v>2</v>
      </c>
      <c r="AC5420" s="54" t="s">
        <v>2</v>
      </c>
      <c r="AD5420" s="54" t="s">
        <v>2</v>
      </c>
      <c r="AE5420" s="54" t="s">
        <v>2</v>
      </c>
      <c r="AF5420" s="54" t="s">
        <v>2</v>
      </c>
      <c r="AG5420" s="54" t="s">
        <v>2</v>
      </c>
    </row>
    <row r="5421" ht="15.75" customHeight="1">
      <c r="B5421" s="56"/>
      <c r="U5421" s="46" t="str">
        <f t="array" ref="U5421">IF($D5421="","",IFERROR(_xlfn.XLOOKUP($D5421,'TIR店舗一覧'!$D:$D,'TIR店舗一覧'!$E:$E,""),""))</f>
        <v/>
      </c>
      <c r="V5421" s="54" t="s">
        <v>2</v>
      </c>
      <c r="W5421" s="54" t="s">
        <v>2</v>
      </c>
      <c r="X5421" s="54" t="s">
        <v>2</v>
      </c>
      <c r="Y5421" s="54" t="s">
        <v>2</v>
      </c>
      <c r="Z5421" s="54" t="s">
        <v>2</v>
      </c>
      <c r="AA5421" s="54" t="s">
        <v>2</v>
      </c>
      <c r="AB5421" s="54" t="s">
        <v>2</v>
      </c>
      <c r="AC5421" s="54" t="s">
        <v>2</v>
      </c>
      <c r="AD5421" s="54" t="s">
        <v>2</v>
      </c>
      <c r="AE5421" s="54" t="s">
        <v>2</v>
      </c>
      <c r="AF5421" s="54" t="s">
        <v>2</v>
      </c>
      <c r="AG5421" s="54" t="s">
        <v>2</v>
      </c>
    </row>
    <row r="5422" ht="15.75" customHeight="1">
      <c r="B5422" s="56"/>
      <c r="U5422" s="46" t="str">
        <f t="array" ref="U5422">IF($D5422="","",IFERROR(_xlfn.XLOOKUP($D5422,'TIR店舗一覧'!$D:$D,'TIR店舗一覧'!$E:$E,""),""))</f>
        <v/>
      </c>
      <c r="V5422" s="54" t="s">
        <v>2</v>
      </c>
      <c r="W5422" s="54" t="s">
        <v>2</v>
      </c>
      <c r="X5422" s="54" t="s">
        <v>2</v>
      </c>
      <c r="Y5422" s="54" t="s">
        <v>2</v>
      </c>
      <c r="Z5422" s="54" t="s">
        <v>2</v>
      </c>
      <c r="AA5422" s="54" t="s">
        <v>2</v>
      </c>
      <c r="AB5422" s="54" t="s">
        <v>2</v>
      </c>
      <c r="AC5422" s="54" t="s">
        <v>2</v>
      </c>
      <c r="AD5422" s="54" t="s">
        <v>2</v>
      </c>
      <c r="AE5422" s="54" t="s">
        <v>2</v>
      </c>
      <c r="AF5422" s="54" t="s">
        <v>2</v>
      </c>
      <c r="AG5422" s="54" t="s">
        <v>2</v>
      </c>
    </row>
    <row r="5423" ht="15.75" customHeight="1">
      <c r="B5423" s="56"/>
      <c r="U5423" s="46" t="str">
        <f t="array" ref="U5423">IF($D5423="","",IFERROR(_xlfn.XLOOKUP($D5423,'TIR店舗一覧'!$D:$D,'TIR店舗一覧'!$E:$E,""),""))</f>
        <v/>
      </c>
      <c r="V5423" s="54" t="s">
        <v>2</v>
      </c>
      <c r="W5423" s="54" t="s">
        <v>2</v>
      </c>
      <c r="X5423" s="54" t="s">
        <v>2</v>
      </c>
      <c r="Y5423" s="54" t="s">
        <v>2</v>
      </c>
      <c r="Z5423" s="54" t="s">
        <v>2</v>
      </c>
      <c r="AA5423" s="54" t="s">
        <v>2</v>
      </c>
      <c r="AB5423" s="54" t="s">
        <v>2</v>
      </c>
      <c r="AC5423" s="54" t="s">
        <v>2</v>
      </c>
      <c r="AD5423" s="54" t="s">
        <v>2</v>
      </c>
      <c r="AE5423" s="54" t="s">
        <v>2</v>
      </c>
      <c r="AF5423" s="54" t="s">
        <v>2</v>
      </c>
      <c r="AG5423" s="54" t="s">
        <v>2</v>
      </c>
    </row>
    <row r="5424" ht="15.75" customHeight="1">
      <c r="B5424" s="56"/>
      <c r="U5424" s="46" t="str">
        <f t="array" ref="U5424">IF($D5424="","",IFERROR(_xlfn.XLOOKUP($D5424,'TIR店舗一覧'!$D:$D,'TIR店舗一覧'!$E:$E,""),""))</f>
        <v/>
      </c>
      <c r="V5424" s="54" t="s">
        <v>2</v>
      </c>
      <c r="W5424" s="54" t="s">
        <v>2</v>
      </c>
      <c r="X5424" s="54" t="s">
        <v>2</v>
      </c>
      <c r="Y5424" s="54" t="s">
        <v>2</v>
      </c>
      <c r="Z5424" s="54" t="s">
        <v>2</v>
      </c>
      <c r="AA5424" s="54" t="s">
        <v>2</v>
      </c>
      <c r="AB5424" s="54" t="s">
        <v>2</v>
      </c>
      <c r="AC5424" s="54" t="s">
        <v>2</v>
      </c>
      <c r="AD5424" s="54" t="s">
        <v>2</v>
      </c>
      <c r="AE5424" s="54" t="s">
        <v>2</v>
      </c>
      <c r="AF5424" s="54" t="s">
        <v>2</v>
      </c>
      <c r="AG5424" s="54" t="s">
        <v>2</v>
      </c>
    </row>
    <row r="5425" ht="15.75" customHeight="1">
      <c r="B5425" s="56"/>
      <c r="U5425" s="46" t="str">
        <f t="array" ref="U5425">IF($D5425="","",IFERROR(_xlfn.XLOOKUP($D5425,'TIR店舗一覧'!$D:$D,'TIR店舗一覧'!$E:$E,""),""))</f>
        <v/>
      </c>
      <c r="V5425" s="54" t="s">
        <v>2</v>
      </c>
      <c r="W5425" s="54" t="s">
        <v>2</v>
      </c>
      <c r="X5425" s="54" t="s">
        <v>2</v>
      </c>
      <c r="Y5425" s="54" t="s">
        <v>2</v>
      </c>
      <c r="Z5425" s="54" t="s">
        <v>2</v>
      </c>
      <c r="AA5425" s="54" t="s">
        <v>2</v>
      </c>
      <c r="AB5425" s="54" t="s">
        <v>2</v>
      </c>
      <c r="AC5425" s="54" t="s">
        <v>2</v>
      </c>
      <c r="AD5425" s="54" t="s">
        <v>2</v>
      </c>
      <c r="AE5425" s="54" t="s">
        <v>2</v>
      </c>
      <c r="AF5425" s="54" t="s">
        <v>2</v>
      </c>
      <c r="AG5425" s="54" t="s">
        <v>2</v>
      </c>
    </row>
    <row r="5426" ht="15.75" customHeight="1">
      <c r="B5426" s="56"/>
      <c r="U5426" s="46" t="str">
        <f t="array" ref="U5426">IF($D5426="","",IFERROR(_xlfn.XLOOKUP($D5426,'TIR店舗一覧'!$D:$D,'TIR店舗一覧'!$E:$E,""),""))</f>
        <v/>
      </c>
      <c r="V5426" s="54" t="s">
        <v>2</v>
      </c>
      <c r="W5426" s="54" t="s">
        <v>2</v>
      </c>
      <c r="X5426" s="54" t="s">
        <v>2</v>
      </c>
      <c r="Y5426" s="54" t="s">
        <v>2</v>
      </c>
      <c r="Z5426" s="54" t="s">
        <v>2</v>
      </c>
      <c r="AA5426" s="54" t="s">
        <v>2</v>
      </c>
      <c r="AB5426" s="54" t="s">
        <v>2</v>
      </c>
      <c r="AC5426" s="54" t="s">
        <v>2</v>
      </c>
      <c r="AD5426" s="54" t="s">
        <v>2</v>
      </c>
      <c r="AE5426" s="54" t="s">
        <v>2</v>
      </c>
      <c r="AF5426" s="54" t="s">
        <v>2</v>
      </c>
      <c r="AG5426" s="54" t="s">
        <v>2</v>
      </c>
    </row>
    <row r="5427" ht="15.75" customHeight="1">
      <c r="B5427" s="56"/>
      <c r="U5427" s="46" t="str">
        <f t="array" ref="U5427">IF($D5427="","",IFERROR(_xlfn.XLOOKUP($D5427,'TIR店舗一覧'!$D:$D,'TIR店舗一覧'!$E:$E,""),""))</f>
        <v/>
      </c>
      <c r="V5427" s="54" t="s">
        <v>2</v>
      </c>
      <c r="W5427" s="54" t="s">
        <v>2</v>
      </c>
      <c r="X5427" s="54" t="s">
        <v>2</v>
      </c>
      <c r="Y5427" s="54" t="s">
        <v>2</v>
      </c>
      <c r="Z5427" s="54" t="s">
        <v>2</v>
      </c>
      <c r="AA5427" s="54" t="s">
        <v>2</v>
      </c>
      <c r="AB5427" s="54" t="s">
        <v>2</v>
      </c>
      <c r="AC5427" s="54" t="s">
        <v>2</v>
      </c>
      <c r="AD5427" s="54" t="s">
        <v>2</v>
      </c>
      <c r="AE5427" s="54" t="s">
        <v>2</v>
      </c>
      <c r="AF5427" s="54" t="s">
        <v>2</v>
      </c>
      <c r="AG5427" s="54" t="s">
        <v>2</v>
      </c>
    </row>
    <row r="5428" ht="15.75" customHeight="1">
      <c r="B5428" s="56"/>
      <c r="U5428" s="46" t="str">
        <f t="array" ref="U5428">IF($D5428="","",IFERROR(_xlfn.XLOOKUP($D5428,'TIR店舗一覧'!$D:$D,'TIR店舗一覧'!$E:$E,""),""))</f>
        <v/>
      </c>
      <c r="V5428" s="54" t="s">
        <v>2</v>
      </c>
      <c r="W5428" s="54" t="s">
        <v>2</v>
      </c>
      <c r="X5428" s="54" t="s">
        <v>2</v>
      </c>
      <c r="Y5428" s="54" t="s">
        <v>2</v>
      </c>
      <c r="Z5428" s="54" t="s">
        <v>2</v>
      </c>
      <c r="AA5428" s="54" t="s">
        <v>2</v>
      </c>
      <c r="AB5428" s="54" t="s">
        <v>2</v>
      </c>
      <c r="AC5428" s="54" t="s">
        <v>2</v>
      </c>
      <c r="AD5428" s="54" t="s">
        <v>2</v>
      </c>
      <c r="AE5428" s="54" t="s">
        <v>2</v>
      </c>
      <c r="AF5428" s="54" t="s">
        <v>2</v>
      </c>
      <c r="AG5428" s="54" t="s">
        <v>2</v>
      </c>
    </row>
    <row r="5429" ht="15.75" customHeight="1">
      <c r="B5429" s="56"/>
      <c r="U5429" s="46" t="str">
        <f t="array" ref="U5429">IF($D5429="","",IFERROR(_xlfn.XLOOKUP($D5429,'TIR店舗一覧'!$D:$D,'TIR店舗一覧'!$E:$E,""),""))</f>
        <v/>
      </c>
      <c r="V5429" s="54" t="s">
        <v>2</v>
      </c>
      <c r="W5429" s="54" t="s">
        <v>2</v>
      </c>
      <c r="X5429" s="54" t="s">
        <v>2</v>
      </c>
      <c r="Y5429" s="54" t="s">
        <v>2</v>
      </c>
      <c r="Z5429" s="54" t="s">
        <v>2</v>
      </c>
      <c r="AA5429" s="54" t="s">
        <v>2</v>
      </c>
      <c r="AB5429" s="54" t="s">
        <v>2</v>
      </c>
      <c r="AC5429" s="54" t="s">
        <v>2</v>
      </c>
      <c r="AD5429" s="54" t="s">
        <v>2</v>
      </c>
      <c r="AE5429" s="54" t="s">
        <v>2</v>
      </c>
      <c r="AF5429" s="54" t="s">
        <v>2</v>
      </c>
      <c r="AG5429" s="54" t="s">
        <v>2</v>
      </c>
    </row>
    <row r="5430" ht="15.75" customHeight="1">
      <c r="B5430" s="56"/>
      <c r="U5430" s="46" t="str">
        <f t="array" ref="U5430">IF($D5430="","",IFERROR(_xlfn.XLOOKUP($D5430,'TIR店舗一覧'!$D:$D,'TIR店舗一覧'!$E:$E,""),""))</f>
        <v/>
      </c>
      <c r="V5430" s="54" t="s">
        <v>2</v>
      </c>
      <c r="W5430" s="54" t="s">
        <v>2</v>
      </c>
      <c r="X5430" s="54" t="s">
        <v>2</v>
      </c>
      <c r="Y5430" s="54" t="s">
        <v>2</v>
      </c>
      <c r="Z5430" s="54" t="s">
        <v>2</v>
      </c>
      <c r="AA5430" s="54" t="s">
        <v>2</v>
      </c>
      <c r="AB5430" s="54" t="s">
        <v>2</v>
      </c>
      <c r="AC5430" s="54" t="s">
        <v>2</v>
      </c>
      <c r="AD5430" s="54" t="s">
        <v>2</v>
      </c>
      <c r="AE5430" s="54" t="s">
        <v>2</v>
      </c>
      <c r="AF5430" s="54" t="s">
        <v>2</v>
      </c>
      <c r="AG5430" s="54" t="s">
        <v>2</v>
      </c>
    </row>
    <row r="5431" ht="15.75" customHeight="1">
      <c r="B5431" s="56"/>
      <c r="U5431" s="46" t="str">
        <f t="array" ref="U5431">IF($D5431="","",IFERROR(_xlfn.XLOOKUP($D5431,'TIR店舗一覧'!$D:$D,'TIR店舗一覧'!$E:$E,""),""))</f>
        <v/>
      </c>
      <c r="V5431" s="54" t="s">
        <v>2</v>
      </c>
      <c r="W5431" s="54" t="s">
        <v>2</v>
      </c>
      <c r="X5431" s="54" t="s">
        <v>2</v>
      </c>
      <c r="Y5431" s="54" t="s">
        <v>2</v>
      </c>
      <c r="Z5431" s="54" t="s">
        <v>2</v>
      </c>
      <c r="AA5431" s="54" t="s">
        <v>2</v>
      </c>
      <c r="AB5431" s="54" t="s">
        <v>2</v>
      </c>
      <c r="AC5431" s="54" t="s">
        <v>2</v>
      </c>
      <c r="AD5431" s="54" t="s">
        <v>2</v>
      </c>
      <c r="AE5431" s="54" t="s">
        <v>2</v>
      </c>
      <c r="AF5431" s="54" t="s">
        <v>2</v>
      </c>
      <c r="AG5431" s="54" t="s">
        <v>2</v>
      </c>
    </row>
    <row r="5432" ht="15.75" customHeight="1">
      <c r="B5432" s="56"/>
      <c r="U5432" s="46" t="str">
        <f t="array" ref="U5432">IF($D5432="","",IFERROR(_xlfn.XLOOKUP($D5432,'TIR店舗一覧'!$D:$D,'TIR店舗一覧'!$E:$E,""),""))</f>
        <v/>
      </c>
      <c r="V5432" s="54" t="s">
        <v>2</v>
      </c>
      <c r="W5432" s="54" t="s">
        <v>2</v>
      </c>
      <c r="X5432" s="54" t="s">
        <v>2</v>
      </c>
      <c r="Y5432" s="54" t="s">
        <v>2</v>
      </c>
      <c r="Z5432" s="54" t="s">
        <v>2</v>
      </c>
      <c r="AA5432" s="54" t="s">
        <v>2</v>
      </c>
      <c r="AB5432" s="54" t="s">
        <v>2</v>
      </c>
      <c r="AC5432" s="54" t="s">
        <v>2</v>
      </c>
      <c r="AD5432" s="54" t="s">
        <v>2</v>
      </c>
      <c r="AE5432" s="54" t="s">
        <v>2</v>
      </c>
      <c r="AF5432" s="54" t="s">
        <v>2</v>
      </c>
      <c r="AG5432" s="54" t="s">
        <v>2</v>
      </c>
    </row>
    <row r="5433" ht="15.75" customHeight="1">
      <c r="B5433" s="56"/>
      <c r="U5433" s="46" t="str">
        <f t="array" ref="U5433">IF($D5433="","",IFERROR(_xlfn.XLOOKUP($D5433,'TIR店舗一覧'!$D:$D,'TIR店舗一覧'!$E:$E,""),""))</f>
        <v/>
      </c>
      <c r="V5433" s="54" t="s">
        <v>2</v>
      </c>
      <c r="W5433" s="54" t="s">
        <v>2</v>
      </c>
      <c r="X5433" s="54" t="s">
        <v>2</v>
      </c>
      <c r="Y5433" s="54" t="s">
        <v>2</v>
      </c>
      <c r="Z5433" s="54" t="s">
        <v>2</v>
      </c>
      <c r="AA5433" s="54" t="s">
        <v>2</v>
      </c>
      <c r="AB5433" s="54" t="s">
        <v>2</v>
      </c>
      <c r="AC5433" s="54" t="s">
        <v>2</v>
      </c>
      <c r="AD5433" s="54" t="s">
        <v>2</v>
      </c>
      <c r="AE5433" s="54" t="s">
        <v>2</v>
      </c>
      <c r="AF5433" s="54" t="s">
        <v>2</v>
      </c>
      <c r="AG5433" s="54" t="s">
        <v>2</v>
      </c>
    </row>
    <row r="5434" ht="15.75" customHeight="1">
      <c r="B5434" s="56"/>
      <c r="U5434" s="46" t="str">
        <f t="array" ref="U5434">IF($D5434="","",IFERROR(_xlfn.XLOOKUP($D5434,'TIR店舗一覧'!$D:$D,'TIR店舗一覧'!$E:$E,""),""))</f>
        <v/>
      </c>
      <c r="V5434" s="54" t="s">
        <v>2</v>
      </c>
      <c r="W5434" s="54" t="s">
        <v>2</v>
      </c>
      <c r="X5434" s="54" t="s">
        <v>2</v>
      </c>
      <c r="Y5434" s="54" t="s">
        <v>2</v>
      </c>
      <c r="Z5434" s="54" t="s">
        <v>2</v>
      </c>
      <c r="AA5434" s="54" t="s">
        <v>2</v>
      </c>
      <c r="AB5434" s="54" t="s">
        <v>2</v>
      </c>
      <c r="AC5434" s="54" t="s">
        <v>2</v>
      </c>
      <c r="AD5434" s="54" t="s">
        <v>2</v>
      </c>
      <c r="AE5434" s="54" t="s">
        <v>2</v>
      </c>
      <c r="AF5434" s="54" t="s">
        <v>2</v>
      </c>
      <c r="AG5434" s="54" t="s">
        <v>2</v>
      </c>
    </row>
    <row r="5435" ht="15.75" customHeight="1">
      <c r="B5435" s="56"/>
      <c r="U5435" s="46" t="str">
        <f t="array" ref="U5435">IF($D5435="","",IFERROR(_xlfn.XLOOKUP($D5435,'TIR店舗一覧'!$D:$D,'TIR店舗一覧'!$E:$E,""),""))</f>
        <v/>
      </c>
      <c r="V5435" s="54" t="s">
        <v>2</v>
      </c>
      <c r="W5435" s="54" t="s">
        <v>2</v>
      </c>
      <c r="X5435" s="54" t="s">
        <v>2</v>
      </c>
      <c r="Y5435" s="54" t="s">
        <v>2</v>
      </c>
      <c r="Z5435" s="54" t="s">
        <v>2</v>
      </c>
      <c r="AA5435" s="54" t="s">
        <v>2</v>
      </c>
      <c r="AB5435" s="54" t="s">
        <v>2</v>
      </c>
      <c r="AC5435" s="54" t="s">
        <v>2</v>
      </c>
      <c r="AD5435" s="54" t="s">
        <v>2</v>
      </c>
      <c r="AE5435" s="54" t="s">
        <v>2</v>
      </c>
      <c r="AF5435" s="54" t="s">
        <v>2</v>
      </c>
      <c r="AG5435" s="54" t="s">
        <v>2</v>
      </c>
    </row>
    <row r="5436" ht="15.75" customHeight="1">
      <c r="B5436" s="56"/>
      <c r="U5436" s="46" t="str">
        <f t="array" ref="U5436">IF($D5436="","",IFERROR(_xlfn.XLOOKUP($D5436,'TIR店舗一覧'!$D:$D,'TIR店舗一覧'!$E:$E,""),""))</f>
        <v/>
      </c>
      <c r="V5436" s="54" t="s">
        <v>2</v>
      </c>
      <c r="W5436" s="54" t="s">
        <v>2</v>
      </c>
      <c r="X5436" s="54" t="s">
        <v>2</v>
      </c>
      <c r="Y5436" s="54" t="s">
        <v>2</v>
      </c>
      <c r="Z5436" s="54" t="s">
        <v>2</v>
      </c>
      <c r="AA5436" s="54" t="s">
        <v>2</v>
      </c>
      <c r="AB5436" s="54" t="s">
        <v>2</v>
      </c>
      <c r="AC5436" s="54" t="s">
        <v>2</v>
      </c>
      <c r="AD5436" s="54" t="s">
        <v>2</v>
      </c>
      <c r="AE5436" s="54" t="s">
        <v>2</v>
      </c>
      <c r="AF5436" s="54" t="s">
        <v>2</v>
      </c>
      <c r="AG5436" s="54" t="s">
        <v>2</v>
      </c>
    </row>
    <row r="5437" ht="15.75" customHeight="1">
      <c r="B5437" s="56"/>
      <c r="U5437" s="46" t="str">
        <f t="array" ref="U5437">IF($D5437="","",IFERROR(_xlfn.XLOOKUP($D5437,'TIR店舗一覧'!$D:$D,'TIR店舗一覧'!$E:$E,""),""))</f>
        <v/>
      </c>
      <c r="V5437" s="54" t="s">
        <v>2</v>
      </c>
      <c r="W5437" s="54" t="s">
        <v>2</v>
      </c>
      <c r="X5437" s="54" t="s">
        <v>2</v>
      </c>
      <c r="Y5437" s="54" t="s">
        <v>2</v>
      </c>
      <c r="Z5437" s="54" t="s">
        <v>2</v>
      </c>
      <c r="AA5437" s="54" t="s">
        <v>2</v>
      </c>
      <c r="AB5437" s="54" t="s">
        <v>2</v>
      </c>
      <c r="AC5437" s="54" t="s">
        <v>2</v>
      </c>
      <c r="AD5437" s="54" t="s">
        <v>2</v>
      </c>
      <c r="AE5437" s="54" t="s">
        <v>2</v>
      </c>
      <c r="AF5437" s="54" t="s">
        <v>2</v>
      </c>
      <c r="AG5437" s="54" t="s">
        <v>2</v>
      </c>
    </row>
    <row r="5438" ht="15.75" customHeight="1">
      <c r="B5438" s="56"/>
      <c r="U5438" s="46" t="str">
        <f t="array" ref="U5438">IF($D5438="","",IFERROR(_xlfn.XLOOKUP($D5438,'TIR店舗一覧'!$D:$D,'TIR店舗一覧'!$E:$E,""),""))</f>
        <v/>
      </c>
      <c r="V5438" s="54" t="s">
        <v>2</v>
      </c>
      <c r="W5438" s="54" t="s">
        <v>2</v>
      </c>
      <c r="X5438" s="54" t="s">
        <v>2</v>
      </c>
      <c r="Y5438" s="54" t="s">
        <v>2</v>
      </c>
      <c r="Z5438" s="54" t="s">
        <v>2</v>
      </c>
      <c r="AA5438" s="54" t="s">
        <v>2</v>
      </c>
      <c r="AB5438" s="54" t="s">
        <v>2</v>
      </c>
      <c r="AC5438" s="54" t="s">
        <v>2</v>
      </c>
      <c r="AD5438" s="54" t="s">
        <v>2</v>
      </c>
      <c r="AE5438" s="54" t="s">
        <v>2</v>
      </c>
      <c r="AF5438" s="54" t="s">
        <v>2</v>
      </c>
      <c r="AG5438" s="54" t="s">
        <v>2</v>
      </c>
    </row>
    <row r="5439" ht="15.75" customHeight="1">
      <c r="B5439" s="56"/>
      <c r="U5439" s="46" t="str">
        <f t="array" ref="U5439">IF($D5439="","",IFERROR(_xlfn.XLOOKUP($D5439,'TIR店舗一覧'!$D:$D,'TIR店舗一覧'!$E:$E,""),""))</f>
        <v/>
      </c>
      <c r="V5439" s="54" t="s">
        <v>2</v>
      </c>
      <c r="W5439" s="54" t="s">
        <v>2</v>
      </c>
      <c r="X5439" s="54" t="s">
        <v>2</v>
      </c>
      <c r="Y5439" s="54" t="s">
        <v>2</v>
      </c>
      <c r="Z5439" s="54" t="s">
        <v>2</v>
      </c>
      <c r="AA5439" s="54" t="s">
        <v>2</v>
      </c>
      <c r="AB5439" s="54" t="s">
        <v>2</v>
      </c>
      <c r="AC5439" s="54" t="s">
        <v>2</v>
      </c>
      <c r="AD5439" s="54" t="s">
        <v>2</v>
      </c>
      <c r="AE5439" s="54" t="s">
        <v>2</v>
      </c>
      <c r="AF5439" s="54" t="s">
        <v>2</v>
      </c>
      <c r="AG5439" s="54" t="s">
        <v>2</v>
      </c>
    </row>
    <row r="5440" ht="15.75" customHeight="1">
      <c r="B5440" s="56"/>
      <c r="U5440" s="46" t="str">
        <f t="array" ref="U5440">IF($D5440="","",IFERROR(_xlfn.XLOOKUP($D5440,'TIR店舗一覧'!$D:$D,'TIR店舗一覧'!$E:$E,""),""))</f>
        <v/>
      </c>
      <c r="V5440" s="54" t="s">
        <v>2</v>
      </c>
      <c r="W5440" s="54" t="s">
        <v>2</v>
      </c>
      <c r="X5440" s="54" t="s">
        <v>2</v>
      </c>
      <c r="Y5440" s="54" t="s">
        <v>2</v>
      </c>
      <c r="Z5440" s="54" t="s">
        <v>2</v>
      </c>
      <c r="AA5440" s="54" t="s">
        <v>2</v>
      </c>
      <c r="AB5440" s="54" t="s">
        <v>2</v>
      </c>
      <c r="AC5440" s="54" t="s">
        <v>2</v>
      </c>
      <c r="AD5440" s="54" t="s">
        <v>2</v>
      </c>
      <c r="AE5440" s="54" t="s">
        <v>2</v>
      </c>
      <c r="AF5440" s="54" t="s">
        <v>2</v>
      </c>
      <c r="AG5440" s="54" t="s">
        <v>2</v>
      </c>
    </row>
    <row r="5441" ht="15.75" customHeight="1">
      <c r="B5441" s="56"/>
      <c r="U5441" s="46" t="str">
        <f t="array" ref="U5441">IF($D5441="","",IFERROR(_xlfn.XLOOKUP($D5441,'TIR店舗一覧'!$D:$D,'TIR店舗一覧'!$E:$E,""),""))</f>
        <v/>
      </c>
      <c r="V5441" s="54" t="s">
        <v>2</v>
      </c>
      <c r="W5441" s="54" t="s">
        <v>2</v>
      </c>
      <c r="X5441" s="54" t="s">
        <v>2</v>
      </c>
      <c r="Y5441" s="54" t="s">
        <v>2</v>
      </c>
      <c r="Z5441" s="54" t="s">
        <v>2</v>
      </c>
      <c r="AA5441" s="54" t="s">
        <v>2</v>
      </c>
      <c r="AB5441" s="54" t="s">
        <v>2</v>
      </c>
      <c r="AC5441" s="54" t="s">
        <v>2</v>
      </c>
      <c r="AD5441" s="54" t="s">
        <v>2</v>
      </c>
      <c r="AE5441" s="54" t="s">
        <v>2</v>
      </c>
      <c r="AF5441" s="54" t="s">
        <v>2</v>
      </c>
      <c r="AG5441" s="54" t="s">
        <v>2</v>
      </c>
    </row>
    <row r="5442" ht="15.75" customHeight="1">
      <c r="B5442" s="56"/>
      <c r="U5442" s="46" t="str">
        <f t="array" ref="U5442">IF($D5442="","",IFERROR(_xlfn.XLOOKUP($D5442,'TIR店舗一覧'!$D:$D,'TIR店舗一覧'!$E:$E,""),""))</f>
        <v/>
      </c>
      <c r="V5442" s="54" t="s">
        <v>2</v>
      </c>
      <c r="W5442" s="54" t="s">
        <v>2</v>
      </c>
      <c r="X5442" s="54" t="s">
        <v>2</v>
      </c>
      <c r="Y5442" s="54" t="s">
        <v>2</v>
      </c>
      <c r="Z5442" s="54" t="s">
        <v>2</v>
      </c>
      <c r="AA5442" s="54" t="s">
        <v>2</v>
      </c>
      <c r="AB5442" s="54" t="s">
        <v>2</v>
      </c>
      <c r="AC5442" s="54" t="s">
        <v>2</v>
      </c>
      <c r="AD5442" s="54" t="s">
        <v>2</v>
      </c>
      <c r="AE5442" s="54" t="s">
        <v>2</v>
      </c>
      <c r="AF5442" s="54" t="s">
        <v>2</v>
      </c>
      <c r="AG5442" s="54" t="s">
        <v>2</v>
      </c>
    </row>
    <row r="5443" ht="15.75" customHeight="1">
      <c r="B5443" s="56"/>
      <c r="U5443" s="46" t="str">
        <f t="array" ref="U5443">IF($D5443="","",IFERROR(_xlfn.XLOOKUP($D5443,'TIR店舗一覧'!$D:$D,'TIR店舗一覧'!$E:$E,""),""))</f>
        <v/>
      </c>
      <c r="V5443" s="54" t="s">
        <v>2</v>
      </c>
      <c r="W5443" s="54" t="s">
        <v>2</v>
      </c>
      <c r="X5443" s="54" t="s">
        <v>2</v>
      </c>
      <c r="Y5443" s="54" t="s">
        <v>2</v>
      </c>
      <c r="Z5443" s="54" t="s">
        <v>2</v>
      </c>
      <c r="AA5443" s="54" t="s">
        <v>2</v>
      </c>
      <c r="AB5443" s="54" t="s">
        <v>2</v>
      </c>
      <c r="AC5443" s="54" t="s">
        <v>2</v>
      </c>
      <c r="AD5443" s="54" t="s">
        <v>2</v>
      </c>
      <c r="AE5443" s="54" t="s">
        <v>2</v>
      </c>
      <c r="AF5443" s="54" t="s">
        <v>2</v>
      </c>
      <c r="AG5443" s="54" t="s">
        <v>2</v>
      </c>
    </row>
    <row r="5444" ht="15.75" customHeight="1">
      <c r="B5444" s="56"/>
      <c r="U5444" s="46" t="str">
        <f t="array" ref="U5444">IF($D5444="","",IFERROR(_xlfn.XLOOKUP($D5444,'TIR店舗一覧'!$D:$D,'TIR店舗一覧'!$E:$E,""),""))</f>
        <v/>
      </c>
      <c r="V5444" s="54" t="s">
        <v>2</v>
      </c>
      <c r="W5444" s="54" t="s">
        <v>2</v>
      </c>
      <c r="X5444" s="54" t="s">
        <v>2</v>
      </c>
      <c r="Y5444" s="54" t="s">
        <v>2</v>
      </c>
      <c r="Z5444" s="54" t="s">
        <v>2</v>
      </c>
      <c r="AA5444" s="54" t="s">
        <v>2</v>
      </c>
      <c r="AB5444" s="54" t="s">
        <v>2</v>
      </c>
      <c r="AC5444" s="54" t="s">
        <v>2</v>
      </c>
      <c r="AD5444" s="54" t="s">
        <v>2</v>
      </c>
      <c r="AE5444" s="54" t="s">
        <v>2</v>
      </c>
      <c r="AF5444" s="54" t="s">
        <v>2</v>
      </c>
      <c r="AG5444" s="54" t="s">
        <v>2</v>
      </c>
    </row>
    <row r="5445" ht="15.75" customHeight="1">
      <c r="B5445" s="56"/>
      <c r="U5445" s="46" t="str">
        <f t="array" ref="U5445">IF($D5445="","",IFERROR(_xlfn.XLOOKUP($D5445,'TIR店舗一覧'!$D:$D,'TIR店舗一覧'!$E:$E,""),""))</f>
        <v/>
      </c>
      <c r="V5445" s="54" t="s">
        <v>2</v>
      </c>
      <c r="W5445" s="54" t="s">
        <v>2</v>
      </c>
      <c r="X5445" s="54" t="s">
        <v>2</v>
      </c>
      <c r="Y5445" s="54" t="s">
        <v>2</v>
      </c>
      <c r="Z5445" s="54" t="s">
        <v>2</v>
      </c>
      <c r="AA5445" s="54" t="s">
        <v>2</v>
      </c>
      <c r="AB5445" s="54" t="s">
        <v>2</v>
      </c>
      <c r="AC5445" s="54" t="s">
        <v>2</v>
      </c>
      <c r="AD5445" s="54" t="s">
        <v>2</v>
      </c>
      <c r="AE5445" s="54" t="s">
        <v>2</v>
      </c>
      <c r="AF5445" s="54" t="s">
        <v>2</v>
      </c>
      <c r="AG5445" s="54" t="s">
        <v>2</v>
      </c>
    </row>
    <row r="5446" ht="15.75" customHeight="1">
      <c r="B5446" s="56"/>
      <c r="U5446" s="46" t="str">
        <f t="array" ref="U5446">IF($D5446="","",IFERROR(_xlfn.XLOOKUP($D5446,'TIR店舗一覧'!$D:$D,'TIR店舗一覧'!$E:$E,""),""))</f>
        <v/>
      </c>
      <c r="V5446" s="54" t="s">
        <v>2</v>
      </c>
      <c r="W5446" s="54" t="s">
        <v>2</v>
      </c>
      <c r="X5446" s="54" t="s">
        <v>2</v>
      </c>
      <c r="Y5446" s="54" t="s">
        <v>2</v>
      </c>
      <c r="Z5446" s="54" t="s">
        <v>2</v>
      </c>
      <c r="AA5446" s="54" t="s">
        <v>2</v>
      </c>
      <c r="AB5446" s="54" t="s">
        <v>2</v>
      </c>
      <c r="AC5446" s="54" t="s">
        <v>2</v>
      </c>
      <c r="AD5446" s="54" t="s">
        <v>2</v>
      </c>
      <c r="AE5446" s="54" t="s">
        <v>2</v>
      </c>
      <c r="AF5446" s="54" t="s">
        <v>2</v>
      </c>
      <c r="AG5446" s="54" t="s">
        <v>2</v>
      </c>
    </row>
    <row r="5447" ht="15.75" customHeight="1">
      <c r="B5447" s="56"/>
      <c r="U5447" s="46" t="str">
        <f t="array" ref="U5447">IF($D5447="","",IFERROR(_xlfn.XLOOKUP($D5447,'TIR店舗一覧'!$D:$D,'TIR店舗一覧'!$E:$E,""),""))</f>
        <v/>
      </c>
      <c r="V5447" s="54" t="s">
        <v>2</v>
      </c>
      <c r="W5447" s="54" t="s">
        <v>2</v>
      </c>
      <c r="X5447" s="54" t="s">
        <v>2</v>
      </c>
      <c r="Y5447" s="54" t="s">
        <v>2</v>
      </c>
      <c r="Z5447" s="54" t="s">
        <v>2</v>
      </c>
      <c r="AA5447" s="54" t="s">
        <v>2</v>
      </c>
      <c r="AB5447" s="54" t="s">
        <v>2</v>
      </c>
      <c r="AC5447" s="54" t="s">
        <v>2</v>
      </c>
      <c r="AD5447" s="54" t="s">
        <v>2</v>
      </c>
      <c r="AE5447" s="54" t="s">
        <v>2</v>
      </c>
      <c r="AF5447" s="54" t="s">
        <v>2</v>
      </c>
      <c r="AG5447" s="54" t="s">
        <v>2</v>
      </c>
    </row>
    <row r="5448" ht="15.75" customHeight="1">
      <c r="B5448" s="56"/>
      <c r="U5448" s="46" t="str">
        <f t="array" ref="U5448">IF($D5448="","",IFERROR(_xlfn.XLOOKUP($D5448,'TIR店舗一覧'!$D:$D,'TIR店舗一覧'!$E:$E,""),""))</f>
        <v/>
      </c>
      <c r="V5448" s="54" t="s">
        <v>2</v>
      </c>
      <c r="W5448" s="54" t="s">
        <v>2</v>
      </c>
      <c r="X5448" s="54" t="s">
        <v>2</v>
      </c>
      <c r="Y5448" s="54" t="s">
        <v>2</v>
      </c>
      <c r="Z5448" s="54" t="s">
        <v>2</v>
      </c>
      <c r="AA5448" s="54" t="s">
        <v>2</v>
      </c>
      <c r="AB5448" s="54" t="s">
        <v>2</v>
      </c>
      <c r="AC5448" s="54" t="s">
        <v>2</v>
      </c>
      <c r="AD5448" s="54" t="s">
        <v>2</v>
      </c>
      <c r="AE5448" s="54" t="s">
        <v>2</v>
      </c>
      <c r="AF5448" s="54" t="s">
        <v>2</v>
      </c>
      <c r="AG5448" s="54" t="s">
        <v>2</v>
      </c>
    </row>
    <row r="5449" ht="15.75" customHeight="1">
      <c r="B5449" s="56"/>
      <c r="U5449" s="46" t="str">
        <f t="array" ref="U5449">IF($D5449="","",IFERROR(_xlfn.XLOOKUP($D5449,'TIR店舗一覧'!$D:$D,'TIR店舗一覧'!$E:$E,""),""))</f>
        <v/>
      </c>
      <c r="V5449" s="54" t="s">
        <v>2</v>
      </c>
      <c r="W5449" s="54" t="s">
        <v>2</v>
      </c>
      <c r="X5449" s="54" t="s">
        <v>2</v>
      </c>
      <c r="Y5449" s="54" t="s">
        <v>2</v>
      </c>
      <c r="Z5449" s="54" t="s">
        <v>2</v>
      </c>
      <c r="AA5449" s="54" t="s">
        <v>2</v>
      </c>
      <c r="AB5449" s="54" t="s">
        <v>2</v>
      </c>
      <c r="AC5449" s="54" t="s">
        <v>2</v>
      </c>
      <c r="AD5449" s="54" t="s">
        <v>2</v>
      </c>
      <c r="AE5449" s="54" t="s">
        <v>2</v>
      </c>
      <c r="AF5449" s="54" t="s">
        <v>2</v>
      </c>
      <c r="AG5449" s="54" t="s">
        <v>2</v>
      </c>
    </row>
    <row r="5450" ht="15.75" customHeight="1">
      <c r="B5450" s="56"/>
      <c r="U5450" s="46" t="str">
        <f t="array" ref="U5450">IF($D5450="","",IFERROR(_xlfn.XLOOKUP($D5450,'TIR店舗一覧'!$D:$D,'TIR店舗一覧'!$E:$E,""),""))</f>
        <v/>
      </c>
      <c r="V5450" s="54" t="s">
        <v>2</v>
      </c>
      <c r="W5450" s="54" t="s">
        <v>2</v>
      </c>
      <c r="X5450" s="54" t="s">
        <v>2</v>
      </c>
      <c r="Y5450" s="54" t="s">
        <v>2</v>
      </c>
      <c r="Z5450" s="54" t="s">
        <v>2</v>
      </c>
      <c r="AA5450" s="54" t="s">
        <v>2</v>
      </c>
      <c r="AB5450" s="54" t="s">
        <v>2</v>
      </c>
      <c r="AC5450" s="54" t="s">
        <v>2</v>
      </c>
      <c r="AD5450" s="54" t="s">
        <v>2</v>
      </c>
      <c r="AE5450" s="54" t="s">
        <v>2</v>
      </c>
      <c r="AF5450" s="54" t="s">
        <v>2</v>
      </c>
      <c r="AG5450" s="54" t="s">
        <v>2</v>
      </c>
    </row>
    <row r="5451" ht="15.75" customHeight="1">
      <c r="B5451" s="56"/>
      <c r="U5451" s="46" t="str">
        <f t="array" ref="U5451">IF($D5451="","",IFERROR(_xlfn.XLOOKUP($D5451,'TIR店舗一覧'!$D:$D,'TIR店舗一覧'!$E:$E,""),""))</f>
        <v/>
      </c>
      <c r="V5451" s="54" t="s">
        <v>2</v>
      </c>
      <c r="W5451" s="54" t="s">
        <v>2</v>
      </c>
      <c r="X5451" s="54" t="s">
        <v>2</v>
      </c>
      <c r="Y5451" s="54" t="s">
        <v>2</v>
      </c>
      <c r="Z5451" s="54" t="s">
        <v>2</v>
      </c>
      <c r="AA5451" s="54" t="s">
        <v>2</v>
      </c>
      <c r="AB5451" s="54" t="s">
        <v>2</v>
      </c>
      <c r="AC5451" s="54" t="s">
        <v>2</v>
      </c>
      <c r="AD5451" s="54" t="s">
        <v>2</v>
      </c>
      <c r="AE5451" s="54" t="s">
        <v>2</v>
      </c>
      <c r="AF5451" s="54" t="s">
        <v>2</v>
      </c>
      <c r="AG5451" s="54" t="s">
        <v>2</v>
      </c>
    </row>
    <row r="5452" ht="15.75" customHeight="1">
      <c r="B5452" s="56"/>
      <c r="U5452" s="46" t="str">
        <f t="array" ref="U5452">IF($D5452="","",IFERROR(_xlfn.XLOOKUP($D5452,'TIR店舗一覧'!$D:$D,'TIR店舗一覧'!$E:$E,""),""))</f>
        <v/>
      </c>
      <c r="V5452" s="54" t="s">
        <v>2</v>
      </c>
      <c r="W5452" s="54" t="s">
        <v>2</v>
      </c>
      <c r="X5452" s="54" t="s">
        <v>2</v>
      </c>
      <c r="Y5452" s="54" t="s">
        <v>2</v>
      </c>
      <c r="Z5452" s="54" t="s">
        <v>2</v>
      </c>
      <c r="AA5452" s="54" t="s">
        <v>2</v>
      </c>
      <c r="AB5452" s="54" t="s">
        <v>2</v>
      </c>
      <c r="AC5452" s="54" t="s">
        <v>2</v>
      </c>
      <c r="AD5452" s="54" t="s">
        <v>2</v>
      </c>
      <c r="AE5452" s="54" t="s">
        <v>2</v>
      </c>
      <c r="AF5452" s="54" t="s">
        <v>2</v>
      </c>
      <c r="AG5452" s="54" t="s">
        <v>2</v>
      </c>
    </row>
    <row r="5453" ht="15.75" customHeight="1">
      <c r="B5453" s="56"/>
      <c r="U5453" s="46" t="str">
        <f t="array" ref="U5453">IF($D5453="","",IFERROR(_xlfn.XLOOKUP($D5453,'TIR店舗一覧'!$D:$D,'TIR店舗一覧'!$E:$E,""),""))</f>
        <v/>
      </c>
      <c r="V5453" s="54" t="s">
        <v>2</v>
      </c>
      <c r="W5453" s="54" t="s">
        <v>2</v>
      </c>
      <c r="X5453" s="54" t="s">
        <v>2</v>
      </c>
      <c r="Y5453" s="54" t="s">
        <v>2</v>
      </c>
      <c r="Z5453" s="54" t="s">
        <v>2</v>
      </c>
      <c r="AA5453" s="54" t="s">
        <v>2</v>
      </c>
      <c r="AB5453" s="54" t="s">
        <v>2</v>
      </c>
      <c r="AC5453" s="54" t="s">
        <v>2</v>
      </c>
      <c r="AD5453" s="54" t="s">
        <v>2</v>
      </c>
      <c r="AE5453" s="54" t="s">
        <v>2</v>
      </c>
      <c r="AF5453" s="54" t="s">
        <v>2</v>
      </c>
      <c r="AG5453" s="54" t="s">
        <v>2</v>
      </c>
    </row>
    <row r="5454" ht="15.75" customHeight="1">
      <c r="B5454" s="56"/>
      <c r="U5454" s="46" t="str">
        <f t="array" ref="U5454">IF($D5454="","",IFERROR(_xlfn.XLOOKUP($D5454,'TIR店舗一覧'!$D:$D,'TIR店舗一覧'!$E:$E,""),""))</f>
        <v/>
      </c>
      <c r="V5454" s="54" t="s">
        <v>2</v>
      </c>
      <c r="W5454" s="54" t="s">
        <v>2</v>
      </c>
      <c r="X5454" s="54" t="s">
        <v>2</v>
      </c>
      <c r="Y5454" s="54" t="s">
        <v>2</v>
      </c>
      <c r="Z5454" s="54" t="s">
        <v>2</v>
      </c>
      <c r="AA5454" s="54" t="s">
        <v>2</v>
      </c>
      <c r="AB5454" s="54" t="s">
        <v>2</v>
      </c>
      <c r="AC5454" s="54" t="s">
        <v>2</v>
      </c>
      <c r="AD5454" s="54" t="s">
        <v>2</v>
      </c>
      <c r="AE5454" s="54" t="s">
        <v>2</v>
      </c>
      <c r="AF5454" s="54" t="s">
        <v>2</v>
      </c>
      <c r="AG5454" s="54" t="s">
        <v>2</v>
      </c>
    </row>
    <row r="5455" ht="15.75" customHeight="1">
      <c r="B5455" s="56"/>
      <c r="U5455" s="46" t="str">
        <f t="array" ref="U5455">IF($D5455="","",IFERROR(_xlfn.XLOOKUP($D5455,'TIR店舗一覧'!$D:$D,'TIR店舗一覧'!$E:$E,""),""))</f>
        <v/>
      </c>
      <c r="V5455" s="54" t="s">
        <v>2</v>
      </c>
      <c r="W5455" s="54" t="s">
        <v>2</v>
      </c>
      <c r="X5455" s="54" t="s">
        <v>2</v>
      </c>
      <c r="Y5455" s="54" t="s">
        <v>2</v>
      </c>
      <c r="Z5455" s="54" t="s">
        <v>2</v>
      </c>
      <c r="AA5455" s="54" t="s">
        <v>2</v>
      </c>
      <c r="AB5455" s="54" t="s">
        <v>2</v>
      </c>
      <c r="AC5455" s="54" t="s">
        <v>2</v>
      </c>
      <c r="AD5455" s="54" t="s">
        <v>2</v>
      </c>
      <c r="AE5455" s="54" t="s">
        <v>2</v>
      </c>
      <c r="AF5455" s="54" t="s">
        <v>2</v>
      </c>
      <c r="AG5455" s="54" t="s">
        <v>2</v>
      </c>
    </row>
    <row r="5456" ht="15.75" customHeight="1">
      <c r="B5456" s="56"/>
      <c r="U5456" s="46" t="str">
        <f t="array" ref="U5456">IF($D5456="","",IFERROR(_xlfn.XLOOKUP($D5456,'TIR店舗一覧'!$D:$D,'TIR店舗一覧'!$E:$E,""),""))</f>
        <v/>
      </c>
      <c r="V5456" s="54" t="s">
        <v>2</v>
      </c>
      <c r="W5456" s="54" t="s">
        <v>2</v>
      </c>
      <c r="X5456" s="54" t="s">
        <v>2</v>
      </c>
      <c r="Y5456" s="54" t="s">
        <v>2</v>
      </c>
      <c r="Z5456" s="54" t="s">
        <v>2</v>
      </c>
      <c r="AA5456" s="54" t="s">
        <v>2</v>
      </c>
      <c r="AB5456" s="54" t="s">
        <v>2</v>
      </c>
      <c r="AC5456" s="54" t="s">
        <v>2</v>
      </c>
      <c r="AD5456" s="54" t="s">
        <v>2</v>
      </c>
      <c r="AE5456" s="54" t="s">
        <v>2</v>
      </c>
      <c r="AF5456" s="54" t="s">
        <v>2</v>
      </c>
      <c r="AG5456" s="54" t="s">
        <v>2</v>
      </c>
    </row>
    <row r="5457" ht="15.75" customHeight="1">
      <c r="B5457" s="56"/>
      <c r="U5457" s="46" t="str">
        <f t="array" ref="U5457">IF($D5457="","",IFERROR(_xlfn.XLOOKUP($D5457,'TIR店舗一覧'!$D:$D,'TIR店舗一覧'!$E:$E,""),""))</f>
        <v/>
      </c>
      <c r="V5457" s="54" t="s">
        <v>2</v>
      </c>
      <c r="W5457" s="54" t="s">
        <v>2</v>
      </c>
      <c r="X5457" s="54" t="s">
        <v>2</v>
      </c>
      <c r="Y5457" s="54" t="s">
        <v>2</v>
      </c>
      <c r="Z5457" s="54" t="s">
        <v>2</v>
      </c>
      <c r="AA5457" s="54" t="s">
        <v>2</v>
      </c>
      <c r="AB5457" s="54" t="s">
        <v>2</v>
      </c>
      <c r="AC5457" s="54" t="s">
        <v>2</v>
      </c>
      <c r="AD5457" s="54" t="s">
        <v>2</v>
      </c>
      <c r="AE5457" s="54" t="s">
        <v>2</v>
      </c>
      <c r="AF5457" s="54" t="s">
        <v>2</v>
      </c>
      <c r="AG5457" s="54" t="s">
        <v>2</v>
      </c>
    </row>
    <row r="5458" ht="15.75" customHeight="1">
      <c r="B5458" s="56"/>
      <c r="U5458" s="46" t="str">
        <f t="array" ref="U5458">IF($D5458="","",IFERROR(_xlfn.XLOOKUP($D5458,'TIR店舗一覧'!$D:$D,'TIR店舗一覧'!$E:$E,""),""))</f>
        <v/>
      </c>
      <c r="V5458" s="54" t="s">
        <v>2</v>
      </c>
      <c r="W5458" s="54" t="s">
        <v>2</v>
      </c>
      <c r="X5458" s="54" t="s">
        <v>2</v>
      </c>
      <c r="Y5458" s="54" t="s">
        <v>2</v>
      </c>
      <c r="Z5458" s="54" t="s">
        <v>2</v>
      </c>
      <c r="AA5458" s="54" t="s">
        <v>2</v>
      </c>
      <c r="AB5458" s="54" t="s">
        <v>2</v>
      </c>
      <c r="AC5458" s="54" t="s">
        <v>2</v>
      </c>
      <c r="AD5458" s="54" t="s">
        <v>2</v>
      </c>
      <c r="AE5458" s="54" t="s">
        <v>2</v>
      </c>
      <c r="AF5458" s="54" t="s">
        <v>2</v>
      </c>
      <c r="AG5458" s="54" t="s">
        <v>2</v>
      </c>
    </row>
    <row r="5459" ht="15.75" customHeight="1">
      <c r="B5459" s="56"/>
      <c r="U5459" s="46" t="str">
        <f t="array" ref="U5459">IF($D5459="","",IFERROR(_xlfn.XLOOKUP($D5459,'TIR店舗一覧'!$D:$D,'TIR店舗一覧'!$E:$E,""),""))</f>
        <v/>
      </c>
      <c r="V5459" s="54" t="s">
        <v>2</v>
      </c>
      <c r="W5459" s="54" t="s">
        <v>2</v>
      </c>
      <c r="X5459" s="54" t="s">
        <v>2</v>
      </c>
      <c r="Y5459" s="54" t="s">
        <v>2</v>
      </c>
      <c r="Z5459" s="54" t="s">
        <v>2</v>
      </c>
      <c r="AA5459" s="54" t="s">
        <v>2</v>
      </c>
      <c r="AB5459" s="54" t="s">
        <v>2</v>
      </c>
      <c r="AC5459" s="54" t="s">
        <v>2</v>
      </c>
      <c r="AD5459" s="54" t="s">
        <v>2</v>
      </c>
      <c r="AE5459" s="54" t="s">
        <v>2</v>
      </c>
      <c r="AF5459" s="54" t="s">
        <v>2</v>
      </c>
      <c r="AG5459" s="54" t="s">
        <v>2</v>
      </c>
    </row>
    <row r="5460" ht="15.75" customHeight="1">
      <c r="B5460" s="56"/>
      <c r="U5460" s="46" t="str">
        <f t="array" ref="U5460">IF($D5460="","",IFERROR(_xlfn.XLOOKUP($D5460,'TIR店舗一覧'!$D:$D,'TIR店舗一覧'!$E:$E,""),""))</f>
        <v/>
      </c>
      <c r="V5460" s="54" t="s">
        <v>2</v>
      </c>
      <c r="W5460" s="54" t="s">
        <v>2</v>
      </c>
      <c r="X5460" s="54" t="s">
        <v>2</v>
      </c>
      <c r="Y5460" s="54" t="s">
        <v>2</v>
      </c>
      <c r="Z5460" s="54" t="s">
        <v>2</v>
      </c>
      <c r="AA5460" s="54" t="s">
        <v>2</v>
      </c>
      <c r="AB5460" s="54" t="s">
        <v>2</v>
      </c>
      <c r="AC5460" s="54" t="s">
        <v>2</v>
      </c>
      <c r="AD5460" s="54" t="s">
        <v>2</v>
      </c>
      <c r="AE5460" s="54" t="s">
        <v>2</v>
      </c>
      <c r="AF5460" s="54" t="s">
        <v>2</v>
      </c>
      <c r="AG5460" s="54" t="s">
        <v>2</v>
      </c>
    </row>
    <row r="5461" ht="15.75" customHeight="1">
      <c r="B5461" s="56"/>
      <c r="U5461" s="46" t="str">
        <f t="array" ref="U5461">IF($D5461="","",IFERROR(_xlfn.XLOOKUP($D5461,'TIR店舗一覧'!$D:$D,'TIR店舗一覧'!$E:$E,""),""))</f>
        <v/>
      </c>
      <c r="V5461" s="54" t="s">
        <v>2</v>
      </c>
      <c r="W5461" s="54" t="s">
        <v>2</v>
      </c>
      <c r="X5461" s="54" t="s">
        <v>2</v>
      </c>
      <c r="Y5461" s="54" t="s">
        <v>2</v>
      </c>
      <c r="Z5461" s="54" t="s">
        <v>2</v>
      </c>
      <c r="AA5461" s="54" t="s">
        <v>2</v>
      </c>
      <c r="AB5461" s="54" t="s">
        <v>2</v>
      </c>
      <c r="AC5461" s="54" t="s">
        <v>2</v>
      </c>
      <c r="AD5461" s="54" t="s">
        <v>2</v>
      </c>
      <c r="AE5461" s="54" t="s">
        <v>2</v>
      </c>
      <c r="AF5461" s="54" t="s">
        <v>2</v>
      </c>
      <c r="AG5461" s="54" t="s">
        <v>2</v>
      </c>
    </row>
    <row r="5462" ht="15.75" customHeight="1">
      <c r="B5462" s="56"/>
      <c r="U5462" s="46" t="str">
        <f t="array" ref="U5462">IF($D5462="","",IFERROR(_xlfn.XLOOKUP($D5462,'TIR店舗一覧'!$D:$D,'TIR店舗一覧'!$E:$E,""),""))</f>
        <v/>
      </c>
      <c r="V5462" s="54" t="s">
        <v>2</v>
      </c>
      <c r="W5462" s="54" t="s">
        <v>2</v>
      </c>
      <c r="X5462" s="54" t="s">
        <v>2</v>
      </c>
      <c r="Y5462" s="54" t="s">
        <v>2</v>
      </c>
      <c r="Z5462" s="54" t="s">
        <v>2</v>
      </c>
      <c r="AA5462" s="54" t="s">
        <v>2</v>
      </c>
      <c r="AB5462" s="54" t="s">
        <v>2</v>
      </c>
      <c r="AC5462" s="54" t="s">
        <v>2</v>
      </c>
      <c r="AD5462" s="54" t="s">
        <v>2</v>
      </c>
      <c r="AE5462" s="54" t="s">
        <v>2</v>
      </c>
      <c r="AF5462" s="54" t="s">
        <v>2</v>
      </c>
      <c r="AG5462" s="54" t="s">
        <v>2</v>
      </c>
    </row>
    <row r="5463" ht="15.75" customHeight="1">
      <c r="B5463" s="56"/>
      <c r="U5463" s="46" t="str">
        <f t="array" ref="U5463">IF($D5463="","",IFERROR(_xlfn.XLOOKUP($D5463,'TIR店舗一覧'!$D:$D,'TIR店舗一覧'!$E:$E,""),""))</f>
        <v/>
      </c>
      <c r="V5463" s="54" t="s">
        <v>2</v>
      </c>
      <c r="W5463" s="54" t="s">
        <v>2</v>
      </c>
      <c r="X5463" s="54" t="s">
        <v>2</v>
      </c>
      <c r="Y5463" s="54" t="s">
        <v>2</v>
      </c>
      <c r="Z5463" s="54" t="s">
        <v>2</v>
      </c>
      <c r="AA5463" s="54" t="s">
        <v>2</v>
      </c>
      <c r="AB5463" s="54" t="s">
        <v>2</v>
      </c>
      <c r="AC5463" s="54" t="s">
        <v>2</v>
      </c>
      <c r="AD5463" s="54" t="s">
        <v>2</v>
      </c>
      <c r="AE5463" s="54" t="s">
        <v>2</v>
      </c>
      <c r="AF5463" s="54" t="s">
        <v>2</v>
      </c>
      <c r="AG5463" s="54" t="s">
        <v>2</v>
      </c>
    </row>
    <row r="5464" ht="15.75" customHeight="1">
      <c r="B5464" s="56"/>
      <c r="U5464" s="46" t="str">
        <f t="array" ref="U5464">IF($D5464="","",IFERROR(_xlfn.XLOOKUP($D5464,'TIR店舗一覧'!$D:$D,'TIR店舗一覧'!$E:$E,""),""))</f>
        <v/>
      </c>
      <c r="V5464" s="54" t="s">
        <v>2</v>
      </c>
      <c r="W5464" s="54" t="s">
        <v>2</v>
      </c>
      <c r="X5464" s="54" t="s">
        <v>2</v>
      </c>
      <c r="Y5464" s="54" t="s">
        <v>2</v>
      </c>
      <c r="Z5464" s="54" t="s">
        <v>2</v>
      </c>
      <c r="AA5464" s="54" t="s">
        <v>2</v>
      </c>
      <c r="AB5464" s="54" t="s">
        <v>2</v>
      </c>
      <c r="AC5464" s="54" t="s">
        <v>2</v>
      </c>
      <c r="AD5464" s="54" t="s">
        <v>2</v>
      </c>
      <c r="AE5464" s="54" t="s">
        <v>2</v>
      </c>
      <c r="AF5464" s="54" t="s">
        <v>2</v>
      </c>
      <c r="AG5464" s="54" t="s">
        <v>2</v>
      </c>
    </row>
    <row r="5465" ht="15.75" customHeight="1">
      <c r="B5465" s="56"/>
      <c r="U5465" s="46" t="str">
        <f t="array" ref="U5465">IF($D5465="","",IFERROR(_xlfn.XLOOKUP($D5465,'TIR店舗一覧'!$D:$D,'TIR店舗一覧'!$E:$E,""),""))</f>
        <v/>
      </c>
      <c r="V5465" s="54" t="s">
        <v>2</v>
      </c>
      <c r="W5465" s="54" t="s">
        <v>2</v>
      </c>
      <c r="X5465" s="54" t="s">
        <v>2</v>
      </c>
      <c r="Y5465" s="54" t="s">
        <v>2</v>
      </c>
      <c r="Z5465" s="54" t="s">
        <v>2</v>
      </c>
      <c r="AA5465" s="54" t="s">
        <v>2</v>
      </c>
      <c r="AB5465" s="54" t="s">
        <v>2</v>
      </c>
      <c r="AC5465" s="54" t="s">
        <v>2</v>
      </c>
      <c r="AD5465" s="54" t="s">
        <v>2</v>
      </c>
      <c r="AE5465" s="54" t="s">
        <v>2</v>
      </c>
      <c r="AF5465" s="54" t="s">
        <v>2</v>
      </c>
      <c r="AG5465" s="54" t="s">
        <v>2</v>
      </c>
    </row>
    <row r="5466" ht="15.75" customHeight="1">
      <c r="B5466" s="56"/>
      <c r="U5466" s="46" t="str">
        <f t="array" ref="U5466">IF($D5466="","",IFERROR(_xlfn.XLOOKUP($D5466,'TIR店舗一覧'!$D:$D,'TIR店舗一覧'!$E:$E,""),""))</f>
        <v/>
      </c>
      <c r="V5466" s="54" t="s">
        <v>2</v>
      </c>
      <c r="W5466" s="54" t="s">
        <v>2</v>
      </c>
      <c r="X5466" s="54" t="s">
        <v>2</v>
      </c>
      <c r="Y5466" s="54" t="s">
        <v>2</v>
      </c>
      <c r="Z5466" s="54" t="s">
        <v>2</v>
      </c>
      <c r="AA5466" s="54" t="s">
        <v>2</v>
      </c>
      <c r="AB5466" s="54" t="s">
        <v>2</v>
      </c>
      <c r="AC5466" s="54" t="s">
        <v>2</v>
      </c>
      <c r="AD5466" s="54" t="s">
        <v>2</v>
      </c>
      <c r="AE5466" s="54" t="s">
        <v>2</v>
      </c>
      <c r="AF5466" s="54" t="s">
        <v>2</v>
      </c>
      <c r="AG5466" s="54" t="s">
        <v>2</v>
      </c>
    </row>
    <row r="5467" ht="15.75" customHeight="1">
      <c r="B5467" s="56"/>
      <c r="U5467" s="46" t="str">
        <f t="array" ref="U5467">IF($D5467="","",IFERROR(_xlfn.XLOOKUP($D5467,'TIR店舗一覧'!$D:$D,'TIR店舗一覧'!$E:$E,""),""))</f>
        <v/>
      </c>
      <c r="V5467" s="54" t="s">
        <v>2</v>
      </c>
      <c r="W5467" s="54" t="s">
        <v>2</v>
      </c>
      <c r="X5467" s="54" t="s">
        <v>2</v>
      </c>
      <c r="Y5467" s="54" t="s">
        <v>2</v>
      </c>
      <c r="Z5467" s="54" t="s">
        <v>2</v>
      </c>
      <c r="AA5467" s="54" t="s">
        <v>2</v>
      </c>
      <c r="AB5467" s="54" t="s">
        <v>2</v>
      </c>
      <c r="AC5467" s="54" t="s">
        <v>2</v>
      </c>
      <c r="AD5467" s="54" t="s">
        <v>2</v>
      </c>
      <c r="AE5467" s="54" t="s">
        <v>2</v>
      </c>
      <c r="AF5467" s="54" t="s">
        <v>2</v>
      </c>
      <c r="AG5467" s="54" t="s">
        <v>2</v>
      </c>
    </row>
    <row r="5468" ht="15.75" customHeight="1">
      <c r="B5468" s="56"/>
      <c r="U5468" s="46" t="str">
        <f t="array" ref="U5468">IF($D5468="","",IFERROR(_xlfn.XLOOKUP($D5468,'TIR店舗一覧'!$D:$D,'TIR店舗一覧'!$E:$E,""),""))</f>
        <v/>
      </c>
      <c r="V5468" s="54" t="s">
        <v>2</v>
      </c>
      <c r="W5468" s="54" t="s">
        <v>2</v>
      </c>
      <c r="X5468" s="54" t="s">
        <v>2</v>
      </c>
      <c r="Y5468" s="54" t="s">
        <v>2</v>
      </c>
      <c r="Z5468" s="54" t="s">
        <v>2</v>
      </c>
      <c r="AA5468" s="54" t="s">
        <v>2</v>
      </c>
      <c r="AB5468" s="54" t="s">
        <v>2</v>
      </c>
      <c r="AC5468" s="54" t="s">
        <v>2</v>
      </c>
      <c r="AD5468" s="54" t="s">
        <v>2</v>
      </c>
      <c r="AE5468" s="54" t="s">
        <v>2</v>
      </c>
      <c r="AF5468" s="54" t="s">
        <v>2</v>
      </c>
      <c r="AG5468" s="54" t="s">
        <v>2</v>
      </c>
    </row>
    <row r="5469" ht="15.75" customHeight="1">
      <c r="B5469" s="56"/>
      <c r="U5469" s="46" t="str">
        <f t="array" ref="U5469">IF($D5469="","",IFERROR(_xlfn.XLOOKUP($D5469,'TIR店舗一覧'!$D:$D,'TIR店舗一覧'!$E:$E,""),""))</f>
        <v/>
      </c>
      <c r="V5469" s="54" t="s">
        <v>2</v>
      </c>
      <c r="W5469" s="54" t="s">
        <v>2</v>
      </c>
      <c r="X5469" s="54" t="s">
        <v>2</v>
      </c>
      <c r="Y5469" s="54" t="s">
        <v>2</v>
      </c>
      <c r="Z5469" s="54" t="s">
        <v>2</v>
      </c>
      <c r="AA5469" s="54" t="s">
        <v>2</v>
      </c>
      <c r="AB5469" s="54" t="s">
        <v>2</v>
      </c>
      <c r="AC5469" s="54" t="s">
        <v>2</v>
      </c>
      <c r="AD5469" s="54" t="s">
        <v>2</v>
      </c>
      <c r="AE5469" s="54" t="s">
        <v>2</v>
      </c>
      <c r="AF5469" s="54" t="s">
        <v>2</v>
      </c>
      <c r="AG5469" s="54" t="s">
        <v>2</v>
      </c>
    </row>
    <row r="5470" ht="15.75" customHeight="1">
      <c r="B5470" s="56"/>
      <c r="U5470" s="46" t="str">
        <f t="array" ref="U5470">IF($D5470="","",IFERROR(_xlfn.XLOOKUP($D5470,'TIR店舗一覧'!$D:$D,'TIR店舗一覧'!$E:$E,""),""))</f>
        <v/>
      </c>
      <c r="V5470" s="54" t="s">
        <v>2</v>
      </c>
      <c r="W5470" s="54" t="s">
        <v>2</v>
      </c>
      <c r="X5470" s="54" t="s">
        <v>2</v>
      </c>
      <c r="Y5470" s="54" t="s">
        <v>2</v>
      </c>
      <c r="Z5470" s="54" t="s">
        <v>2</v>
      </c>
      <c r="AA5470" s="54" t="s">
        <v>2</v>
      </c>
      <c r="AB5470" s="54" t="s">
        <v>2</v>
      </c>
      <c r="AC5470" s="54" t="s">
        <v>2</v>
      </c>
      <c r="AD5470" s="54" t="s">
        <v>2</v>
      </c>
      <c r="AE5470" s="54" t="s">
        <v>2</v>
      </c>
      <c r="AF5470" s="54" t="s">
        <v>2</v>
      </c>
      <c r="AG5470" s="54" t="s">
        <v>2</v>
      </c>
    </row>
    <row r="5471" ht="15.75" customHeight="1">
      <c r="B5471" s="56"/>
      <c r="U5471" s="46" t="str">
        <f t="array" ref="U5471">IF($D5471="","",IFERROR(_xlfn.XLOOKUP($D5471,'TIR店舗一覧'!$D:$D,'TIR店舗一覧'!$E:$E,""),""))</f>
        <v/>
      </c>
      <c r="V5471" s="54" t="s">
        <v>2</v>
      </c>
      <c r="W5471" s="54" t="s">
        <v>2</v>
      </c>
      <c r="X5471" s="54" t="s">
        <v>2</v>
      </c>
      <c r="Y5471" s="54" t="s">
        <v>2</v>
      </c>
      <c r="Z5471" s="54" t="s">
        <v>2</v>
      </c>
      <c r="AA5471" s="54" t="s">
        <v>2</v>
      </c>
      <c r="AB5471" s="54" t="s">
        <v>2</v>
      </c>
      <c r="AC5471" s="54" t="s">
        <v>2</v>
      </c>
      <c r="AD5471" s="54" t="s">
        <v>2</v>
      </c>
      <c r="AE5471" s="54" t="s">
        <v>2</v>
      </c>
      <c r="AF5471" s="54" t="s">
        <v>2</v>
      </c>
      <c r="AG5471" s="54" t="s">
        <v>2</v>
      </c>
    </row>
    <row r="5472" ht="15.75" customHeight="1">
      <c r="B5472" s="56"/>
      <c r="U5472" s="46" t="str">
        <f t="array" ref="U5472">IF($D5472="","",IFERROR(_xlfn.XLOOKUP($D5472,'TIR店舗一覧'!$D:$D,'TIR店舗一覧'!$E:$E,""),""))</f>
        <v/>
      </c>
      <c r="V5472" s="54" t="s">
        <v>2</v>
      </c>
      <c r="W5472" s="54" t="s">
        <v>2</v>
      </c>
      <c r="X5472" s="54" t="s">
        <v>2</v>
      </c>
      <c r="Y5472" s="54" t="s">
        <v>2</v>
      </c>
      <c r="Z5472" s="54" t="s">
        <v>2</v>
      </c>
      <c r="AA5472" s="54" t="s">
        <v>2</v>
      </c>
      <c r="AB5472" s="54" t="s">
        <v>2</v>
      </c>
      <c r="AC5472" s="54" t="s">
        <v>2</v>
      </c>
      <c r="AD5472" s="54" t="s">
        <v>2</v>
      </c>
      <c r="AE5472" s="54" t="s">
        <v>2</v>
      </c>
      <c r="AF5472" s="54" t="s">
        <v>2</v>
      </c>
      <c r="AG5472" s="54" t="s">
        <v>2</v>
      </c>
    </row>
    <row r="5473" ht="15.75" customHeight="1">
      <c r="B5473" s="56"/>
      <c r="U5473" s="46" t="str">
        <f t="array" ref="U5473">IF($D5473="","",IFERROR(_xlfn.XLOOKUP($D5473,'TIR店舗一覧'!$D:$D,'TIR店舗一覧'!$E:$E,""),""))</f>
        <v/>
      </c>
      <c r="V5473" s="54" t="s">
        <v>2</v>
      </c>
      <c r="W5473" s="54" t="s">
        <v>2</v>
      </c>
      <c r="X5473" s="54" t="s">
        <v>2</v>
      </c>
      <c r="Y5473" s="54" t="s">
        <v>2</v>
      </c>
      <c r="Z5473" s="54" t="s">
        <v>2</v>
      </c>
      <c r="AA5473" s="54" t="s">
        <v>2</v>
      </c>
      <c r="AB5473" s="54" t="s">
        <v>2</v>
      </c>
      <c r="AC5473" s="54" t="s">
        <v>2</v>
      </c>
      <c r="AD5473" s="54" t="s">
        <v>2</v>
      </c>
      <c r="AE5473" s="54" t="s">
        <v>2</v>
      </c>
      <c r="AF5473" s="54" t="s">
        <v>2</v>
      </c>
      <c r="AG5473" s="54" t="s">
        <v>2</v>
      </c>
    </row>
    <row r="5474" ht="15.75" customHeight="1">
      <c r="B5474" s="56"/>
      <c r="U5474" s="46" t="str">
        <f t="array" ref="U5474">IF($D5474="","",IFERROR(_xlfn.XLOOKUP($D5474,'TIR店舗一覧'!$D:$D,'TIR店舗一覧'!$E:$E,""),""))</f>
        <v/>
      </c>
      <c r="V5474" s="54" t="s">
        <v>2</v>
      </c>
      <c r="W5474" s="54" t="s">
        <v>2</v>
      </c>
      <c r="X5474" s="54" t="s">
        <v>2</v>
      </c>
      <c r="Y5474" s="54" t="s">
        <v>2</v>
      </c>
      <c r="Z5474" s="54" t="s">
        <v>2</v>
      </c>
      <c r="AA5474" s="54" t="s">
        <v>2</v>
      </c>
      <c r="AB5474" s="54" t="s">
        <v>2</v>
      </c>
      <c r="AC5474" s="54" t="s">
        <v>2</v>
      </c>
      <c r="AD5474" s="54" t="s">
        <v>2</v>
      </c>
      <c r="AE5474" s="54" t="s">
        <v>2</v>
      </c>
      <c r="AF5474" s="54" t="s">
        <v>2</v>
      </c>
      <c r="AG5474" s="54" t="s">
        <v>2</v>
      </c>
    </row>
    <row r="5475" ht="15.75" customHeight="1">
      <c r="B5475" s="56"/>
      <c r="U5475" s="46" t="str">
        <f t="array" ref="U5475">IF($D5475="","",IFERROR(_xlfn.XLOOKUP($D5475,'TIR店舗一覧'!$D:$D,'TIR店舗一覧'!$E:$E,""),""))</f>
        <v/>
      </c>
      <c r="V5475" s="54" t="s">
        <v>2</v>
      </c>
      <c r="W5475" s="54" t="s">
        <v>2</v>
      </c>
      <c r="X5475" s="54" t="s">
        <v>2</v>
      </c>
      <c r="Y5475" s="54" t="s">
        <v>2</v>
      </c>
      <c r="Z5475" s="54" t="s">
        <v>2</v>
      </c>
      <c r="AA5475" s="54" t="s">
        <v>2</v>
      </c>
      <c r="AB5475" s="54" t="s">
        <v>2</v>
      </c>
      <c r="AC5475" s="54" t="s">
        <v>2</v>
      </c>
      <c r="AD5475" s="54" t="s">
        <v>2</v>
      </c>
      <c r="AE5475" s="54" t="s">
        <v>2</v>
      </c>
      <c r="AF5475" s="54" t="s">
        <v>2</v>
      </c>
      <c r="AG5475" s="54" t="s">
        <v>2</v>
      </c>
    </row>
    <row r="5476" ht="15.75" customHeight="1">
      <c r="B5476" s="56"/>
      <c r="U5476" s="46" t="str">
        <f t="array" ref="U5476">IF($D5476="","",IFERROR(_xlfn.XLOOKUP($D5476,'TIR店舗一覧'!$D:$D,'TIR店舗一覧'!$E:$E,""),""))</f>
        <v/>
      </c>
      <c r="V5476" s="54" t="s">
        <v>2</v>
      </c>
      <c r="W5476" s="54" t="s">
        <v>2</v>
      </c>
      <c r="X5476" s="54" t="s">
        <v>2</v>
      </c>
      <c r="Y5476" s="54" t="s">
        <v>2</v>
      </c>
      <c r="Z5476" s="54" t="s">
        <v>2</v>
      </c>
      <c r="AA5476" s="54" t="s">
        <v>2</v>
      </c>
      <c r="AB5476" s="54" t="s">
        <v>2</v>
      </c>
      <c r="AC5476" s="54" t="s">
        <v>2</v>
      </c>
      <c r="AD5476" s="54" t="s">
        <v>2</v>
      </c>
      <c r="AE5476" s="54" t="s">
        <v>2</v>
      </c>
      <c r="AF5476" s="54" t="s">
        <v>2</v>
      </c>
      <c r="AG5476" s="54" t="s">
        <v>2</v>
      </c>
    </row>
    <row r="5477" ht="15.75" customHeight="1">
      <c r="B5477" s="56"/>
      <c r="U5477" s="46" t="str">
        <f t="array" ref="U5477">IF($D5477="","",IFERROR(_xlfn.XLOOKUP($D5477,'TIR店舗一覧'!$D:$D,'TIR店舗一覧'!$E:$E,""),""))</f>
        <v/>
      </c>
      <c r="V5477" s="54" t="s">
        <v>2</v>
      </c>
      <c r="W5477" s="54" t="s">
        <v>2</v>
      </c>
      <c r="X5477" s="54" t="s">
        <v>2</v>
      </c>
      <c r="Y5477" s="54" t="s">
        <v>2</v>
      </c>
      <c r="Z5477" s="54" t="s">
        <v>2</v>
      </c>
      <c r="AA5477" s="54" t="s">
        <v>2</v>
      </c>
      <c r="AB5477" s="54" t="s">
        <v>2</v>
      </c>
      <c r="AC5477" s="54" t="s">
        <v>2</v>
      </c>
      <c r="AD5477" s="54" t="s">
        <v>2</v>
      </c>
      <c r="AE5477" s="54" t="s">
        <v>2</v>
      </c>
      <c r="AF5477" s="54" t="s">
        <v>2</v>
      </c>
      <c r="AG5477" s="54" t="s">
        <v>2</v>
      </c>
    </row>
    <row r="5478" ht="15.75" customHeight="1">
      <c r="B5478" s="56"/>
      <c r="U5478" s="46" t="str">
        <f t="array" ref="U5478">IF($D5478="","",IFERROR(_xlfn.XLOOKUP($D5478,'TIR店舗一覧'!$D:$D,'TIR店舗一覧'!$E:$E,""),""))</f>
        <v/>
      </c>
      <c r="V5478" s="54" t="s">
        <v>2</v>
      </c>
      <c r="W5478" s="54" t="s">
        <v>2</v>
      </c>
      <c r="X5478" s="54" t="s">
        <v>2</v>
      </c>
      <c r="Y5478" s="54" t="s">
        <v>2</v>
      </c>
      <c r="Z5478" s="54" t="s">
        <v>2</v>
      </c>
      <c r="AA5478" s="54" t="s">
        <v>2</v>
      </c>
      <c r="AB5478" s="54" t="s">
        <v>2</v>
      </c>
      <c r="AC5478" s="54" t="s">
        <v>2</v>
      </c>
      <c r="AD5478" s="54" t="s">
        <v>2</v>
      </c>
      <c r="AE5478" s="54" t="s">
        <v>2</v>
      </c>
      <c r="AF5478" s="54" t="s">
        <v>2</v>
      </c>
      <c r="AG5478" s="54" t="s">
        <v>2</v>
      </c>
    </row>
    <row r="5479" ht="15.75" customHeight="1">
      <c r="B5479" s="56"/>
      <c r="U5479" s="46" t="str">
        <f t="array" ref="U5479">IF($D5479="","",IFERROR(_xlfn.XLOOKUP($D5479,'TIR店舗一覧'!$D:$D,'TIR店舗一覧'!$E:$E,""),""))</f>
        <v/>
      </c>
      <c r="V5479" s="54" t="s">
        <v>2</v>
      </c>
      <c r="W5479" s="54" t="s">
        <v>2</v>
      </c>
      <c r="X5479" s="54" t="s">
        <v>2</v>
      </c>
      <c r="Y5479" s="54" t="s">
        <v>2</v>
      </c>
      <c r="Z5479" s="54" t="s">
        <v>2</v>
      </c>
      <c r="AA5479" s="54" t="s">
        <v>2</v>
      </c>
      <c r="AB5479" s="54" t="s">
        <v>2</v>
      </c>
      <c r="AC5479" s="54" t="s">
        <v>2</v>
      </c>
      <c r="AD5479" s="54" t="s">
        <v>2</v>
      </c>
      <c r="AE5479" s="54" t="s">
        <v>2</v>
      </c>
      <c r="AF5479" s="54" t="s">
        <v>2</v>
      </c>
      <c r="AG5479" s="54" t="s">
        <v>2</v>
      </c>
    </row>
    <row r="5480" ht="15.75" customHeight="1">
      <c r="B5480" s="56"/>
      <c r="U5480" s="46" t="str">
        <f t="array" ref="U5480">IF($D5480="","",IFERROR(_xlfn.XLOOKUP($D5480,'TIR店舗一覧'!$D:$D,'TIR店舗一覧'!$E:$E,""),""))</f>
        <v/>
      </c>
      <c r="V5480" s="54" t="s">
        <v>2</v>
      </c>
      <c r="W5480" s="54" t="s">
        <v>2</v>
      </c>
      <c r="X5480" s="54" t="s">
        <v>2</v>
      </c>
      <c r="Y5480" s="54" t="s">
        <v>2</v>
      </c>
      <c r="Z5480" s="54" t="s">
        <v>2</v>
      </c>
      <c r="AA5480" s="54" t="s">
        <v>2</v>
      </c>
      <c r="AB5480" s="54" t="s">
        <v>2</v>
      </c>
      <c r="AC5480" s="54" t="s">
        <v>2</v>
      </c>
      <c r="AD5480" s="54" t="s">
        <v>2</v>
      </c>
      <c r="AE5480" s="54" t="s">
        <v>2</v>
      </c>
      <c r="AF5480" s="54" t="s">
        <v>2</v>
      </c>
      <c r="AG5480" s="54" t="s">
        <v>2</v>
      </c>
    </row>
    <row r="5481" ht="15.75" customHeight="1">
      <c r="B5481" s="56"/>
      <c r="U5481" s="46" t="str">
        <f t="array" ref="U5481">IF($D5481="","",IFERROR(_xlfn.XLOOKUP($D5481,'TIR店舗一覧'!$D:$D,'TIR店舗一覧'!$E:$E,""),""))</f>
        <v/>
      </c>
      <c r="V5481" s="54" t="s">
        <v>2</v>
      </c>
      <c r="W5481" s="54" t="s">
        <v>2</v>
      </c>
      <c r="X5481" s="54" t="s">
        <v>2</v>
      </c>
      <c r="Y5481" s="54" t="s">
        <v>2</v>
      </c>
      <c r="Z5481" s="54" t="s">
        <v>2</v>
      </c>
      <c r="AA5481" s="54" t="s">
        <v>2</v>
      </c>
      <c r="AB5481" s="54" t="s">
        <v>2</v>
      </c>
      <c r="AC5481" s="54" t="s">
        <v>2</v>
      </c>
      <c r="AD5481" s="54" t="s">
        <v>2</v>
      </c>
      <c r="AE5481" s="54" t="s">
        <v>2</v>
      </c>
      <c r="AF5481" s="54" t="s">
        <v>2</v>
      </c>
      <c r="AG5481" s="54" t="s">
        <v>2</v>
      </c>
    </row>
    <row r="5482" ht="15.75" customHeight="1">
      <c r="B5482" s="56"/>
      <c r="U5482" s="46" t="str">
        <f t="array" ref="U5482">IF($D5482="","",IFERROR(_xlfn.XLOOKUP($D5482,'TIR店舗一覧'!$D:$D,'TIR店舗一覧'!$E:$E,""),""))</f>
        <v/>
      </c>
      <c r="V5482" s="54" t="s">
        <v>2</v>
      </c>
      <c r="W5482" s="54" t="s">
        <v>2</v>
      </c>
      <c r="X5482" s="54" t="s">
        <v>2</v>
      </c>
      <c r="Y5482" s="54" t="s">
        <v>2</v>
      </c>
      <c r="Z5482" s="54" t="s">
        <v>2</v>
      </c>
      <c r="AA5482" s="54" t="s">
        <v>2</v>
      </c>
      <c r="AB5482" s="54" t="s">
        <v>2</v>
      </c>
      <c r="AC5482" s="54" t="s">
        <v>2</v>
      </c>
      <c r="AD5482" s="54" t="s">
        <v>2</v>
      </c>
      <c r="AE5482" s="54" t="s">
        <v>2</v>
      </c>
      <c r="AF5482" s="54" t="s">
        <v>2</v>
      </c>
      <c r="AG5482" s="54" t="s">
        <v>2</v>
      </c>
    </row>
    <row r="5483" ht="15.75" customHeight="1">
      <c r="B5483" s="56"/>
      <c r="U5483" s="46" t="str">
        <f t="array" ref="U5483">IF($D5483="","",IFERROR(_xlfn.XLOOKUP($D5483,'TIR店舗一覧'!$D:$D,'TIR店舗一覧'!$E:$E,""),""))</f>
        <v/>
      </c>
      <c r="V5483" s="54" t="s">
        <v>2</v>
      </c>
      <c r="W5483" s="54" t="s">
        <v>2</v>
      </c>
      <c r="X5483" s="54" t="s">
        <v>2</v>
      </c>
      <c r="Y5483" s="54" t="s">
        <v>2</v>
      </c>
      <c r="Z5483" s="54" t="s">
        <v>2</v>
      </c>
      <c r="AA5483" s="54" t="s">
        <v>2</v>
      </c>
      <c r="AB5483" s="54" t="s">
        <v>2</v>
      </c>
      <c r="AC5483" s="54" t="s">
        <v>2</v>
      </c>
      <c r="AD5483" s="54" t="s">
        <v>2</v>
      </c>
      <c r="AE5483" s="54" t="s">
        <v>2</v>
      </c>
      <c r="AF5483" s="54" t="s">
        <v>2</v>
      </c>
      <c r="AG5483" s="54" t="s">
        <v>2</v>
      </c>
    </row>
    <row r="5484" ht="15.75" customHeight="1">
      <c r="B5484" s="56"/>
      <c r="U5484" s="46" t="str">
        <f t="array" ref="U5484">IF($D5484="","",IFERROR(_xlfn.XLOOKUP($D5484,'TIR店舗一覧'!$D:$D,'TIR店舗一覧'!$E:$E,""),""))</f>
        <v/>
      </c>
      <c r="V5484" s="54" t="s">
        <v>2</v>
      </c>
      <c r="W5484" s="54" t="s">
        <v>2</v>
      </c>
      <c r="X5484" s="54" t="s">
        <v>2</v>
      </c>
      <c r="Y5484" s="54" t="s">
        <v>2</v>
      </c>
      <c r="Z5484" s="54" t="s">
        <v>2</v>
      </c>
      <c r="AA5484" s="54" t="s">
        <v>2</v>
      </c>
      <c r="AB5484" s="54" t="s">
        <v>2</v>
      </c>
      <c r="AC5484" s="54" t="s">
        <v>2</v>
      </c>
      <c r="AD5484" s="54" t="s">
        <v>2</v>
      </c>
      <c r="AE5484" s="54" t="s">
        <v>2</v>
      </c>
      <c r="AF5484" s="54" t="s">
        <v>2</v>
      </c>
      <c r="AG5484" s="54" t="s">
        <v>2</v>
      </c>
    </row>
    <row r="5485" ht="15.75" customHeight="1">
      <c r="B5485" s="56"/>
      <c r="U5485" s="46" t="str">
        <f t="array" ref="U5485">IF($D5485="","",IFERROR(_xlfn.XLOOKUP($D5485,'TIR店舗一覧'!$D:$D,'TIR店舗一覧'!$E:$E,""),""))</f>
        <v/>
      </c>
      <c r="V5485" s="54" t="s">
        <v>2</v>
      </c>
      <c r="W5485" s="54" t="s">
        <v>2</v>
      </c>
      <c r="X5485" s="54" t="s">
        <v>2</v>
      </c>
      <c r="Y5485" s="54" t="s">
        <v>2</v>
      </c>
      <c r="Z5485" s="54" t="s">
        <v>2</v>
      </c>
      <c r="AA5485" s="54" t="s">
        <v>2</v>
      </c>
      <c r="AB5485" s="54" t="s">
        <v>2</v>
      </c>
      <c r="AC5485" s="54" t="s">
        <v>2</v>
      </c>
      <c r="AD5485" s="54" t="s">
        <v>2</v>
      </c>
      <c r="AE5485" s="54" t="s">
        <v>2</v>
      </c>
      <c r="AF5485" s="54" t="s">
        <v>2</v>
      </c>
      <c r="AG5485" s="54" t="s">
        <v>2</v>
      </c>
    </row>
    <row r="5486" ht="15.75" customHeight="1">
      <c r="B5486" s="56"/>
      <c r="U5486" s="46" t="str">
        <f t="array" ref="U5486">IF($D5486="","",IFERROR(_xlfn.XLOOKUP($D5486,'TIR店舗一覧'!$D:$D,'TIR店舗一覧'!$E:$E,""),""))</f>
        <v/>
      </c>
      <c r="V5486" s="54" t="s">
        <v>2</v>
      </c>
      <c r="W5486" s="54" t="s">
        <v>2</v>
      </c>
      <c r="X5486" s="54" t="s">
        <v>2</v>
      </c>
      <c r="Y5486" s="54" t="s">
        <v>2</v>
      </c>
      <c r="Z5486" s="54" t="s">
        <v>2</v>
      </c>
      <c r="AA5486" s="54" t="s">
        <v>2</v>
      </c>
      <c r="AB5486" s="54" t="s">
        <v>2</v>
      </c>
      <c r="AC5486" s="54" t="s">
        <v>2</v>
      </c>
      <c r="AD5486" s="54" t="s">
        <v>2</v>
      </c>
      <c r="AE5486" s="54" t="s">
        <v>2</v>
      </c>
      <c r="AF5486" s="54" t="s">
        <v>2</v>
      </c>
      <c r="AG5486" s="54" t="s">
        <v>2</v>
      </c>
    </row>
    <row r="5487" ht="15.75" customHeight="1">
      <c r="B5487" s="56"/>
      <c r="U5487" s="46" t="str">
        <f t="array" ref="U5487">IF($D5487="","",IFERROR(_xlfn.XLOOKUP($D5487,'TIR店舗一覧'!$D:$D,'TIR店舗一覧'!$E:$E,""),""))</f>
        <v/>
      </c>
      <c r="V5487" s="54" t="s">
        <v>2</v>
      </c>
      <c r="W5487" s="54" t="s">
        <v>2</v>
      </c>
      <c r="X5487" s="54" t="s">
        <v>2</v>
      </c>
      <c r="Y5487" s="54" t="s">
        <v>2</v>
      </c>
      <c r="Z5487" s="54" t="s">
        <v>2</v>
      </c>
      <c r="AA5487" s="54" t="s">
        <v>2</v>
      </c>
      <c r="AB5487" s="54" t="s">
        <v>2</v>
      </c>
      <c r="AC5487" s="54" t="s">
        <v>2</v>
      </c>
      <c r="AD5487" s="54" t="s">
        <v>2</v>
      </c>
      <c r="AE5487" s="54" t="s">
        <v>2</v>
      </c>
      <c r="AF5487" s="54" t="s">
        <v>2</v>
      </c>
      <c r="AG5487" s="54" t="s">
        <v>2</v>
      </c>
    </row>
    <row r="5488" ht="15.75" customHeight="1">
      <c r="B5488" s="56"/>
      <c r="U5488" s="46" t="str">
        <f t="array" ref="U5488">IF($D5488="","",IFERROR(_xlfn.XLOOKUP($D5488,'TIR店舗一覧'!$D:$D,'TIR店舗一覧'!$E:$E,""),""))</f>
        <v/>
      </c>
      <c r="V5488" s="54" t="s">
        <v>2</v>
      </c>
      <c r="W5488" s="54" t="s">
        <v>2</v>
      </c>
      <c r="X5488" s="54" t="s">
        <v>2</v>
      </c>
      <c r="Y5488" s="54" t="s">
        <v>2</v>
      </c>
      <c r="Z5488" s="54" t="s">
        <v>2</v>
      </c>
      <c r="AA5488" s="54" t="s">
        <v>2</v>
      </c>
      <c r="AB5488" s="54" t="s">
        <v>2</v>
      </c>
      <c r="AC5488" s="54" t="s">
        <v>2</v>
      </c>
      <c r="AD5488" s="54" t="s">
        <v>2</v>
      </c>
      <c r="AE5488" s="54" t="s">
        <v>2</v>
      </c>
      <c r="AF5488" s="54" t="s">
        <v>2</v>
      </c>
      <c r="AG5488" s="54" t="s">
        <v>2</v>
      </c>
    </row>
    <row r="5489" ht="15.75" customHeight="1">
      <c r="B5489" s="56"/>
      <c r="U5489" s="46" t="str">
        <f t="array" ref="U5489">IF($D5489="","",IFERROR(_xlfn.XLOOKUP($D5489,'TIR店舗一覧'!$D:$D,'TIR店舗一覧'!$E:$E,""),""))</f>
        <v/>
      </c>
      <c r="V5489" s="54" t="s">
        <v>2</v>
      </c>
      <c r="W5489" s="54" t="s">
        <v>2</v>
      </c>
      <c r="X5489" s="54" t="s">
        <v>2</v>
      </c>
      <c r="Y5489" s="54" t="s">
        <v>2</v>
      </c>
      <c r="Z5489" s="54" t="s">
        <v>2</v>
      </c>
      <c r="AA5489" s="54" t="s">
        <v>2</v>
      </c>
      <c r="AB5489" s="54" t="s">
        <v>2</v>
      </c>
      <c r="AC5489" s="54" t="s">
        <v>2</v>
      </c>
      <c r="AD5489" s="54" t="s">
        <v>2</v>
      </c>
      <c r="AE5489" s="54" t="s">
        <v>2</v>
      </c>
      <c r="AF5489" s="54" t="s">
        <v>2</v>
      </c>
      <c r="AG5489" s="54" t="s">
        <v>2</v>
      </c>
    </row>
    <row r="5490" ht="15.75" customHeight="1">
      <c r="B5490" s="56"/>
      <c r="U5490" s="46" t="str">
        <f t="array" ref="U5490">IF($D5490="","",IFERROR(_xlfn.XLOOKUP($D5490,'TIR店舗一覧'!$D:$D,'TIR店舗一覧'!$E:$E,""),""))</f>
        <v/>
      </c>
      <c r="V5490" s="54" t="s">
        <v>2</v>
      </c>
      <c r="W5490" s="54" t="s">
        <v>2</v>
      </c>
      <c r="X5490" s="54" t="s">
        <v>2</v>
      </c>
      <c r="Y5490" s="54" t="s">
        <v>2</v>
      </c>
      <c r="Z5490" s="54" t="s">
        <v>2</v>
      </c>
      <c r="AA5490" s="54" t="s">
        <v>2</v>
      </c>
      <c r="AB5490" s="54" t="s">
        <v>2</v>
      </c>
      <c r="AC5490" s="54" t="s">
        <v>2</v>
      </c>
      <c r="AD5490" s="54" t="s">
        <v>2</v>
      </c>
      <c r="AE5490" s="54" t="s">
        <v>2</v>
      </c>
      <c r="AF5490" s="54" t="s">
        <v>2</v>
      </c>
      <c r="AG5490" s="54" t="s">
        <v>2</v>
      </c>
    </row>
    <row r="5491" ht="15.75" customHeight="1">
      <c r="B5491" s="56"/>
      <c r="U5491" s="46" t="str">
        <f t="array" ref="U5491">IF($D5491="","",IFERROR(_xlfn.XLOOKUP($D5491,'TIR店舗一覧'!$D:$D,'TIR店舗一覧'!$E:$E,""),""))</f>
        <v/>
      </c>
      <c r="V5491" s="54" t="s">
        <v>2</v>
      </c>
      <c r="W5491" s="54" t="s">
        <v>2</v>
      </c>
      <c r="X5491" s="54" t="s">
        <v>2</v>
      </c>
      <c r="Y5491" s="54" t="s">
        <v>2</v>
      </c>
      <c r="Z5491" s="54" t="s">
        <v>2</v>
      </c>
      <c r="AA5491" s="54" t="s">
        <v>2</v>
      </c>
      <c r="AB5491" s="54" t="s">
        <v>2</v>
      </c>
      <c r="AC5491" s="54" t="s">
        <v>2</v>
      </c>
      <c r="AD5491" s="54" t="s">
        <v>2</v>
      </c>
      <c r="AE5491" s="54" t="s">
        <v>2</v>
      </c>
      <c r="AF5491" s="54" t="s">
        <v>2</v>
      </c>
      <c r="AG5491" s="54" t="s">
        <v>2</v>
      </c>
    </row>
    <row r="5492" ht="15.75" customHeight="1">
      <c r="B5492" s="56"/>
      <c r="U5492" s="46" t="str">
        <f t="array" ref="U5492">IF($D5492="","",IFERROR(_xlfn.XLOOKUP($D5492,'TIR店舗一覧'!$D:$D,'TIR店舗一覧'!$E:$E,""),""))</f>
        <v/>
      </c>
      <c r="V5492" s="54" t="s">
        <v>2</v>
      </c>
      <c r="W5492" s="54" t="s">
        <v>2</v>
      </c>
      <c r="X5492" s="54" t="s">
        <v>2</v>
      </c>
      <c r="Y5492" s="54" t="s">
        <v>2</v>
      </c>
      <c r="Z5492" s="54" t="s">
        <v>2</v>
      </c>
      <c r="AA5492" s="54" t="s">
        <v>2</v>
      </c>
      <c r="AB5492" s="54" t="s">
        <v>2</v>
      </c>
      <c r="AC5492" s="54" t="s">
        <v>2</v>
      </c>
      <c r="AD5492" s="54" t="s">
        <v>2</v>
      </c>
      <c r="AE5492" s="54" t="s">
        <v>2</v>
      </c>
      <c r="AF5492" s="54" t="s">
        <v>2</v>
      </c>
      <c r="AG5492" s="54" t="s">
        <v>2</v>
      </c>
    </row>
    <row r="5493" ht="15.75" customHeight="1">
      <c r="B5493" s="56"/>
      <c r="U5493" s="46" t="str">
        <f t="array" ref="U5493">IF($D5493="","",IFERROR(_xlfn.XLOOKUP($D5493,'TIR店舗一覧'!$D:$D,'TIR店舗一覧'!$E:$E,""),""))</f>
        <v/>
      </c>
      <c r="V5493" s="54" t="s">
        <v>2</v>
      </c>
      <c r="W5493" s="54" t="s">
        <v>2</v>
      </c>
      <c r="X5493" s="54" t="s">
        <v>2</v>
      </c>
      <c r="Y5493" s="54" t="s">
        <v>2</v>
      </c>
      <c r="Z5493" s="54" t="s">
        <v>2</v>
      </c>
      <c r="AA5493" s="54" t="s">
        <v>2</v>
      </c>
      <c r="AB5493" s="54" t="s">
        <v>2</v>
      </c>
      <c r="AC5493" s="54" t="s">
        <v>2</v>
      </c>
      <c r="AD5493" s="54" t="s">
        <v>2</v>
      </c>
      <c r="AE5493" s="54" t="s">
        <v>2</v>
      </c>
      <c r="AF5493" s="54" t="s">
        <v>2</v>
      </c>
      <c r="AG5493" s="54" t="s">
        <v>2</v>
      </c>
    </row>
    <row r="5494" ht="15.75" customHeight="1">
      <c r="B5494" s="56"/>
      <c r="U5494" s="46" t="str">
        <f t="array" ref="U5494">IF($D5494="","",IFERROR(_xlfn.XLOOKUP($D5494,'TIR店舗一覧'!$D:$D,'TIR店舗一覧'!$E:$E,""),""))</f>
        <v/>
      </c>
      <c r="V5494" s="54" t="s">
        <v>2</v>
      </c>
      <c r="W5494" s="54" t="s">
        <v>2</v>
      </c>
      <c r="X5494" s="54" t="s">
        <v>2</v>
      </c>
      <c r="Y5494" s="54" t="s">
        <v>2</v>
      </c>
      <c r="Z5494" s="54" t="s">
        <v>2</v>
      </c>
      <c r="AA5494" s="54" t="s">
        <v>2</v>
      </c>
      <c r="AB5494" s="54" t="s">
        <v>2</v>
      </c>
      <c r="AC5494" s="54" t="s">
        <v>2</v>
      </c>
      <c r="AD5494" s="54" t="s">
        <v>2</v>
      </c>
      <c r="AE5494" s="54" t="s">
        <v>2</v>
      </c>
      <c r="AF5494" s="54" t="s">
        <v>2</v>
      </c>
      <c r="AG5494" s="54" t="s">
        <v>2</v>
      </c>
    </row>
    <row r="5495" ht="15.75" customHeight="1">
      <c r="B5495" s="56"/>
      <c r="U5495" s="46" t="str">
        <f t="array" ref="U5495">IF($D5495="","",IFERROR(_xlfn.XLOOKUP($D5495,'TIR店舗一覧'!$D:$D,'TIR店舗一覧'!$E:$E,""),""))</f>
        <v/>
      </c>
      <c r="V5495" s="54" t="s">
        <v>2</v>
      </c>
      <c r="W5495" s="54" t="s">
        <v>2</v>
      </c>
      <c r="X5495" s="54" t="s">
        <v>2</v>
      </c>
      <c r="Y5495" s="54" t="s">
        <v>2</v>
      </c>
      <c r="Z5495" s="54" t="s">
        <v>2</v>
      </c>
      <c r="AA5495" s="54" t="s">
        <v>2</v>
      </c>
      <c r="AB5495" s="54" t="s">
        <v>2</v>
      </c>
      <c r="AC5495" s="54" t="s">
        <v>2</v>
      </c>
      <c r="AD5495" s="54" t="s">
        <v>2</v>
      </c>
      <c r="AE5495" s="54" t="s">
        <v>2</v>
      </c>
      <c r="AF5495" s="54" t="s">
        <v>2</v>
      </c>
      <c r="AG5495" s="54" t="s">
        <v>2</v>
      </c>
    </row>
    <row r="5496" ht="15.75" customHeight="1">
      <c r="B5496" s="56"/>
      <c r="U5496" s="46" t="str">
        <f t="array" ref="U5496">IF($D5496="","",IFERROR(_xlfn.XLOOKUP($D5496,'TIR店舗一覧'!$D:$D,'TIR店舗一覧'!$E:$E,""),""))</f>
        <v/>
      </c>
      <c r="V5496" s="54" t="s">
        <v>2</v>
      </c>
      <c r="W5496" s="54" t="s">
        <v>2</v>
      </c>
      <c r="X5496" s="54" t="s">
        <v>2</v>
      </c>
      <c r="Y5496" s="54" t="s">
        <v>2</v>
      </c>
      <c r="Z5496" s="54" t="s">
        <v>2</v>
      </c>
      <c r="AA5496" s="54" t="s">
        <v>2</v>
      </c>
      <c r="AB5496" s="54" t="s">
        <v>2</v>
      </c>
      <c r="AC5496" s="54" t="s">
        <v>2</v>
      </c>
      <c r="AD5496" s="54" t="s">
        <v>2</v>
      </c>
      <c r="AE5496" s="54" t="s">
        <v>2</v>
      </c>
      <c r="AF5496" s="54" t="s">
        <v>2</v>
      </c>
      <c r="AG5496" s="54" t="s">
        <v>2</v>
      </c>
    </row>
    <row r="5497" ht="15.75" customHeight="1">
      <c r="B5497" s="56"/>
      <c r="U5497" s="46" t="str">
        <f t="array" ref="U5497">IF($D5497="","",IFERROR(_xlfn.XLOOKUP($D5497,'TIR店舗一覧'!$D:$D,'TIR店舗一覧'!$E:$E,""),""))</f>
        <v/>
      </c>
      <c r="V5497" s="54" t="s">
        <v>2</v>
      </c>
      <c r="W5497" s="54" t="s">
        <v>2</v>
      </c>
      <c r="X5497" s="54" t="s">
        <v>2</v>
      </c>
      <c r="Y5497" s="54" t="s">
        <v>2</v>
      </c>
      <c r="Z5497" s="54" t="s">
        <v>2</v>
      </c>
      <c r="AA5497" s="54" t="s">
        <v>2</v>
      </c>
      <c r="AB5497" s="54" t="s">
        <v>2</v>
      </c>
      <c r="AC5497" s="54" t="s">
        <v>2</v>
      </c>
      <c r="AD5497" s="54" t="s">
        <v>2</v>
      </c>
      <c r="AE5497" s="54" t="s">
        <v>2</v>
      </c>
      <c r="AF5497" s="54" t="s">
        <v>2</v>
      </c>
      <c r="AG5497" s="54" t="s">
        <v>2</v>
      </c>
    </row>
    <row r="5498" ht="15.75" customHeight="1">
      <c r="B5498" s="56"/>
      <c r="U5498" s="46" t="str">
        <f t="array" ref="U5498">IF($D5498="","",IFERROR(_xlfn.XLOOKUP($D5498,'TIR店舗一覧'!$D:$D,'TIR店舗一覧'!$E:$E,""),""))</f>
        <v/>
      </c>
      <c r="V5498" s="54" t="s">
        <v>2</v>
      </c>
      <c r="W5498" s="54" t="s">
        <v>2</v>
      </c>
      <c r="X5498" s="54" t="s">
        <v>2</v>
      </c>
      <c r="Y5498" s="54" t="s">
        <v>2</v>
      </c>
      <c r="Z5498" s="54" t="s">
        <v>2</v>
      </c>
      <c r="AA5498" s="54" t="s">
        <v>2</v>
      </c>
      <c r="AB5498" s="54" t="s">
        <v>2</v>
      </c>
      <c r="AC5498" s="54" t="s">
        <v>2</v>
      </c>
      <c r="AD5498" s="54" t="s">
        <v>2</v>
      </c>
      <c r="AE5498" s="54" t="s">
        <v>2</v>
      </c>
      <c r="AF5498" s="54" t="s">
        <v>2</v>
      </c>
      <c r="AG5498" s="54" t="s">
        <v>2</v>
      </c>
    </row>
    <row r="5499" ht="15.75" customHeight="1">
      <c r="B5499" s="56"/>
      <c r="U5499" s="46" t="str">
        <f t="array" ref="U5499">IF($D5499="","",IFERROR(_xlfn.XLOOKUP($D5499,'TIR店舗一覧'!$D:$D,'TIR店舗一覧'!$E:$E,""),""))</f>
        <v/>
      </c>
      <c r="V5499" s="54" t="s">
        <v>2</v>
      </c>
      <c r="W5499" s="54" t="s">
        <v>2</v>
      </c>
      <c r="X5499" s="54" t="s">
        <v>2</v>
      </c>
      <c r="Y5499" s="54" t="s">
        <v>2</v>
      </c>
      <c r="Z5499" s="54" t="s">
        <v>2</v>
      </c>
      <c r="AA5499" s="54" t="s">
        <v>2</v>
      </c>
      <c r="AB5499" s="54" t="s">
        <v>2</v>
      </c>
      <c r="AC5499" s="54" t="s">
        <v>2</v>
      </c>
      <c r="AD5499" s="54" t="s">
        <v>2</v>
      </c>
      <c r="AE5499" s="54" t="s">
        <v>2</v>
      </c>
      <c r="AF5499" s="54" t="s">
        <v>2</v>
      </c>
      <c r="AG5499" s="54" t="s">
        <v>2</v>
      </c>
    </row>
    <row r="5500" ht="15.75" customHeight="1">
      <c r="B5500" s="56"/>
      <c r="U5500" s="46" t="str">
        <f t="array" ref="U5500">IF($D5500="","",IFERROR(_xlfn.XLOOKUP($D5500,'TIR店舗一覧'!$D:$D,'TIR店舗一覧'!$E:$E,""),""))</f>
        <v/>
      </c>
      <c r="V5500" s="54" t="s">
        <v>2</v>
      </c>
      <c r="W5500" s="54" t="s">
        <v>2</v>
      </c>
      <c r="X5500" s="54" t="s">
        <v>2</v>
      </c>
      <c r="Y5500" s="54" t="s">
        <v>2</v>
      </c>
      <c r="Z5500" s="54" t="s">
        <v>2</v>
      </c>
      <c r="AA5500" s="54" t="s">
        <v>2</v>
      </c>
      <c r="AB5500" s="54" t="s">
        <v>2</v>
      </c>
      <c r="AC5500" s="54" t="s">
        <v>2</v>
      </c>
      <c r="AD5500" s="54" t="s">
        <v>2</v>
      </c>
      <c r="AE5500" s="54" t="s">
        <v>2</v>
      </c>
      <c r="AF5500" s="54" t="s">
        <v>2</v>
      </c>
      <c r="AG5500" s="54" t="s">
        <v>2</v>
      </c>
    </row>
    <row r="5501" ht="15.75" customHeight="1">
      <c r="B5501" s="56"/>
      <c r="U5501" s="46" t="str">
        <f t="array" ref="U5501">IF($D5501="","",IFERROR(_xlfn.XLOOKUP($D5501,'TIR店舗一覧'!$D:$D,'TIR店舗一覧'!$E:$E,""),""))</f>
        <v/>
      </c>
      <c r="V5501" s="54" t="s">
        <v>2</v>
      </c>
      <c r="W5501" s="54" t="s">
        <v>2</v>
      </c>
      <c r="X5501" s="54" t="s">
        <v>2</v>
      </c>
      <c r="Y5501" s="54" t="s">
        <v>2</v>
      </c>
      <c r="Z5501" s="54" t="s">
        <v>2</v>
      </c>
      <c r="AA5501" s="54" t="s">
        <v>2</v>
      </c>
      <c r="AB5501" s="54" t="s">
        <v>2</v>
      </c>
      <c r="AC5501" s="54" t="s">
        <v>2</v>
      </c>
      <c r="AD5501" s="54" t="s">
        <v>2</v>
      </c>
      <c r="AE5501" s="54" t="s">
        <v>2</v>
      </c>
      <c r="AF5501" s="54" t="s">
        <v>2</v>
      </c>
      <c r="AG5501" s="54" t="s">
        <v>2</v>
      </c>
    </row>
    <row r="5502" ht="15.75" customHeight="1">
      <c r="B5502" s="56"/>
      <c r="U5502" s="46" t="str">
        <f t="array" ref="U5502">IF($D5502="","",IFERROR(_xlfn.XLOOKUP($D5502,'TIR店舗一覧'!$D:$D,'TIR店舗一覧'!$E:$E,""),""))</f>
        <v/>
      </c>
      <c r="V5502" s="54" t="s">
        <v>2</v>
      </c>
      <c r="W5502" s="54" t="s">
        <v>2</v>
      </c>
      <c r="X5502" s="54" t="s">
        <v>2</v>
      </c>
      <c r="Y5502" s="54" t="s">
        <v>2</v>
      </c>
      <c r="Z5502" s="54" t="s">
        <v>2</v>
      </c>
      <c r="AA5502" s="54" t="s">
        <v>2</v>
      </c>
      <c r="AB5502" s="54" t="s">
        <v>2</v>
      </c>
      <c r="AC5502" s="54" t="s">
        <v>2</v>
      </c>
      <c r="AD5502" s="54" t="s">
        <v>2</v>
      </c>
      <c r="AE5502" s="54" t="s">
        <v>2</v>
      </c>
      <c r="AF5502" s="54" t="s">
        <v>2</v>
      </c>
      <c r="AG5502" s="54" t="s">
        <v>2</v>
      </c>
    </row>
    <row r="5503" ht="15.75" customHeight="1">
      <c r="B5503" s="56"/>
      <c r="U5503" s="46" t="str">
        <f t="array" ref="U5503">IF($D5503="","",IFERROR(_xlfn.XLOOKUP($D5503,'TIR店舗一覧'!$D:$D,'TIR店舗一覧'!$E:$E,""),""))</f>
        <v/>
      </c>
      <c r="V5503" s="54" t="s">
        <v>2</v>
      </c>
      <c r="W5503" s="54" t="s">
        <v>2</v>
      </c>
      <c r="X5503" s="54" t="s">
        <v>2</v>
      </c>
      <c r="Y5503" s="54" t="s">
        <v>2</v>
      </c>
      <c r="Z5503" s="54" t="s">
        <v>2</v>
      </c>
      <c r="AA5503" s="54" t="s">
        <v>2</v>
      </c>
      <c r="AB5503" s="54" t="s">
        <v>2</v>
      </c>
      <c r="AC5503" s="54" t="s">
        <v>2</v>
      </c>
      <c r="AD5503" s="54" t="s">
        <v>2</v>
      </c>
      <c r="AE5503" s="54" t="s">
        <v>2</v>
      </c>
      <c r="AF5503" s="54" t="s">
        <v>2</v>
      </c>
      <c r="AG5503" s="54" t="s">
        <v>2</v>
      </c>
    </row>
    <row r="5504" ht="15.75" customHeight="1">
      <c r="B5504" s="56"/>
      <c r="U5504" s="46" t="str">
        <f t="array" ref="U5504">IF($D5504="","",IFERROR(_xlfn.XLOOKUP($D5504,'TIR店舗一覧'!$D:$D,'TIR店舗一覧'!$E:$E,""),""))</f>
        <v/>
      </c>
      <c r="V5504" s="54" t="s">
        <v>2</v>
      </c>
      <c r="W5504" s="54" t="s">
        <v>2</v>
      </c>
      <c r="X5504" s="54" t="s">
        <v>2</v>
      </c>
      <c r="Y5504" s="54" t="s">
        <v>2</v>
      </c>
      <c r="Z5504" s="54" t="s">
        <v>2</v>
      </c>
      <c r="AA5504" s="54" t="s">
        <v>2</v>
      </c>
      <c r="AB5504" s="54" t="s">
        <v>2</v>
      </c>
      <c r="AC5504" s="54" t="s">
        <v>2</v>
      </c>
      <c r="AD5504" s="54" t="s">
        <v>2</v>
      </c>
      <c r="AE5504" s="54" t="s">
        <v>2</v>
      </c>
      <c r="AF5504" s="54" t="s">
        <v>2</v>
      </c>
      <c r="AG5504" s="54" t="s">
        <v>2</v>
      </c>
    </row>
    <row r="5505" ht="15.75" customHeight="1">
      <c r="B5505" s="56"/>
      <c r="U5505" s="46" t="str">
        <f t="array" ref="U5505">IF($D5505="","",IFERROR(_xlfn.XLOOKUP($D5505,'TIR店舗一覧'!$D:$D,'TIR店舗一覧'!$E:$E,""),""))</f>
        <v/>
      </c>
      <c r="V5505" s="54" t="s">
        <v>2</v>
      </c>
      <c r="W5505" s="54" t="s">
        <v>2</v>
      </c>
      <c r="X5505" s="54" t="s">
        <v>2</v>
      </c>
      <c r="Y5505" s="54" t="s">
        <v>2</v>
      </c>
      <c r="Z5505" s="54" t="s">
        <v>2</v>
      </c>
      <c r="AA5505" s="54" t="s">
        <v>2</v>
      </c>
      <c r="AB5505" s="54" t="s">
        <v>2</v>
      </c>
      <c r="AC5505" s="54" t="s">
        <v>2</v>
      </c>
      <c r="AD5505" s="54" t="s">
        <v>2</v>
      </c>
      <c r="AE5505" s="54" t="s">
        <v>2</v>
      </c>
      <c r="AF5505" s="54" t="s">
        <v>2</v>
      </c>
      <c r="AG5505" s="54" t="s">
        <v>2</v>
      </c>
    </row>
    <row r="5506" ht="15.75" customHeight="1">
      <c r="B5506" s="56"/>
      <c r="U5506" s="46" t="str">
        <f t="array" ref="U5506">IF($D5506="","",IFERROR(_xlfn.XLOOKUP($D5506,'TIR店舗一覧'!$D:$D,'TIR店舗一覧'!$E:$E,""),""))</f>
        <v/>
      </c>
      <c r="V5506" s="54" t="s">
        <v>2</v>
      </c>
      <c r="W5506" s="54" t="s">
        <v>2</v>
      </c>
      <c r="X5506" s="54" t="s">
        <v>2</v>
      </c>
      <c r="Y5506" s="54" t="s">
        <v>2</v>
      </c>
      <c r="Z5506" s="54" t="s">
        <v>2</v>
      </c>
      <c r="AA5506" s="54" t="s">
        <v>2</v>
      </c>
      <c r="AB5506" s="54" t="s">
        <v>2</v>
      </c>
      <c r="AC5506" s="54" t="s">
        <v>2</v>
      </c>
      <c r="AD5506" s="54" t="s">
        <v>2</v>
      </c>
      <c r="AE5506" s="54" t="s">
        <v>2</v>
      </c>
      <c r="AF5506" s="54" t="s">
        <v>2</v>
      </c>
      <c r="AG5506" s="54" t="s">
        <v>2</v>
      </c>
    </row>
    <row r="5507" ht="15.75" customHeight="1">
      <c r="B5507" s="56"/>
      <c r="U5507" s="46" t="str">
        <f t="array" ref="U5507">IF($D5507="","",IFERROR(_xlfn.XLOOKUP($D5507,'TIR店舗一覧'!$D:$D,'TIR店舗一覧'!$E:$E,""),""))</f>
        <v/>
      </c>
      <c r="V5507" s="54" t="s">
        <v>2</v>
      </c>
      <c r="W5507" s="54" t="s">
        <v>2</v>
      </c>
      <c r="X5507" s="54" t="s">
        <v>2</v>
      </c>
      <c r="Y5507" s="54" t="s">
        <v>2</v>
      </c>
      <c r="Z5507" s="54" t="s">
        <v>2</v>
      </c>
      <c r="AA5507" s="54" t="s">
        <v>2</v>
      </c>
      <c r="AB5507" s="54" t="s">
        <v>2</v>
      </c>
      <c r="AC5507" s="54" t="s">
        <v>2</v>
      </c>
      <c r="AD5507" s="54" t="s">
        <v>2</v>
      </c>
      <c r="AE5507" s="54" t="s">
        <v>2</v>
      </c>
      <c r="AF5507" s="54" t="s">
        <v>2</v>
      </c>
      <c r="AG5507" s="54" t="s">
        <v>2</v>
      </c>
    </row>
    <row r="5508" ht="15.75" customHeight="1">
      <c r="B5508" s="56"/>
      <c r="U5508" s="46" t="str">
        <f t="array" ref="U5508">IF($D5508="","",IFERROR(_xlfn.XLOOKUP($D5508,'TIR店舗一覧'!$D:$D,'TIR店舗一覧'!$E:$E,""),""))</f>
        <v/>
      </c>
      <c r="V5508" s="54" t="s">
        <v>2</v>
      </c>
      <c r="W5508" s="54" t="s">
        <v>2</v>
      </c>
      <c r="X5508" s="54" t="s">
        <v>2</v>
      </c>
      <c r="Y5508" s="54" t="s">
        <v>2</v>
      </c>
      <c r="Z5508" s="54" t="s">
        <v>2</v>
      </c>
      <c r="AA5508" s="54" t="s">
        <v>2</v>
      </c>
      <c r="AB5508" s="54" t="s">
        <v>2</v>
      </c>
      <c r="AC5508" s="54" t="s">
        <v>2</v>
      </c>
      <c r="AD5508" s="54" t="s">
        <v>2</v>
      </c>
      <c r="AE5508" s="54" t="s">
        <v>2</v>
      </c>
      <c r="AF5508" s="54" t="s">
        <v>2</v>
      </c>
      <c r="AG5508" s="54" t="s">
        <v>2</v>
      </c>
    </row>
    <row r="5509" ht="15.75" customHeight="1">
      <c r="B5509" s="56"/>
      <c r="U5509" s="46" t="str">
        <f t="array" ref="U5509">IF($D5509="","",IFERROR(_xlfn.XLOOKUP($D5509,'TIR店舗一覧'!$D:$D,'TIR店舗一覧'!$E:$E,""),""))</f>
        <v/>
      </c>
      <c r="V5509" s="54" t="s">
        <v>2</v>
      </c>
      <c r="W5509" s="54" t="s">
        <v>2</v>
      </c>
      <c r="X5509" s="54" t="s">
        <v>2</v>
      </c>
      <c r="Y5509" s="54" t="s">
        <v>2</v>
      </c>
      <c r="Z5509" s="54" t="s">
        <v>2</v>
      </c>
      <c r="AA5509" s="54" t="s">
        <v>2</v>
      </c>
      <c r="AB5509" s="54" t="s">
        <v>2</v>
      </c>
      <c r="AC5509" s="54" t="s">
        <v>2</v>
      </c>
      <c r="AD5509" s="54" t="s">
        <v>2</v>
      </c>
      <c r="AE5509" s="54" t="s">
        <v>2</v>
      </c>
      <c r="AF5509" s="54" t="s">
        <v>2</v>
      </c>
      <c r="AG5509" s="54" t="s">
        <v>2</v>
      </c>
    </row>
    <row r="5510" ht="15.75" customHeight="1">
      <c r="B5510" s="56"/>
      <c r="U5510" s="46" t="str">
        <f t="array" ref="U5510">IF($D5510="","",IFERROR(_xlfn.XLOOKUP($D5510,'TIR店舗一覧'!$D:$D,'TIR店舗一覧'!$E:$E,""),""))</f>
        <v/>
      </c>
      <c r="V5510" s="54" t="s">
        <v>2</v>
      </c>
      <c r="W5510" s="54" t="s">
        <v>2</v>
      </c>
      <c r="X5510" s="54" t="s">
        <v>2</v>
      </c>
      <c r="Y5510" s="54" t="s">
        <v>2</v>
      </c>
      <c r="Z5510" s="54" t="s">
        <v>2</v>
      </c>
      <c r="AA5510" s="54" t="s">
        <v>2</v>
      </c>
      <c r="AB5510" s="54" t="s">
        <v>2</v>
      </c>
      <c r="AC5510" s="54" t="s">
        <v>2</v>
      </c>
      <c r="AD5510" s="54" t="s">
        <v>2</v>
      </c>
      <c r="AE5510" s="54" t="s">
        <v>2</v>
      </c>
      <c r="AF5510" s="54" t="s">
        <v>2</v>
      </c>
      <c r="AG5510" s="54" t="s">
        <v>2</v>
      </c>
    </row>
    <row r="5511" ht="15.75" customHeight="1">
      <c r="B5511" s="56"/>
      <c r="U5511" s="46" t="str">
        <f t="array" ref="U5511">IF($D5511="","",IFERROR(_xlfn.XLOOKUP($D5511,'TIR店舗一覧'!$D:$D,'TIR店舗一覧'!$E:$E,""),""))</f>
        <v/>
      </c>
      <c r="V5511" s="54" t="s">
        <v>2</v>
      </c>
      <c r="W5511" s="54" t="s">
        <v>2</v>
      </c>
      <c r="X5511" s="54" t="s">
        <v>2</v>
      </c>
      <c r="Y5511" s="54" t="s">
        <v>2</v>
      </c>
      <c r="Z5511" s="54" t="s">
        <v>2</v>
      </c>
      <c r="AA5511" s="54" t="s">
        <v>2</v>
      </c>
      <c r="AB5511" s="54" t="s">
        <v>2</v>
      </c>
      <c r="AC5511" s="54" t="s">
        <v>2</v>
      </c>
      <c r="AD5511" s="54" t="s">
        <v>2</v>
      </c>
      <c r="AE5511" s="54" t="s">
        <v>2</v>
      </c>
      <c r="AF5511" s="54" t="s">
        <v>2</v>
      </c>
      <c r="AG5511" s="54" t="s">
        <v>2</v>
      </c>
    </row>
    <row r="5512" ht="15.75" customHeight="1">
      <c r="B5512" s="56"/>
      <c r="U5512" s="46" t="str">
        <f t="array" ref="U5512">IF($D5512="","",IFERROR(_xlfn.XLOOKUP($D5512,'TIR店舗一覧'!$D:$D,'TIR店舗一覧'!$E:$E,""),""))</f>
        <v/>
      </c>
      <c r="V5512" s="54" t="s">
        <v>2</v>
      </c>
      <c r="W5512" s="54" t="s">
        <v>2</v>
      </c>
      <c r="X5512" s="54" t="s">
        <v>2</v>
      </c>
      <c r="Y5512" s="54" t="s">
        <v>2</v>
      </c>
      <c r="Z5512" s="54" t="s">
        <v>2</v>
      </c>
      <c r="AA5512" s="54" t="s">
        <v>2</v>
      </c>
      <c r="AB5512" s="54" t="s">
        <v>2</v>
      </c>
      <c r="AC5512" s="54" t="s">
        <v>2</v>
      </c>
      <c r="AD5512" s="54" t="s">
        <v>2</v>
      </c>
      <c r="AE5512" s="54" t="s">
        <v>2</v>
      </c>
      <c r="AF5512" s="54" t="s">
        <v>2</v>
      </c>
      <c r="AG5512" s="54" t="s">
        <v>2</v>
      </c>
    </row>
    <row r="5513" ht="15.75" customHeight="1">
      <c r="B5513" s="56"/>
      <c r="U5513" s="46" t="str">
        <f t="array" ref="U5513">IF($D5513="","",IFERROR(_xlfn.XLOOKUP($D5513,'TIR店舗一覧'!$D:$D,'TIR店舗一覧'!$E:$E,""),""))</f>
        <v/>
      </c>
      <c r="V5513" s="54" t="s">
        <v>2</v>
      </c>
      <c r="W5513" s="54" t="s">
        <v>2</v>
      </c>
      <c r="X5513" s="54" t="s">
        <v>2</v>
      </c>
      <c r="Y5513" s="54" t="s">
        <v>2</v>
      </c>
      <c r="Z5513" s="54" t="s">
        <v>2</v>
      </c>
      <c r="AA5513" s="54" t="s">
        <v>2</v>
      </c>
      <c r="AB5513" s="54" t="s">
        <v>2</v>
      </c>
      <c r="AC5513" s="54" t="s">
        <v>2</v>
      </c>
      <c r="AD5513" s="54" t="s">
        <v>2</v>
      </c>
      <c r="AE5513" s="54" t="s">
        <v>2</v>
      </c>
      <c r="AF5513" s="54" t="s">
        <v>2</v>
      </c>
      <c r="AG5513" s="54" t="s">
        <v>2</v>
      </c>
    </row>
    <row r="5514" ht="15.75" customHeight="1">
      <c r="B5514" s="56"/>
      <c r="U5514" s="46" t="str">
        <f t="array" ref="U5514">IF($D5514="","",IFERROR(_xlfn.XLOOKUP($D5514,'TIR店舗一覧'!$D:$D,'TIR店舗一覧'!$E:$E,""),""))</f>
        <v/>
      </c>
      <c r="V5514" s="54" t="s">
        <v>2</v>
      </c>
      <c r="W5514" s="54" t="s">
        <v>2</v>
      </c>
      <c r="X5514" s="54" t="s">
        <v>2</v>
      </c>
      <c r="Y5514" s="54" t="s">
        <v>2</v>
      </c>
      <c r="Z5514" s="54" t="s">
        <v>2</v>
      </c>
      <c r="AA5514" s="54" t="s">
        <v>2</v>
      </c>
      <c r="AB5514" s="54" t="s">
        <v>2</v>
      </c>
      <c r="AC5514" s="54" t="s">
        <v>2</v>
      </c>
      <c r="AD5514" s="54" t="s">
        <v>2</v>
      </c>
      <c r="AE5514" s="54" t="s">
        <v>2</v>
      </c>
      <c r="AF5514" s="54" t="s">
        <v>2</v>
      </c>
      <c r="AG5514" s="54" t="s">
        <v>2</v>
      </c>
    </row>
    <row r="5515" ht="15.75" customHeight="1">
      <c r="B5515" s="56"/>
      <c r="U5515" s="46" t="str">
        <f t="array" ref="U5515">IF($D5515="","",IFERROR(_xlfn.XLOOKUP($D5515,'TIR店舗一覧'!$D:$D,'TIR店舗一覧'!$E:$E,""),""))</f>
        <v/>
      </c>
      <c r="V5515" s="54" t="s">
        <v>2</v>
      </c>
      <c r="W5515" s="54" t="s">
        <v>2</v>
      </c>
      <c r="X5515" s="54" t="s">
        <v>2</v>
      </c>
      <c r="Y5515" s="54" t="s">
        <v>2</v>
      </c>
      <c r="Z5515" s="54" t="s">
        <v>2</v>
      </c>
      <c r="AA5515" s="54" t="s">
        <v>2</v>
      </c>
      <c r="AB5515" s="54" t="s">
        <v>2</v>
      </c>
      <c r="AC5515" s="54" t="s">
        <v>2</v>
      </c>
      <c r="AD5515" s="54" t="s">
        <v>2</v>
      </c>
      <c r="AE5515" s="54" t="s">
        <v>2</v>
      </c>
      <c r="AF5515" s="54" t="s">
        <v>2</v>
      </c>
      <c r="AG5515" s="54" t="s">
        <v>2</v>
      </c>
    </row>
    <row r="5516" ht="15.75" customHeight="1">
      <c r="B5516" s="56"/>
      <c r="U5516" s="46" t="str">
        <f t="array" ref="U5516">IF($D5516="","",IFERROR(_xlfn.XLOOKUP($D5516,'TIR店舗一覧'!$D:$D,'TIR店舗一覧'!$E:$E,""),""))</f>
        <v/>
      </c>
      <c r="V5516" s="54" t="s">
        <v>2</v>
      </c>
      <c r="W5516" s="54" t="s">
        <v>2</v>
      </c>
      <c r="X5516" s="54" t="s">
        <v>2</v>
      </c>
      <c r="Y5516" s="54" t="s">
        <v>2</v>
      </c>
      <c r="Z5516" s="54" t="s">
        <v>2</v>
      </c>
      <c r="AA5516" s="54" t="s">
        <v>2</v>
      </c>
      <c r="AB5516" s="54" t="s">
        <v>2</v>
      </c>
      <c r="AC5516" s="54" t="s">
        <v>2</v>
      </c>
      <c r="AD5516" s="54" t="s">
        <v>2</v>
      </c>
      <c r="AE5516" s="54" t="s">
        <v>2</v>
      </c>
      <c r="AF5516" s="54" t="s">
        <v>2</v>
      </c>
      <c r="AG5516" s="54" t="s">
        <v>2</v>
      </c>
    </row>
    <row r="5517" ht="15.75" customHeight="1">
      <c r="B5517" s="56"/>
      <c r="U5517" s="46" t="str">
        <f t="array" ref="U5517">IF($D5517="","",IFERROR(_xlfn.XLOOKUP($D5517,'TIR店舗一覧'!$D:$D,'TIR店舗一覧'!$E:$E,""),""))</f>
        <v/>
      </c>
      <c r="V5517" s="54" t="s">
        <v>2</v>
      </c>
      <c r="W5517" s="54" t="s">
        <v>2</v>
      </c>
      <c r="X5517" s="54" t="s">
        <v>2</v>
      </c>
      <c r="Y5517" s="54" t="s">
        <v>2</v>
      </c>
      <c r="Z5517" s="54" t="s">
        <v>2</v>
      </c>
      <c r="AA5517" s="54" t="s">
        <v>2</v>
      </c>
      <c r="AB5517" s="54" t="s">
        <v>2</v>
      </c>
      <c r="AC5517" s="54" t="s">
        <v>2</v>
      </c>
      <c r="AD5517" s="54" t="s">
        <v>2</v>
      </c>
      <c r="AE5517" s="54" t="s">
        <v>2</v>
      </c>
      <c r="AF5517" s="54" t="s">
        <v>2</v>
      </c>
      <c r="AG5517" s="54" t="s">
        <v>2</v>
      </c>
    </row>
    <row r="5518" ht="15.75" customHeight="1">
      <c r="B5518" s="56"/>
      <c r="U5518" s="46" t="str">
        <f t="array" ref="U5518">IF($D5518="","",IFERROR(_xlfn.XLOOKUP($D5518,'TIR店舗一覧'!$D:$D,'TIR店舗一覧'!$E:$E,""),""))</f>
        <v/>
      </c>
      <c r="V5518" s="54" t="s">
        <v>2</v>
      </c>
      <c r="W5518" s="54" t="s">
        <v>2</v>
      </c>
      <c r="X5518" s="54" t="s">
        <v>2</v>
      </c>
      <c r="Y5518" s="54" t="s">
        <v>2</v>
      </c>
      <c r="Z5518" s="54" t="s">
        <v>2</v>
      </c>
      <c r="AA5518" s="54" t="s">
        <v>2</v>
      </c>
      <c r="AB5518" s="54" t="s">
        <v>2</v>
      </c>
      <c r="AC5518" s="54" t="s">
        <v>2</v>
      </c>
      <c r="AD5518" s="54" t="s">
        <v>2</v>
      </c>
      <c r="AE5518" s="54" t="s">
        <v>2</v>
      </c>
      <c r="AF5518" s="54" t="s">
        <v>2</v>
      </c>
      <c r="AG5518" s="54" t="s">
        <v>2</v>
      </c>
    </row>
    <row r="5519" ht="15.75" customHeight="1">
      <c r="B5519" s="56"/>
      <c r="U5519" s="46" t="str">
        <f t="array" ref="U5519">IF($D5519="","",IFERROR(_xlfn.XLOOKUP($D5519,'TIR店舗一覧'!$D:$D,'TIR店舗一覧'!$E:$E,""),""))</f>
        <v/>
      </c>
      <c r="V5519" s="54" t="s">
        <v>2</v>
      </c>
      <c r="W5519" s="54" t="s">
        <v>2</v>
      </c>
      <c r="X5519" s="54" t="s">
        <v>2</v>
      </c>
      <c r="Y5519" s="54" t="s">
        <v>2</v>
      </c>
      <c r="Z5519" s="54" t="s">
        <v>2</v>
      </c>
      <c r="AA5519" s="54" t="s">
        <v>2</v>
      </c>
      <c r="AB5519" s="54" t="s">
        <v>2</v>
      </c>
      <c r="AC5519" s="54" t="s">
        <v>2</v>
      </c>
      <c r="AD5519" s="54" t="s">
        <v>2</v>
      </c>
      <c r="AE5519" s="54" t="s">
        <v>2</v>
      </c>
      <c r="AF5519" s="54" t="s">
        <v>2</v>
      </c>
      <c r="AG5519" s="54" t="s">
        <v>2</v>
      </c>
    </row>
    <row r="5520" ht="15.75" customHeight="1">
      <c r="B5520" s="56"/>
      <c r="U5520" s="46" t="str">
        <f t="array" ref="U5520">IF($D5520="","",IFERROR(_xlfn.XLOOKUP($D5520,'TIR店舗一覧'!$D:$D,'TIR店舗一覧'!$E:$E,""),""))</f>
        <v/>
      </c>
      <c r="V5520" s="54" t="s">
        <v>2</v>
      </c>
      <c r="W5520" s="54" t="s">
        <v>2</v>
      </c>
      <c r="X5520" s="54" t="s">
        <v>2</v>
      </c>
      <c r="Y5520" s="54" t="s">
        <v>2</v>
      </c>
      <c r="Z5520" s="54" t="s">
        <v>2</v>
      </c>
      <c r="AA5520" s="54" t="s">
        <v>2</v>
      </c>
      <c r="AB5520" s="54" t="s">
        <v>2</v>
      </c>
      <c r="AC5520" s="54" t="s">
        <v>2</v>
      </c>
      <c r="AD5520" s="54" t="s">
        <v>2</v>
      </c>
      <c r="AE5520" s="54" t="s">
        <v>2</v>
      </c>
      <c r="AF5520" s="54" t="s">
        <v>2</v>
      </c>
      <c r="AG5520" s="54" t="s">
        <v>2</v>
      </c>
    </row>
    <row r="5521" ht="15.75" customHeight="1">
      <c r="B5521" s="56"/>
      <c r="U5521" s="46" t="str">
        <f t="array" ref="U5521">IF($D5521="","",IFERROR(_xlfn.XLOOKUP($D5521,'TIR店舗一覧'!$D:$D,'TIR店舗一覧'!$E:$E,""),""))</f>
        <v/>
      </c>
      <c r="V5521" s="54" t="s">
        <v>2</v>
      </c>
      <c r="W5521" s="54" t="s">
        <v>2</v>
      </c>
      <c r="X5521" s="54" t="s">
        <v>2</v>
      </c>
      <c r="Y5521" s="54" t="s">
        <v>2</v>
      </c>
      <c r="Z5521" s="54" t="s">
        <v>2</v>
      </c>
      <c r="AA5521" s="54" t="s">
        <v>2</v>
      </c>
      <c r="AB5521" s="54" t="s">
        <v>2</v>
      </c>
      <c r="AC5521" s="54" t="s">
        <v>2</v>
      </c>
      <c r="AD5521" s="54" t="s">
        <v>2</v>
      </c>
      <c r="AE5521" s="54" t="s">
        <v>2</v>
      </c>
      <c r="AF5521" s="54" t="s">
        <v>2</v>
      </c>
      <c r="AG5521" s="54" t="s">
        <v>2</v>
      </c>
    </row>
    <row r="5522" ht="15.75" customHeight="1">
      <c r="B5522" s="56"/>
      <c r="U5522" s="46" t="str">
        <f t="array" ref="U5522">IF($D5522="","",IFERROR(_xlfn.XLOOKUP($D5522,'TIR店舗一覧'!$D:$D,'TIR店舗一覧'!$E:$E,""),""))</f>
        <v/>
      </c>
      <c r="V5522" s="54" t="s">
        <v>2</v>
      </c>
      <c r="W5522" s="54" t="s">
        <v>2</v>
      </c>
      <c r="X5522" s="54" t="s">
        <v>2</v>
      </c>
      <c r="Y5522" s="54" t="s">
        <v>2</v>
      </c>
      <c r="Z5522" s="54" t="s">
        <v>2</v>
      </c>
      <c r="AA5522" s="54" t="s">
        <v>2</v>
      </c>
      <c r="AB5522" s="54" t="s">
        <v>2</v>
      </c>
      <c r="AC5522" s="54" t="s">
        <v>2</v>
      </c>
      <c r="AD5522" s="54" t="s">
        <v>2</v>
      </c>
      <c r="AE5522" s="54" t="s">
        <v>2</v>
      </c>
      <c r="AF5522" s="54" t="s">
        <v>2</v>
      </c>
      <c r="AG5522" s="54" t="s">
        <v>2</v>
      </c>
    </row>
    <row r="5523" ht="15.75" customHeight="1">
      <c r="B5523" s="56"/>
      <c r="U5523" s="46" t="str">
        <f t="array" ref="U5523">IF($D5523="","",IFERROR(_xlfn.XLOOKUP($D5523,'TIR店舗一覧'!$D:$D,'TIR店舗一覧'!$E:$E,""),""))</f>
        <v/>
      </c>
      <c r="V5523" s="54" t="s">
        <v>2</v>
      </c>
      <c r="W5523" s="54" t="s">
        <v>2</v>
      </c>
      <c r="X5523" s="54" t="s">
        <v>2</v>
      </c>
      <c r="Y5523" s="54" t="s">
        <v>2</v>
      </c>
      <c r="Z5523" s="54" t="s">
        <v>2</v>
      </c>
      <c r="AA5523" s="54" t="s">
        <v>2</v>
      </c>
      <c r="AB5523" s="54" t="s">
        <v>2</v>
      </c>
      <c r="AC5523" s="54" t="s">
        <v>2</v>
      </c>
      <c r="AD5523" s="54" t="s">
        <v>2</v>
      </c>
      <c r="AE5523" s="54" t="s">
        <v>2</v>
      </c>
      <c r="AF5523" s="54" t="s">
        <v>2</v>
      </c>
      <c r="AG5523" s="54" t="s">
        <v>2</v>
      </c>
    </row>
    <row r="5524" ht="15.75" customHeight="1">
      <c r="B5524" s="56"/>
      <c r="U5524" s="46" t="str">
        <f t="array" ref="U5524">IF($D5524="","",IFERROR(_xlfn.XLOOKUP($D5524,'TIR店舗一覧'!$D:$D,'TIR店舗一覧'!$E:$E,""),""))</f>
        <v/>
      </c>
      <c r="V5524" s="54" t="s">
        <v>2</v>
      </c>
      <c r="W5524" s="54" t="s">
        <v>2</v>
      </c>
      <c r="X5524" s="54" t="s">
        <v>2</v>
      </c>
      <c r="Y5524" s="54" t="s">
        <v>2</v>
      </c>
      <c r="Z5524" s="54" t="s">
        <v>2</v>
      </c>
      <c r="AA5524" s="54" t="s">
        <v>2</v>
      </c>
      <c r="AB5524" s="54" t="s">
        <v>2</v>
      </c>
      <c r="AC5524" s="54" t="s">
        <v>2</v>
      </c>
      <c r="AD5524" s="54" t="s">
        <v>2</v>
      </c>
      <c r="AE5524" s="54" t="s">
        <v>2</v>
      </c>
      <c r="AF5524" s="54" t="s">
        <v>2</v>
      </c>
      <c r="AG5524" s="54" t="s">
        <v>2</v>
      </c>
    </row>
    <row r="5525" ht="15.75" customHeight="1">
      <c r="B5525" s="56"/>
      <c r="U5525" s="46" t="str">
        <f t="array" ref="U5525">IF($D5525="","",IFERROR(_xlfn.XLOOKUP($D5525,'TIR店舗一覧'!$D:$D,'TIR店舗一覧'!$E:$E,""),""))</f>
        <v/>
      </c>
      <c r="V5525" s="54" t="s">
        <v>2</v>
      </c>
      <c r="W5525" s="54" t="s">
        <v>2</v>
      </c>
      <c r="X5525" s="54" t="s">
        <v>2</v>
      </c>
      <c r="Y5525" s="54" t="s">
        <v>2</v>
      </c>
      <c r="Z5525" s="54" t="s">
        <v>2</v>
      </c>
      <c r="AA5525" s="54" t="s">
        <v>2</v>
      </c>
      <c r="AB5525" s="54" t="s">
        <v>2</v>
      </c>
      <c r="AC5525" s="54" t="s">
        <v>2</v>
      </c>
      <c r="AD5525" s="54" t="s">
        <v>2</v>
      </c>
      <c r="AE5525" s="54" t="s">
        <v>2</v>
      </c>
      <c r="AF5525" s="54" t="s">
        <v>2</v>
      </c>
      <c r="AG5525" s="54" t="s">
        <v>2</v>
      </c>
    </row>
    <row r="5526" ht="15.75" customHeight="1">
      <c r="B5526" s="56"/>
      <c r="U5526" s="46" t="str">
        <f t="array" ref="U5526">IF($D5526="","",IFERROR(_xlfn.XLOOKUP($D5526,'TIR店舗一覧'!$D:$D,'TIR店舗一覧'!$E:$E,""),""))</f>
        <v/>
      </c>
      <c r="V5526" s="54" t="s">
        <v>2</v>
      </c>
      <c r="W5526" s="54" t="s">
        <v>2</v>
      </c>
      <c r="X5526" s="54" t="s">
        <v>2</v>
      </c>
      <c r="Y5526" s="54" t="s">
        <v>2</v>
      </c>
      <c r="Z5526" s="54" t="s">
        <v>2</v>
      </c>
      <c r="AA5526" s="54" t="s">
        <v>2</v>
      </c>
      <c r="AB5526" s="54" t="s">
        <v>2</v>
      </c>
      <c r="AC5526" s="54" t="s">
        <v>2</v>
      </c>
      <c r="AD5526" s="54" t="s">
        <v>2</v>
      </c>
      <c r="AE5526" s="54" t="s">
        <v>2</v>
      </c>
      <c r="AF5526" s="54" t="s">
        <v>2</v>
      </c>
      <c r="AG5526" s="54" t="s">
        <v>2</v>
      </c>
    </row>
    <row r="5527" ht="15.75" customHeight="1">
      <c r="B5527" s="56"/>
      <c r="U5527" s="46" t="str">
        <f t="array" ref="U5527">IF($D5527="","",IFERROR(_xlfn.XLOOKUP($D5527,'TIR店舗一覧'!$D:$D,'TIR店舗一覧'!$E:$E,""),""))</f>
        <v/>
      </c>
      <c r="V5527" s="54" t="s">
        <v>2</v>
      </c>
      <c r="W5527" s="54" t="s">
        <v>2</v>
      </c>
      <c r="X5527" s="54" t="s">
        <v>2</v>
      </c>
      <c r="Y5527" s="54" t="s">
        <v>2</v>
      </c>
      <c r="Z5527" s="54" t="s">
        <v>2</v>
      </c>
      <c r="AA5527" s="54" t="s">
        <v>2</v>
      </c>
      <c r="AB5527" s="54" t="s">
        <v>2</v>
      </c>
      <c r="AC5527" s="54" t="s">
        <v>2</v>
      </c>
      <c r="AD5527" s="54" t="s">
        <v>2</v>
      </c>
      <c r="AE5527" s="54" t="s">
        <v>2</v>
      </c>
      <c r="AF5527" s="54" t="s">
        <v>2</v>
      </c>
      <c r="AG5527" s="54" t="s">
        <v>2</v>
      </c>
    </row>
    <row r="5528" ht="15.75" customHeight="1">
      <c r="B5528" s="56"/>
      <c r="U5528" s="46" t="str">
        <f t="array" ref="U5528">IF($D5528="","",IFERROR(_xlfn.XLOOKUP($D5528,'TIR店舗一覧'!$D:$D,'TIR店舗一覧'!$E:$E,""),""))</f>
        <v/>
      </c>
      <c r="V5528" s="54" t="s">
        <v>2</v>
      </c>
      <c r="W5528" s="54" t="s">
        <v>2</v>
      </c>
      <c r="X5528" s="54" t="s">
        <v>2</v>
      </c>
      <c r="Y5528" s="54" t="s">
        <v>2</v>
      </c>
      <c r="Z5528" s="54" t="s">
        <v>2</v>
      </c>
      <c r="AA5528" s="54" t="s">
        <v>2</v>
      </c>
      <c r="AB5528" s="54" t="s">
        <v>2</v>
      </c>
      <c r="AC5528" s="54" t="s">
        <v>2</v>
      </c>
      <c r="AD5528" s="54" t="s">
        <v>2</v>
      </c>
      <c r="AE5528" s="54" t="s">
        <v>2</v>
      </c>
      <c r="AF5528" s="54" t="s">
        <v>2</v>
      </c>
      <c r="AG5528" s="54" t="s">
        <v>2</v>
      </c>
    </row>
    <row r="5529" ht="15.75" customHeight="1">
      <c r="B5529" s="56"/>
      <c r="U5529" s="46" t="str">
        <f t="array" ref="U5529">IF($D5529="","",IFERROR(_xlfn.XLOOKUP($D5529,'TIR店舗一覧'!$D:$D,'TIR店舗一覧'!$E:$E,""),""))</f>
        <v/>
      </c>
      <c r="V5529" s="54" t="s">
        <v>2</v>
      </c>
      <c r="W5529" s="54" t="s">
        <v>2</v>
      </c>
      <c r="X5529" s="54" t="s">
        <v>2</v>
      </c>
      <c r="Y5529" s="54" t="s">
        <v>2</v>
      </c>
      <c r="Z5529" s="54" t="s">
        <v>2</v>
      </c>
      <c r="AA5529" s="54" t="s">
        <v>2</v>
      </c>
      <c r="AB5529" s="54" t="s">
        <v>2</v>
      </c>
      <c r="AC5529" s="54" t="s">
        <v>2</v>
      </c>
      <c r="AD5529" s="54" t="s">
        <v>2</v>
      </c>
      <c r="AE5529" s="54" t="s">
        <v>2</v>
      </c>
      <c r="AF5529" s="54" t="s">
        <v>2</v>
      </c>
      <c r="AG5529" s="54" t="s">
        <v>2</v>
      </c>
    </row>
    <row r="5530" ht="15.75" customHeight="1">
      <c r="B5530" s="56"/>
      <c r="U5530" s="46" t="str">
        <f t="array" ref="U5530">IF($D5530="","",IFERROR(_xlfn.XLOOKUP($D5530,'TIR店舗一覧'!$D:$D,'TIR店舗一覧'!$E:$E,""),""))</f>
        <v/>
      </c>
      <c r="V5530" s="54" t="s">
        <v>2</v>
      </c>
      <c r="W5530" s="54" t="s">
        <v>2</v>
      </c>
      <c r="X5530" s="54" t="s">
        <v>2</v>
      </c>
      <c r="Y5530" s="54" t="s">
        <v>2</v>
      </c>
      <c r="Z5530" s="54" t="s">
        <v>2</v>
      </c>
      <c r="AA5530" s="54" t="s">
        <v>2</v>
      </c>
      <c r="AB5530" s="54" t="s">
        <v>2</v>
      </c>
      <c r="AC5530" s="54" t="s">
        <v>2</v>
      </c>
      <c r="AD5530" s="54" t="s">
        <v>2</v>
      </c>
      <c r="AE5530" s="54" t="s">
        <v>2</v>
      </c>
      <c r="AF5530" s="54" t="s">
        <v>2</v>
      </c>
      <c r="AG5530" s="54" t="s">
        <v>2</v>
      </c>
    </row>
    <row r="5531" ht="15.75" customHeight="1">
      <c r="B5531" s="56"/>
      <c r="U5531" s="46" t="str">
        <f t="array" ref="U5531">IF($D5531="","",IFERROR(_xlfn.XLOOKUP($D5531,'TIR店舗一覧'!$D:$D,'TIR店舗一覧'!$E:$E,""),""))</f>
        <v/>
      </c>
      <c r="V5531" s="54" t="s">
        <v>2</v>
      </c>
      <c r="W5531" s="54" t="s">
        <v>2</v>
      </c>
      <c r="X5531" s="54" t="s">
        <v>2</v>
      </c>
      <c r="Y5531" s="54" t="s">
        <v>2</v>
      </c>
      <c r="Z5531" s="54" t="s">
        <v>2</v>
      </c>
      <c r="AA5531" s="54" t="s">
        <v>2</v>
      </c>
      <c r="AB5531" s="54" t="s">
        <v>2</v>
      </c>
      <c r="AC5531" s="54" t="s">
        <v>2</v>
      </c>
      <c r="AD5531" s="54" t="s">
        <v>2</v>
      </c>
      <c r="AE5531" s="54" t="s">
        <v>2</v>
      </c>
      <c r="AF5531" s="54" t="s">
        <v>2</v>
      </c>
      <c r="AG5531" s="54" t="s">
        <v>2</v>
      </c>
    </row>
    <row r="5532" ht="15.75" customHeight="1">
      <c r="B5532" s="56"/>
      <c r="U5532" s="46" t="str">
        <f t="array" ref="U5532">IF($D5532="","",IFERROR(_xlfn.XLOOKUP($D5532,'TIR店舗一覧'!$D:$D,'TIR店舗一覧'!$E:$E,""),""))</f>
        <v/>
      </c>
      <c r="V5532" s="54" t="s">
        <v>2</v>
      </c>
      <c r="W5532" s="54" t="s">
        <v>2</v>
      </c>
      <c r="X5532" s="54" t="s">
        <v>2</v>
      </c>
      <c r="Y5532" s="54" t="s">
        <v>2</v>
      </c>
      <c r="Z5532" s="54" t="s">
        <v>2</v>
      </c>
      <c r="AA5532" s="54" t="s">
        <v>2</v>
      </c>
      <c r="AB5532" s="54" t="s">
        <v>2</v>
      </c>
      <c r="AC5532" s="54" t="s">
        <v>2</v>
      </c>
      <c r="AD5532" s="54" t="s">
        <v>2</v>
      </c>
      <c r="AE5532" s="54" t="s">
        <v>2</v>
      </c>
      <c r="AF5532" s="54" t="s">
        <v>2</v>
      </c>
      <c r="AG5532" s="54" t="s">
        <v>2</v>
      </c>
    </row>
    <row r="5533" ht="15.75" customHeight="1">
      <c r="B5533" s="56"/>
      <c r="U5533" s="46" t="str">
        <f t="array" ref="U5533">IF($D5533="","",IFERROR(_xlfn.XLOOKUP($D5533,'TIR店舗一覧'!$D:$D,'TIR店舗一覧'!$E:$E,""),""))</f>
        <v/>
      </c>
      <c r="V5533" s="54" t="s">
        <v>2</v>
      </c>
      <c r="W5533" s="54" t="s">
        <v>2</v>
      </c>
      <c r="X5533" s="54" t="s">
        <v>2</v>
      </c>
      <c r="Y5533" s="54" t="s">
        <v>2</v>
      </c>
      <c r="Z5533" s="54" t="s">
        <v>2</v>
      </c>
      <c r="AA5533" s="54" t="s">
        <v>2</v>
      </c>
      <c r="AB5533" s="54" t="s">
        <v>2</v>
      </c>
      <c r="AC5533" s="54" t="s">
        <v>2</v>
      </c>
      <c r="AD5533" s="54" t="s">
        <v>2</v>
      </c>
      <c r="AE5533" s="54" t="s">
        <v>2</v>
      </c>
      <c r="AF5533" s="54" t="s">
        <v>2</v>
      </c>
      <c r="AG5533" s="54" t="s">
        <v>2</v>
      </c>
    </row>
    <row r="5534" ht="15.75" customHeight="1">
      <c r="B5534" s="56"/>
      <c r="U5534" s="46" t="str">
        <f t="array" ref="U5534">IF($D5534="","",IFERROR(_xlfn.XLOOKUP($D5534,'TIR店舗一覧'!$D:$D,'TIR店舗一覧'!$E:$E,""),""))</f>
        <v/>
      </c>
      <c r="V5534" s="54" t="s">
        <v>2</v>
      </c>
      <c r="W5534" s="54" t="s">
        <v>2</v>
      </c>
      <c r="X5534" s="54" t="s">
        <v>2</v>
      </c>
      <c r="Y5534" s="54" t="s">
        <v>2</v>
      </c>
      <c r="Z5534" s="54" t="s">
        <v>2</v>
      </c>
      <c r="AA5534" s="54" t="s">
        <v>2</v>
      </c>
      <c r="AB5534" s="54" t="s">
        <v>2</v>
      </c>
      <c r="AC5534" s="54" t="s">
        <v>2</v>
      </c>
      <c r="AD5534" s="54" t="s">
        <v>2</v>
      </c>
      <c r="AE5534" s="54" t="s">
        <v>2</v>
      </c>
      <c r="AF5534" s="54" t="s">
        <v>2</v>
      </c>
      <c r="AG5534" s="54" t="s">
        <v>2</v>
      </c>
    </row>
    <row r="5535" ht="15.75" customHeight="1">
      <c r="B5535" s="56"/>
      <c r="U5535" s="46" t="str">
        <f t="array" ref="U5535">IF($D5535="","",IFERROR(_xlfn.XLOOKUP($D5535,'TIR店舗一覧'!$D:$D,'TIR店舗一覧'!$E:$E,""),""))</f>
        <v/>
      </c>
      <c r="V5535" s="54" t="s">
        <v>2</v>
      </c>
      <c r="W5535" s="54" t="s">
        <v>2</v>
      </c>
      <c r="X5535" s="54" t="s">
        <v>2</v>
      </c>
      <c r="Y5535" s="54" t="s">
        <v>2</v>
      </c>
      <c r="Z5535" s="54" t="s">
        <v>2</v>
      </c>
      <c r="AA5535" s="54" t="s">
        <v>2</v>
      </c>
      <c r="AB5535" s="54" t="s">
        <v>2</v>
      </c>
      <c r="AC5535" s="54" t="s">
        <v>2</v>
      </c>
      <c r="AD5535" s="54" t="s">
        <v>2</v>
      </c>
      <c r="AE5535" s="54" t="s">
        <v>2</v>
      </c>
      <c r="AF5535" s="54" t="s">
        <v>2</v>
      </c>
      <c r="AG5535" s="54" t="s">
        <v>2</v>
      </c>
    </row>
    <row r="5536" ht="15.75" customHeight="1">
      <c r="B5536" s="56"/>
      <c r="U5536" s="46" t="str">
        <f t="array" ref="U5536">IF($D5536="","",IFERROR(_xlfn.XLOOKUP($D5536,'TIR店舗一覧'!$D:$D,'TIR店舗一覧'!$E:$E,""),""))</f>
        <v/>
      </c>
      <c r="V5536" s="54" t="s">
        <v>2</v>
      </c>
      <c r="W5536" s="54" t="s">
        <v>2</v>
      </c>
      <c r="X5536" s="54" t="s">
        <v>2</v>
      </c>
      <c r="Y5536" s="54" t="s">
        <v>2</v>
      </c>
      <c r="Z5536" s="54" t="s">
        <v>2</v>
      </c>
      <c r="AA5536" s="54" t="s">
        <v>2</v>
      </c>
      <c r="AB5536" s="54" t="s">
        <v>2</v>
      </c>
      <c r="AC5536" s="54" t="s">
        <v>2</v>
      </c>
      <c r="AD5536" s="54" t="s">
        <v>2</v>
      </c>
      <c r="AE5536" s="54" t="s">
        <v>2</v>
      </c>
      <c r="AF5536" s="54" t="s">
        <v>2</v>
      </c>
      <c r="AG5536" s="54" t="s">
        <v>2</v>
      </c>
    </row>
    <row r="5537" ht="15.75" customHeight="1">
      <c r="B5537" s="56"/>
      <c r="U5537" s="46" t="str">
        <f t="array" ref="U5537">IF($D5537="","",IFERROR(_xlfn.XLOOKUP($D5537,'TIR店舗一覧'!$D:$D,'TIR店舗一覧'!$E:$E,""),""))</f>
        <v/>
      </c>
      <c r="V5537" s="54" t="s">
        <v>2</v>
      </c>
      <c r="W5537" s="54" t="s">
        <v>2</v>
      </c>
      <c r="X5537" s="54" t="s">
        <v>2</v>
      </c>
      <c r="Y5537" s="54" t="s">
        <v>2</v>
      </c>
      <c r="Z5537" s="54" t="s">
        <v>2</v>
      </c>
      <c r="AA5537" s="54" t="s">
        <v>2</v>
      </c>
      <c r="AB5537" s="54" t="s">
        <v>2</v>
      </c>
      <c r="AC5537" s="54" t="s">
        <v>2</v>
      </c>
      <c r="AD5537" s="54" t="s">
        <v>2</v>
      </c>
      <c r="AE5537" s="54" t="s">
        <v>2</v>
      </c>
      <c r="AF5537" s="54" t="s">
        <v>2</v>
      </c>
      <c r="AG5537" s="54" t="s">
        <v>2</v>
      </c>
    </row>
    <row r="5538" ht="15.75" customHeight="1">
      <c r="B5538" s="56"/>
      <c r="U5538" s="46" t="str">
        <f t="array" ref="U5538">IF($D5538="","",IFERROR(_xlfn.XLOOKUP($D5538,'TIR店舗一覧'!$D:$D,'TIR店舗一覧'!$E:$E,""),""))</f>
        <v/>
      </c>
      <c r="V5538" s="54" t="s">
        <v>2</v>
      </c>
      <c r="W5538" s="54" t="s">
        <v>2</v>
      </c>
      <c r="X5538" s="54" t="s">
        <v>2</v>
      </c>
      <c r="Y5538" s="54" t="s">
        <v>2</v>
      </c>
      <c r="Z5538" s="54" t="s">
        <v>2</v>
      </c>
      <c r="AA5538" s="54" t="s">
        <v>2</v>
      </c>
      <c r="AB5538" s="54" t="s">
        <v>2</v>
      </c>
      <c r="AC5538" s="54" t="s">
        <v>2</v>
      </c>
      <c r="AD5538" s="54" t="s">
        <v>2</v>
      </c>
      <c r="AE5538" s="54" t="s">
        <v>2</v>
      </c>
      <c r="AF5538" s="54" t="s">
        <v>2</v>
      </c>
      <c r="AG5538" s="54" t="s">
        <v>2</v>
      </c>
    </row>
    <row r="5539" ht="15.75" customHeight="1">
      <c r="B5539" s="56"/>
      <c r="U5539" s="46" t="str">
        <f t="array" ref="U5539">IF($D5539="","",IFERROR(_xlfn.XLOOKUP($D5539,'TIR店舗一覧'!$D:$D,'TIR店舗一覧'!$E:$E,""),""))</f>
        <v/>
      </c>
      <c r="V5539" s="54" t="s">
        <v>2</v>
      </c>
      <c r="W5539" s="54" t="s">
        <v>2</v>
      </c>
      <c r="X5539" s="54" t="s">
        <v>2</v>
      </c>
      <c r="Y5539" s="54" t="s">
        <v>2</v>
      </c>
      <c r="Z5539" s="54" t="s">
        <v>2</v>
      </c>
      <c r="AA5539" s="54" t="s">
        <v>2</v>
      </c>
      <c r="AB5539" s="54" t="s">
        <v>2</v>
      </c>
      <c r="AC5539" s="54" t="s">
        <v>2</v>
      </c>
      <c r="AD5539" s="54" t="s">
        <v>2</v>
      </c>
      <c r="AE5539" s="54" t="s">
        <v>2</v>
      </c>
      <c r="AF5539" s="54" t="s">
        <v>2</v>
      </c>
      <c r="AG5539" s="54" t="s">
        <v>2</v>
      </c>
    </row>
    <row r="5540" ht="15.75" customHeight="1">
      <c r="B5540" s="56"/>
      <c r="U5540" s="46" t="str">
        <f t="array" ref="U5540">IF($D5540="","",IFERROR(_xlfn.XLOOKUP($D5540,'TIR店舗一覧'!$D:$D,'TIR店舗一覧'!$E:$E,""),""))</f>
        <v/>
      </c>
      <c r="V5540" s="54" t="s">
        <v>2</v>
      </c>
      <c r="W5540" s="54" t="s">
        <v>2</v>
      </c>
      <c r="X5540" s="54" t="s">
        <v>2</v>
      </c>
      <c r="Y5540" s="54" t="s">
        <v>2</v>
      </c>
      <c r="Z5540" s="54" t="s">
        <v>2</v>
      </c>
      <c r="AA5540" s="54" t="s">
        <v>2</v>
      </c>
      <c r="AB5540" s="54" t="s">
        <v>2</v>
      </c>
      <c r="AC5540" s="54" t="s">
        <v>2</v>
      </c>
      <c r="AD5540" s="54" t="s">
        <v>2</v>
      </c>
      <c r="AE5540" s="54" t="s">
        <v>2</v>
      </c>
      <c r="AF5540" s="54" t="s">
        <v>2</v>
      </c>
      <c r="AG5540" s="54" t="s">
        <v>2</v>
      </c>
    </row>
    <row r="5541" ht="15.75" customHeight="1">
      <c r="B5541" s="56"/>
      <c r="U5541" s="46" t="str">
        <f t="array" ref="U5541">IF($D5541="","",IFERROR(_xlfn.XLOOKUP($D5541,'TIR店舗一覧'!$D:$D,'TIR店舗一覧'!$E:$E,""),""))</f>
        <v/>
      </c>
      <c r="V5541" s="54" t="s">
        <v>2</v>
      </c>
      <c r="W5541" s="54" t="s">
        <v>2</v>
      </c>
      <c r="X5541" s="54" t="s">
        <v>2</v>
      </c>
      <c r="Y5541" s="54" t="s">
        <v>2</v>
      </c>
      <c r="Z5541" s="54" t="s">
        <v>2</v>
      </c>
      <c r="AA5541" s="54" t="s">
        <v>2</v>
      </c>
      <c r="AB5541" s="54" t="s">
        <v>2</v>
      </c>
      <c r="AC5541" s="54" t="s">
        <v>2</v>
      </c>
      <c r="AD5541" s="54" t="s">
        <v>2</v>
      </c>
      <c r="AE5541" s="54" t="s">
        <v>2</v>
      </c>
      <c r="AF5541" s="54" t="s">
        <v>2</v>
      </c>
      <c r="AG5541" s="54" t="s">
        <v>2</v>
      </c>
    </row>
    <row r="5542" ht="15.75" customHeight="1">
      <c r="B5542" s="56"/>
      <c r="U5542" s="46" t="str">
        <f t="array" ref="U5542">IF($D5542="","",IFERROR(_xlfn.XLOOKUP($D5542,'TIR店舗一覧'!$D:$D,'TIR店舗一覧'!$E:$E,""),""))</f>
        <v/>
      </c>
      <c r="V5542" s="54" t="s">
        <v>2</v>
      </c>
      <c r="W5542" s="54" t="s">
        <v>2</v>
      </c>
      <c r="X5542" s="54" t="s">
        <v>2</v>
      </c>
      <c r="Y5542" s="54" t="s">
        <v>2</v>
      </c>
      <c r="Z5542" s="54" t="s">
        <v>2</v>
      </c>
      <c r="AA5542" s="54" t="s">
        <v>2</v>
      </c>
      <c r="AB5542" s="54" t="s">
        <v>2</v>
      </c>
      <c r="AC5542" s="54" t="s">
        <v>2</v>
      </c>
      <c r="AD5542" s="54" t="s">
        <v>2</v>
      </c>
      <c r="AE5542" s="54" t="s">
        <v>2</v>
      </c>
      <c r="AF5542" s="54" t="s">
        <v>2</v>
      </c>
      <c r="AG5542" s="54" t="s">
        <v>2</v>
      </c>
    </row>
    <row r="5543" ht="15.75" customHeight="1">
      <c r="B5543" s="56"/>
      <c r="U5543" s="46" t="str">
        <f t="array" ref="U5543">IF($D5543="","",IFERROR(_xlfn.XLOOKUP($D5543,'TIR店舗一覧'!$D:$D,'TIR店舗一覧'!$E:$E,""),""))</f>
        <v/>
      </c>
      <c r="V5543" s="54" t="s">
        <v>2</v>
      </c>
      <c r="W5543" s="54" t="s">
        <v>2</v>
      </c>
      <c r="X5543" s="54" t="s">
        <v>2</v>
      </c>
      <c r="Y5543" s="54" t="s">
        <v>2</v>
      </c>
      <c r="Z5543" s="54" t="s">
        <v>2</v>
      </c>
      <c r="AA5543" s="54" t="s">
        <v>2</v>
      </c>
      <c r="AB5543" s="54" t="s">
        <v>2</v>
      </c>
      <c r="AC5543" s="54" t="s">
        <v>2</v>
      </c>
      <c r="AD5543" s="54" t="s">
        <v>2</v>
      </c>
      <c r="AE5543" s="54" t="s">
        <v>2</v>
      </c>
      <c r="AF5543" s="54" t="s">
        <v>2</v>
      </c>
      <c r="AG5543" s="54" t="s">
        <v>2</v>
      </c>
    </row>
    <row r="5544" ht="15.75" customHeight="1">
      <c r="B5544" s="56"/>
      <c r="U5544" s="46" t="str">
        <f t="array" ref="U5544">IF($D5544="","",IFERROR(_xlfn.XLOOKUP($D5544,'TIR店舗一覧'!$D:$D,'TIR店舗一覧'!$E:$E,""),""))</f>
        <v/>
      </c>
      <c r="V5544" s="54" t="s">
        <v>2</v>
      </c>
      <c r="W5544" s="54" t="s">
        <v>2</v>
      </c>
      <c r="X5544" s="54" t="s">
        <v>2</v>
      </c>
      <c r="Y5544" s="54" t="s">
        <v>2</v>
      </c>
      <c r="Z5544" s="54" t="s">
        <v>2</v>
      </c>
      <c r="AA5544" s="54" t="s">
        <v>2</v>
      </c>
      <c r="AB5544" s="54" t="s">
        <v>2</v>
      </c>
      <c r="AC5544" s="54" t="s">
        <v>2</v>
      </c>
      <c r="AD5544" s="54" t="s">
        <v>2</v>
      </c>
      <c r="AE5544" s="54" t="s">
        <v>2</v>
      </c>
      <c r="AF5544" s="54" t="s">
        <v>2</v>
      </c>
      <c r="AG5544" s="54" t="s">
        <v>2</v>
      </c>
    </row>
    <row r="5545" ht="15.75" customHeight="1">
      <c r="B5545" s="56"/>
      <c r="U5545" s="46" t="str">
        <f t="array" ref="U5545">IF($D5545="","",IFERROR(_xlfn.XLOOKUP($D5545,'TIR店舗一覧'!$D:$D,'TIR店舗一覧'!$E:$E,""),""))</f>
        <v/>
      </c>
      <c r="V5545" s="54" t="s">
        <v>2</v>
      </c>
      <c r="W5545" s="54" t="s">
        <v>2</v>
      </c>
      <c r="X5545" s="54" t="s">
        <v>2</v>
      </c>
      <c r="Y5545" s="54" t="s">
        <v>2</v>
      </c>
      <c r="Z5545" s="54" t="s">
        <v>2</v>
      </c>
      <c r="AA5545" s="54" t="s">
        <v>2</v>
      </c>
      <c r="AB5545" s="54" t="s">
        <v>2</v>
      </c>
      <c r="AC5545" s="54" t="s">
        <v>2</v>
      </c>
      <c r="AD5545" s="54" t="s">
        <v>2</v>
      </c>
      <c r="AE5545" s="54" t="s">
        <v>2</v>
      </c>
      <c r="AF5545" s="54" t="s">
        <v>2</v>
      </c>
      <c r="AG5545" s="54" t="s">
        <v>2</v>
      </c>
    </row>
    <row r="5546" ht="15.75" customHeight="1">
      <c r="B5546" s="56"/>
      <c r="U5546" s="46" t="str">
        <f t="array" ref="U5546">IF($D5546="","",IFERROR(_xlfn.XLOOKUP($D5546,'TIR店舗一覧'!$D:$D,'TIR店舗一覧'!$E:$E,""),""))</f>
        <v/>
      </c>
      <c r="V5546" s="54" t="s">
        <v>2</v>
      </c>
      <c r="W5546" s="54" t="s">
        <v>2</v>
      </c>
      <c r="X5546" s="54" t="s">
        <v>2</v>
      </c>
      <c r="Y5546" s="54" t="s">
        <v>2</v>
      </c>
      <c r="Z5546" s="54" t="s">
        <v>2</v>
      </c>
      <c r="AA5546" s="54" t="s">
        <v>2</v>
      </c>
      <c r="AB5546" s="54" t="s">
        <v>2</v>
      </c>
      <c r="AC5546" s="54" t="s">
        <v>2</v>
      </c>
      <c r="AD5546" s="54" t="s">
        <v>2</v>
      </c>
      <c r="AE5546" s="54" t="s">
        <v>2</v>
      </c>
      <c r="AF5546" s="54" t="s">
        <v>2</v>
      </c>
      <c r="AG5546" s="54" t="s">
        <v>2</v>
      </c>
    </row>
    <row r="5547" ht="15.75" customHeight="1">
      <c r="B5547" s="56"/>
      <c r="U5547" s="46" t="str">
        <f t="array" ref="U5547">IF($D5547="","",IFERROR(_xlfn.XLOOKUP($D5547,'TIR店舗一覧'!$D:$D,'TIR店舗一覧'!$E:$E,""),""))</f>
        <v/>
      </c>
      <c r="V5547" s="54" t="s">
        <v>2</v>
      </c>
      <c r="W5547" s="54" t="s">
        <v>2</v>
      </c>
      <c r="X5547" s="54" t="s">
        <v>2</v>
      </c>
      <c r="Y5547" s="54" t="s">
        <v>2</v>
      </c>
      <c r="Z5547" s="54" t="s">
        <v>2</v>
      </c>
      <c r="AA5547" s="54" t="s">
        <v>2</v>
      </c>
      <c r="AB5547" s="54" t="s">
        <v>2</v>
      </c>
      <c r="AC5547" s="54" t="s">
        <v>2</v>
      </c>
      <c r="AD5547" s="54" t="s">
        <v>2</v>
      </c>
      <c r="AE5547" s="54" t="s">
        <v>2</v>
      </c>
      <c r="AF5547" s="54" t="s">
        <v>2</v>
      </c>
      <c r="AG5547" s="54" t="s">
        <v>2</v>
      </c>
    </row>
    <row r="5548" ht="15.75" customHeight="1">
      <c r="B5548" s="56"/>
      <c r="U5548" s="46" t="str">
        <f t="array" ref="U5548">IF($D5548="","",IFERROR(_xlfn.XLOOKUP($D5548,'TIR店舗一覧'!$D:$D,'TIR店舗一覧'!$E:$E,""),""))</f>
        <v/>
      </c>
      <c r="V5548" s="54" t="s">
        <v>2</v>
      </c>
      <c r="W5548" s="54" t="s">
        <v>2</v>
      </c>
      <c r="X5548" s="54" t="s">
        <v>2</v>
      </c>
      <c r="Y5548" s="54" t="s">
        <v>2</v>
      </c>
      <c r="Z5548" s="54" t="s">
        <v>2</v>
      </c>
      <c r="AA5548" s="54" t="s">
        <v>2</v>
      </c>
      <c r="AB5548" s="54" t="s">
        <v>2</v>
      </c>
      <c r="AC5548" s="54" t="s">
        <v>2</v>
      </c>
      <c r="AD5548" s="54" t="s">
        <v>2</v>
      </c>
      <c r="AE5548" s="54" t="s">
        <v>2</v>
      </c>
      <c r="AF5548" s="54" t="s">
        <v>2</v>
      </c>
      <c r="AG5548" s="54" t="s">
        <v>2</v>
      </c>
    </row>
    <row r="5549" ht="15.75" customHeight="1">
      <c r="B5549" s="56"/>
      <c r="U5549" s="46" t="str">
        <f t="array" ref="U5549">IF($D5549="","",IFERROR(_xlfn.XLOOKUP($D5549,'TIR店舗一覧'!$D:$D,'TIR店舗一覧'!$E:$E,""),""))</f>
        <v/>
      </c>
      <c r="V5549" s="54" t="s">
        <v>2</v>
      </c>
      <c r="W5549" s="54" t="s">
        <v>2</v>
      </c>
      <c r="X5549" s="54" t="s">
        <v>2</v>
      </c>
      <c r="Y5549" s="54" t="s">
        <v>2</v>
      </c>
      <c r="Z5549" s="54" t="s">
        <v>2</v>
      </c>
      <c r="AA5549" s="54" t="s">
        <v>2</v>
      </c>
      <c r="AB5549" s="54" t="s">
        <v>2</v>
      </c>
      <c r="AC5549" s="54" t="s">
        <v>2</v>
      </c>
      <c r="AD5549" s="54" t="s">
        <v>2</v>
      </c>
      <c r="AE5549" s="54" t="s">
        <v>2</v>
      </c>
      <c r="AF5549" s="54" t="s">
        <v>2</v>
      </c>
      <c r="AG5549" s="54" t="s">
        <v>2</v>
      </c>
    </row>
    <row r="5550" ht="15.75" customHeight="1">
      <c r="B5550" s="56"/>
      <c r="U5550" s="46" t="str">
        <f t="array" ref="U5550">IF($D5550="","",IFERROR(_xlfn.XLOOKUP($D5550,'TIR店舗一覧'!$D:$D,'TIR店舗一覧'!$E:$E,""),""))</f>
        <v/>
      </c>
      <c r="V5550" s="54" t="s">
        <v>2</v>
      </c>
      <c r="W5550" s="54" t="s">
        <v>2</v>
      </c>
      <c r="X5550" s="54" t="s">
        <v>2</v>
      </c>
      <c r="Y5550" s="54" t="s">
        <v>2</v>
      </c>
      <c r="Z5550" s="54" t="s">
        <v>2</v>
      </c>
      <c r="AA5550" s="54" t="s">
        <v>2</v>
      </c>
      <c r="AB5550" s="54" t="s">
        <v>2</v>
      </c>
      <c r="AC5550" s="54" t="s">
        <v>2</v>
      </c>
      <c r="AD5550" s="54" t="s">
        <v>2</v>
      </c>
      <c r="AE5550" s="54" t="s">
        <v>2</v>
      </c>
      <c r="AF5550" s="54" t="s">
        <v>2</v>
      </c>
      <c r="AG5550" s="54" t="s">
        <v>2</v>
      </c>
    </row>
    <row r="5551" ht="15.75" customHeight="1">
      <c r="B5551" s="56"/>
      <c r="U5551" s="46" t="str">
        <f t="array" ref="U5551">IF($D5551="","",IFERROR(_xlfn.XLOOKUP($D5551,'TIR店舗一覧'!$D:$D,'TIR店舗一覧'!$E:$E,""),""))</f>
        <v/>
      </c>
      <c r="V5551" s="54" t="s">
        <v>2</v>
      </c>
      <c r="W5551" s="54" t="s">
        <v>2</v>
      </c>
      <c r="X5551" s="54" t="s">
        <v>2</v>
      </c>
      <c r="Y5551" s="54" t="s">
        <v>2</v>
      </c>
      <c r="Z5551" s="54" t="s">
        <v>2</v>
      </c>
      <c r="AA5551" s="54" t="s">
        <v>2</v>
      </c>
      <c r="AB5551" s="54" t="s">
        <v>2</v>
      </c>
      <c r="AC5551" s="54" t="s">
        <v>2</v>
      </c>
      <c r="AD5551" s="54" t="s">
        <v>2</v>
      </c>
      <c r="AE5551" s="54" t="s">
        <v>2</v>
      </c>
      <c r="AF5551" s="54" t="s">
        <v>2</v>
      </c>
      <c r="AG5551" s="54" t="s">
        <v>2</v>
      </c>
    </row>
    <row r="5552" ht="15.75" customHeight="1">
      <c r="B5552" s="56"/>
      <c r="U5552" s="46" t="str">
        <f t="array" ref="U5552">IF($D5552="","",IFERROR(_xlfn.XLOOKUP($D5552,'TIR店舗一覧'!$D:$D,'TIR店舗一覧'!$E:$E,""),""))</f>
        <v/>
      </c>
      <c r="V5552" s="54" t="s">
        <v>2</v>
      </c>
      <c r="W5552" s="54" t="s">
        <v>2</v>
      </c>
      <c r="X5552" s="54" t="s">
        <v>2</v>
      </c>
      <c r="Y5552" s="54" t="s">
        <v>2</v>
      </c>
      <c r="Z5552" s="54" t="s">
        <v>2</v>
      </c>
      <c r="AA5552" s="54" t="s">
        <v>2</v>
      </c>
      <c r="AB5552" s="54" t="s">
        <v>2</v>
      </c>
      <c r="AC5552" s="54" t="s">
        <v>2</v>
      </c>
      <c r="AD5552" s="54" t="s">
        <v>2</v>
      </c>
      <c r="AE5552" s="54" t="s">
        <v>2</v>
      </c>
      <c r="AF5552" s="54" t="s">
        <v>2</v>
      </c>
      <c r="AG5552" s="54" t="s">
        <v>2</v>
      </c>
    </row>
    <row r="5553" ht="15.75" customHeight="1">
      <c r="B5553" s="56"/>
      <c r="U5553" s="46" t="str">
        <f t="array" ref="U5553">IF($D5553="","",IFERROR(_xlfn.XLOOKUP($D5553,'TIR店舗一覧'!$D:$D,'TIR店舗一覧'!$E:$E,""),""))</f>
        <v/>
      </c>
      <c r="V5553" s="54" t="s">
        <v>2</v>
      </c>
      <c r="W5553" s="54" t="s">
        <v>2</v>
      </c>
      <c r="X5553" s="54" t="s">
        <v>2</v>
      </c>
      <c r="Y5553" s="54" t="s">
        <v>2</v>
      </c>
      <c r="Z5553" s="54" t="s">
        <v>2</v>
      </c>
      <c r="AA5553" s="54" t="s">
        <v>2</v>
      </c>
      <c r="AB5553" s="54" t="s">
        <v>2</v>
      </c>
      <c r="AC5553" s="54" t="s">
        <v>2</v>
      </c>
      <c r="AD5553" s="54" t="s">
        <v>2</v>
      </c>
      <c r="AE5553" s="54" t="s">
        <v>2</v>
      </c>
      <c r="AF5553" s="54" t="s">
        <v>2</v>
      </c>
      <c r="AG5553" s="54" t="s">
        <v>2</v>
      </c>
    </row>
    <row r="5554" ht="15.75" customHeight="1">
      <c r="B5554" s="56"/>
      <c r="U5554" s="46" t="str">
        <f t="array" ref="U5554">IF($D5554="","",IFERROR(_xlfn.XLOOKUP($D5554,'TIR店舗一覧'!$D:$D,'TIR店舗一覧'!$E:$E,""),""))</f>
        <v/>
      </c>
      <c r="V5554" s="54" t="s">
        <v>2</v>
      </c>
      <c r="W5554" s="54" t="s">
        <v>2</v>
      </c>
      <c r="X5554" s="54" t="s">
        <v>2</v>
      </c>
      <c r="Y5554" s="54" t="s">
        <v>2</v>
      </c>
      <c r="Z5554" s="54" t="s">
        <v>2</v>
      </c>
      <c r="AA5554" s="54" t="s">
        <v>2</v>
      </c>
      <c r="AB5554" s="54" t="s">
        <v>2</v>
      </c>
      <c r="AC5554" s="54" t="s">
        <v>2</v>
      </c>
      <c r="AD5554" s="54" t="s">
        <v>2</v>
      </c>
      <c r="AE5554" s="54" t="s">
        <v>2</v>
      </c>
      <c r="AF5554" s="54" t="s">
        <v>2</v>
      </c>
      <c r="AG5554" s="54" t="s">
        <v>2</v>
      </c>
    </row>
    <row r="5555" ht="15.75" customHeight="1">
      <c r="B5555" s="56"/>
      <c r="U5555" s="46" t="str">
        <f t="array" ref="U5555">IF($D5555="","",IFERROR(_xlfn.XLOOKUP($D5555,'TIR店舗一覧'!$D:$D,'TIR店舗一覧'!$E:$E,""),""))</f>
        <v/>
      </c>
      <c r="V5555" s="54" t="s">
        <v>2</v>
      </c>
      <c r="W5555" s="54" t="s">
        <v>2</v>
      </c>
      <c r="X5555" s="54" t="s">
        <v>2</v>
      </c>
      <c r="Y5555" s="54" t="s">
        <v>2</v>
      </c>
      <c r="Z5555" s="54" t="s">
        <v>2</v>
      </c>
      <c r="AA5555" s="54" t="s">
        <v>2</v>
      </c>
      <c r="AB5555" s="54" t="s">
        <v>2</v>
      </c>
      <c r="AC5555" s="54" t="s">
        <v>2</v>
      </c>
      <c r="AD5555" s="54" t="s">
        <v>2</v>
      </c>
      <c r="AE5555" s="54" t="s">
        <v>2</v>
      </c>
      <c r="AF5555" s="54" t="s">
        <v>2</v>
      </c>
      <c r="AG5555" s="54" t="s">
        <v>2</v>
      </c>
    </row>
    <row r="5556" ht="15.75" customHeight="1">
      <c r="B5556" s="56"/>
      <c r="U5556" s="46" t="str">
        <f t="array" ref="U5556">IF($D5556="","",IFERROR(_xlfn.XLOOKUP($D5556,'TIR店舗一覧'!$D:$D,'TIR店舗一覧'!$E:$E,""),""))</f>
        <v/>
      </c>
      <c r="V5556" s="54" t="s">
        <v>2</v>
      </c>
      <c r="W5556" s="54" t="s">
        <v>2</v>
      </c>
      <c r="X5556" s="54" t="s">
        <v>2</v>
      </c>
      <c r="Y5556" s="54" t="s">
        <v>2</v>
      </c>
      <c r="Z5556" s="54" t="s">
        <v>2</v>
      </c>
      <c r="AA5556" s="54" t="s">
        <v>2</v>
      </c>
      <c r="AB5556" s="54" t="s">
        <v>2</v>
      </c>
      <c r="AC5556" s="54" t="s">
        <v>2</v>
      </c>
      <c r="AD5556" s="54" t="s">
        <v>2</v>
      </c>
      <c r="AE5556" s="54" t="s">
        <v>2</v>
      </c>
      <c r="AF5556" s="54" t="s">
        <v>2</v>
      </c>
      <c r="AG5556" s="54" t="s">
        <v>2</v>
      </c>
    </row>
    <row r="5557" ht="15.75" customHeight="1">
      <c r="B5557" s="56"/>
      <c r="U5557" s="46" t="str">
        <f t="array" ref="U5557">IF($D5557="","",IFERROR(_xlfn.XLOOKUP($D5557,'TIR店舗一覧'!$D:$D,'TIR店舗一覧'!$E:$E,""),""))</f>
        <v/>
      </c>
      <c r="V5557" s="54" t="s">
        <v>2</v>
      </c>
      <c r="W5557" s="54" t="s">
        <v>2</v>
      </c>
      <c r="X5557" s="54" t="s">
        <v>2</v>
      </c>
      <c r="Y5557" s="54" t="s">
        <v>2</v>
      </c>
      <c r="Z5557" s="54" t="s">
        <v>2</v>
      </c>
      <c r="AA5557" s="54" t="s">
        <v>2</v>
      </c>
      <c r="AB5557" s="54" t="s">
        <v>2</v>
      </c>
      <c r="AC5557" s="54" t="s">
        <v>2</v>
      </c>
      <c r="AD5557" s="54" t="s">
        <v>2</v>
      </c>
      <c r="AE5557" s="54" t="s">
        <v>2</v>
      </c>
      <c r="AF5557" s="54" t="s">
        <v>2</v>
      </c>
      <c r="AG5557" s="54" t="s">
        <v>2</v>
      </c>
    </row>
    <row r="5558" ht="15.75" customHeight="1">
      <c r="B5558" s="56"/>
      <c r="U5558" s="46" t="str">
        <f t="array" ref="U5558">IF($D5558="","",IFERROR(_xlfn.XLOOKUP($D5558,'TIR店舗一覧'!$D:$D,'TIR店舗一覧'!$E:$E,""),""))</f>
        <v/>
      </c>
      <c r="V5558" s="54" t="s">
        <v>2</v>
      </c>
      <c r="W5558" s="54" t="s">
        <v>2</v>
      </c>
      <c r="X5558" s="54" t="s">
        <v>2</v>
      </c>
      <c r="Y5558" s="54" t="s">
        <v>2</v>
      </c>
      <c r="Z5558" s="54" t="s">
        <v>2</v>
      </c>
      <c r="AA5558" s="54" t="s">
        <v>2</v>
      </c>
      <c r="AB5558" s="54" t="s">
        <v>2</v>
      </c>
      <c r="AC5558" s="54" t="s">
        <v>2</v>
      </c>
      <c r="AD5558" s="54" t="s">
        <v>2</v>
      </c>
      <c r="AE5558" s="54" t="s">
        <v>2</v>
      </c>
      <c r="AF5558" s="54" t="s">
        <v>2</v>
      </c>
      <c r="AG5558" s="54" t="s">
        <v>2</v>
      </c>
    </row>
    <row r="5559" ht="15.75" customHeight="1">
      <c r="B5559" s="56"/>
      <c r="U5559" s="46" t="str">
        <f t="array" ref="U5559">IF($D5559="","",IFERROR(_xlfn.XLOOKUP($D5559,'TIR店舗一覧'!$D:$D,'TIR店舗一覧'!$E:$E,""),""))</f>
        <v/>
      </c>
      <c r="V5559" s="54" t="s">
        <v>2</v>
      </c>
      <c r="W5559" s="54" t="s">
        <v>2</v>
      </c>
      <c r="X5559" s="54" t="s">
        <v>2</v>
      </c>
      <c r="Y5559" s="54" t="s">
        <v>2</v>
      </c>
      <c r="Z5559" s="54" t="s">
        <v>2</v>
      </c>
      <c r="AA5559" s="54" t="s">
        <v>2</v>
      </c>
      <c r="AB5559" s="54" t="s">
        <v>2</v>
      </c>
      <c r="AC5559" s="54" t="s">
        <v>2</v>
      </c>
      <c r="AD5559" s="54" t="s">
        <v>2</v>
      </c>
      <c r="AE5559" s="54" t="s">
        <v>2</v>
      </c>
      <c r="AF5559" s="54" t="s">
        <v>2</v>
      </c>
      <c r="AG5559" s="54" t="s">
        <v>2</v>
      </c>
    </row>
    <row r="5560" ht="15.75" customHeight="1">
      <c r="B5560" s="56"/>
      <c r="U5560" s="46" t="str">
        <f t="array" ref="U5560">IF($D5560="","",IFERROR(_xlfn.XLOOKUP($D5560,'TIR店舗一覧'!$D:$D,'TIR店舗一覧'!$E:$E,""),""))</f>
        <v/>
      </c>
      <c r="V5560" s="54" t="s">
        <v>2</v>
      </c>
      <c r="W5560" s="54" t="s">
        <v>2</v>
      </c>
      <c r="X5560" s="54" t="s">
        <v>2</v>
      </c>
      <c r="Y5560" s="54" t="s">
        <v>2</v>
      </c>
      <c r="Z5560" s="54" t="s">
        <v>2</v>
      </c>
      <c r="AA5560" s="54" t="s">
        <v>2</v>
      </c>
      <c r="AB5560" s="54" t="s">
        <v>2</v>
      </c>
      <c r="AC5560" s="54" t="s">
        <v>2</v>
      </c>
      <c r="AD5560" s="54" t="s">
        <v>2</v>
      </c>
      <c r="AE5560" s="54" t="s">
        <v>2</v>
      </c>
      <c r="AF5560" s="54" t="s">
        <v>2</v>
      </c>
      <c r="AG5560" s="54" t="s">
        <v>2</v>
      </c>
    </row>
    <row r="5561" ht="15.75" customHeight="1">
      <c r="B5561" s="56"/>
      <c r="U5561" s="46" t="str">
        <f t="array" ref="U5561">IF($D5561="","",IFERROR(_xlfn.XLOOKUP($D5561,'TIR店舗一覧'!$D:$D,'TIR店舗一覧'!$E:$E,""),""))</f>
        <v/>
      </c>
      <c r="V5561" s="54" t="s">
        <v>2</v>
      </c>
      <c r="W5561" s="54" t="s">
        <v>2</v>
      </c>
      <c r="X5561" s="54" t="s">
        <v>2</v>
      </c>
      <c r="Y5561" s="54" t="s">
        <v>2</v>
      </c>
      <c r="Z5561" s="54" t="s">
        <v>2</v>
      </c>
      <c r="AA5561" s="54" t="s">
        <v>2</v>
      </c>
      <c r="AB5561" s="54" t="s">
        <v>2</v>
      </c>
      <c r="AC5561" s="54" t="s">
        <v>2</v>
      </c>
      <c r="AD5561" s="54" t="s">
        <v>2</v>
      </c>
      <c r="AE5561" s="54" t="s">
        <v>2</v>
      </c>
      <c r="AF5561" s="54" t="s">
        <v>2</v>
      </c>
      <c r="AG5561" s="54" t="s">
        <v>2</v>
      </c>
    </row>
    <row r="5562" ht="15.75" customHeight="1">
      <c r="B5562" s="56"/>
      <c r="U5562" s="46" t="str">
        <f t="array" ref="U5562">IF($D5562="","",IFERROR(_xlfn.XLOOKUP($D5562,'TIR店舗一覧'!$D:$D,'TIR店舗一覧'!$E:$E,""),""))</f>
        <v/>
      </c>
      <c r="V5562" s="54" t="s">
        <v>2</v>
      </c>
      <c r="W5562" s="54" t="s">
        <v>2</v>
      </c>
      <c r="X5562" s="54" t="s">
        <v>2</v>
      </c>
      <c r="Y5562" s="54" t="s">
        <v>2</v>
      </c>
      <c r="Z5562" s="54" t="s">
        <v>2</v>
      </c>
      <c r="AA5562" s="54" t="s">
        <v>2</v>
      </c>
      <c r="AB5562" s="54" t="s">
        <v>2</v>
      </c>
      <c r="AC5562" s="54" t="s">
        <v>2</v>
      </c>
      <c r="AD5562" s="54" t="s">
        <v>2</v>
      </c>
      <c r="AE5562" s="54" t="s">
        <v>2</v>
      </c>
      <c r="AF5562" s="54" t="s">
        <v>2</v>
      </c>
      <c r="AG5562" s="54" t="s">
        <v>2</v>
      </c>
    </row>
    <row r="5563" ht="15.75" customHeight="1">
      <c r="B5563" s="56"/>
      <c r="U5563" s="46" t="str">
        <f t="array" ref="U5563">IF($D5563="","",IFERROR(_xlfn.XLOOKUP($D5563,'TIR店舗一覧'!$D:$D,'TIR店舗一覧'!$E:$E,""),""))</f>
        <v/>
      </c>
      <c r="V5563" s="54" t="s">
        <v>2</v>
      </c>
      <c r="W5563" s="54" t="s">
        <v>2</v>
      </c>
      <c r="X5563" s="54" t="s">
        <v>2</v>
      </c>
      <c r="Y5563" s="54" t="s">
        <v>2</v>
      </c>
      <c r="Z5563" s="54" t="s">
        <v>2</v>
      </c>
      <c r="AA5563" s="54" t="s">
        <v>2</v>
      </c>
      <c r="AB5563" s="54" t="s">
        <v>2</v>
      </c>
      <c r="AC5563" s="54" t="s">
        <v>2</v>
      </c>
      <c r="AD5563" s="54" t="s">
        <v>2</v>
      </c>
      <c r="AE5563" s="54" t="s">
        <v>2</v>
      </c>
      <c r="AF5563" s="54" t="s">
        <v>2</v>
      </c>
      <c r="AG5563" s="54" t="s">
        <v>2</v>
      </c>
    </row>
    <row r="5564" ht="15.75" customHeight="1">
      <c r="B5564" s="56"/>
      <c r="U5564" s="46" t="str">
        <f t="array" ref="U5564">IF($D5564="","",IFERROR(_xlfn.XLOOKUP($D5564,'TIR店舗一覧'!$D:$D,'TIR店舗一覧'!$E:$E,""),""))</f>
        <v/>
      </c>
      <c r="V5564" s="54" t="s">
        <v>2</v>
      </c>
      <c r="W5564" s="54" t="s">
        <v>2</v>
      </c>
      <c r="X5564" s="54" t="s">
        <v>2</v>
      </c>
      <c r="Y5564" s="54" t="s">
        <v>2</v>
      </c>
      <c r="Z5564" s="54" t="s">
        <v>2</v>
      </c>
      <c r="AA5564" s="54" t="s">
        <v>2</v>
      </c>
      <c r="AB5564" s="54" t="s">
        <v>2</v>
      </c>
      <c r="AC5564" s="54" t="s">
        <v>2</v>
      </c>
      <c r="AD5564" s="54" t="s">
        <v>2</v>
      </c>
      <c r="AE5564" s="54" t="s">
        <v>2</v>
      </c>
      <c r="AF5564" s="54" t="s">
        <v>2</v>
      </c>
      <c r="AG5564" s="54" t="s">
        <v>2</v>
      </c>
    </row>
    <row r="5565" ht="15.75" customHeight="1">
      <c r="B5565" s="56"/>
      <c r="U5565" s="46" t="str">
        <f t="array" ref="U5565">IF($D5565="","",IFERROR(_xlfn.XLOOKUP($D5565,'TIR店舗一覧'!$D:$D,'TIR店舗一覧'!$E:$E,""),""))</f>
        <v/>
      </c>
      <c r="V5565" s="54" t="s">
        <v>2</v>
      </c>
      <c r="W5565" s="54" t="s">
        <v>2</v>
      </c>
      <c r="X5565" s="54" t="s">
        <v>2</v>
      </c>
      <c r="Y5565" s="54" t="s">
        <v>2</v>
      </c>
      <c r="Z5565" s="54" t="s">
        <v>2</v>
      </c>
      <c r="AA5565" s="54" t="s">
        <v>2</v>
      </c>
      <c r="AB5565" s="54" t="s">
        <v>2</v>
      </c>
      <c r="AC5565" s="54" t="s">
        <v>2</v>
      </c>
      <c r="AD5565" s="54" t="s">
        <v>2</v>
      </c>
      <c r="AE5565" s="54" t="s">
        <v>2</v>
      </c>
      <c r="AF5565" s="54" t="s">
        <v>2</v>
      </c>
      <c r="AG5565" s="54" t="s">
        <v>2</v>
      </c>
    </row>
    <row r="5566" ht="15.75" customHeight="1">
      <c r="B5566" s="56"/>
      <c r="U5566" s="46" t="str">
        <f t="array" ref="U5566">IF($D5566="","",IFERROR(_xlfn.XLOOKUP($D5566,'TIR店舗一覧'!$D:$D,'TIR店舗一覧'!$E:$E,""),""))</f>
        <v/>
      </c>
      <c r="V5566" s="54" t="s">
        <v>2</v>
      </c>
      <c r="W5566" s="54" t="s">
        <v>2</v>
      </c>
      <c r="X5566" s="54" t="s">
        <v>2</v>
      </c>
      <c r="Y5566" s="54" t="s">
        <v>2</v>
      </c>
      <c r="Z5566" s="54" t="s">
        <v>2</v>
      </c>
      <c r="AA5566" s="54" t="s">
        <v>2</v>
      </c>
      <c r="AB5566" s="54" t="s">
        <v>2</v>
      </c>
      <c r="AC5566" s="54" t="s">
        <v>2</v>
      </c>
      <c r="AD5566" s="54" t="s">
        <v>2</v>
      </c>
      <c r="AE5566" s="54" t="s">
        <v>2</v>
      </c>
      <c r="AF5566" s="54" t="s">
        <v>2</v>
      </c>
      <c r="AG5566" s="54" t="s">
        <v>2</v>
      </c>
    </row>
    <row r="5567" ht="15.75" customHeight="1">
      <c r="B5567" s="56"/>
      <c r="U5567" s="46" t="str">
        <f t="array" ref="U5567">IF($D5567="","",IFERROR(_xlfn.XLOOKUP($D5567,'TIR店舗一覧'!$D:$D,'TIR店舗一覧'!$E:$E,""),""))</f>
        <v/>
      </c>
      <c r="V5567" s="54" t="s">
        <v>2</v>
      </c>
      <c r="W5567" s="54" t="s">
        <v>2</v>
      </c>
      <c r="X5567" s="54" t="s">
        <v>2</v>
      </c>
      <c r="Y5567" s="54" t="s">
        <v>2</v>
      </c>
      <c r="Z5567" s="54" t="s">
        <v>2</v>
      </c>
      <c r="AA5567" s="54" t="s">
        <v>2</v>
      </c>
      <c r="AB5567" s="54" t="s">
        <v>2</v>
      </c>
      <c r="AC5567" s="54" t="s">
        <v>2</v>
      </c>
      <c r="AD5567" s="54" t="s">
        <v>2</v>
      </c>
      <c r="AE5567" s="54" t="s">
        <v>2</v>
      </c>
      <c r="AF5567" s="54" t="s">
        <v>2</v>
      </c>
      <c r="AG5567" s="54" t="s">
        <v>2</v>
      </c>
    </row>
    <row r="5568" ht="15.75" customHeight="1">
      <c r="B5568" s="56"/>
      <c r="U5568" s="46" t="str">
        <f t="array" ref="U5568">IF($D5568="","",IFERROR(_xlfn.XLOOKUP($D5568,'TIR店舗一覧'!$D:$D,'TIR店舗一覧'!$E:$E,""),""))</f>
        <v/>
      </c>
      <c r="V5568" s="54" t="s">
        <v>2</v>
      </c>
      <c r="W5568" s="54" t="s">
        <v>2</v>
      </c>
      <c r="X5568" s="54" t="s">
        <v>2</v>
      </c>
      <c r="Y5568" s="54" t="s">
        <v>2</v>
      </c>
      <c r="Z5568" s="54" t="s">
        <v>2</v>
      </c>
      <c r="AA5568" s="54" t="s">
        <v>2</v>
      </c>
      <c r="AB5568" s="54" t="s">
        <v>2</v>
      </c>
      <c r="AC5568" s="54" t="s">
        <v>2</v>
      </c>
      <c r="AD5568" s="54" t="s">
        <v>2</v>
      </c>
      <c r="AE5568" s="54" t="s">
        <v>2</v>
      </c>
      <c r="AF5568" s="54" t="s">
        <v>2</v>
      </c>
      <c r="AG5568" s="54" t="s">
        <v>2</v>
      </c>
    </row>
    <row r="5569" ht="15.75" customHeight="1">
      <c r="B5569" s="56"/>
      <c r="U5569" s="46" t="str">
        <f t="array" ref="U5569">IF($D5569="","",IFERROR(_xlfn.XLOOKUP($D5569,'TIR店舗一覧'!$D:$D,'TIR店舗一覧'!$E:$E,""),""))</f>
        <v/>
      </c>
      <c r="V5569" s="54" t="s">
        <v>2</v>
      </c>
      <c r="W5569" s="54" t="s">
        <v>2</v>
      </c>
      <c r="X5569" s="54" t="s">
        <v>2</v>
      </c>
      <c r="Y5569" s="54" t="s">
        <v>2</v>
      </c>
      <c r="Z5569" s="54" t="s">
        <v>2</v>
      </c>
      <c r="AA5569" s="54" t="s">
        <v>2</v>
      </c>
      <c r="AB5569" s="54" t="s">
        <v>2</v>
      </c>
      <c r="AC5569" s="54" t="s">
        <v>2</v>
      </c>
      <c r="AD5569" s="54" t="s">
        <v>2</v>
      </c>
      <c r="AE5569" s="54" t="s">
        <v>2</v>
      </c>
      <c r="AF5569" s="54" t="s">
        <v>2</v>
      </c>
      <c r="AG5569" s="54" t="s">
        <v>2</v>
      </c>
    </row>
    <row r="5570" ht="15.75" customHeight="1">
      <c r="B5570" s="56"/>
      <c r="U5570" s="46" t="str">
        <f t="array" ref="U5570">IF($D5570="","",IFERROR(_xlfn.XLOOKUP($D5570,'TIR店舗一覧'!$D:$D,'TIR店舗一覧'!$E:$E,""),""))</f>
        <v/>
      </c>
      <c r="V5570" s="54" t="s">
        <v>2</v>
      </c>
      <c r="W5570" s="54" t="s">
        <v>2</v>
      </c>
      <c r="X5570" s="54" t="s">
        <v>2</v>
      </c>
      <c r="Y5570" s="54" t="s">
        <v>2</v>
      </c>
      <c r="Z5570" s="54" t="s">
        <v>2</v>
      </c>
      <c r="AA5570" s="54" t="s">
        <v>2</v>
      </c>
      <c r="AB5570" s="54" t="s">
        <v>2</v>
      </c>
      <c r="AC5570" s="54" t="s">
        <v>2</v>
      </c>
      <c r="AD5570" s="54" t="s">
        <v>2</v>
      </c>
      <c r="AE5570" s="54" t="s">
        <v>2</v>
      </c>
      <c r="AF5570" s="54" t="s">
        <v>2</v>
      </c>
      <c r="AG5570" s="54" t="s">
        <v>2</v>
      </c>
    </row>
    <row r="5571" ht="15.75" customHeight="1">
      <c r="B5571" s="56"/>
      <c r="U5571" s="46" t="str">
        <f t="array" ref="U5571">IF($D5571="","",IFERROR(_xlfn.XLOOKUP($D5571,'TIR店舗一覧'!$D:$D,'TIR店舗一覧'!$E:$E,""),""))</f>
        <v/>
      </c>
      <c r="V5571" s="54" t="s">
        <v>2</v>
      </c>
      <c r="W5571" s="54" t="s">
        <v>2</v>
      </c>
      <c r="X5571" s="54" t="s">
        <v>2</v>
      </c>
      <c r="Y5571" s="54" t="s">
        <v>2</v>
      </c>
      <c r="Z5571" s="54" t="s">
        <v>2</v>
      </c>
      <c r="AA5571" s="54" t="s">
        <v>2</v>
      </c>
      <c r="AB5571" s="54" t="s">
        <v>2</v>
      </c>
      <c r="AC5571" s="54" t="s">
        <v>2</v>
      </c>
      <c r="AD5571" s="54" t="s">
        <v>2</v>
      </c>
      <c r="AE5571" s="54" t="s">
        <v>2</v>
      </c>
      <c r="AF5571" s="54" t="s">
        <v>2</v>
      </c>
      <c r="AG5571" s="54" t="s">
        <v>2</v>
      </c>
    </row>
    <row r="5572" ht="15.75" customHeight="1">
      <c r="B5572" s="56"/>
      <c r="U5572" s="46" t="str">
        <f t="array" ref="U5572">IF($D5572="","",IFERROR(_xlfn.XLOOKUP($D5572,'TIR店舗一覧'!$D:$D,'TIR店舗一覧'!$E:$E,""),""))</f>
        <v/>
      </c>
      <c r="V5572" s="54" t="s">
        <v>2</v>
      </c>
      <c r="W5572" s="54" t="s">
        <v>2</v>
      </c>
      <c r="X5572" s="54" t="s">
        <v>2</v>
      </c>
      <c r="Y5572" s="54" t="s">
        <v>2</v>
      </c>
      <c r="Z5572" s="54" t="s">
        <v>2</v>
      </c>
      <c r="AA5572" s="54" t="s">
        <v>2</v>
      </c>
      <c r="AB5572" s="54" t="s">
        <v>2</v>
      </c>
      <c r="AC5572" s="54" t="s">
        <v>2</v>
      </c>
      <c r="AD5572" s="54" t="s">
        <v>2</v>
      </c>
      <c r="AE5572" s="54" t="s">
        <v>2</v>
      </c>
      <c r="AF5572" s="54" t="s">
        <v>2</v>
      </c>
      <c r="AG5572" s="54" t="s">
        <v>2</v>
      </c>
    </row>
    <row r="5573" ht="15.75" customHeight="1">
      <c r="B5573" s="56"/>
      <c r="U5573" s="46" t="str">
        <f t="array" ref="U5573">IF($D5573="","",IFERROR(_xlfn.XLOOKUP($D5573,'TIR店舗一覧'!$D:$D,'TIR店舗一覧'!$E:$E,""),""))</f>
        <v/>
      </c>
      <c r="V5573" s="54" t="s">
        <v>2</v>
      </c>
      <c r="W5573" s="54" t="s">
        <v>2</v>
      </c>
      <c r="X5573" s="54" t="s">
        <v>2</v>
      </c>
      <c r="Y5573" s="54" t="s">
        <v>2</v>
      </c>
      <c r="Z5573" s="54" t="s">
        <v>2</v>
      </c>
      <c r="AA5573" s="54" t="s">
        <v>2</v>
      </c>
      <c r="AB5573" s="54" t="s">
        <v>2</v>
      </c>
      <c r="AC5573" s="54" t="s">
        <v>2</v>
      </c>
      <c r="AD5573" s="54" t="s">
        <v>2</v>
      </c>
      <c r="AE5573" s="54" t="s">
        <v>2</v>
      </c>
      <c r="AF5573" s="54" t="s">
        <v>2</v>
      </c>
      <c r="AG5573" s="54" t="s">
        <v>2</v>
      </c>
    </row>
    <row r="5574" ht="15.75" customHeight="1">
      <c r="B5574" s="56"/>
      <c r="U5574" s="46" t="str">
        <f t="array" ref="U5574">IF($D5574="","",IFERROR(_xlfn.XLOOKUP($D5574,'TIR店舗一覧'!$D:$D,'TIR店舗一覧'!$E:$E,""),""))</f>
        <v/>
      </c>
      <c r="V5574" s="54" t="s">
        <v>2</v>
      </c>
      <c r="W5574" s="54" t="s">
        <v>2</v>
      </c>
      <c r="X5574" s="54" t="s">
        <v>2</v>
      </c>
      <c r="Y5574" s="54" t="s">
        <v>2</v>
      </c>
      <c r="Z5574" s="54" t="s">
        <v>2</v>
      </c>
      <c r="AA5574" s="54" t="s">
        <v>2</v>
      </c>
      <c r="AB5574" s="54" t="s">
        <v>2</v>
      </c>
      <c r="AC5574" s="54" t="s">
        <v>2</v>
      </c>
      <c r="AD5574" s="54" t="s">
        <v>2</v>
      </c>
      <c r="AE5574" s="54" t="s">
        <v>2</v>
      </c>
      <c r="AF5574" s="54" t="s">
        <v>2</v>
      </c>
      <c r="AG5574" s="54" t="s">
        <v>2</v>
      </c>
    </row>
    <row r="5575" ht="15.75" customHeight="1">
      <c r="B5575" s="56"/>
      <c r="U5575" s="46" t="str">
        <f t="array" ref="U5575">IF($D5575="","",IFERROR(_xlfn.XLOOKUP($D5575,'TIR店舗一覧'!$D:$D,'TIR店舗一覧'!$E:$E,""),""))</f>
        <v/>
      </c>
      <c r="V5575" s="54" t="s">
        <v>2</v>
      </c>
      <c r="W5575" s="54" t="s">
        <v>2</v>
      </c>
      <c r="X5575" s="54" t="s">
        <v>2</v>
      </c>
      <c r="Y5575" s="54" t="s">
        <v>2</v>
      </c>
      <c r="Z5575" s="54" t="s">
        <v>2</v>
      </c>
      <c r="AA5575" s="54" t="s">
        <v>2</v>
      </c>
      <c r="AB5575" s="54" t="s">
        <v>2</v>
      </c>
      <c r="AC5575" s="54" t="s">
        <v>2</v>
      </c>
      <c r="AD5575" s="54" t="s">
        <v>2</v>
      </c>
      <c r="AE5575" s="54" t="s">
        <v>2</v>
      </c>
      <c r="AF5575" s="54" t="s">
        <v>2</v>
      </c>
      <c r="AG5575" s="54" t="s">
        <v>2</v>
      </c>
    </row>
    <row r="5576" ht="15.75" customHeight="1">
      <c r="B5576" s="56"/>
      <c r="U5576" s="46" t="str">
        <f t="array" ref="U5576">IF($D5576="","",IFERROR(_xlfn.XLOOKUP($D5576,'TIR店舗一覧'!$D:$D,'TIR店舗一覧'!$E:$E,""),""))</f>
        <v/>
      </c>
      <c r="V5576" s="54" t="s">
        <v>2</v>
      </c>
      <c r="W5576" s="54" t="s">
        <v>2</v>
      </c>
      <c r="X5576" s="54" t="s">
        <v>2</v>
      </c>
      <c r="Y5576" s="54" t="s">
        <v>2</v>
      </c>
      <c r="Z5576" s="54" t="s">
        <v>2</v>
      </c>
      <c r="AA5576" s="54" t="s">
        <v>2</v>
      </c>
      <c r="AB5576" s="54" t="s">
        <v>2</v>
      </c>
      <c r="AC5576" s="54" t="s">
        <v>2</v>
      </c>
      <c r="AD5576" s="54" t="s">
        <v>2</v>
      </c>
      <c r="AE5576" s="54" t="s">
        <v>2</v>
      </c>
      <c r="AF5576" s="54" t="s">
        <v>2</v>
      </c>
      <c r="AG5576" s="54" t="s">
        <v>2</v>
      </c>
    </row>
    <row r="5577" ht="15.75" customHeight="1">
      <c r="B5577" s="56"/>
      <c r="U5577" s="46" t="str">
        <f t="array" ref="U5577">IF($D5577="","",IFERROR(_xlfn.XLOOKUP($D5577,'TIR店舗一覧'!$D:$D,'TIR店舗一覧'!$E:$E,""),""))</f>
        <v/>
      </c>
      <c r="V5577" s="54" t="s">
        <v>2</v>
      </c>
      <c r="W5577" s="54" t="s">
        <v>2</v>
      </c>
      <c r="X5577" s="54" t="s">
        <v>2</v>
      </c>
      <c r="Y5577" s="54" t="s">
        <v>2</v>
      </c>
      <c r="Z5577" s="54" t="s">
        <v>2</v>
      </c>
      <c r="AA5577" s="54" t="s">
        <v>2</v>
      </c>
      <c r="AB5577" s="54" t="s">
        <v>2</v>
      </c>
      <c r="AC5577" s="54" t="s">
        <v>2</v>
      </c>
      <c r="AD5577" s="54" t="s">
        <v>2</v>
      </c>
      <c r="AE5577" s="54" t="s">
        <v>2</v>
      </c>
      <c r="AF5577" s="54" t="s">
        <v>2</v>
      </c>
      <c r="AG5577" s="54" t="s">
        <v>2</v>
      </c>
    </row>
    <row r="5578" ht="15.75" customHeight="1">
      <c r="B5578" s="56"/>
      <c r="U5578" s="46" t="str">
        <f t="array" ref="U5578">IF($D5578="","",IFERROR(_xlfn.XLOOKUP($D5578,'TIR店舗一覧'!$D:$D,'TIR店舗一覧'!$E:$E,""),""))</f>
        <v/>
      </c>
      <c r="V5578" s="54" t="s">
        <v>2</v>
      </c>
      <c r="W5578" s="54" t="s">
        <v>2</v>
      </c>
      <c r="X5578" s="54" t="s">
        <v>2</v>
      </c>
      <c r="Y5578" s="54" t="s">
        <v>2</v>
      </c>
      <c r="Z5578" s="54" t="s">
        <v>2</v>
      </c>
      <c r="AA5578" s="54" t="s">
        <v>2</v>
      </c>
      <c r="AB5578" s="54" t="s">
        <v>2</v>
      </c>
      <c r="AC5578" s="54" t="s">
        <v>2</v>
      </c>
      <c r="AD5578" s="54" t="s">
        <v>2</v>
      </c>
      <c r="AE5578" s="54" t="s">
        <v>2</v>
      </c>
      <c r="AF5578" s="54" t="s">
        <v>2</v>
      </c>
      <c r="AG5578" s="54" t="s">
        <v>2</v>
      </c>
    </row>
    <row r="5579" ht="15.75" customHeight="1">
      <c r="B5579" s="56"/>
      <c r="U5579" s="46" t="str">
        <f t="array" ref="U5579">IF($D5579="","",IFERROR(_xlfn.XLOOKUP($D5579,'TIR店舗一覧'!$D:$D,'TIR店舗一覧'!$E:$E,""),""))</f>
        <v/>
      </c>
      <c r="V5579" s="54" t="s">
        <v>2</v>
      </c>
      <c r="W5579" s="54" t="s">
        <v>2</v>
      </c>
      <c r="X5579" s="54" t="s">
        <v>2</v>
      </c>
      <c r="Y5579" s="54" t="s">
        <v>2</v>
      </c>
      <c r="Z5579" s="54" t="s">
        <v>2</v>
      </c>
      <c r="AA5579" s="54" t="s">
        <v>2</v>
      </c>
      <c r="AB5579" s="54" t="s">
        <v>2</v>
      </c>
      <c r="AC5579" s="54" t="s">
        <v>2</v>
      </c>
      <c r="AD5579" s="54" t="s">
        <v>2</v>
      </c>
      <c r="AE5579" s="54" t="s">
        <v>2</v>
      </c>
      <c r="AF5579" s="54" t="s">
        <v>2</v>
      </c>
      <c r="AG5579" s="54" t="s">
        <v>2</v>
      </c>
    </row>
    <row r="5580" ht="15.75" customHeight="1">
      <c r="B5580" s="56"/>
      <c r="U5580" s="46" t="str">
        <f t="array" ref="U5580">IF($D5580="","",IFERROR(_xlfn.XLOOKUP($D5580,'TIR店舗一覧'!$D:$D,'TIR店舗一覧'!$E:$E,""),""))</f>
        <v/>
      </c>
      <c r="V5580" s="54" t="s">
        <v>2</v>
      </c>
      <c r="W5580" s="54" t="s">
        <v>2</v>
      </c>
      <c r="X5580" s="54" t="s">
        <v>2</v>
      </c>
      <c r="Y5580" s="54" t="s">
        <v>2</v>
      </c>
      <c r="Z5580" s="54" t="s">
        <v>2</v>
      </c>
      <c r="AA5580" s="54" t="s">
        <v>2</v>
      </c>
      <c r="AB5580" s="54" t="s">
        <v>2</v>
      </c>
      <c r="AC5580" s="54" t="s">
        <v>2</v>
      </c>
      <c r="AD5580" s="54" t="s">
        <v>2</v>
      </c>
      <c r="AE5580" s="54" t="s">
        <v>2</v>
      </c>
      <c r="AF5580" s="54" t="s">
        <v>2</v>
      </c>
      <c r="AG5580" s="54" t="s">
        <v>2</v>
      </c>
    </row>
    <row r="5581" ht="15.75" customHeight="1">
      <c r="B5581" s="56"/>
      <c r="U5581" s="46" t="str">
        <f t="array" ref="U5581">IF($D5581="","",IFERROR(_xlfn.XLOOKUP($D5581,'TIR店舗一覧'!$D:$D,'TIR店舗一覧'!$E:$E,""),""))</f>
        <v/>
      </c>
      <c r="V5581" s="54" t="s">
        <v>2</v>
      </c>
      <c r="W5581" s="54" t="s">
        <v>2</v>
      </c>
      <c r="X5581" s="54" t="s">
        <v>2</v>
      </c>
      <c r="Y5581" s="54" t="s">
        <v>2</v>
      </c>
      <c r="Z5581" s="54" t="s">
        <v>2</v>
      </c>
      <c r="AA5581" s="54" t="s">
        <v>2</v>
      </c>
      <c r="AB5581" s="54" t="s">
        <v>2</v>
      </c>
      <c r="AC5581" s="54" t="s">
        <v>2</v>
      </c>
      <c r="AD5581" s="54" t="s">
        <v>2</v>
      </c>
      <c r="AE5581" s="54" t="s">
        <v>2</v>
      </c>
      <c r="AF5581" s="54" t="s">
        <v>2</v>
      </c>
      <c r="AG5581" s="54" t="s">
        <v>2</v>
      </c>
    </row>
    <row r="5582" ht="15.75" customHeight="1">
      <c r="B5582" s="56"/>
      <c r="U5582" s="46" t="str">
        <f t="array" ref="U5582">IF($D5582="","",IFERROR(_xlfn.XLOOKUP($D5582,'TIR店舗一覧'!$D:$D,'TIR店舗一覧'!$E:$E,""),""))</f>
        <v/>
      </c>
      <c r="V5582" s="54" t="s">
        <v>2</v>
      </c>
      <c r="W5582" s="54" t="s">
        <v>2</v>
      </c>
      <c r="X5582" s="54" t="s">
        <v>2</v>
      </c>
      <c r="Y5582" s="54" t="s">
        <v>2</v>
      </c>
      <c r="Z5582" s="54" t="s">
        <v>2</v>
      </c>
      <c r="AA5582" s="54" t="s">
        <v>2</v>
      </c>
      <c r="AB5582" s="54" t="s">
        <v>2</v>
      </c>
      <c r="AC5582" s="54" t="s">
        <v>2</v>
      </c>
      <c r="AD5582" s="54" t="s">
        <v>2</v>
      </c>
      <c r="AE5582" s="54" t="s">
        <v>2</v>
      </c>
      <c r="AF5582" s="54" t="s">
        <v>2</v>
      </c>
      <c r="AG5582" s="54" t="s">
        <v>2</v>
      </c>
    </row>
    <row r="5583" ht="15.75" customHeight="1">
      <c r="B5583" s="56"/>
      <c r="U5583" s="46" t="str">
        <f t="array" ref="U5583">IF($D5583="","",IFERROR(_xlfn.XLOOKUP($D5583,'TIR店舗一覧'!$D:$D,'TIR店舗一覧'!$E:$E,""),""))</f>
        <v/>
      </c>
      <c r="V5583" s="54" t="s">
        <v>2</v>
      </c>
      <c r="W5583" s="54" t="s">
        <v>2</v>
      </c>
      <c r="X5583" s="54" t="s">
        <v>2</v>
      </c>
      <c r="Y5583" s="54" t="s">
        <v>2</v>
      </c>
      <c r="Z5583" s="54" t="s">
        <v>2</v>
      </c>
      <c r="AA5583" s="54" t="s">
        <v>2</v>
      </c>
      <c r="AB5583" s="54" t="s">
        <v>2</v>
      </c>
      <c r="AC5583" s="54" t="s">
        <v>2</v>
      </c>
      <c r="AD5583" s="54" t="s">
        <v>2</v>
      </c>
      <c r="AE5583" s="54" t="s">
        <v>2</v>
      </c>
      <c r="AF5583" s="54" t="s">
        <v>2</v>
      </c>
      <c r="AG5583" s="54" t="s">
        <v>2</v>
      </c>
    </row>
    <row r="5584" ht="15.75" customHeight="1">
      <c r="B5584" s="56"/>
      <c r="U5584" s="46" t="str">
        <f t="array" ref="U5584">IF($D5584="","",IFERROR(_xlfn.XLOOKUP($D5584,'TIR店舗一覧'!$D:$D,'TIR店舗一覧'!$E:$E,""),""))</f>
        <v/>
      </c>
      <c r="V5584" s="54" t="s">
        <v>2</v>
      </c>
      <c r="W5584" s="54" t="s">
        <v>2</v>
      </c>
      <c r="X5584" s="54" t="s">
        <v>2</v>
      </c>
      <c r="Y5584" s="54" t="s">
        <v>2</v>
      </c>
      <c r="Z5584" s="54" t="s">
        <v>2</v>
      </c>
      <c r="AA5584" s="54" t="s">
        <v>2</v>
      </c>
      <c r="AB5584" s="54" t="s">
        <v>2</v>
      </c>
      <c r="AC5584" s="54" t="s">
        <v>2</v>
      </c>
      <c r="AD5584" s="54" t="s">
        <v>2</v>
      </c>
      <c r="AE5584" s="54" t="s">
        <v>2</v>
      </c>
      <c r="AF5584" s="54" t="s">
        <v>2</v>
      </c>
      <c r="AG5584" s="54" t="s">
        <v>2</v>
      </c>
    </row>
    <row r="5585" ht="15.75" customHeight="1">
      <c r="B5585" s="56"/>
      <c r="U5585" s="46" t="str">
        <f t="array" ref="U5585">IF($D5585="","",IFERROR(_xlfn.XLOOKUP($D5585,'TIR店舗一覧'!$D:$D,'TIR店舗一覧'!$E:$E,""),""))</f>
        <v/>
      </c>
      <c r="V5585" s="54" t="s">
        <v>2</v>
      </c>
      <c r="W5585" s="54" t="s">
        <v>2</v>
      </c>
      <c r="X5585" s="54" t="s">
        <v>2</v>
      </c>
      <c r="Y5585" s="54" t="s">
        <v>2</v>
      </c>
      <c r="Z5585" s="54" t="s">
        <v>2</v>
      </c>
      <c r="AA5585" s="54" t="s">
        <v>2</v>
      </c>
      <c r="AB5585" s="54" t="s">
        <v>2</v>
      </c>
      <c r="AC5585" s="54" t="s">
        <v>2</v>
      </c>
      <c r="AD5585" s="54" t="s">
        <v>2</v>
      </c>
      <c r="AE5585" s="54" t="s">
        <v>2</v>
      </c>
      <c r="AF5585" s="54" t="s">
        <v>2</v>
      </c>
      <c r="AG5585" s="54" t="s">
        <v>2</v>
      </c>
    </row>
    <row r="5586" ht="15.75" customHeight="1">
      <c r="B5586" s="56"/>
      <c r="U5586" s="46" t="str">
        <f t="array" ref="U5586">IF($D5586="","",IFERROR(_xlfn.XLOOKUP($D5586,'TIR店舗一覧'!$D:$D,'TIR店舗一覧'!$E:$E,""),""))</f>
        <v/>
      </c>
      <c r="V5586" s="54" t="s">
        <v>2</v>
      </c>
      <c r="W5586" s="54" t="s">
        <v>2</v>
      </c>
      <c r="X5586" s="54" t="s">
        <v>2</v>
      </c>
      <c r="Y5586" s="54" t="s">
        <v>2</v>
      </c>
      <c r="Z5586" s="54" t="s">
        <v>2</v>
      </c>
      <c r="AA5586" s="54" t="s">
        <v>2</v>
      </c>
      <c r="AB5586" s="54" t="s">
        <v>2</v>
      </c>
      <c r="AC5586" s="54" t="s">
        <v>2</v>
      </c>
      <c r="AD5586" s="54" t="s">
        <v>2</v>
      </c>
      <c r="AE5586" s="54" t="s">
        <v>2</v>
      </c>
      <c r="AF5586" s="54" t="s">
        <v>2</v>
      </c>
      <c r="AG5586" s="54" t="s">
        <v>2</v>
      </c>
    </row>
    <row r="5587" ht="15.75" customHeight="1">
      <c r="B5587" s="56"/>
      <c r="U5587" s="46" t="str">
        <f t="array" ref="U5587">IF($D5587="","",IFERROR(_xlfn.XLOOKUP($D5587,'TIR店舗一覧'!$D:$D,'TIR店舗一覧'!$E:$E,""),""))</f>
        <v/>
      </c>
      <c r="V5587" s="54" t="s">
        <v>2</v>
      </c>
      <c r="W5587" s="54" t="s">
        <v>2</v>
      </c>
      <c r="X5587" s="54" t="s">
        <v>2</v>
      </c>
      <c r="Y5587" s="54" t="s">
        <v>2</v>
      </c>
      <c r="Z5587" s="54" t="s">
        <v>2</v>
      </c>
      <c r="AA5587" s="54" t="s">
        <v>2</v>
      </c>
      <c r="AB5587" s="54" t="s">
        <v>2</v>
      </c>
      <c r="AC5587" s="54" t="s">
        <v>2</v>
      </c>
      <c r="AD5587" s="54" t="s">
        <v>2</v>
      </c>
      <c r="AE5587" s="54" t="s">
        <v>2</v>
      </c>
      <c r="AF5587" s="54" t="s">
        <v>2</v>
      </c>
      <c r="AG5587" s="54" t="s">
        <v>2</v>
      </c>
    </row>
    <row r="5588" ht="15.75" customHeight="1">
      <c r="B5588" s="56"/>
      <c r="U5588" s="46" t="str">
        <f t="array" ref="U5588">IF($D5588="","",IFERROR(_xlfn.XLOOKUP($D5588,'TIR店舗一覧'!$D:$D,'TIR店舗一覧'!$E:$E,""),""))</f>
        <v/>
      </c>
      <c r="V5588" s="54" t="s">
        <v>2</v>
      </c>
      <c r="W5588" s="54" t="s">
        <v>2</v>
      </c>
      <c r="X5588" s="54" t="s">
        <v>2</v>
      </c>
      <c r="Y5588" s="54" t="s">
        <v>2</v>
      </c>
      <c r="Z5588" s="54" t="s">
        <v>2</v>
      </c>
      <c r="AA5588" s="54" t="s">
        <v>2</v>
      </c>
      <c r="AB5588" s="54" t="s">
        <v>2</v>
      </c>
      <c r="AC5588" s="54" t="s">
        <v>2</v>
      </c>
      <c r="AD5588" s="54" t="s">
        <v>2</v>
      </c>
      <c r="AE5588" s="54" t="s">
        <v>2</v>
      </c>
      <c r="AF5588" s="54" t="s">
        <v>2</v>
      </c>
      <c r="AG5588" s="54" t="s">
        <v>2</v>
      </c>
    </row>
    <row r="5589" ht="15.75" customHeight="1">
      <c r="B5589" s="56"/>
      <c r="U5589" s="46" t="str">
        <f t="array" ref="U5589">IF($D5589="","",IFERROR(_xlfn.XLOOKUP($D5589,'TIR店舗一覧'!$D:$D,'TIR店舗一覧'!$E:$E,""),""))</f>
        <v/>
      </c>
      <c r="V5589" s="54" t="s">
        <v>2</v>
      </c>
      <c r="W5589" s="54" t="s">
        <v>2</v>
      </c>
      <c r="X5589" s="54" t="s">
        <v>2</v>
      </c>
      <c r="Y5589" s="54" t="s">
        <v>2</v>
      </c>
      <c r="Z5589" s="54" t="s">
        <v>2</v>
      </c>
      <c r="AA5589" s="54" t="s">
        <v>2</v>
      </c>
      <c r="AB5589" s="54" t="s">
        <v>2</v>
      </c>
      <c r="AC5589" s="54" t="s">
        <v>2</v>
      </c>
      <c r="AD5589" s="54" t="s">
        <v>2</v>
      </c>
      <c r="AE5589" s="54" t="s">
        <v>2</v>
      </c>
      <c r="AF5589" s="54" t="s">
        <v>2</v>
      </c>
      <c r="AG5589" s="54" t="s">
        <v>2</v>
      </c>
    </row>
    <row r="5590" ht="15.75" customHeight="1">
      <c r="B5590" s="56"/>
      <c r="U5590" s="46" t="str">
        <f t="array" ref="U5590">IF($D5590="","",IFERROR(_xlfn.XLOOKUP($D5590,'TIR店舗一覧'!$D:$D,'TIR店舗一覧'!$E:$E,""),""))</f>
        <v/>
      </c>
      <c r="V5590" s="54" t="s">
        <v>2</v>
      </c>
      <c r="W5590" s="54" t="s">
        <v>2</v>
      </c>
      <c r="X5590" s="54" t="s">
        <v>2</v>
      </c>
      <c r="Y5590" s="54" t="s">
        <v>2</v>
      </c>
      <c r="Z5590" s="54" t="s">
        <v>2</v>
      </c>
      <c r="AA5590" s="54" t="s">
        <v>2</v>
      </c>
      <c r="AB5590" s="54" t="s">
        <v>2</v>
      </c>
      <c r="AC5590" s="54" t="s">
        <v>2</v>
      </c>
      <c r="AD5590" s="54" t="s">
        <v>2</v>
      </c>
      <c r="AE5590" s="54" t="s">
        <v>2</v>
      </c>
      <c r="AF5590" s="54" t="s">
        <v>2</v>
      </c>
      <c r="AG5590" s="54" t="s">
        <v>2</v>
      </c>
    </row>
    <row r="5591" ht="15.75" customHeight="1">
      <c r="B5591" s="56"/>
      <c r="U5591" s="46" t="str">
        <f t="array" ref="U5591">IF($D5591="","",IFERROR(_xlfn.XLOOKUP($D5591,'TIR店舗一覧'!$D:$D,'TIR店舗一覧'!$E:$E,""),""))</f>
        <v/>
      </c>
      <c r="V5591" s="54" t="s">
        <v>2</v>
      </c>
      <c r="W5591" s="54" t="s">
        <v>2</v>
      </c>
      <c r="X5591" s="54" t="s">
        <v>2</v>
      </c>
      <c r="Y5591" s="54" t="s">
        <v>2</v>
      </c>
      <c r="Z5591" s="54" t="s">
        <v>2</v>
      </c>
      <c r="AA5591" s="54" t="s">
        <v>2</v>
      </c>
      <c r="AB5591" s="54" t="s">
        <v>2</v>
      </c>
      <c r="AC5591" s="54" t="s">
        <v>2</v>
      </c>
      <c r="AD5591" s="54" t="s">
        <v>2</v>
      </c>
      <c r="AE5591" s="54" t="s">
        <v>2</v>
      </c>
      <c r="AF5591" s="54" t="s">
        <v>2</v>
      </c>
      <c r="AG5591" s="54" t="s">
        <v>2</v>
      </c>
    </row>
    <row r="5592" ht="15.75" customHeight="1">
      <c r="B5592" s="56"/>
      <c r="U5592" s="46" t="str">
        <f t="array" ref="U5592">IF($D5592="","",IFERROR(_xlfn.XLOOKUP($D5592,'TIR店舗一覧'!$D:$D,'TIR店舗一覧'!$E:$E,""),""))</f>
        <v/>
      </c>
      <c r="V5592" s="54" t="s">
        <v>2</v>
      </c>
      <c r="W5592" s="54" t="s">
        <v>2</v>
      </c>
      <c r="X5592" s="54" t="s">
        <v>2</v>
      </c>
      <c r="Y5592" s="54" t="s">
        <v>2</v>
      </c>
      <c r="Z5592" s="54" t="s">
        <v>2</v>
      </c>
      <c r="AA5592" s="54" t="s">
        <v>2</v>
      </c>
      <c r="AB5592" s="54" t="s">
        <v>2</v>
      </c>
      <c r="AC5592" s="54" t="s">
        <v>2</v>
      </c>
      <c r="AD5592" s="54" t="s">
        <v>2</v>
      </c>
      <c r="AE5592" s="54" t="s">
        <v>2</v>
      </c>
      <c r="AF5592" s="54" t="s">
        <v>2</v>
      </c>
      <c r="AG5592" s="54" t="s">
        <v>2</v>
      </c>
    </row>
    <row r="5593" ht="15.75" customHeight="1">
      <c r="B5593" s="56"/>
      <c r="U5593" s="46" t="str">
        <f t="array" ref="U5593">IF($D5593="","",IFERROR(_xlfn.XLOOKUP($D5593,'TIR店舗一覧'!$D:$D,'TIR店舗一覧'!$E:$E,""),""))</f>
        <v/>
      </c>
      <c r="V5593" s="54" t="s">
        <v>2</v>
      </c>
      <c r="W5593" s="54" t="s">
        <v>2</v>
      </c>
      <c r="X5593" s="54" t="s">
        <v>2</v>
      </c>
      <c r="Y5593" s="54" t="s">
        <v>2</v>
      </c>
      <c r="Z5593" s="54" t="s">
        <v>2</v>
      </c>
      <c r="AA5593" s="54" t="s">
        <v>2</v>
      </c>
      <c r="AB5593" s="54" t="s">
        <v>2</v>
      </c>
      <c r="AC5593" s="54" t="s">
        <v>2</v>
      </c>
      <c r="AD5593" s="54" t="s">
        <v>2</v>
      </c>
      <c r="AE5593" s="54" t="s">
        <v>2</v>
      </c>
      <c r="AF5593" s="54" t="s">
        <v>2</v>
      </c>
      <c r="AG5593" s="54" t="s">
        <v>2</v>
      </c>
    </row>
    <row r="5594" ht="15.75" customHeight="1">
      <c r="B5594" s="56"/>
      <c r="U5594" s="46" t="str">
        <f t="array" ref="U5594">IF($D5594="","",IFERROR(_xlfn.XLOOKUP($D5594,'TIR店舗一覧'!$D:$D,'TIR店舗一覧'!$E:$E,""),""))</f>
        <v/>
      </c>
      <c r="V5594" s="54" t="s">
        <v>2</v>
      </c>
      <c r="W5594" s="54" t="s">
        <v>2</v>
      </c>
      <c r="X5594" s="54" t="s">
        <v>2</v>
      </c>
      <c r="Y5594" s="54" t="s">
        <v>2</v>
      </c>
      <c r="Z5594" s="54" t="s">
        <v>2</v>
      </c>
      <c r="AA5594" s="54" t="s">
        <v>2</v>
      </c>
      <c r="AB5594" s="54" t="s">
        <v>2</v>
      </c>
      <c r="AC5594" s="54" t="s">
        <v>2</v>
      </c>
      <c r="AD5594" s="54" t="s">
        <v>2</v>
      </c>
      <c r="AE5594" s="54" t="s">
        <v>2</v>
      </c>
      <c r="AF5594" s="54" t="s">
        <v>2</v>
      </c>
      <c r="AG5594" s="54" t="s">
        <v>2</v>
      </c>
    </row>
    <row r="5595" ht="15.75" customHeight="1">
      <c r="B5595" s="56"/>
      <c r="U5595" s="46" t="str">
        <f t="array" ref="U5595">IF($D5595="","",IFERROR(_xlfn.XLOOKUP($D5595,'TIR店舗一覧'!$D:$D,'TIR店舗一覧'!$E:$E,""),""))</f>
        <v/>
      </c>
      <c r="V5595" s="54" t="s">
        <v>2</v>
      </c>
      <c r="W5595" s="54" t="s">
        <v>2</v>
      </c>
      <c r="X5595" s="54" t="s">
        <v>2</v>
      </c>
      <c r="Y5595" s="54" t="s">
        <v>2</v>
      </c>
      <c r="Z5595" s="54" t="s">
        <v>2</v>
      </c>
      <c r="AA5595" s="54" t="s">
        <v>2</v>
      </c>
      <c r="AB5595" s="54" t="s">
        <v>2</v>
      </c>
      <c r="AC5595" s="54" t="s">
        <v>2</v>
      </c>
      <c r="AD5595" s="54" t="s">
        <v>2</v>
      </c>
      <c r="AE5595" s="54" t="s">
        <v>2</v>
      </c>
      <c r="AF5595" s="54" t="s">
        <v>2</v>
      </c>
      <c r="AG5595" s="54" t="s">
        <v>2</v>
      </c>
    </row>
    <row r="5596" ht="15.75" customHeight="1">
      <c r="B5596" s="56"/>
      <c r="U5596" s="46" t="str">
        <f t="array" ref="U5596">IF($D5596="","",IFERROR(_xlfn.XLOOKUP($D5596,'TIR店舗一覧'!$D:$D,'TIR店舗一覧'!$E:$E,""),""))</f>
        <v/>
      </c>
      <c r="V5596" s="54" t="s">
        <v>2</v>
      </c>
      <c r="W5596" s="54" t="s">
        <v>2</v>
      </c>
      <c r="X5596" s="54" t="s">
        <v>2</v>
      </c>
      <c r="Y5596" s="54" t="s">
        <v>2</v>
      </c>
      <c r="Z5596" s="54" t="s">
        <v>2</v>
      </c>
      <c r="AA5596" s="54" t="s">
        <v>2</v>
      </c>
      <c r="AB5596" s="54" t="s">
        <v>2</v>
      </c>
      <c r="AC5596" s="54" t="s">
        <v>2</v>
      </c>
      <c r="AD5596" s="54" t="s">
        <v>2</v>
      </c>
      <c r="AE5596" s="54" t="s">
        <v>2</v>
      </c>
      <c r="AF5596" s="54" t="s">
        <v>2</v>
      </c>
      <c r="AG5596" s="54" t="s">
        <v>2</v>
      </c>
    </row>
    <row r="5597" ht="15.75" customHeight="1">
      <c r="B5597" s="56"/>
      <c r="U5597" s="46" t="str">
        <f t="array" ref="U5597">IF($D5597="","",IFERROR(_xlfn.XLOOKUP($D5597,'TIR店舗一覧'!$D:$D,'TIR店舗一覧'!$E:$E,""),""))</f>
        <v/>
      </c>
      <c r="V5597" s="54" t="s">
        <v>2</v>
      </c>
      <c r="W5597" s="54" t="s">
        <v>2</v>
      </c>
      <c r="X5597" s="54" t="s">
        <v>2</v>
      </c>
      <c r="Y5597" s="54" t="s">
        <v>2</v>
      </c>
      <c r="Z5597" s="54" t="s">
        <v>2</v>
      </c>
      <c r="AA5597" s="54" t="s">
        <v>2</v>
      </c>
      <c r="AB5597" s="54" t="s">
        <v>2</v>
      </c>
      <c r="AC5597" s="54" t="s">
        <v>2</v>
      </c>
      <c r="AD5597" s="54" t="s">
        <v>2</v>
      </c>
      <c r="AE5597" s="54" t="s">
        <v>2</v>
      </c>
      <c r="AF5597" s="54" t="s">
        <v>2</v>
      </c>
      <c r="AG5597" s="54" t="s">
        <v>2</v>
      </c>
    </row>
    <row r="5598" ht="15.75" customHeight="1">
      <c r="B5598" s="56"/>
      <c r="U5598" s="46" t="str">
        <f t="array" ref="U5598">IF($D5598="","",IFERROR(_xlfn.XLOOKUP($D5598,'TIR店舗一覧'!$D:$D,'TIR店舗一覧'!$E:$E,""),""))</f>
        <v/>
      </c>
      <c r="V5598" s="54" t="s">
        <v>2</v>
      </c>
      <c r="W5598" s="54" t="s">
        <v>2</v>
      </c>
      <c r="X5598" s="54" t="s">
        <v>2</v>
      </c>
      <c r="Y5598" s="54" t="s">
        <v>2</v>
      </c>
      <c r="Z5598" s="54" t="s">
        <v>2</v>
      </c>
      <c r="AA5598" s="54" t="s">
        <v>2</v>
      </c>
      <c r="AB5598" s="54" t="s">
        <v>2</v>
      </c>
      <c r="AC5598" s="54" t="s">
        <v>2</v>
      </c>
      <c r="AD5598" s="54" t="s">
        <v>2</v>
      </c>
      <c r="AE5598" s="54" t="s">
        <v>2</v>
      </c>
      <c r="AF5598" s="54" t="s">
        <v>2</v>
      </c>
      <c r="AG5598" s="54" t="s">
        <v>2</v>
      </c>
    </row>
    <row r="5599" ht="15.75" customHeight="1">
      <c r="B5599" s="56"/>
      <c r="U5599" s="46" t="str">
        <f t="array" ref="U5599">IF($D5599="","",IFERROR(_xlfn.XLOOKUP($D5599,'TIR店舗一覧'!$D:$D,'TIR店舗一覧'!$E:$E,""),""))</f>
        <v/>
      </c>
      <c r="V5599" s="54" t="s">
        <v>2</v>
      </c>
      <c r="W5599" s="54" t="s">
        <v>2</v>
      </c>
      <c r="X5599" s="54" t="s">
        <v>2</v>
      </c>
      <c r="Y5599" s="54" t="s">
        <v>2</v>
      </c>
      <c r="Z5599" s="54" t="s">
        <v>2</v>
      </c>
      <c r="AA5599" s="54" t="s">
        <v>2</v>
      </c>
      <c r="AB5599" s="54" t="s">
        <v>2</v>
      </c>
      <c r="AC5599" s="54" t="s">
        <v>2</v>
      </c>
      <c r="AD5599" s="54" t="s">
        <v>2</v>
      </c>
      <c r="AE5599" s="54" t="s">
        <v>2</v>
      </c>
      <c r="AF5599" s="54" t="s">
        <v>2</v>
      </c>
      <c r="AG5599" s="54" t="s">
        <v>2</v>
      </c>
    </row>
    <row r="5600" ht="15.75" customHeight="1">
      <c r="B5600" s="56"/>
      <c r="U5600" s="46" t="str">
        <f t="array" ref="U5600">IF($D5600="","",IFERROR(_xlfn.XLOOKUP($D5600,'TIR店舗一覧'!$D:$D,'TIR店舗一覧'!$E:$E,""),""))</f>
        <v/>
      </c>
      <c r="V5600" s="54" t="s">
        <v>2</v>
      </c>
      <c r="W5600" s="54" t="s">
        <v>2</v>
      </c>
      <c r="X5600" s="54" t="s">
        <v>2</v>
      </c>
      <c r="Y5600" s="54" t="s">
        <v>2</v>
      </c>
      <c r="Z5600" s="54" t="s">
        <v>2</v>
      </c>
      <c r="AA5600" s="54" t="s">
        <v>2</v>
      </c>
      <c r="AB5600" s="54" t="s">
        <v>2</v>
      </c>
      <c r="AC5600" s="54" t="s">
        <v>2</v>
      </c>
      <c r="AD5600" s="54" t="s">
        <v>2</v>
      </c>
      <c r="AE5600" s="54" t="s">
        <v>2</v>
      </c>
      <c r="AF5600" s="54" t="s">
        <v>2</v>
      </c>
      <c r="AG5600" s="54" t="s">
        <v>2</v>
      </c>
    </row>
    <row r="5601" ht="15.75" customHeight="1">
      <c r="B5601" s="56"/>
      <c r="U5601" s="46" t="str">
        <f t="array" ref="U5601">IF($D5601="","",IFERROR(_xlfn.XLOOKUP($D5601,'TIR店舗一覧'!$D:$D,'TIR店舗一覧'!$E:$E,""),""))</f>
        <v/>
      </c>
      <c r="V5601" s="54" t="s">
        <v>2</v>
      </c>
      <c r="W5601" s="54" t="s">
        <v>2</v>
      </c>
      <c r="X5601" s="54" t="s">
        <v>2</v>
      </c>
      <c r="Y5601" s="54" t="s">
        <v>2</v>
      </c>
      <c r="Z5601" s="54" t="s">
        <v>2</v>
      </c>
      <c r="AA5601" s="54" t="s">
        <v>2</v>
      </c>
      <c r="AB5601" s="54" t="s">
        <v>2</v>
      </c>
      <c r="AC5601" s="54" t="s">
        <v>2</v>
      </c>
      <c r="AD5601" s="54" t="s">
        <v>2</v>
      </c>
      <c r="AE5601" s="54" t="s">
        <v>2</v>
      </c>
      <c r="AF5601" s="54" t="s">
        <v>2</v>
      </c>
      <c r="AG5601" s="54" t="s">
        <v>2</v>
      </c>
    </row>
    <row r="5602" ht="15.75" customHeight="1">
      <c r="B5602" s="56"/>
      <c r="U5602" s="46" t="str">
        <f t="array" ref="U5602">IF($D5602="","",IFERROR(_xlfn.XLOOKUP($D5602,'TIR店舗一覧'!$D:$D,'TIR店舗一覧'!$E:$E,""),""))</f>
        <v/>
      </c>
      <c r="V5602" s="54" t="s">
        <v>2</v>
      </c>
      <c r="W5602" s="54" t="s">
        <v>2</v>
      </c>
      <c r="X5602" s="54" t="s">
        <v>2</v>
      </c>
      <c r="Y5602" s="54" t="s">
        <v>2</v>
      </c>
      <c r="Z5602" s="54" t="s">
        <v>2</v>
      </c>
      <c r="AA5602" s="54" t="s">
        <v>2</v>
      </c>
      <c r="AB5602" s="54" t="s">
        <v>2</v>
      </c>
      <c r="AC5602" s="54" t="s">
        <v>2</v>
      </c>
      <c r="AD5602" s="54" t="s">
        <v>2</v>
      </c>
      <c r="AE5602" s="54" t="s">
        <v>2</v>
      </c>
      <c r="AF5602" s="54" t="s">
        <v>2</v>
      </c>
      <c r="AG5602" s="54" t="s">
        <v>2</v>
      </c>
    </row>
    <row r="5603" ht="15.75" customHeight="1">
      <c r="B5603" s="56"/>
      <c r="U5603" s="46" t="str">
        <f t="array" ref="U5603">IF($D5603="","",IFERROR(_xlfn.XLOOKUP($D5603,'TIR店舗一覧'!$D:$D,'TIR店舗一覧'!$E:$E,""),""))</f>
        <v/>
      </c>
      <c r="V5603" s="54" t="s">
        <v>2</v>
      </c>
      <c r="W5603" s="54" t="s">
        <v>2</v>
      </c>
      <c r="X5603" s="54" t="s">
        <v>2</v>
      </c>
      <c r="Y5603" s="54" t="s">
        <v>2</v>
      </c>
      <c r="Z5603" s="54" t="s">
        <v>2</v>
      </c>
      <c r="AA5603" s="54" t="s">
        <v>2</v>
      </c>
      <c r="AB5603" s="54" t="s">
        <v>2</v>
      </c>
      <c r="AC5603" s="54" t="s">
        <v>2</v>
      </c>
      <c r="AD5603" s="54" t="s">
        <v>2</v>
      </c>
      <c r="AE5603" s="54" t="s">
        <v>2</v>
      </c>
      <c r="AF5603" s="54" t="s">
        <v>2</v>
      </c>
      <c r="AG5603" s="54" t="s">
        <v>2</v>
      </c>
    </row>
    <row r="5604" ht="15.75" customHeight="1">
      <c r="B5604" s="56"/>
      <c r="U5604" s="46" t="str">
        <f t="array" ref="U5604">IF($D5604="","",IFERROR(_xlfn.XLOOKUP($D5604,'TIR店舗一覧'!$D:$D,'TIR店舗一覧'!$E:$E,""),""))</f>
        <v/>
      </c>
      <c r="V5604" s="54" t="s">
        <v>2</v>
      </c>
      <c r="W5604" s="54" t="s">
        <v>2</v>
      </c>
      <c r="X5604" s="54" t="s">
        <v>2</v>
      </c>
      <c r="Y5604" s="54" t="s">
        <v>2</v>
      </c>
      <c r="Z5604" s="54" t="s">
        <v>2</v>
      </c>
      <c r="AA5604" s="54" t="s">
        <v>2</v>
      </c>
      <c r="AB5604" s="54" t="s">
        <v>2</v>
      </c>
      <c r="AC5604" s="54" t="s">
        <v>2</v>
      </c>
      <c r="AD5604" s="54" t="s">
        <v>2</v>
      </c>
      <c r="AE5604" s="54" t="s">
        <v>2</v>
      </c>
      <c r="AF5604" s="54" t="s">
        <v>2</v>
      </c>
      <c r="AG5604" s="54" t="s">
        <v>2</v>
      </c>
    </row>
    <row r="5605" ht="15.75" customHeight="1">
      <c r="B5605" s="56"/>
      <c r="U5605" s="46" t="str">
        <f t="array" ref="U5605">IF($D5605="","",IFERROR(_xlfn.XLOOKUP($D5605,'TIR店舗一覧'!$D:$D,'TIR店舗一覧'!$E:$E,""),""))</f>
        <v/>
      </c>
      <c r="V5605" s="54" t="s">
        <v>2</v>
      </c>
      <c r="W5605" s="54" t="s">
        <v>2</v>
      </c>
      <c r="X5605" s="54" t="s">
        <v>2</v>
      </c>
      <c r="Y5605" s="54" t="s">
        <v>2</v>
      </c>
      <c r="Z5605" s="54" t="s">
        <v>2</v>
      </c>
      <c r="AA5605" s="54" t="s">
        <v>2</v>
      </c>
      <c r="AB5605" s="54" t="s">
        <v>2</v>
      </c>
      <c r="AC5605" s="54" t="s">
        <v>2</v>
      </c>
      <c r="AD5605" s="54" t="s">
        <v>2</v>
      </c>
      <c r="AE5605" s="54" t="s">
        <v>2</v>
      </c>
      <c r="AF5605" s="54" t="s">
        <v>2</v>
      </c>
      <c r="AG5605" s="54" t="s">
        <v>2</v>
      </c>
    </row>
    <row r="5606" ht="15.75" customHeight="1">
      <c r="B5606" s="56"/>
      <c r="U5606" s="46" t="str">
        <f t="array" ref="U5606">IF($D5606="","",IFERROR(_xlfn.XLOOKUP($D5606,'TIR店舗一覧'!$D:$D,'TIR店舗一覧'!$E:$E,""),""))</f>
        <v/>
      </c>
      <c r="V5606" s="54" t="s">
        <v>2</v>
      </c>
      <c r="W5606" s="54" t="s">
        <v>2</v>
      </c>
      <c r="X5606" s="54" t="s">
        <v>2</v>
      </c>
      <c r="Y5606" s="54" t="s">
        <v>2</v>
      </c>
      <c r="Z5606" s="54" t="s">
        <v>2</v>
      </c>
      <c r="AA5606" s="54" t="s">
        <v>2</v>
      </c>
      <c r="AB5606" s="54" t="s">
        <v>2</v>
      </c>
      <c r="AC5606" s="54" t="s">
        <v>2</v>
      </c>
      <c r="AD5606" s="54" t="s">
        <v>2</v>
      </c>
      <c r="AE5606" s="54" t="s">
        <v>2</v>
      </c>
      <c r="AF5606" s="54" t="s">
        <v>2</v>
      </c>
      <c r="AG5606" s="54" t="s">
        <v>2</v>
      </c>
    </row>
    <row r="5607" ht="15.75" customHeight="1">
      <c r="B5607" s="56"/>
      <c r="U5607" s="46" t="str">
        <f t="array" ref="U5607">IF($D5607="","",IFERROR(_xlfn.XLOOKUP($D5607,'TIR店舗一覧'!$D:$D,'TIR店舗一覧'!$E:$E,""),""))</f>
        <v/>
      </c>
      <c r="V5607" s="54" t="s">
        <v>2</v>
      </c>
      <c r="W5607" s="54" t="s">
        <v>2</v>
      </c>
      <c r="X5607" s="54" t="s">
        <v>2</v>
      </c>
      <c r="Y5607" s="54" t="s">
        <v>2</v>
      </c>
      <c r="Z5607" s="54" t="s">
        <v>2</v>
      </c>
      <c r="AA5607" s="54" t="s">
        <v>2</v>
      </c>
      <c r="AB5607" s="54" t="s">
        <v>2</v>
      </c>
      <c r="AC5607" s="54" t="s">
        <v>2</v>
      </c>
      <c r="AD5607" s="54" t="s">
        <v>2</v>
      </c>
      <c r="AE5607" s="54" t="s">
        <v>2</v>
      </c>
      <c r="AF5607" s="54" t="s">
        <v>2</v>
      </c>
      <c r="AG5607" s="54" t="s">
        <v>2</v>
      </c>
    </row>
    <row r="5608" ht="15.75" customHeight="1">
      <c r="B5608" s="56"/>
      <c r="U5608" s="46" t="str">
        <f t="array" ref="U5608">IF($D5608="","",IFERROR(_xlfn.XLOOKUP($D5608,'TIR店舗一覧'!$D:$D,'TIR店舗一覧'!$E:$E,""),""))</f>
        <v/>
      </c>
      <c r="V5608" s="54" t="s">
        <v>2</v>
      </c>
      <c r="W5608" s="54" t="s">
        <v>2</v>
      </c>
      <c r="X5608" s="54" t="s">
        <v>2</v>
      </c>
      <c r="Y5608" s="54" t="s">
        <v>2</v>
      </c>
      <c r="Z5608" s="54" t="s">
        <v>2</v>
      </c>
      <c r="AA5608" s="54" t="s">
        <v>2</v>
      </c>
      <c r="AB5608" s="54" t="s">
        <v>2</v>
      </c>
      <c r="AC5608" s="54" t="s">
        <v>2</v>
      </c>
      <c r="AD5608" s="54" t="s">
        <v>2</v>
      </c>
      <c r="AE5608" s="54" t="s">
        <v>2</v>
      </c>
      <c r="AF5608" s="54" t="s">
        <v>2</v>
      </c>
      <c r="AG5608" s="54" t="s">
        <v>2</v>
      </c>
    </row>
    <row r="5609" ht="15.75" customHeight="1">
      <c r="B5609" s="56"/>
      <c r="U5609" s="46" t="str">
        <f t="array" ref="U5609">IF($D5609="","",IFERROR(_xlfn.XLOOKUP($D5609,'TIR店舗一覧'!$D:$D,'TIR店舗一覧'!$E:$E,""),""))</f>
        <v/>
      </c>
      <c r="V5609" s="54" t="s">
        <v>2</v>
      </c>
      <c r="W5609" s="54" t="s">
        <v>2</v>
      </c>
      <c r="X5609" s="54" t="s">
        <v>2</v>
      </c>
      <c r="Y5609" s="54" t="s">
        <v>2</v>
      </c>
      <c r="Z5609" s="54" t="s">
        <v>2</v>
      </c>
      <c r="AA5609" s="54" t="s">
        <v>2</v>
      </c>
      <c r="AB5609" s="54" t="s">
        <v>2</v>
      </c>
      <c r="AC5609" s="54" t="s">
        <v>2</v>
      </c>
      <c r="AD5609" s="54" t="s">
        <v>2</v>
      </c>
      <c r="AE5609" s="54" t="s">
        <v>2</v>
      </c>
      <c r="AF5609" s="54" t="s">
        <v>2</v>
      </c>
      <c r="AG5609" s="54" t="s">
        <v>2</v>
      </c>
    </row>
    <row r="5610" ht="15.75" customHeight="1">
      <c r="B5610" s="56"/>
      <c r="U5610" s="46" t="str">
        <f t="array" ref="U5610">IF($D5610="","",IFERROR(_xlfn.XLOOKUP($D5610,'TIR店舗一覧'!$D:$D,'TIR店舗一覧'!$E:$E,""),""))</f>
        <v/>
      </c>
      <c r="V5610" s="54" t="s">
        <v>2</v>
      </c>
      <c r="W5610" s="54" t="s">
        <v>2</v>
      </c>
      <c r="X5610" s="54" t="s">
        <v>2</v>
      </c>
      <c r="Y5610" s="54" t="s">
        <v>2</v>
      </c>
      <c r="Z5610" s="54" t="s">
        <v>2</v>
      </c>
      <c r="AA5610" s="54" t="s">
        <v>2</v>
      </c>
      <c r="AB5610" s="54" t="s">
        <v>2</v>
      </c>
      <c r="AC5610" s="54" t="s">
        <v>2</v>
      </c>
      <c r="AD5610" s="54" t="s">
        <v>2</v>
      </c>
      <c r="AE5610" s="54" t="s">
        <v>2</v>
      </c>
      <c r="AF5610" s="54" t="s">
        <v>2</v>
      </c>
      <c r="AG5610" s="54" t="s">
        <v>2</v>
      </c>
    </row>
    <row r="5611" ht="15.75" customHeight="1">
      <c r="B5611" s="56"/>
      <c r="U5611" s="46" t="str">
        <f t="array" ref="U5611">IF($D5611="","",IFERROR(_xlfn.XLOOKUP($D5611,'TIR店舗一覧'!$D:$D,'TIR店舗一覧'!$E:$E,""),""))</f>
        <v/>
      </c>
      <c r="V5611" s="54" t="s">
        <v>2</v>
      </c>
      <c r="W5611" s="54" t="s">
        <v>2</v>
      </c>
      <c r="X5611" s="54" t="s">
        <v>2</v>
      </c>
      <c r="Y5611" s="54" t="s">
        <v>2</v>
      </c>
      <c r="Z5611" s="54" t="s">
        <v>2</v>
      </c>
      <c r="AA5611" s="54" t="s">
        <v>2</v>
      </c>
      <c r="AB5611" s="54" t="s">
        <v>2</v>
      </c>
      <c r="AC5611" s="54" t="s">
        <v>2</v>
      </c>
      <c r="AD5611" s="54" t="s">
        <v>2</v>
      </c>
      <c r="AE5611" s="54" t="s">
        <v>2</v>
      </c>
      <c r="AF5611" s="54" t="s">
        <v>2</v>
      </c>
      <c r="AG5611" s="54" t="s">
        <v>2</v>
      </c>
    </row>
    <row r="5612" ht="15.75" customHeight="1">
      <c r="B5612" s="56"/>
      <c r="U5612" s="46" t="str">
        <f t="array" ref="U5612">IF($D5612="","",IFERROR(_xlfn.XLOOKUP($D5612,'TIR店舗一覧'!$D:$D,'TIR店舗一覧'!$E:$E,""),""))</f>
        <v/>
      </c>
      <c r="V5612" s="54" t="s">
        <v>2</v>
      </c>
      <c r="W5612" s="54" t="s">
        <v>2</v>
      </c>
      <c r="X5612" s="54" t="s">
        <v>2</v>
      </c>
      <c r="Y5612" s="54" t="s">
        <v>2</v>
      </c>
      <c r="Z5612" s="54" t="s">
        <v>2</v>
      </c>
      <c r="AA5612" s="54" t="s">
        <v>2</v>
      </c>
      <c r="AB5612" s="54" t="s">
        <v>2</v>
      </c>
      <c r="AC5612" s="54" t="s">
        <v>2</v>
      </c>
      <c r="AD5612" s="54" t="s">
        <v>2</v>
      </c>
      <c r="AE5612" s="54" t="s">
        <v>2</v>
      </c>
      <c r="AF5612" s="54" t="s">
        <v>2</v>
      </c>
      <c r="AG5612" s="54" t="s">
        <v>2</v>
      </c>
    </row>
    <row r="5613" ht="15.75" customHeight="1">
      <c r="B5613" s="56"/>
      <c r="U5613" s="46" t="str">
        <f t="array" ref="U5613">IF($D5613="","",IFERROR(_xlfn.XLOOKUP($D5613,'TIR店舗一覧'!$D:$D,'TIR店舗一覧'!$E:$E,""),""))</f>
        <v/>
      </c>
      <c r="V5613" s="54" t="s">
        <v>2</v>
      </c>
      <c r="W5613" s="54" t="s">
        <v>2</v>
      </c>
      <c r="X5613" s="54" t="s">
        <v>2</v>
      </c>
      <c r="Y5613" s="54" t="s">
        <v>2</v>
      </c>
      <c r="Z5613" s="54" t="s">
        <v>2</v>
      </c>
      <c r="AA5613" s="54" t="s">
        <v>2</v>
      </c>
      <c r="AB5613" s="54" t="s">
        <v>2</v>
      </c>
      <c r="AC5613" s="54" t="s">
        <v>2</v>
      </c>
      <c r="AD5613" s="54" t="s">
        <v>2</v>
      </c>
      <c r="AE5613" s="54" t="s">
        <v>2</v>
      </c>
      <c r="AF5613" s="54" t="s">
        <v>2</v>
      </c>
      <c r="AG5613" s="54" t="s">
        <v>2</v>
      </c>
    </row>
    <row r="5614" ht="15.75" customHeight="1">
      <c r="B5614" s="56"/>
      <c r="U5614" s="46" t="str">
        <f t="array" ref="U5614">IF($D5614="","",IFERROR(_xlfn.XLOOKUP($D5614,'TIR店舗一覧'!$D:$D,'TIR店舗一覧'!$E:$E,""),""))</f>
        <v/>
      </c>
      <c r="V5614" s="54" t="s">
        <v>2</v>
      </c>
      <c r="W5614" s="54" t="s">
        <v>2</v>
      </c>
      <c r="X5614" s="54" t="s">
        <v>2</v>
      </c>
      <c r="Y5614" s="54" t="s">
        <v>2</v>
      </c>
      <c r="Z5614" s="54" t="s">
        <v>2</v>
      </c>
      <c r="AA5614" s="54" t="s">
        <v>2</v>
      </c>
      <c r="AB5614" s="54" t="s">
        <v>2</v>
      </c>
      <c r="AC5614" s="54" t="s">
        <v>2</v>
      </c>
      <c r="AD5614" s="54" t="s">
        <v>2</v>
      </c>
      <c r="AE5614" s="54" t="s">
        <v>2</v>
      </c>
      <c r="AF5614" s="54" t="s">
        <v>2</v>
      </c>
      <c r="AG5614" s="54" t="s">
        <v>2</v>
      </c>
    </row>
    <row r="5615" ht="15.75" customHeight="1">
      <c r="B5615" s="56"/>
      <c r="U5615" s="46" t="str">
        <f t="array" ref="U5615">IF($D5615="","",IFERROR(_xlfn.XLOOKUP($D5615,'TIR店舗一覧'!$D:$D,'TIR店舗一覧'!$E:$E,""),""))</f>
        <v/>
      </c>
      <c r="V5615" s="54" t="s">
        <v>2</v>
      </c>
      <c r="W5615" s="54" t="s">
        <v>2</v>
      </c>
      <c r="X5615" s="54" t="s">
        <v>2</v>
      </c>
      <c r="Y5615" s="54" t="s">
        <v>2</v>
      </c>
      <c r="Z5615" s="54" t="s">
        <v>2</v>
      </c>
      <c r="AA5615" s="54" t="s">
        <v>2</v>
      </c>
      <c r="AB5615" s="54" t="s">
        <v>2</v>
      </c>
      <c r="AC5615" s="54" t="s">
        <v>2</v>
      </c>
      <c r="AD5615" s="54" t="s">
        <v>2</v>
      </c>
      <c r="AE5615" s="54" t="s">
        <v>2</v>
      </c>
      <c r="AF5615" s="54" t="s">
        <v>2</v>
      </c>
      <c r="AG5615" s="54" t="s">
        <v>2</v>
      </c>
    </row>
    <row r="5616" ht="15.75" customHeight="1">
      <c r="B5616" s="56"/>
      <c r="U5616" s="46" t="str">
        <f t="array" ref="U5616">IF($D5616="","",IFERROR(_xlfn.XLOOKUP($D5616,'TIR店舗一覧'!$D:$D,'TIR店舗一覧'!$E:$E,""),""))</f>
        <v/>
      </c>
      <c r="V5616" s="54" t="s">
        <v>2</v>
      </c>
      <c r="W5616" s="54" t="s">
        <v>2</v>
      </c>
      <c r="X5616" s="54" t="s">
        <v>2</v>
      </c>
      <c r="Y5616" s="54" t="s">
        <v>2</v>
      </c>
      <c r="Z5616" s="54" t="s">
        <v>2</v>
      </c>
      <c r="AA5616" s="54" t="s">
        <v>2</v>
      </c>
      <c r="AB5616" s="54" t="s">
        <v>2</v>
      </c>
      <c r="AC5616" s="54" t="s">
        <v>2</v>
      </c>
      <c r="AD5616" s="54" t="s">
        <v>2</v>
      </c>
      <c r="AE5616" s="54" t="s">
        <v>2</v>
      </c>
      <c r="AF5616" s="54" t="s">
        <v>2</v>
      </c>
      <c r="AG5616" s="54" t="s">
        <v>2</v>
      </c>
    </row>
    <row r="5617" ht="15.75" customHeight="1">
      <c r="B5617" s="56"/>
      <c r="U5617" s="46" t="str">
        <f t="array" ref="U5617">IF($D5617="","",IFERROR(_xlfn.XLOOKUP($D5617,'TIR店舗一覧'!$D:$D,'TIR店舗一覧'!$E:$E,""),""))</f>
        <v/>
      </c>
      <c r="V5617" s="54" t="s">
        <v>2</v>
      </c>
      <c r="W5617" s="54" t="s">
        <v>2</v>
      </c>
      <c r="X5617" s="54" t="s">
        <v>2</v>
      </c>
      <c r="Y5617" s="54" t="s">
        <v>2</v>
      </c>
      <c r="Z5617" s="54" t="s">
        <v>2</v>
      </c>
      <c r="AA5617" s="54" t="s">
        <v>2</v>
      </c>
      <c r="AB5617" s="54" t="s">
        <v>2</v>
      </c>
      <c r="AC5617" s="54" t="s">
        <v>2</v>
      </c>
      <c r="AD5617" s="54" t="s">
        <v>2</v>
      </c>
      <c r="AE5617" s="54" t="s">
        <v>2</v>
      </c>
      <c r="AF5617" s="54" t="s">
        <v>2</v>
      </c>
      <c r="AG5617" s="54" t="s">
        <v>2</v>
      </c>
    </row>
    <row r="5618" ht="15.75" customHeight="1">
      <c r="B5618" s="56"/>
      <c r="U5618" s="46" t="str">
        <f t="array" ref="U5618">IF($D5618="","",IFERROR(_xlfn.XLOOKUP($D5618,'TIR店舗一覧'!$D:$D,'TIR店舗一覧'!$E:$E,""),""))</f>
        <v/>
      </c>
      <c r="V5618" s="54" t="s">
        <v>2</v>
      </c>
      <c r="W5618" s="54" t="s">
        <v>2</v>
      </c>
      <c r="X5618" s="54" t="s">
        <v>2</v>
      </c>
      <c r="Y5618" s="54" t="s">
        <v>2</v>
      </c>
      <c r="Z5618" s="54" t="s">
        <v>2</v>
      </c>
      <c r="AA5618" s="54" t="s">
        <v>2</v>
      </c>
      <c r="AB5618" s="54" t="s">
        <v>2</v>
      </c>
      <c r="AC5618" s="54" t="s">
        <v>2</v>
      </c>
      <c r="AD5618" s="54" t="s">
        <v>2</v>
      </c>
      <c r="AE5618" s="54" t="s">
        <v>2</v>
      </c>
      <c r="AF5618" s="54" t="s">
        <v>2</v>
      </c>
      <c r="AG5618" s="54" t="s">
        <v>2</v>
      </c>
    </row>
    <row r="5619" ht="15.75" customHeight="1">
      <c r="B5619" s="56"/>
      <c r="U5619" s="46" t="str">
        <f t="array" ref="U5619">IF($D5619="","",IFERROR(_xlfn.XLOOKUP($D5619,'TIR店舗一覧'!$D:$D,'TIR店舗一覧'!$E:$E,""),""))</f>
        <v/>
      </c>
      <c r="V5619" s="54" t="s">
        <v>2</v>
      </c>
      <c r="W5619" s="54" t="s">
        <v>2</v>
      </c>
      <c r="X5619" s="54" t="s">
        <v>2</v>
      </c>
      <c r="Y5619" s="54" t="s">
        <v>2</v>
      </c>
      <c r="Z5619" s="54" t="s">
        <v>2</v>
      </c>
      <c r="AA5619" s="54" t="s">
        <v>2</v>
      </c>
      <c r="AB5619" s="54" t="s">
        <v>2</v>
      </c>
      <c r="AC5619" s="54" t="s">
        <v>2</v>
      </c>
      <c r="AD5619" s="54" t="s">
        <v>2</v>
      </c>
      <c r="AE5619" s="54" t="s">
        <v>2</v>
      </c>
      <c r="AF5619" s="54" t="s">
        <v>2</v>
      </c>
      <c r="AG5619" s="54" t="s">
        <v>2</v>
      </c>
    </row>
    <row r="5620" ht="15.75" customHeight="1">
      <c r="B5620" s="56"/>
      <c r="U5620" s="46" t="str">
        <f t="array" ref="U5620">IF($D5620="","",IFERROR(_xlfn.XLOOKUP($D5620,'TIR店舗一覧'!$D:$D,'TIR店舗一覧'!$E:$E,""),""))</f>
        <v/>
      </c>
      <c r="V5620" s="54" t="s">
        <v>2</v>
      </c>
      <c r="W5620" s="54" t="s">
        <v>2</v>
      </c>
      <c r="X5620" s="54" t="s">
        <v>2</v>
      </c>
      <c r="Y5620" s="54" t="s">
        <v>2</v>
      </c>
      <c r="Z5620" s="54" t="s">
        <v>2</v>
      </c>
      <c r="AA5620" s="54" t="s">
        <v>2</v>
      </c>
      <c r="AB5620" s="54" t="s">
        <v>2</v>
      </c>
      <c r="AC5620" s="54" t="s">
        <v>2</v>
      </c>
      <c r="AD5620" s="54" t="s">
        <v>2</v>
      </c>
      <c r="AE5620" s="54" t="s">
        <v>2</v>
      </c>
      <c r="AF5620" s="54" t="s">
        <v>2</v>
      </c>
      <c r="AG5620" s="54" t="s">
        <v>2</v>
      </c>
    </row>
    <row r="5621" ht="15.75" customHeight="1">
      <c r="B5621" s="56"/>
      <c r="U5621" s="46" t="str">
        <f t="array" ref="U5621">IF($D5621="","",IFERROR(_xlfn.XLOOKUP($D5621,'TIR店舗一覧'!$D:$D,'TIR店舗一覧'!$E:$E,""),""))</f>
        <v/>
      </c>
      <c r="V5621" s="54" t="s">
        <v>2</v>
      </c>
      <c r="W5621" s="54" t="s">
        <v>2</v>
      </c>
      <c r="X5621" s="54" t="s">
        <v>2</v>
      </c>
      <c r="Y5621" s="54" t="s">
        <v>2</v>
      </c>
      <c r="Z5621" s="54" t="s">
        <v>2</v>
      </c>
      <c r="AA5621" s="54" t="s">
        <v>2</v>
      </c>
      <c r="AB5621" s="54" t="s">
        <v>2</v>
      </c>
      <c r="AC5621" s="54" t="s">
        <v>2</v>
      </c>
      <c r="AD5621" s="54" t="s">
        <v>2</v>
      </c>
      <c r="AE5621" s="54" t="s">
        <v>2</v>
      </c>
      <c r="AF5621" s="54" t="s">
        <v>2</v>
      </c>
      <c r="AG5621" s="54" t="s">
        <v>2</v>
      </c>
    </row>
    <row r="5622" ht="15.75" customHeight="1">
      <c r="B5622" s="56"/>
      <c r="U5622" s="46" t="str">
        <f t="array" ref="U5622">IF($D5622="","",IFERROR(_xlfn.XLOOKUP($D5622,'TIR店舗一覧'!$D:$D,'TIR店舗一覧'!$E:$E,""),""))</f>
        <v/>
      </c>
      <c r="V5622" s="54" t="s">
        <v>2</v>
      </c>
      <c r="W5622" s="54" t="s">
        <v>2</v>
      </c>
      <c r="X5622" s="54" t="s">
        <v>2</v>
      </c>
      <c r="Y5622" s="54" t="s">
        <v>2</v>
      </c>
      <c r="Z5622" s="54" t="s">
        <v>2</v>
      </c>
      <c r="AA5622" s="54" t="s">
        <v>2</v>
      </c>
      <c r="AB5622" s="54" t="s">
        <v>2</v>
      </c>
      <c r="AC5622" s="54" t="s">
        <v>2</v>
      </c>
      <c r="AD5622" s="54" t="s">
        <v>2</v>
      </c>
      <c r="AE5622" s="54" t="s">
        <v>2</v>
      </c>
      <c r="AF5622" s="54" t="s">
        <v>2</v>
      </c>
      <c r="AG5622" s="54" t="s">
        <v>2</v>
      </c>
    </row>
    <row r="5623" ht="15.75" customHeight="1">
      <c r="B5623" s="56"/>
      <c r="U5623" s="46" t="str">
        <f t="array" ref="U5623">IF($D5623="","",IFERROR(_xlfn.XLOOKUP($D5623,'TIR店舗一覧'!$D:$D,'TIR店舗一覧'!$E:$E,""),""))</f>
        <v/>
      </c>
      <c r="V5623" s="54" t="s">
        <v>2</v>
      </c>
      <c r="W5623" s="54" t="s">
        <v>2</v>
      </c>
      <c r="X5623" s="54" t="s">
        <v>2</v>
      </c>
      <c r="Y5623" s="54" t="s">
        <v>2</v>
      </c>
      <c r="Z5623" s="54" t="s">
        <v>2</v>
      </c>
      <c r="AA5623" s="54" t="s">
        <v>2</v>
      </c>
      <c r="AB5623" s="54" t="s">
        <v>2</v>
      </c>
      <c r="AC5623" s="54" t="s">
        <v>2</v>
      </c>
      <c r="AD5623" s="54" t="s">
        <v>2</v>
      </c>
      <c r="AE5623" s="54" t="s">
        <v>2</v>
      </c>
      <c r="AF5623" s="54" t="s">
        <v>2</v>
      </c>
      <c r="AG5623" s="54" t="s">
        <v>2</v>
      </c>
    </row>
    <row r="5624" ht="15.75" customHeight="1">
      <c r="B5624" s="56"/>
      <c r="U5624" s="46" t="str">
        <f t="array" ref="U5624">IF($D5624="","",IFERROR(_xlfn.XLOOKUP($D5624,'TIR店舗一覧'!$D:$D,'TIR店舗一覧'!$E:$E,""),""))</f>
        <v/>
      </c>
      <c r="V5624" s="54" t="s">
        <v>2</v>
      </c>
      <c r="W5624" s="54" t="s">
        <v>2</v>
      </c>
      <c r="X5624" s="54" t="s">
        <v>2</v>
      </c>
      <c r="Y5624" s="54" t="s">
        <v>2</v>
      </c>
      <c r="Z5624" s="54" t="s">
        <v>2</v>
      </c>
      <c r="AA5624" s="54" t="s">
        <v>2</v>
      </c>
      <c r="AB5624" s="54" t="s">
        <v>2</v>
      </c>
      <c r="AC5624" s="54" t="s">
        <v>2</v>
      </c>
      <c r="AD5624" s="54" t="s">
        <v>2</v>
      </c>
      <c r="AE5624" s="54" t="s">
        <v>2</v>
      </c>
      <c r="AF5624" s="54" t="s">
        <v>2</v>
      </c>
      <c r="AG5624" s="54" t="s">
        <v>2</v>
      </c>
    </row>
    <row r="5625" ht="15.75" customHeight="1">
      <c r="B5625" s="56"/>
      <c r="U5625" s="46" t="str">
        <f t="array" ref="U5625">IF($D5625="","",IFERROR(_xlfn.XLOOKUP($D5625,'TIR店舗一覧'!$D:$D,'TIR店舗一覧'!$E:$E,""),""))</f>
        <v/>
      </c>
      <c r="V5625" s="54" t="s">
        <v>2</v>
      </c>
      <c r="W5625" s="54" t="s">
        <v>2</v>
      </c>
      <c r="X5625" s="54" t="s">
        <v>2</v>
      </c>
      <c r="Y5625" s="54" t="s">
        <v>2</v>
      </c>
      <c r="Z5625" s="54" t="s">
        <v>2</v>
      </c>
      <c r="AA5625" s="54" t="s">
        <v>2</v>
      </c>
      <c r="AB5625" s="54" t="s">
        <v>2</v>
      </c>
      <c r="AC5625" s="54" t="s">
        <v>2</v>
      </c>
      <c r="AD5625" s="54" t="s">
        <v>2</v>
      </c>
      <c r="AE5625" s="54" t="s">
        <v>2</v>
      </c>
      <c r="AF5625" s="54" t="s">
        <v>2</v>
      </c>
      <c r="AG5625" s="54" t="s">
        <v>2</v>
      </c>
    </row>
    <row r="5626" ht="15.75" customHeight="1">
      <c r="B5626" s="56"/>
      <c r="U5626" s="46" t="str">
        <f t="array" ref="U5626">IF($D5626="","",IFERROR(_xlfn.XLOOKUP($D5626,'TIR店舗一覧'!$D:$D,'TIR店舗一覧'!$E:$E,""),""))</f>
        <v/>
      </c>
      <c r="V5626" s="54" t="s">
        <v>2</v>
      </c>
      <c r="W5626" s="54" t="s">
        <v>2</v>
      </c>
      <c r="X5626" s="54" t="s">
        <v>2</v>
      </c>
      <c r="Y5626" s="54" t="s">
        <v>2</v>
      </c>
      <c r="Z5626" s="54" t="s">
        <v>2</v>
      </c>
      <c r="AA5626" s="54" t="s">
        <v>2</v>
      </c>
      <c r="AB5626" s="54" t="s">
        <v>2</v>
      </c>
      <c r="AC5626" s="54" t="s">
        <v>2</v>
      </c>
      <c r="AD5626" s="54" t="s">
        <v>2</v>
      </c>
      <c r="AE5626" s="54" t="s">
        <v>2</v>
      </c>
      <c r="AF5626" s="54" t="s">
        <v>2</v>
      </c>
      <c r="AG5626" s="54" t="s">
        <v>2</v>
      </c>
    </row>
    <row r="5627" ht="15.75" customHeight="1">
      <c r="B5627" s="56"/>
      <c r="U5627" s="46" t="str">
        <f t="array" ref="U5627">IF($D5627="","",IFERROR(_xlfn.XLOOKUP($D5627,'TIR店舗一覧'!$D:$D,'TIR店舗一覧'!$E:$E,""),""))</f>
        <v/>
      </c>
      <c r="V5627" s="54" t="s">
        <v>2</v>
      </c>
      <c r="W5627" s="54" t="s">
        <v>2</v>
      </c>
      <c r="X5627" s="54" t="s">
        <v>2</v>
      </c>
      <c r="Y5627" s="54" t="s">
        <v>2</v>
      </c>
      <c r="Z5627" s="54" t="s">
        <v>2</v>
      </c>
      <c r="AA5627" s="54" t="s">
        <v>2</v>
      </c>
      <c r="AB5627" s="54" t="s">
        <v>2</v>
      </c>
      <c r="AC5627" s="54" t="s">
        <v>2</v>
      </c>
      <c r="AD5627" s="54" t="s">
        <v>2</v>
      </c>
      <c r="AE5627" s="54" t="s">
        <v>2</v>
      </c>
      <c r="AF5627" s="54" t="s">
        <v>2</v>
      </c>
      <c r="AG5627" s="54" t="s">
        <v>2</v>
      </c>
    </row>
    <row r="5628" ht="15.75" customHeight="1">
      <c r="B5628" s="56"/>
      <c r="U5628" s="46" t="str">
        <f t="array" ref="U5628">IF($D5628="","",IFERROR(_xlfn.XLOOKUP($D5628,'TIR店舗一覧'!$D:$D,'TIR店舗一覧'!$E:$E,""),""))</f>
        <v/>
      </c>
      <c r="V5628" s="54" t="s">
        <v>2</v>
      </c>
      <c r="W5628" s="54" t="s">
        <v>2</v>
      </c>
      <c r="X5628" s="54" t="s">
        <v>2</v>
      </c>
      <c r="Y5628" s="54" t="s">
        <v>2</v>
      </c>
      <c r="Z5628" s="54" t="s">
        <v>2</v>
      </c>
      <c r="AA5628" s="54" t="s">
        <v>2</v>
      </c>
      <c r="AB5628" s="54" t="s">
        <v>2</v>
      </c>
      <c r="AC5628" s="54" t="s">
        <v>2</v>
      </c>
      <c r="AD5628" s="54" t="s">
        <v>2</v>
      </c>
      <c r="AE5628" s="54" t="s">
        <v>2</v>
      </c>
      <c r="AF5628" s="54" t="s">
        <v>2</v>
      </c>
      <c r="AG5628" s="54" t="s">
        <v>2</v>
      </c>
    </row>
    <row r="5629" ht="15.75" customHeight="1">
      <c r="B5629" s="56"/>
      <c r="U5629" s="46" t="str">
        <f t="array" ref="U5629">IF($D5629="","",IFERROR(_xlfn.XLOOKUP($D5629,'TIR店舗一覧'!$D:$D,'TIR店舗一覧'!$E:$E,""),""))</f>
        <v/>
      </c>
      <c r="V5629" s="54" t="s">
        <v>2</v>
      </c>
      <c r="W5629" s="54" t="s">
        <v>2</v>
      </c>
      <c r="X5629" s="54" t="s">
        <v>2</v>
      </c>
      <c r="Y5629" s="54" t="s">
        <v>2</v>
      </c>
      <c r="Z5629" s="54" t="s">
        <v>2</v>
      </c>
      <c r="AA5629" s="54" t="s">
        <v>2</v>
      </c>
      <c r="AB5629" s="54" t="s">
        <v>2</v>
      </c>
      <c r="AC5629" s="54" t="s">
        <v>2</v>
      </c>
      <c r="AD5629" s="54" t="s">
        <v>2</v>
      </c>
      <c r="AE5629" s="54" t="s">
        <v>2</v>
      </c>
      <c r="AF5629" s="54" t="s">
        <v>2</v>
      </c>
      <c r="AG5629" s="54" t="s">
        <v>2</v>
      </c>
    </row>
    <row r="5630" ht="15.75" customHeight="1">
      <c r="B5630" s="56"/>
      <c r="U5630" s="46" t="str">
        <f t="array" ref="U5630">IF($D5630="","",IFERROR(_xlfn.XLOOKUP($D5630,'TIR店舗一覧'!$D:$D,'TIR店舗一覧'!$E:$E,""),""))</f>
        <v/>
      </c>
      <c r="V5630" s="54" t="s">
        <v>2</v>
      </c>
      <c r="W5630" s="54" t="s">
        <v>2</v>
      </c>
      <c r="X5630" s="54" t="s">
        <v>2</v>
      </c>
      <c r="Y5630" s="54" t="s">
        <v>2</v>
      </c>
      <c r="Z5630" s="54" t="s">
        <v>2</v>
      </c>
      <c r="AA5630" s="54" t="s">
        <v>2</v>
      </c>
      <c r="AB5630" s="54" t="s">
        <v>2</v>
      </c>
      <c r="AC5630" s="54" t="s">
        <v>2</v>
      </c>
      <c r="AD5630" s="54" t="s">
        <v>2</v>
      </c>
      <c r="AE5630" s="54" t="s">
        <v>2</v>
      </c>
      <c r="AF5630" s="54" t="s">
        <v>2</v>
      </c>
      <c r="AG5630" s="54" t="s">
        <v>2</v>
      </c>
    </row>
    <row r="5631" ht="15.75" customHeight="1">
      <c r="B5631" s="56"/>
      <c r="U5631" s="46" t="str">
        <f t="array" ref="U5631">IF($D5631="","",IFERROR(_xlfn.XLOOKUP($D5631,'TIR店舗一覧'!$D:$D,'TIR店舗一覧'!$E:$E,""),""))</f>
        <v/>
      </c>
      <c r="V5631" s="54" t="s">
        <v>2</v>
      </c>
      <c r="W5631" s="54" t="s">
        <v>2</v>
      </c>
      <c r="X5631" s="54" t="s">
        <v>2</v>
      </c>
      <c r="Y5631" s="54" t="s">
        <v>2</v>
      </c>
      <c r="Z5631" s="54" t="s">
        <v>2</v>
      </c>
      <c r="AA5631" s="54" t="s">
        <v>2</v>
      </c>
      <c r="AB5631" s="54" t="s">
        <v>2</v>
      </c>
      <c r="AC5631" s="54" t="s">
        <v>2</v>
      </c>
      <c r="AD5631" s="54" t="s">
        <v>2</v>
      </c>
      <c r="AE5631" s="54" t="s">
        <v>2</v>
      </c>
      <c r="AF5631" s="54" t="s">
        <v>2</v>
      </c>
      <c r="AG5631" s="54" t="s">
        <v>2</v>
      </c>
    </row>
    <row r="5632" ht="15.75" customHeight="1">
      <c r="B5632" s="56"/>
      <c r="U5632" s="46" t="str">
        <f t="array" ref="U5632">IF($D5632="","",IFERROR(_xlfn.XLOOKUP($D5632,'TIR店舗一覧'!$D:$D,'TIR店舗一覧'!$E:$E,""),""))</f>
        <v/>
      </c>
      <c r="V5632" s="54" t="s">
        <v>2</v>
      </c>
      <c r="W5632" s="54" t="s">
        <v>2</v>
      </c>
      <c r="X5632" s="54" t="s">
        <v>2</v>
      </c>
      <c r="Y5632" s="54" t="s">
        <v>2</v>
      </c>
      <c r="Z5632" s="54" t="s">
        <v>2</v>
      </c>
      <c r="AA5632" s="54" t="s">
        <v>2</v>
      </c>
      <c r="AB5632" s="54" t="s">
        <v>2</v>
      </c>
      <c r="AC5632" s="54" t="s">
        <v>2</v>
      </c>
      <c r="AD5632" s="54" t="s">
        <v>2</v>
      </c>
      <c r="AE5632" s="54" t="s">
        <v>2</v>
      </c>
      <c r="AF5632" s="54" t="s">
        <v>2</v>
      </c>
      <c r="AG5632" s="54" t="s">
        <v>2</v>
      </c>
    </row>
    <row r="5633" ht="15.75" customHeight="1">
      <c r="B5633" s="56"/>
      <c r="U5633" s="46" t="str">
        <f t="array" ref="U5633">IF($D5633="","",IFERROR(_xlfn.XLOOKUP($D5633,'TIR店舗一覧'!$D:$D,'TIR店舗一覧'!$E:$E,""),""))</f>
        <v/>
      </c>
      <c r="V5633" s="54" t="s">
        <v>2</v>
      </c>
      <c r="W5633" s="54" t="s">
        <v>2</v>
      </c>
      <c r="X5633" s="54" t="s">
        <v>2</v>
      </c>
      <c r="Y5633" s="54" t="s">
        <v>2</v>
      </c>
      <c r="Z5633" s="54" t="s">
        <v>2</v>
      </c>
      <c r="AA5633" s="54" t="s">
        <v>2</v>
      </c>
      <c r="AB5633" s="54" t="s">
        <v>2</v>
      </c>
      <c r="AC5633" s="54" t="s">
        <v>2</v>
      </c>
      <c r="AD5633" s="54" t="s">
        <v>2</v>
      </c>
      <c r="AE5633" s="54" t="s">
        <v>2</v>
      </c>
      <c r="AF5633" s="54" t="s">
        <v>2</v>
      </c>
      <c r="AG5633" s="54" t="s">
        <v>2</v>
      </c>
    </row>
    <row r="5634" ht="15.75" customHeight="1">
      <c r="B5634" s="56"/>
      <c r="U5634" s="46" t="str">
        <f t="array" ref="U5634">IF($D5634="","",IFERROR(_xlfn.XLOOKUP($D5634,'TIR店舗一覧'!$D:$D,'TIR店舗一覧'!$E:$E,""),""))</f>
        <v/>
      </c>
      <c r="V5634" s="54" t="s">
        <v>2</v>
      </c>
      <c r="W5634" s="54" t="s">
        <v>2</v>
      </c>
      <c r="X5634" s="54" t="s">
        <v>2</v>
      </c>
      <c r="Y5634" s="54" t="s">
        <v>2</v>
      </c>
      <c r="Z5634" s="54" t="s">
        <v>2</v>
      </c>
      <c r="AA5634" s="54" t="s">
        <v>2</v>
      </c>
      <c r="AB5634" s="54" t="s">
        <v>2</v>
      </c>
      <c r="AC5634" s="54" t="s">
        <v>2</v>
      </c>
      <c r="AD5634" s="54" t="s">
        <v>2</v>
      </c>
      <c r="AE5634" s="54" t="s">
        <v>2</v>
      </c>
      <c r="AF5634" s="54" t="s">
        <v>2</v>
      </c>
      <c r="AG5634" s="54" t="s">
        <v>2</v>
      </c>
    </row>
    <row r="5635" ht="15.75" customHeight="1">
      <c r="B5635" s="56"/>
      <c r="U5635" s="46" t="str">
        <f t="array" ref="U5635">IF($D5635="","",IFERROR(_xlfn.XLOOKUP($D5635,'TIR店舗一覧'!$D:$D,'TIR店舗一覧'!$E:$E,""),""))</f>
        <v/>
      </c>
      <c r="V5635" s="54" t="s">
        <v>2</v>
      </c>
      <c r="W5635" s="54" t="s">
        <v>2</v>
      </c>
      <c r="X5635" s="54" t="s">
        <v>2</v>
      </c>
      <c r="Y5635" s="54" t="s">
        <v>2</v>
      </c>
      <c r="Z5635" s="54" t="s">
        <v>2</v>
      </c>
      <c r="AA5635" s="54" t="s">
        <v>2</v>
      </c>
      <c r="AB5635" s="54" t="s">
        <v>2</v>
      </c>
      <c r="AC5635" s="54" t="s">
        <v>2</v>
      </c>
      <c r="AD5635" s="54" t="s">
        <v>2</v>
      </c>
      <c r="AE5635" s="54" t="s">
        <v>2</v>
      </c>
      <c r="AF5635" s="54" t="s">
        <v>2</v>
      </c>
      <c r="AG5635" s="54" t="s">
        <v>2</v>
      </c>
    </row>
    <row r="5636" ht="15.75" customHeight="1">
      <c r="B5636" s="56"/>
      <c r="U5636" s="46" t="str">
        <f t="array" ref="U5636">IF($D5636="","",IFERROR(_xlfn.XLOOKUP($D5636,'TIR店舗一覧'!$D:$D,'TIR店舗一覧'!$E:$E,""),""))</f>
        <v/>
      </c>
      <c r="V5636" s="54" t="s">
        <v>2</v>
      </c>
      <c r="W5636" s="54" t="s">
        <v>2</v>
      </c>
      <c r="X5636" s="54" t="s">
        <v>2</v>
      </c>
      <c r="Y5636" s="54" t="s">
        <v>2</v>
      </c>
      <c r="Z5636" s="54" t="s">
        <v>2</v>
      </c>
      <c r="AA5636" s="54" t="s">
        <v>2</v>
      </c>
      <c r="AB5636" s="54" t="s">
        <v>2</v>
      </c>
      <c r="AC5636" s="54" t="s">
        <v>2</v>
      </c>
      <c r="AD5636" s="54" t="s">
        <v>2</v>
      </c>
      <c r="AE5636" s="54" t="s">
        <v>2</v>
      </c>
      <c r="AF5636" s="54" t="s">
        <v>2</v>
      </c>
      <c r="AG5636" s="54" t="s">
        <v>2</v>
      </c>
    </row>
    <row r="5637" ht="15.75" customHeight="1">
      <c r="B5637" s="56"/>
      <c r="U5637" s="46" t="str">
        <f t="array" ref="U5637">IF($D5637="","",IFERROR(_xlfn.XLOOKUP($D5637,'TIR店舗一覧'!$D:$D,'TIR店舗一覧'!$E:$E,""),""))</f>
        <v/>
      </c>
      <c r="V5637" s="54" t="s">
        <v>2</v>
      </c>
      <c r="W5637" s="54" t="s">
        <v>2</v>
      </c>
      <c r="X5637" s="54" t="s">
        <v>2</v>
      </c>
      <c r="Y5637" s="54" t="s">
        <v>2</v>
      </c>
      <c r="Z5637" s="54" t="s">
        <v>2</v>
      </c>
      <c r="AA5637" s="54" t="s">
        <v>2</v>
      </c>
      <c r="AB5637" s="54" t="s">
        <v>2</v>
      </c>
      <c r="AC5637" s="54" t="s">
        <v>2</v>
      </c>
      <c r="AD5637" s="54" t="s">
        <v>2</v>
      </c>
      <c r="AE5637" s="54" t="s">
        <v>2</v>
      </c>
      <c r="AF5637" s="54" t="s">
        <v>2</v>
      </c>
      <c r="AG5637" s="54" t="s">
        <v>2</v>
      </c>
    </row>
    <row r="5638" ht="15.75" customHeight="1">
      <c r="B5638" s="56"/>
      <c r="U5638" s="46" t="str">
        <f t="array" ref="U5638">IF($D5638="","",IFERROR(_xlfn.XLOOKUP($D5638,'TIR店舗一覧'!$D:$D,'TIR店舗一覧'!$E:$E,""),""))</f>
        <v/>
      </c>
      <c r="V5638" s="54" t="s">
        <v>2</v>
      </c>
      <c r="W5638" s="54" t="s">
        <v>2</v>
      </c>
      <c r="X5638" s="54" t="s">
        <v>2</v>
      </c>
      <c r="Y5638" s="54" t="s">
        <v>2</v>
      </c>
      <c r="Z5638" s="54" t="s">
        <v>2</v>
      </c>
      <c r="AA5638" s="54" t="s">
        <v>2</v>
      </c>
      <c r="AB5638" s="54" t="s">
        <v>2</v>
      </c>
      <c r="AC5638" s="54" t="s">
        <v>2</v>
      </c>
      <c r="AD5638" s="54" t="s">
        <v>2</v>
      </c>
      <c r="AE5638" s="54" t="s">
        <v>2</v>
      </c>
      <c r="AF5638" s="54" t="s">
        <v>2</v>
      </c>
      <c r="AG5638" s="54" t="s">
        <v>2</v>
      </c>
    </row>
    <row r="5639" ht="15.75" customHeight="1">
      <c r="B5639" s="56"/>
      <c r="U5639" s="46" t="str">
        <f t="array" ref="U5639">IF($D5639="","",IFERROR(_xlfn.XLOOKUP($D5639,'TIR店舗一覧'!$D:$D,'TIR店舗一覧'!$E:$E,""),""))</f>
        <v/>
      </c>
      <c r="V5639" s="54" t="s">
        <v>2</v>
      </c>
      <c r="W5639" s="54" t="s">
        <v>2</v>
      </c>
      <c r="X5639" s="54" t="s">
        <v>2</v>
      </c>
      <c r="Y5639" s="54" t="s">
        <v>2</v>
      </c>
      <c r="Z5639" s="54" t="s">
        <v>2</v>
      </c>
      <c r="AA5639" s="54" t="s">
        <v>2</v>
      </c>
      <c r="AB5639" s="54" t="s">
        <v>2</v>
      </c>
      <c r="AC5639" s="54" t="s">
        <v>2</v>
      </c>
      <c r="AD5639" s="54" t="s">
        <v>2</v>
      </c>
      <c r="AE5639" s="54" t="s">
        <v>2</v>
      </c>
      <c r="AF5639" s="54" t="s">
        <v>2</v>
      </c>
      <c r="AG5639" s="54" t="s">
        <v>2</v>
      </c>
    </row>
    <row r="5640" ht="15.75" customHeight="1">
      <c r="B5640" s="56"/>
      <c r="U5640" s="46" t="str">
        <f t="array" ref="U5640">IF($D5640="","",IFERROR(_xlfn.XLOOKUP($D5640,'TIR店舗一覧'!$D:$D,'TIR店舗一覧'!$E:$E,""),""))</f>
        <v/>
      </c>
      <c r="V5640" s="54" t="s">
        <v>2</v>
      </c>
      <c r="W5640" s="54" t="s">
        <v>2</v>
      </c>
      <c r="X5640" s="54" t="s">
        <v>2</v>
      </c>
      <c r="Y5640" s="54" t="s">
        <v>2</v>
      </c>
      <c r="Z5640" s="54" t="s">
        <v>2</v>
      </c>
      <c r="AA5640" s="54" t="s">
        <v>2</v>
      </c>
      <c r="AB5640" s="54" t="s">
        <v>2</v>
      </c>
      <c r="AC5640" s="54" t="s">
        <v>2</v>
      </c>
      <c r="AD5640" s="54" t="s">
        <v>2</v>
      </c>
      <c r="AE5640" s="54" t="s">
        <v>2</v>
      </c>
      <c r="AF5640" s="54" t="s">
        <v>2</v>
      </c>
      <c r="AG5640" s="54" t="s">
        <v>2</v>
      </c>
    </row>
    <row r="5641" ht="15.75" customHeight="1">
      <c r="B5641" s="56"/>
      <c r="U5641" s="46" t="str">
        <f t="array" ref="U5641">IF($D5641="","",IFERROR(_xlfn.XLOOKUP($D5641,'TIR店舗一覧'!$D:$D,'TIR店舗一覧'!$E:$E,""),""))</f>
        <v/>
      </c>
      <c r="V5641" s="54" t="s">
        <v>2</v>
      </c>
      <c r="W5641" s="54" t="s">
        <v>2</v>
      </c>
      <c r="X5641" s="54" t="s">
        <v>2</v>
      </c>
      <c r="Y5641" s="54" t="s">
        <v>2</v>
      </c>
      <c r="Z5641" s="54" t="s">
        <v>2</v>
      </c>
      <c r="AA5641" s="54" t="s">
        <v>2</v>
      </c>
      <c r="AB5641" s="54" t="s">
        <v>2</v>
      </c>
      <c r="AC5641" s="54" t="s">
        <v>2</v>
      </c>
      <c r="AD5641" s="54" t="s">
        <v>2</v>
      </c>
      <c r="AE5641" s="54" t="s">
        <v>2</v>
      </c>
      <c r="AF5641" s="54" t="s">
        <v>2</v>
      </c>
      <c r="AG5641" s="54" t="s">
        <v>2</v>
      </c>
    </row>
    <row r="5642" ht="15.75" customHeight="1">
      <c r="B5642" s="56"/>
      <c r="U5642" s="46" t="str">
        <f t="array" ref="U5642">IF($D5642="","",IFERROR(_xlfn.XLOOKUP($D5642,'TIR店舗一覧'!$D:$D,'TIR店舗一覧'!$E:$E,""),""))</f>
        <v/>
      </c>
      <c r="V5642" s="54" t="s">
        <v>2</v>
      </c>
      <c r="W5642" s="54" t="s">
        <v>2</v>
      </c>
      <c r="X5642" s="54" t="s">
        <v>2</v>
      </c>
      <c r="Y5642" s="54" t="s">
        <v>2</v>
      </c>
      <c r="Z5642" s="54" t="s">
        <v>2</v>
      </c>
      <c r="AA5642" s="54" t="s">
        <v>2</v>
      </c>
      <c r="AB5642" s="54" t="s">
        <v>2</v>
      </c>
      <c r="AC5642" s="54" t="s">
        <v>2</v>
      </c>
      <c r="AD5642" s="54" t="s">
        <v>2</v>
      </c>
      <c r="AE5642" s="54" t="s">
        <v>2</v>
      </c>
      <c r="AF5642" s="54" t="s">
        <v>2</v>
      </c>
      <c r="AG5642" s="54" t="s">
        <v>2</v>
      </c>
    </row>
    <row r="5643" ht="15.75" customHeight="1">
      <c r="B5643" s="56"/>
      <c r="U5643" s="46" t="str">
        <f t="array" ref="U5643">IF($D5643="","",IFERROR(_xlfn.XLOOKUP($D5643,'TIR店舗一覧'!$D:$D,'TIR店舗一覧'!$E:$E,""),""))</f>
        <v/>
      </c>
      <c r="V5643" s="54" t="s">
        <v>2</v>
      </c>
      <c r="W5643" s="54" t="s">
        <v>2</v>
      </c>
      <c r="X5643" s="54" t="s">
        <v>2</v>
      </c>
      <c r="Y5643" s="54" t="s">
        <v>2</v>
      </c>
      <c r="Z5643" s="54" t="s">
        <v>2</v>
      </c>
      <c r="AA5643" s="54" t="s">
        <v>2</v>
      </c>
      <c r="AB5643" s="54" t="s">
        <v>2</v>
      </c>
      <c r="AC5643" s="54" t="s">
        <v>2</v>
      </c>
      <c r="AD5643" s="54" t="s">
        <v>2</v>
      </c>
      <c r="AE5643" s="54" t="s">
        <v>2</v>
      </c>
      <c r="AF5643" s="54" t="s">
        <v>2</v>
      </c>
      <c r="AG5643" s="54" t="s">
        <v>2</v>
      </c>
    </row>
    <row r="5644" ht="15.75" customHeight="1">
      <c r="B5644" s="56"/>
      <c r="U5644" s="46" t="str">
        <f t="array" ref="U5644">IF($D5644="","",IFERROR(_xlfn.XLOOKUP($D5644,'TIR店舗一覧'!$D:$D,'TIR店舗一覧'!$E:$E,""),""))</f>
        <v/>
      </c>
      <c r="V5644" s="54" t="s">
        <v>2</v>
      </c>
      <c r="W5644" s="54" t="s">
        <v>2</v>
      </c>
      <c r="X5644" s="54" t="s">
        <v>2</v>
      </c>
      <c r="Y5644" s="54" t="s">
        <v>2</v>
      </c>
      <c r="Z5644" s="54" t="s">
        <v>2</v>
      </c>
      <c r="AA5644" s="54" t="s">
        <v>2</v>
      </c>
      <c r="AB5644" s="54" t="s">
        <v>2</v>
      </c>
      <c r="AC5644" s="54" t="s">
        <v>2</v>
      </c>
      <c r="AD5644" s="54" t="s">
        <v>2</v>
      </c>
      <c r="AE5644" s="54" t="s">
        <v>2</v>
      </c>
      <c r="AF5644" s="54" t="s">
        <v>2</v>
      </c>
      <c r="AG5644" s="54" t="s">
        <v>2</v>
      </c>
    </row>
    <row r="5645" ht="15.75" customHeight="1">
      <c r="B5645" s="56"/>
      <c r="U5645" s="46" t="str">
        <f t="array" ref="U5645">IF($D5645="","",IFERROR(_xlfn.XLOOKUP($D5645,'TIR店舗一覧'!$D:$D,'TIR店舗一覧'!$E:$E,""),""))</f>
        <v/>
      </c>
      <c r="V5645" s="54" t="s">
        <v>2</v>
      </c>
      <c r="W5645" s="54" t="s">
        <v>2</v>
      </c>
      <c r="X5645" s="54" t="s">
        <v>2</v>
      </c>
      <c r="Y5645" s="54" t="s">
        <v>2</v>
      </c>
      <c r="Z5645" s="54" t="s">
        <v>2</v>
      </c>
      <c r="AA5645" s="54" t="s">
        <v>2</v>
      </c>
      <c r="AB5645" s="54" t="s">
        <v>2</v>
      </c>
      <c r="AC5645" s="54" t="s">
        <v>2</v>
      </c>
      <c r="AD5645" s="54" t="s">
        <v>2</v>
      </c>
      <c r="AE5645" s="54" t="s">
        <v>2</v>
      </c>
      <c r="AF5645" s="54" t="s">
        <v>2</v>
      </c>
      <c r="AG5645" s="54" t="s">
        <v>2</v>
      </c>
    </row>
    <row r="5646" ht="15.75" customHeight="1">
      <c r="B5646" s="56"/>
      <c r="U5646" s="46" t="str">
        <f t="array" ref="U5646">IF($D5646="","",IFERROR(_xlfn.XLOOKUP($D5646,'TIR店舗一覧'!$D:$D,'TIR店舗一覧'!$E:$E,""),""))</f>
        <v/>
      </c>
      <c r="V5646" s="54" t="s">
        <v>2</v>
      </c>
      <c r="W5646" s="54" t="s">
        <v>2</v>
      </c>
      <c r="X5646" s="54" t="s">
        <v>2</v>
      </c>
      <c r="Y5646" s="54" t="s">
        <v>2</v>
      </c>
      <c r="Z5646" s="54" t="s">
        <v>2</v>
      </c>
      <c r="AA5646" s="54" t="s">
        <v>2</v>
      </c>
      <c r="AB5646" s="54" t="s">
        <v>2</v>
      </c>
      <c r="AC5646" s="54" t="s">
        <v>2</v>
      </c>
      <c r="AD5646" s="54" t="s">
        <v>2</v>
      </c>
      <c r="AE5646" s="54" t="s">
        <v>2</v>
      </c>
      <c r="AF5646" s="54" t="s">
        <v>2</v>
      </c>
      <c r="AG5646" s="54" t="s">
        <v>2</v>
      </c>
    </row>
    <row r="5647" ht="15.75" customHeight="1">
      <c r="B5647" s="56"/>
      <c r="U5647" s="46" t="str">
        <f t="array" ref="U5647">IF($D5647="","",IFERROR(_xlfn.XLOOKUP($D5647,'TIR店舗一覧'!$D:$D,'TIR店舗一覧'!$E:$E,""),""))</f>
        <v/>
      </c>
      <c r="V5647" s="54" t="s">
        <v>2</v>
      </c>
      <c r="W5647" s="54" t="s">
        <v>2</v>
      </c>
      <c r="X5647" s="54" t="s">
        <v>2</v>
      </c>
      <c r="Y5647" s="54" t="s">
        <v>2</v>
      </c>
      <c r="Z5647" s="54" t="s">
        <v>2</v>
      </c>
      <c r="AA5647" s="54" t="s">
        <v>2</v>
      </c>
      <c r="AB5647" s="54" t="s">
        <v>2</v>
      </c>
      <c r="AC5647" s="54" t="s">
        <v>2</v>
      </c>
      <c r="AD5647" s="54" t="s">
        <v>2</v>
      </c>
      <c r="AE5647" s="54" t="s">
        <v>2</v>
      </c>
      <c r="AF5647" s="54" t="s">
        <v>2</v>
      </c>
      <c r="AG5647" s="54" t="s">
        <v>2</v>
      </c>
    </row>
    <row r="5648" ht="15.75" customHeight="1">
      <c r="B5648" s="56"/>
      <c r="U5648" s="46" t="str">
        <f t="array" ref="U5648">IF($D5648="","",IFERROR(_xlfn.XLOOKUP($D5648,'TIR店舗一覧'!$D:$D,'TIR店舗一覧'!$E:$E,""),""))</f>
        <v/>
      </c>
      <c r="V5648" s="54" t="s">
        <v>2</v>
      </c>
      <c r="W5648" s="54" t="s">
        <v>2</v>
      </c>
      <c r="X5648" s="54" t="s">
        <v>2</v>
      </c>
      <c r="Y5648" s="54" t="s">
        <v>2</v>
      </c>
      <c r="Z5648" s="54" t="s">
        <v>2</v>
      </c>
      <c r="AA5648" s="54" t="s">
        <v>2</v>
      </c>
      <c r="AB5648" s="54" t="s">
        <v>2</v>
      </c>
      <c r="AC5648" s="54" t="s">
        <v>2</v>
      </c>
      <c r="AD5648" s="54" t="s">
        <v>2</v>
      </c>
      <c r="AE5648" s="54" t="s">
        <v>2</v>
      </c>
      <c r="AF5648" s="54" t="s">
        <v>2</v>
      </c>
      <c r="AG5648" s="54" t="s">
        <v>2</v>
      </c>
    </row>
    <row r="5649" ht="15.75" customHeight="1">
      <c r="B5649" s="56"/>
      <c r="U5649" s="46" t="str">
        <f t="array" ref="U5649">IF($D5649="","",IFERROR(_xlfn.XLOOKUP($D5649,'TIR店舗一覧'!$D:$D,'TIR店舗一覧'!$E:$E,""),""))</f>
        <v/>
      </c>
      <c r="V5649" s="54" t="s">
        <v>2</v>
      </c>
      <c r="W5649" s="54" t="s">
        <v>2</v>
      </c>
      <c r="X5649" s="54" t="s">
        <v>2</v>
      </c>
      <c r="Y5649" s="54" t="s">
        <v>2</v>
      </c>
      <c r="Z5649" s="54" t="s">
        <v>2</v>
      </c>
      <c r="AA5649" s="54" t="s">
        <v>2</v>
      </c>
      <c r="AB5649" s="54" t="s">
        <v>2</v>
      </c>
      <c r="AC5649" s="54" t="s">
        <v>2</v>
      </c>
      <c r="AD5649" s="54" t="s">
        <v>2</v>
      </c>
      <c r="AE5649" s="54" t="s">
        <v>2</v>
      </c>
      <c r="AF5649" s="54" t="s">
        <v>2</v>
      </c>
      <c r="AG5649" s="54" t="s">
        <v>2</v>
      </c>
    </row>
    <row r="5650" ht="15.75" customHeight="1">
      <c r="B5650" s="56"/>
      <c r="U5650" s="46" t="str">
        <f t="array" ref="U5650">IF($D5650="","",IFERROR(_xlfn.XLOOKUP($D5650,'TIR店舗一覧'!$D:$D,'TIR店舗一覧'!$E:$E,""),""))</f>
        <v/>
      </c>
      <c r="V5650" s="54" t="s">
        <v>2</v>
      </c>
      <c r="W5650" s="54" t="s">
        <v>2</v>
      </c>
      <c r="X5650" s="54" t="s">
        <v>2</v>
      </c>
      <c r="Y5650" s="54" t="s">
        <v>2</v>
      </c>
      <c r="Z5650" s="54" t="s">
        <v>2</v>
      </c>
      <c r="AA5650" s="54" t="s">
        <v>2</v>
      </c>
      <c r="AB5650" s="54" t="s">
        <v>2</v>
      </c>
      <c r="AC5650" s="54" t="s">
        <v>2</v>
      </c>
      <c r="AD5650" s="54" t="s">
        <v>2</v>
      </c>
      <c r="AE5650" s="54" t="s">
        <v>2</v>
      </c>
      <c r="AF5650" s="54" t="s">
        <v>2</v>
      </c>
      <c r="AG5650" s="54" t="s">
        <v>2</v>
      </c>
    </row>
    <row r="5651" ht="15.75" customHeight="1">
      <c r="B5651" s="56"/>
      <c r="U5651" s="46" t="str">
        <f t="array" ref="U5651">IF($D5651="","",IFERROR(_xlfn.XLOOKUP($D5651,'TIR店舗一覧'!$D:$D,'TIR店舗一覧'!$E:$E,""),""))</f>
        <v/>
      </c>
      <c r="V5651" s="54" t="s">
        <v>2</v>
      </c>
      <c r="W5651" s="54" t="s">
        <v>2</v>
      </c>
      <c r="X5651" s="54" t="s">
        <v>2</v>
      </c>
      <c r="Y5651" s="54" t="s">
        <v>2</v>
      </c>
      <c r="Z5651" s="54" t="s">
        <v>2</v>
      </c>
      <c r="AA5651" s="54" t="s">
        <v>2</v>
      </c>
      <c r="AB5651" s="54" t="s">
        <v>2</v>
      </c>
      <c r="AC5651" s="54" t="s">
        <v>2</v>
      </c>
      <c r="AD5651" s="54" t="s">
        <v>2</v>
      </c>
      <c r="AE5651" s="54" t="s">
        <v>2</v>
      </c>
      <c r="AF5651" s="54" t="s">
        <v>2</v>
      </c>
      <c r="AG5651" s="54" t="s">
        <v>2</v>
      </c>
    </row>
    <row r="5652" ht="15.75" customHeight="1">
      <c r="B5652" s="56"/>
      <c r="U5652" s="46" t="str">
        <f t="array" ref="U5652">IF($D5652="","",IFERROR(_xlfn.XLOOKUP($D5652,'TIR店舗一覧'!$D:$D,'TIR店舗一覧'!$E:$E,""),""))</f>
        <v/>
      </c>
      <c r="V5652" s="54" t="s">
        <v>2</v>
      </c>
      <c r="W5652" s="54" t="s">
        <v>2</v>
      </c>
      <c r="X5652" s="54" t="s">
        <v>2</v>
      </c>
      <c r="Y5652" s="54" t="s">
        <v>2</v>
      </c>
      <c r="Z5652" s="54" t="s">
        <v>2</v>
      </c>
      <c r="AA5652" s="54" t="s">
        <v>2</v>
      </c>
      <c r="AB5652" s="54" t="s">
        <v>2</v>
      </c>
      <c r="AC5652" s="54" t="s">
        <v>2</v>
      </c>
      <c r="AD5652" s="54" t="s">
        <v>2</v>
      </c>
      <c r="AE5652" s="54" t="s">
        <v>2</v>
      </c>
      <c r="AF5652" s="54" t="s">
        <v>2</v>
      </c>
      <c r="AG5652" s="54" t="s">
        <v>2</v>
      </c>
    </row>
    <row r="5653" ht="15.75" customHeight="1">
      <c r="B5653" s="56"/>
      <c r="U5653" s="46" t="str">
        <f t="array" ref="U5653">IF($D5653="","",IFERROR(_xlfn.XLOOKUP($D5653,'TIR店舗一覧'!$D:$D,'TIR店舗一覧'!$E:$E,""),""))</f>
        <v/>
      </c>
      <c r="V5653" s="54" t="s">
        <v>2</v>
      </c>
      <c r="W5653" s="54" t="s">
        <v>2</v>
      </c>
      <c r="X5653" s="54" t="s">
        <v>2</v>
      </c>
      <c r="Y5653" s="54" t="s">
        <v>2</v>
      </c>
      <c r="Z5653" s="54" t="s">
        <v>2</v>
      </c>
      <c r="AA5653" s="54" t="s">
        <v>2</v>
      </c>
      <c r="AB5653" s="54" t="s">
        <v>2</v>
      </c>
      <c r="AC5653" s="54" t="s">
        <v>2</v>
      </c>
      <c r="AD5653" s="54" t="s">
        <v>2</v>
      </c>
      <c r="AE5653" s="54" t="s">
        <v>2</v>
      </c>
      <c r="AF5653" s="54" t="s">
        <v>2</v>
      </c>
      <c r="AG5653" s="54" t="s">
        <v>2</v>
      </c>
    </row>
    <row r="5654" ht="15.75" customHeight="1">
      <c r="B5654" s="56"/>
      <c r="U5654" s="46" t="str">
        <f t="array" ref="U5654">IF($D5654="","",IFERROR(_xlfn.XLOOKUP($D5654,'TIR店舗一覧'!$D:$D,'TIR店舗一覧'!$E:$E,""),""))</f>
        <v/>
      </c>
      <c r="V5654" s="54" t="s">
        <v>2</v>
      </c>
      <c r="W5654" s="54" t="s">
        <v>2</v>
      </c>
      <c r="X5654" s="54" t="s">
        <v>2</v>
      </c>
      <c r="Y5654" s="54" t="s">
        <v>2</v>
      </c>
      <c r="Z5654" s="54" t="s">
        <v>2</v>
      </c>
      <c r="AA5654" s="54" t="s">
        <v>2</v>
      </c>
      <c r="AB5654" s="54" t="s">
        <v>2</v>
      </c>
      <c r="AC5654" s="54" t="s">
        <v>2</v>
      </c>
      <c r="AD5654" s="54" t="s">
        <v>2</v>
      </c>
      <c r="AE5654" s="54" t="s">
        <v>2</v>
      </c>
      <c r="AF5654" s="54" t="s">
        <v>2</v>
      </c>
      <c r="AG5654" s="54" t="s">
        <v>2</v>
      </c>
    </row>
    <row r="5655" ht="15.75" customHeight="1">
      <c r="B5655" s="56"/>
      <c r="U5655" s="46" t="str">
        <f t="array" ref="U5655">IF($D5655="","",IFERROR(_xlfn.XLOOKUP($D5655,'TIR店舗一覧'!$D:$D,'TIR店舗一覧'!$E:$E,""),""))</f>
        <v/>
      </c>
      <c r="V5655" s="54" t="s">
        <v>2</v>
      </c>
      <c r="W5655" s="54" t="s">
        <v>2</v>
      </c>
      <c r="X5655" s="54" t="s">
        <v>2</v>
      </c>
      <c r="Y5655" s="54" t="s">
        <v>2</v>
      </c>
      <c r="Z5655" s="54" t="s">
        <v>2</v>
      </c>
      <c r="AA5655" s="54" t="s">
        <v>2</v>
      </c>
      <c r="AB5655" s="54" t="s">
        <v>2</v>
      </c>
      <c r="AC5655" s="54" t="s">
        <v>2</v>
      </c>
      <c r="AD5655" s="54" t="s">
        <v>2</v>
      </c>
      <c r="AE5655" s="54" t="s">
        <v>2</v>
      </c>
      <c r="AF5655" s="54" t="s">
        <v>2</v>
      </c>
      <c r="AG5655" s="54" t="s">
        <v>2</v>
      </c>
    </row>
    <row r="5656" ht="15.75" customHeight="1">
      <c r="B5656" s="56"/>
      <c r="U5656" s="46" t="str">
        <f t="array" ref="U5656">IF($D5656="","",IFERROR(_xlfn.XLOOKUP($D5656,'TIR店舗一覧'!$D:$D,'TIR店舗一覧'!$E:$E,""),""))</f>
        <v/>
      </c>
      <c r="V5656" s="54" t="s">
        <v>2</v>
      </c>
      <c r="W5656" s="54" t="s">
        <v>2</v>
      </c>
      <c r="X5656" s="54" t="s">
        <v>2</v>
      </c>
      <c r="Y5656" s="54" t="s">
        <v>2</v>
      </c>
      <c r="Z5656" s="54" t="s">
        <v>2</v>
      </c>
      <c r="AA5656" s="54" t="s">
        <v>2</v>
      </c>
      <c r="AB5656" s="54" t="s">
        <v>2</v>
      </c>
      <c r="AC5656" s="54" t="s">
        <v>2</v>
      </c>
      <c r="AD5656" s="54" t="s">
        <v>2</v>
      </c>
      <c r="AE5656" s="54" t="s">
        <v>2</v>
      </c>
      <c r="AF5656" s="54" t="s">
        <v>2</v>
      </c>
      <c r="AG5656" s="54" t="s">
        <v>2</v>
      </c>
    </row>
    <row r="5657" ht="15.75" customHeight="1">
      <c r="B5657" s="56"/>
      <c r="U5657" s="46" t="str">
        <f t="array" ref="U5657">IF($D5657="","",IFERROR(_xlfn.XLOOKUP($D5657,'TIR店舗一覧'!$D:$D,'TIR店舗一覧'!$E:$E,""),""))</f>
        <v/>
      </c>
      <c r="V5657" s="54" t="s">
        <v>2</v>
      </c>
      <c r="W5657" s="54" t="s">
        <v>2</v>
      </c>
      <c r="X5657" s="54" t="s">
        <v>2</v>
      </c>
      <c r="Y5657" s="54" t="s">
        <v>2</v>
      </c>
      <c r="Z5657" s="54" t="s">
        <v>2</v>
      </c>
      <c r="AA5657" s="54" t="s">
        <v>2</v>
      </c>
      <c r="AB5657" s="54" t="s">
        <v>2</v>
      </c>
      <c r="AC5657" s="54" t="s">
        <v>2</v>
      </c>
      <c r="AD5657" s="54" t="s">
        <v>2</v>
      </c>
      <c r="AE5657" s="54" t="s">
        <v>2</v>
      </c>
      <c r="AF5657" s="54" t="s">
        <v>2</v>
      </c>
      <c r="AG5657" s="54" t="s">
        <v>2</v>
      </c>
    </row>
    <row r="5658" ht="15.75" customHeight="1">
      <c r="B5658" s="56"/>
      <c r="U5658" s="46" t="str">
        <f t="array" ref="U5658">IF($D5658="","",IFERROR(_xlfn.XLOOKUP($D5658,'TIR店舗一覧'!$D:$D,'TIR店舗一覧'!$E:$E,""),""))</f>
        <v/>
      </c>
      <c r="V5658" s="54" t="s">
        <v>2</v>
      </c>
      <c r="W5658" s="54" t="s">
        <v>2</v>
      </c>
      <c r="X5658" s="54" t="s">
        <v>2</v>
      </c>
      <c r="Y5658" s="54" t="s">
        <v>2</v>
      </c>
      <c r="Z5658" s="54" t="s">
        <v>2</v>
      </c>
      <c r="AA5658" s="54" t="s">
        <v>2</v>
      </c>
      <c r="AB5658" s="54" t="s">
        <v>2</v>
      </c>
      <c r="AC5658" s="54" t="s">
        <v>2</v>
      </c>
      <c r="AD5658" s="54" t="s">
        <v>2</v>
      </c>
      <c r="AE5658" s="54" t="s">
        <v>2</v>
      </c>
      <c r="AF5658" s="54" t="s">
        <v>2</v>
      </c>
      <c r="AG5658" s="54" t="s">
        <v>2</v>
      </c>
    </row>
    <row r="5659" ht="15.75" customHeight="1">
      <c r="B5659" s="56"/>
      <c r="U5659" s="46" t="str">
        <f t="array" ref="U5659">IF($D5659="","",IFERROR(_xlfn.XLOOKUP($D5659,'TIR店舗一覧'!$D:$D,'TIR店舗一覧'!$E:$E,""),""))</f>
        <v/>
      </c>
      <c r="V5659" s="54" t="s">
        <v>2</v>
      </c>
      <c r="W5659" s="54" t="s">
        <v>2</v>
      </c>
      <c r="X5659" s="54" t="s">
        <v>2</v>
      </c>
      <c r="Y5659" s="54" t="s">
        <v>2</v>
      </c>
      <c r="Z5659" s="54" t="s">
        <v>2</v>
      </c>
      <c r="AA5659" s="54" t="s">
        <v>2</v>
      </c>
      <c r="AB5659" s="54" t="s">
        <v>2</v>
      </c>
      <c r="AC5659" s="54" t="s">
        <v>2</v>
      </c>
      <c r="AD5659" s="54" t="s">
        <v>2</v>
      </c>
      <c r="AE5659" s="54" t="s">
        <v>2</v>
      </c>
      <c r="AF5659" s="54" t="s">
        <v>2</v>
      </c>
      <c r="AG5659" s="54" t="s">
        <v>2</v>
      </c>
    </row>
    <row r="5660" ht="15.75" customHeight="1">
      <c r="B5660" s="56"/>
      <c r="U5660" s="46" t="str">
        <f t="array" ref="U5660">IF($D5660="","",IFERROR(_xlfn.XLOOKUP($D5660,'TIR店舗一覧'!$D:$D,'TIR店舗一覧'!$E:$E,""),""))</f>
        <v/>
      </c>
      <c r="V5660" s="54" t="s">
        <v>2</v>
      </c>
      <c r="W5660" s="54" t="s">
        <v>2</v>
      </c>
      <c r="X5660" s="54" t="s">
        <v>2</v>
      </c>
      <c r="Y5660" s="54" t="s">
        <v>2</v>
      </c>
      <c r="Z5660" s="54" t="s">
        <v>2</v>
      </c>
      <c r="AA5660" s="54" t="s">
        <v>2</v>
      </c>
      <c r="AB5660" s="54" t="s">
        <v>2</v>
      </c>
      <c r="AC5660" s="54" t="s">
        <v>2</v>
      </c>
      <c r="AD5660" s="54" t="s">
        <v>2</v>
      </c>
      <c r="AE5660" s="54" t="s">
        <v>2</v>
      </c>
      <c r="AF5660" s="54" t="s">
        <v>2</v>
      </c>
      <c r="AG5660" s="54" t="s">
        <v>2</v>
      </c>
    </row>
    <row r="5661" ht="15.75" customHeight="1">
      <c r="B5661" s="56"/>
      <c r="U5661" s="46" t="str">
        <f t="array" ref="U5661">IF($D5661="","",IFERROR(_xlfn.XLOOKUP($D5661,'TIR店舗一覧'!$D:$D,'TIR店舗一覧'!$E:$E,""),""))</f>
        <v/>
      </c>
      <c r="V5661" s="54" t="s">
        <v>2</v>
      </c>
      <c r="W5661" s="54" t="s">
        <v>2</v>
      </c>
      <c r="X5661" s="54" t="s">
        <v>2</v>
      </c>
      <c r="Y5661" s="54" t="s">
        <v>2</v>
      </c>
      <c r="Z5661" s="54" t="s">
        <v>2</v>
      </c>
      <c r="AA5661" s="54" t="s">
        <v>2</v>
      </c>
      <c r="AB5661" s="54" t="s">
        <v>2</v>
      </c>
      <c r="AC5661" s="54" t="s">
        <v>2</v>
      </c>
      <c r="AD5661" s="54" t="s">
        <v>2</v>
      </c>
      <c r="AE5661" s="54" t="s">
        <v>2</v>
      </c>
      <c r="AF5661" s="54" t="s">
        <v>2</v>
      </c>
      <c r="AG5661" s="54" t="s">
        <v>2</v>
      </c>
    </row>
    <row r="5662" ht="15.75" customHeight="1">
      <c r="B5662" s="56"/>
      <c r="U5662" s="46" t="str">
        <f t="array" ref="U5662">IF($D5662="","",IFERROR(_xlfn.XLOOKUP($D5662,'TIR店舗一覧'!$D:$D,'TIR店舗一覧'!$E:$E,""),""))</f>
        <v/>
      </c>
      <c r="V5662" s="54" t="s">
        <v>2</v>
      </c>
      <c r="W5662" s="54" t="s">
        <v>2</v>
      </c>
      <c r="X5662" s="54" t="s">
        <v>2</v>
      </c>
      <c r="Y5662" s="54" t="s">
        <v>2</v>
      </c>
      <c r="Z5662" s="54" t="s">
        <v>2</v>
      </c>
      <c r="AA5662" s="54" t="s">
        <v>2</v>
      </c>
      <c r="AB5662" s="54" t="s">
        <v>2</v>
      </c>
      <c r="AC5662" s="54" t="s">
        <v>2</v>
      </c>
      <c r="AD5662" s="54" t="s">
        <v>2</v>
      </c>
      <c r="AE5662" s="54" t="s">
        <v>2</v>
      </c>
      <c r="AF5662" s="54" t="s">
        <v>2</v>
      </c>
      <c r="AG5662" s="54" t="s">
        <v>2</v>
      </c>
    </row>
    <row r="5663" ht="15.75" customHeight="1">
      <c r="B5663" s="56"/>
      <c r="U5663" s="46" t="str">
        <f t="array" ref="U5663">IF($D5663="","",IFERROR(_xlfn.XLOOKUP($D5663,'TIR店舗一覧'!$D:$D,'TIR店舗一覧'!$E:$E,""),""))</f>
        <v/>
      </c>
      <c r="V5663" s="54" t="s">
        <v>2</v>
      </c>
      <c r="W5663" s="54" t="s">
        <v>2</v>
      </c>
      <c r="X5663" s="54" t="s">
        <v>2</v>
      </c>
      <c r="Y5663" s="54" t="s">
        <v>2</v>
      </c>
      <c r="Z5663" s="54" t="s">
        <v>2</v>
      </c>
      <c r="AA5663" s="54" t="s">
        <v>2</v>
      </c>
      <c r="AB5663" s="54" t="s">
        <v>2</v>
      </c>
      <c r="AC5663" s="54" t="s">
        <v>2</v>
      </c>
      <c r="AD5663" s="54" t="s">
        <v>2</v>
      </c>
      <c r="AE5663" s="54" t="s">
        <v>2</v>
      </c>
      <c r="AF5663" s="54" t="s">
        <v>2</v>
      </c>
      <c r="AG5663" s="54" t="s">
        <v>2</v>
      </c>
    </row>
    <row r="5664" ht="15.75" customHeight="1">
      <c r="B5664" s="56"/>
      <c r="U5664" s="46" t="str">
        <f t="array" ref="U5664">IF($D5664="","",IFERROR(_xlfn.XLOOKUP($D5664,'TIR店舗一覧'!$D:$D,'TIR店舗一覧'!$E:$E,""),""))</f>
        <v/>
      </c>
      <c r="V5664" s="54" t="s">
        <v>2</v>
      </c>
      <c r="W5664" s="54" t="s">
        <v>2</v>
      </c>
      <c r="X5664" s="54" t="s">
        <v>2</v>
      </c>
      <c r="Y5664" s="54" t="s">
        <v>2</v>
      </c>
      <c r="Z5664" s="54" t="s">
        <v>2</v>
      </c>
      <c r="AA5664" s="54" t="s">
        <v>2</v>
      </c>
      <c r="AB5664" s="54" t="s">
        <v>2</v>
      </c>
      <c r="AC5664" s="54" t="s">
        <v>2</v>
      </c>
      <c r="AD5664" s="54" t="s">
        <v>2</v>
      </c>
      <c r="AE5664" s="54" t="s">
        <v>2</v>
      </c>
      <c r="AF5664" s="54" t="s">
        <v>2</v>
      </c>
      <c r="AG5664" s="54" t="s">
        <v>2</v>
      </c>
    </row>
    <row r="5665" ht="15.75" customHeight="1">
      <c r="B5665" s="56"/>
      <c r="U5665" s="46" t="str">
        <f t="array" ref="U5665">IF($D5665="","",IFERROR(_xlfn.XLOOKUP($D5665,'TIR店舗一覧'!$D:$D,'TIR店舗一覧'!$E:$E,""),""))</f>
        <v/>
      </c>
      <c r="V5665" s="54" t="s">
        <v>2</v>
      </c>
      <c r="W5665" s="54" t="s">
        <v>2</v>
      </c>
      <c r="X5665" s="54" t="s">
        <v>2</v>
      </c>
      <c r="Y5665" s="54" t="s">
        <v>2</v>
      </c>
      <c r="Z5665" s="54" t="s">
        <v>2</v>
      </c>
      <c r="AA5665" s="54" t="s">
        <v>2</v>
      </c>
      <c r="AB5665" s="54" t="s">
        <v>2</v>
      </c>
      <c r="AC5665" s="54" t="s">
        <v>2</v>
      </c>
      <c r="AD5665" s="54" t="s">
        <v>2</v>
      </c>
      <c r="AE5665" s="54" t="s">
        <v>2</v>
      </c>
      <c r="AF5665" s="54" t="s">
        <v>2</v>
      </c>
      <c r="AG5665" s="54" t="s">
        <v>2</v>
      </c>
    </row>
    <row r="5666" ht="15.75" customHeight="1">
      <c r="B5666" s="56"/>
      <c r="U5666" s="46" t="str">
        <f t="array" ref="U5666">IF($D5666="","",IFERROR(_xlfn.XLOOKUP($D5666,'TIR店舗一覧'!$D:$D,'TIR店舗一覧'!$E:$E,""),""))</f>
        <v/>
      </c>
      <c r="V5666" s="54" t="s">
        <v>2</v>
      </c>
      <c r="W5666" s="54" t="s">
        <v>2</v>
      </c>
      <c r="X5666" s="54" t="s">
        <v>2</v>
      </c>
      <c r="Y5666" s="54" t="s">
        <v>2</v>
      </c>
      <c r="Z5666" s="54" t="s">
        <v>2</v>
      </c>
      <c r="AA5666" s="54" t="s">
        <v>2</v>
      </c>
      <c r="AB5666" s="54" t="s">
        <v>2</v>
      </c>
      <c r="AC5666" s="54" t="s">
        <v>2</v>
      </c>
      <c r="AD5666" s="54" t="s">
        <v>2</v>
      </c>
      <c r="AE5666" s="54" t="s">
        <v>2</v>
      </c>
      <c r="AF5666" s="54" t="s">
        <v>2</v>
      </c>
      <c r="AG5666" s="54" t="s">
        <v>2</v>
      </c>
    </row>
    <row r="5667" ht="15.75" customHeight="1">
      <c r="B5667" s="56"/>
      <c r="U5667" s="46" t="str">
        <f t="array" ref="U5667">IF($D5667="","",IFERROR(_xlfn.XLOOKUP($D5667,'TIR店舗一覧'!$D:$D,'TIR店舗一覧'!$E:$E,""),""))</f>
        <v/>
      </c>
      <c r="V5667" s="54" t="s">
        <v>2</v>
      </c>
      <c r="W5667" s="54" t="s">
        <v>2</v>
      </c>
      <c r="X5667" s="54" t="s">
        <v>2</v>
      </c>
      <c r="Y5667" s="54" t="s">
        <v>2</v>
      </c>
      <c r="Z5667" s="54" t="s">
        <v>2</v>
      </c>
      <c r="AA5667" s="54" t="s">
        <v>2</v>
      </c>
      <c r="AB5667" s="54" t="s">
        <v>2</v>
      </c>
      <c r="AC5667" s="54" t="s">
        <v>2</v>
      </c>
      <c r="AD5667" s="54" t="s">
        <v>2</v>
      </c>
      <c r="AE5667" s="54" t="s">
        <v>2</v>
      </c>
      <c r="AF5667" s="54" t="s">
        <v>2</v>
      </c>
      <c r="AG5667" s="54" t="s">
        <v>2</v>
      </c>
    </row>
    <row r="5668" ht="15.75" customHeight="1">
      <c r="B5668" s="56"/>
      <c r="U5668" s="46" t="str">
        <f t="array" ref="U5668">IF($D5668="","",IFERROR(_xlfn.XLOOKUP($D5668,'TIR店舗一覧'!$D:$D,'TIR店舗一覧'!$E:$E,""),""))</f>
        <v/>
      </c>
      <c r="V5668" s="54" t="s">
        <v>2</v>
      </c>
      <c r="W5668" s="54" t="s">
        <v>2</v>
      </c>
      <c r="X5668" s="54" t="s">
        <v>2</v>
      </c>
      <c r="Y5668" s="54" t="s">
        <v>2</v>
      </c>
      <c r="Z5668" s="54" t="s">
        <v>2</v>
      </c>
      <c r="AA5668" s="54" t="s">
        <v>2</v>
      </c>
      <c r="AB5668" s="54" t="s">
        <v>2</v>
      </c>
      <c r="AC5668" s="54" t="s">
        <v>2</v>
      </c>
      <c r="AD5668" s="54" t="s">
        <v>2</v>
      </c>
      <c r="AE5668" s="54" t="s">
        <v>2</v>
      </c>
      <c r="AF5668" s="54" t="s">
        <v>2</v>
      </c>
      <c r="AG5668" s="54" t="s">
        <v>2</v>
      </c>
    </row>
    <row r="5669" ht="15.75" customHeight="1">
      <c r="B5669" s="56"/>
      <c r="U5669" s="46" t="str">
        <f t="array" ref="U5669">IF($D5669="","",IFERROR(_xlfn.XLOOKUP($D5669,'TIR店舗一覧'!$D:$D,'TIR店舗一覧'!$E:$E,""),""))</f>
        <v/>
      </c>
      <c r="V5669" s="54" t="s">
        <v>2</v>
      </c>
      <c r="W5669" s="54" t="s">
        <v>2</v>
      </c>
      <c r="X5669" s="54" t="s">
        <v>2</v>
      </c>
      <c r="Y5669" s="54" t="s">
        <v>2</v>
      </c>
      <c r="Z5669" s="54" t="s">
        <v>2</v>
      </c>
      <c r="AA5669" s="54" t="s">
        <v>2</v>
      </c>
      <c r="AB5669" s="54" t="s">
        <v>2</v>
      </c>
      <c r="AC5669" s="54" t="s">
        <v>2</v>
      </c>
      <c r="AD5669" s="54" t="s">
        <v>2</v>
      </c>
      <c r="AE5669" s="54" t="s">
        <v>2</v>
      </c>
      <c r="AF5669" s="54" t="s">
        <v>2</v>
      </c>
      <c r="AG5669" s="54" t="s">
        <v>2</v>
      </c>
    </row>
    <row r="5670" ht="15.75" customHeight="1">
      <c r="B5670" s="56"/>
      <c r="U5670" s="46" t="str">
        <f t="array" ref="U5670">IF($D5670="","",IFERROR(_xlfn.XLOOKUP($D5670,'TIR店舗一覧'!$D:$D,'TIR店舗一覧'!$E:$E,""),""))</f>
        <v/>
      </c>
      <c r="V5670" s="54" t="s">
        <v>2</v>
      </c>
      <c r="W5670" s="54" t="s">
        <v>2</v>
      </c>
      <c r="X5670" s="54" t="s">
        <v>2</v>
      </c>
      <c r="Y5670" s="54" t="s">
        <v>2</v>
      </c>
      <c r="Z5670" s="54" t="s">
        <v>2</v>
      </c>
      <c r="AA5670" s="54" t="s">
        <v>2</v>
      </c>
      <c r="AB5670" s="54" t="s">
        <v>2</v>
      </c>
      <c r="AC5670" s="54" t="s">
        <v>2</v>
      </c>
      <c r="AD5670" s="54" t="s">
        <v>2</v>
      </c>
      <c r="AE5670" s="54" t="s">
        <v>2</v>
      </c>
      <c r="AF5670" s="54" t="s">
        <v>2</v>
      </c>
      <c r="AG5670" s="54" t="s">
        <v>2</v>
      </c>
    </row>
    <row r="5671" ht="15.75" customHeight="1">
      <c r="B5671" s="56"/>
      <c r="U5671" s="46" t="str">
        <f t="array" ref="U5671">IF($D5671="","",IFERROR(_xlfn.XLOOKUP($D5671,'TIR店舗一覧'!$D:$D,'TIR店舗一覧'!$E:$E,""),""))</f>
        <v/>
      </c>
      <c r="V5671" s="54" t="s">
        <v>2</v>
      </c>
      <c r="W5671" s="54" t="s">
        <v>2</v>
      </c>
      <c r="X5671" s="54" t="s">
        <v>2</v>
      </c>
      <c r="Y5671" s="54" t="s">
        <v>2</v>
      </c>
      <c r="Z5671" s="54" t="s">
        <v>2</v>
      </c>
      <c r="AA5671" s="54" t="s">
        <v>2</v>
      </c>
      <c r="AB5671" s="54" t="s">
        <v>2</v>
      </c>
      <c r="AC5671" s="54" t="s">
        <v>2</v>
      </c>
      <c r="AD5671" s="54" t="s">
        <v>2</v>
      </c>
      <c r="AE5671" s="54" t="s">
        <v>2</v>
      </c>
      <c r="AF5671" s="54" t="s">
        <v>2</v>
      </c>
      <c r="AG5671" s="54" t="s">
        <v>2</v>
      </c>
    </row>
    <row r="5672" ht="15.75" customHeight="1">
      <c r="B5672" s="56"/>
      <c r="U5672" s="46" t="str">
        <f t="array" ref="U5672">IF($D5672="","",IFERROR(_xlfn.XLOOKUP($D5672,'TIR店舗一覧'!$D:$D,'TIR店舗一覧'!$E:$E,""),""))</f>
        <v/>
      </c>
      <c r="V5672" s="54" t="s">
        <v>2</v>
      </c>
      <c r="W5672" s="54" t="s">
        <v>2</v>
      </c>
      <c r="X5672" s="54" t="s">
        <v>2</v>
      </c>
      <c r="Y5672" s="54" t="s">
        <v>2</v>
      </c>
      <c r="Z5672" s="54" t="s">
        <v>2</v>
      </c>
      <c r="AA5672" s="54" t="s">
        <v>2</v>
      </c>
      <c r="AB5672" s="54" t="s">
        <v>2</v>
      </c>
      <c r="AC5672" s="54" t="s">
        <v>2</v>
      </c>
      <c r="AD5672" s="54" t="s">
        <v>2</v>
      </c>
      <c r="AE5672" s="54" t="s">
        <v>2</v>
      </c>
      <c r="AF5672" s="54" t="s">
        <v>2</v>
      </c>
      <c r="AG5672" s="54" t="s">
        <v>2</v>
      </c>
    </row>
    <row r="5673" ht="15.75" customHeight="1">
      <c r="B5673" s="56"/>
      <c r="U5673" s="46" t="str">
        <f t="array" ref="U5673">IF($D5673="","",IFERROR(_xlfn.XLOOKUP($D5673,'TIR店舗一覧'!$D:$D,'TIR店舗一覧'!$E:$E,""),""))</f>
        <v/>
      </c>
      <c r="V5673" s="54" t="s">
        <v>2</v>
      </c>
      <c r="W5673" s="54" t="s">
        <v>2</v>
      </c>
      <c r="X5673" s="54" t="s">
        <v>2</v>
      </c>
      <c r="Y5673" s="54" t="s">
        <v>2</v>
      </c>
      <c r="Z5673" s="54" t="s">
        <v>2</v>
      </c>
      <c r="AA5673" s="54" t="s">
        <v>2</v>
      </c>
      <c r="AB5673" s="54" t="s">
        <v>2</v>
      </c>
      <c r="AC5673" s="54" t="s">
        <v>2</v>
      </c>
      <c r="AD5673" s="54" t="s">
        <v>2</v>
      </c>
      <c r="AE5673" s="54" t="s">
        <v>2</v>
      </c>
      <c r="AF5673" s="54" t="s">
        <v>2</v>
      </c>
      <c r="AG5673" s="54" t="s">
        <v>2</v>
      </c>
    </row>
    <row r="5674" ht="15.75" customHeight="1">
      <c r="B5674" s="56"/>
      <c r="U5674" s="46" t="str">
        <f t="array" ref="U5674">IF($D5674="","",IFERROR(_xlfn.XLOOKUP($D5674,'TIR店舗一覧'!$D:$D,'TIR店舗一覧'!$E:$E,""),""))</f>
        <v/>
      </c>
      <c r="V5674" s="54" t="s">
        <v>2</v>
      </c>
      <c r="W5674" s="54" t="s">
        <v>2</v>
      </c>
      <c r="X5674" s="54" t="s">
        <v>2</v>
      </c>
      <c r="Y5674" s="54" t="s">
        <v>2</v>
      </c>
      <c r="Z5674" s="54" t="s">
        <v>2</v>
      </c>
      <c r="AA5674" s="54" t="s">
        <v>2</v>
      </c>
      <c r="AB5674" s="54" t="s">
        <v>2</v>
      </c>
      <c r="AC5674" s="54" t="s">
        <v>2</v>
      </c>
      <c r="AD5674" s="54" t="s">
        <v>2</v>
      </c>
      <c r="AE5674" s="54" t="s">
        <v>2</v>
      </c>
      <c r="AF5674" s="54" t="s">
        <v>2</v>
      </c>
      <c r="AG5674" s="54" t="s">
        <v>2</v>
      </c>
    </row>
    <row r="5675" ht="15.75" customHeight="1">
      <c r="B5675" s="56"/>
      <c r="U5675" s="46" t="str">
        <f t="array" ref="U5675">IF($D5675="","",IFERROR(_xlfn.XLOOKUP($D5675,'TIR店舗一覧'!$D:$D,'TIR店舗一覧'!$E:$E,""),""))</f>
        <v/>
      </c>
      <c r="V5675" s="54" t="s">
        <v>2</v>
      </c>
      <c r="W5675" s="54" t="s">
        <v>2</v>
      </c>
      <c r="X5675" s="54" t="s">
        <v>2</v>
      </c>
      <c r="Y5675" s="54" t="s">
        <v>2</v>
      </c>
      <c r="Z5675" s="54" t="s">
        <v>2</v>
      </c>
      <c r="AA5675" s="54" t="s">
        <v>2</v>
      </c>
      <c r="AB5675" s="54" t="s">
        <v>2</v>
      </c>
      <c r="AC5675" s="54" t="s">
        <v>2</v>
      </c>
      <c r="AD5675" s="54" t="s">
        <v>2</v>
      </c>
      <c r="AE5675" s="54" t="s">
        <v>2</v>
      </c>
      <c r="AF5675" s="54" t="s">
        <v>2</v>
      </c>
      <c r="AG5675" s="54" t="s">
        <v>2</v>
      </c>
    </row>
    <row r="5676" ht="15.75" customHeight="1">
      <c r="B5676" s="56"/>
      <c r="U5676" s="46" t="str">
        <f t="array" ref="U5676">IF($D5676="","",IFERROR(_xlfn.XLOOKUP($D5676,'TIR店舗一覧'!$D:$D,'TIR店舗一覧'!$E:$E,""),""))</f>
        <v/>
      </c>
      <c r="V5676" s="54" t="s">
        <v>2</v>
      </c>
      <c r="W5676" s="54" t="s">
        <v>2</v>
      </c>
      <c r="X5676" s="54" t="s">
        <v>2</v>
      </c>
      <c r="Y5676" s="54" t="s">
        <v>2</v>
      </c>
      <c r="Z5676" s="54" t="s">
        <v>2</v>
      </c>
      <c r="AA5676" s="54" t="s">
        <v>2</v>
      </c>
      <c r="AB5676" s="54" t="s">
        <v>2</v>
      </c>
      <c r="AC5676" s="54" t="s">
        <v>2</v>
      </c>
      <c r="AD5676" s="54" t="s">
        <v>2</v>
      </c>
      <c r="AE5676" s="54" t="s">
        <v>2</v>
      </c>
      <c r="AF5676" s="54" t="s">
        <v>2</v>
      </c>
      <c r="AG5676" s="54" t="s">
        <v>2</v>
      </c>
    </row>
    <row r="5677" ht="15.75" customHeight="1">
      <c r="B5677" s="56"/>
      <c r="U5677" s="46" t="str">
        <f t="array" ref="U5677">IF($D5677="","",IFERROR(_xlfn.XLOOKUP($D5677,'TIR店舗一覧'!$D:$D,'TIR店舗一覧'!$E:$E,""),""))</f>
        <v/>
      </c>
      <c r="V5677" s="54" t="s">
        <v>2</v>
      </c>
      <c r="W5677" s="54" t="s">
        <v>2</v>
      </c>
      <c r="X5677" s="54" t="s">
        <v>2</v>
      </c>
      <c r="Y5677" s="54" t="s">
        <v>2</v>
      </c>
      <c r="Z5677" s="54" t="s">
        <v>2</v>
      </c>
      <c r="AA5677" s="54" t="s">
        <v>2</v>
      </c>
      <c r="AB5677" s="54" t="s">
        <v>2</v>
      </c>
      <c r="AC5677" s="54" t="s">
        <v>2</v>
      </c>
      <c r="AD5677" s="54" t="s">
        <v>2</v>
      </c>
      <c r="AE5677" s="54" t="s">
        <v>2</v>
      </c>
      <c r="AF5677" s="54" t="s">
        <v>2</v>
      </c>
      <c r="AG5677" s="54" t="s">
        <v>2</v>
      </c>
    </row>
    <row r="5678" ht="15.75" customHeight="1">
      <c r="B5678" s="56"/>
      <c r="U5678" s="46" t="str">
        <f t="array" ref="U5678">IF($D5678="","",IFERROR(_xlfn.XLOOKUP($D5678,'TIR店舗一覧'!$D:$D,'TIR店舗一覧'!$E:$E,""),""))</f>
        <v/>
      </c>
      <c r="V5678" s="54" t="s">
        <v>2</v>
      </c>
      <c r="W5678" s="54" t="s">
        <v>2</v>
      </c>
      <c r="X5678" s="54" t="s">
        <v>2</v>
      </c>
      <c r="Y5678" s="54" t="s">
        <v>2</v>
      </c>
      <c r="Z5678" s="54" t="s">
        <v>2</v>
      </c>
      <c r="AA5678" s="54" t="s">
        <v>2</v>
      </c>
      <c r="AB5678" s="54" t="s">
        <v>2</v>
      </c>
      <c r="AC5678" s="54" t="s">
        <v>2</v>
      </c>
      <c r="AD5678" s="54" t="s">
        <v>2</v>
      </c>
      <c r="AE5678" s="54" t="s">
        <v>2</v>
      </c>
      <c r="AF5678" s="54" t="s">
        <v>2</v>
      </c>
      <c r="AG5678" s="54" t="s">
        <v>2</v>
      </c>
    </row>
    <row r="5679" ht="15.75" customHeight="1">
      <c r="B5679" s="56"/>
      <c r="U5679" s="46" t="str">
        <f t="array" ref="U5679">IF($D5679="","",IFERROR(_xlfn.XLOOKUP($D5679,'TIR店舗一覧'!$D:$D,'TIR店舗一覧'!$E:$E,""),""))</f>
        <v/>
      </c>
      <c r="V5679" s="54" t="s">
        <v>2</v>
      </c>
      <c r="W5679" s="54" t="s">
        <v>2</v>
      </c>
      <c r="X5679" s="54" t="s">
        <v>2</v>
      </c>
      <c r="Y5679" s="54" t="s">
        <v>2</v>
      </c>
      <c r="Z5679" s="54" t="s">
        <v>2</v>
      </c>
      <c r="AA5679" s="54" t="s">
        <v>2</v>
      </c>
      <c r="AB5679" s="54" t="s">
        <v>2</v>
      </c>
      <c r="AC5679" s="54" t="s">
        <v>2</v>
      </c>
      <c r="AD5679" s="54" t="s">
        <v>2</v>
      </c>
      <c r="AE5679" s="54" t="s">
        <v>2</v>
      </c>
      <c r="AF5679" s="54" t="s">
        <v>2</v>
      </c>
      <c r="AG5679" s="54" t="s">
        <v>2</v>
      </c>
    </row>
    <row r="5680" ht="15.75" customHeight="1">
      <c r="B5680" s="56"/>
      <c r="U5680" s="46" t="str">
        <f t="array" ref="U5680">IF($D5680="","",IFERROR(_xlfn.XLOOKUP($D5680,'TIR店舗一覧'!$D:$D,'TIR店舗一覧'!$E:$E,""),""))</f>
        <v/>
      </c>
      <c r="V5680" s="54" t="s">
        <v>2</v>
      </c>
      <c r="W5680" s="54" t="s">
        <v>2</v>
      </c>
      <c r="X5680" s="54" t="s">
        <v>2</v>
      </c>
      <c r="Y5680" s="54" t="s">
        <v>2</v>
      </c>
      <c r="Z5680" s="54" t="s">
        <v>2</v>
      </c>
      <c r="AA5680" s="54" t="s">
        <v>2</v>
      </c>
      <c r="AB5680" s="54" t="s">
        <v>2</v>
      </c>
      <c r="AC5680" s="54" t="s">
        <v>2</v>
      </c>
      <c r="AD5680" s="54" t="s">
        <v>2</v>
      </c>
      <c r="AE5680" s="54" t="s">
        <v>2</v>
      </c>
      <c r="AF5680" s="54" t="s">
        <v>2</v>
      </c>
      <c r="AG5680" s="54" t="s">
        <v>2</v>
      </c>
    </row>
    <row r="5681" ht="15.75" customHeight="1">
      <c r="B5681" s="56"/>
      <c r="U5681" s="46" t="str">
        <f t="array" ref="U5681">IF($D5681="","",IFERROR(_xlfn.XLOOKUP($D5681,'TIR店舗一覧'!$D:$D,'TIR店舗一覧'!$E:$E,""),""))</f>
        <v/>
      </c>
      <c r="V5681" s="54" t="s">
        <v>2</v>
      </c>
      <c r="W5681" s="54" t="s">
        <v>2</v>
      </c>
      <c r="X5681" s="54" t="s">
        <v>2</v>
      </c>
      <c r="Y5681" s="54" t="s">
        <v>2</v>
      </c>
      <c r="Z5681" s="54" t="s">
        <v>2</v>
      </c>
      <c r="AA5681" s="54" t="s">
        <v>2</v>
      </c>
      <c r="AB5681" s="54" t="s">
        <v>2</v>
      </c>
      <c r="AC5681" s="54" t="s">
        <v>2</v>
      </c>
      <c r="AD5681" s="54" t="s">
        <v>2</v>
      </c>
      <c r="AE5681" s="54" t="s">
        <v>2</v>
      </c>
      <c r="AF5681" s="54" t="s">
        <v>2</v>
      </c>
      <c r="AG5681" s="54" t="s">
        <v>2</v>
      </c>
    </row>
    <row r="5682" ht="15.75" customHeight="1">
      <c r="B5682" s="56"/>
      <c r="U5682" s="46" t="str">
        <f t="array" ref="U5682">IF($D5682="","",IFERROR(_xlfn.XLOOKUP($D5682,'TIR店舗一覧'!$D:$D,'TIR店舗一覧'!$E:$E,""),""))</f>
        <v/>
      </c>
      <c r="V5682" s="54" t="s">
        <v>2</v>
      </c>
      <c r="W5682" s="54" t="s">
        <v>2</v>
      </c>
      <c r="X5682" s="54" t="s">
        <v>2</v>
      </c>
      <c r="Y5682" s="54" t="s">
        <v>2</v>
      </c>
      <c r="Z5682" s="54" t="s">
        <v>2</v>
      </c>
      <c r="AA5682" s="54" t="s">
        <v>2</v>
      </c>
      <c r="AB5682" s="54" t="s">
        <v>2</v>
      </c>
      <c r="AC5682" s="54" t="s">
        <v>2</v>
      </c>
      <c r="AD5682" s="54" t="s">
        <v>2</v>
      </c>
      <c r="AE5682" s="54" t="s">
        <v>2</v>
      </c>
      <c r="AF5682" s="54" t="s">
        <v>2</v>
      </c>
      <c r="AG5682" s="54" t="s">
        <v>2</v>
      </c>
    </row>
    <row r="5683" ht="15.75" customHeight="1">
      <c r="B5683" s="56"/>
      <c r="U5683" s="46" t="str">
        <f t="array" ref="U5683">IF($D5683="","",IFERROR(_xlfn.XLOOKUP($D5683,'TIR店舗一覧'!$D:$D,'TIR店舗一覧'!$E:$E,""),""))</f>
        <v/>
      </c>
      <c r="V5683" s="54" t="s">
        <v>2</v>
      </c>
      <c r="W5683" s="54" t="s">
        <v>2</v>
      </c>
      <c r="X5683" s="54" t="s">
        <v>2</v>
      </c>
      <c r="Y5683" s="54" t="s">
        <v>2</v>
      </c>
      <c r="Z5683" s="54" t="s">
        <v>2</v>
      </c>
      <c r="AA5683" s="54" t="s">
        <v>2</v>
      </c>
      <c r="AB5683" s="54" t="s">
        <v>2</v>
      </c>
      <c r="AC5683" s="54" t="s">
        <v>2</v>
      </c>
      <c r="AD5683" s="54" t="s">
        <v>2</v>
      </c>
      <c r="AE5683" s="54" t="s">
        <v>2</v>
      </c>
      <c r="AF5683" s="54" t="s">
        <v>2</v>
      </c>
      <c r="AG5683" s="54" t="s">
        <v>2</v>
      </c>
    </row>
    <row r="5684" ht="15.75" customHeight="1">
      <c r="B5684" s="56"/>
      <c r="U5684" s="46" t="str">
        <f t="array" ref="U5684">IF($D5684="","",IFERROR(_xlfn.XLOOKUP($D5684,'TIR店舗一覧'!$D:$D,'TIR店舗一覧'!$E:$E,""),""))</f>
        <v/>
      </c>
      <c r="V5684" s="54" t="s">
        <v>2</v>
      </c>
      <c r="W5684" s="54" t="s">
        <v>2</v>
      </c>
      <c r="X5684" s="54" t="s">
        <v>2</v>
      </c>
      <c r="Y5684" s="54" t="s">
        <v>2</v>
      </c>
      <c r="Z5684" s="54" t="s">
        <v>2</v>
      </c>
      <c r="AA5684" s="54" t="s">
        <v>2</v>
      </c>
      <c r="AB5684" s="54" t="s">
        <v>2</v>
      </c>
      <c r="AC5684" s="54" t="s">
        <v>2</v>
      </c>
      <c r="AD5684" s="54" t="s">
        <v>2</v>
      </c>
      <c r="AE5684" s="54" t="s">
        <v>2</v>
      </c>
      <c r="AF5684" s="54" t="s">
        <v>2</v>
      </c>
      <c r="AG5684" s="54" t="s">
        <v>2</v>
      </c>
    </row>
    <row r="5685" ht="15.75" customHeight="1">
      <c r="B5685" s="56"/>
      <c r="U5685" s="46" t="str">
        <f t="array" ref="U5685">IF($D5685="","",IFERROR(_xlfn.XLOOKUP($D5685,'TIR店舗一覧'!$D:$D,'TIR店舗一覧'!$E:$E,""),""))</f>
        <v/>
      </c>
      <c r="V5685" s="54" t="s">
        <v>2</v>
      </c>
      <c r="W5685" s="54" t="s">
        <v>2</v>
      </c>
      <c r="X5685" s="54" t="s">
        <v>2</v>
      </c>
      <c r="Y5685" s="54" t="s">
        <v>2</v>
      </c>
      <c r="Z5685" s="54" t="s">
        <v>2</v>
      </c>
      <c r="AA5685" s="54" t="s">
        <v>2</v>
      </c>
      <c r="AB5685" s="54" t="s">
        <v>2</v>
      </c>
      <c r="AC5685" s="54" t="s">
        <v>2</v>
      </c>
      <c r="AD5685" s="54" t="s">
        <v>2</v>
      </c>
      <c r="AE5685" s="54" t="s">
        <v>2</v>
      </c>
      <c r="AF5685" s="54" t="s">
        <v>2</v>
      </c>
      <c r="AG5685" s="54" t="s">
        <v>2</v>
      </c>
    </row>
    <row r="5686" ht="15.75" customHeight="1">
      <c r="B5686" s="56"/>
      <c r="U5686" s="46" t="str">
        <f t="array" ref="U5686">IF($D5686="","",IFERROR(_xlfn.XLOOKUP($D5686,'TIR店舗一覧'!$D:$D,'TIR店舗一覧'!$E:$E,""),""))</f>
        <v/>
      </c>
      <c r="V5686" s="54" t="s">
        <v>2</v>
      </c>
      <c r="W5686" s="54" t="s">
        <v>2</v>
      </c>
      <c r="X5686" s="54" t="s">
        <v>2</v>
      </c>
      <c r="Y5686" s="54" t="s">
        <v>2</v>
      </c>
      <c r="Z5686" s="54" t="s">
        <v>2</v>
      </c>
      <c r="AA5686" s="54" t="s">
        <v>2</v>
      </c>
      <c r="AB5686" s="54" t="s">
        <v>2</v>
      </c>
      <c r="AC5686" s="54" t="s">
        <v>2</v>
      </c>
      <c r="AD5686" s="54" t="s">
        <v>2</v>
      </c>
      <c r="AE5686" s="54" t="s">
        <v>2</v>
      </c>
      <c r="AF5686" s="54" t="s">
        <v>2</v>
      </c>
      <c r="AG5686" s="54" t="s">
        <v>2</v>
      </c>
    </row>
    <row r="5687" ht="15.75" customHeight="1">
      <c r="B5687" s="56"/>
      <c r="U5687" s="46" t="str">
        <f t="array" ref="U5687">IF($D5687="","",IFERROR(_xlfn.XLOOKUP($D5687,'TIR店舗一覧'!$D:$D,'TIR店舗一覧'!$E:$E,""),""))</f>
        <v/>
      </c>
      <c r="V5687" s="54" t="s">
        <v>2</v>
      </c>
      <c r="W5687" s="54" t="s">
        <v>2</v>
      </c>
      <c r="X5687" s="54" t="s">
        <v>2</v>
      </c>
      <c r="Y5687" s="54" t="s">
        <v>2</v>
      </c>
      <c r="Z5687" s="54" t="s">
        <v>2</v>
      </c>
      <c r="AA5687" s="54" t="s">
        <v>2</v>
      </c>
      <c r="AB5687" s="54" t="s">
        <v>2</v>
      </c>
      <c r="AC5687" s="54" t="s">
        <v>2</v>
      </c>
      <c r="AD5687" s="54" t="s">
        <v>2</v>
      </c>
      <c r="AE5687" s="54" t="s">
        <v>2</v>
      </c>
      <c r="AF5687" s="54" t="s">
        <v>2</v>
      </c>
      <c r="AG5687" s="54" t="s">
        <v>2</v>
      </c>
    </row>
    <row r="5688" ht="15.75" customHeight="1">
      <c r="B5688" s="56"/>
      <c r="U5688" s="46" t="str">
        <f t="array" ref="U5688">IF($D5688="","",IFERROR(_xlfn.XLOOKUP($D5688,'TIR店舗一覧'!$D:$D,'TIR店舗一覧'!$E:$E,""),""))</f>
        <v/>
      </c>
      <c r="V5688" s="54" t="s">
        <v>2</v>
      </c>
      <c r="W5688" s="54" t="s">
        <v>2</v>
      </c>
      <c r="X5688" s="54" t="s">
        <v>2</v>
      </c>
      <c r="Y5688" s="54" t="s">
        <v>2</v>
      </c>
      <c r="Z5688" s="54" t="s">
        <v>2</v>
      </c>
      <c r="AA5688" s="54" t="s">
        <v>2</v>
      </c>
      <c r="AB5688" s="54" t="s">
        <v>2</v>
      </c>
      <c r="AC5688" s="54" t="s">
        <v>2</v>
      </c>
      <c r="AD5688" s="54" t="s">
        <v>2</v>
      </c>
      <c r="AE5688" s="54" t="s">
        <v>2</v>
      </c>
      <c r="AF5688" s="54" t="s">
        <v>2</v>
      </c>
      <c r="AG5688" s="54" t="s">
        <v>2</v>
      </c>
    </row>
    <row r="5689" ht="15.75" customHeight="1">
      <c r="B5689" s="56"/>
      <c r="U5689" s="46" t="str">
        <f t="array" ref="U5689">IF($D5689="","",IFERROR(_xlfn.XLOOKUP($D5689,'TIR店舗一覧'!$D:$D,'TIR店舗一覧'!$E:$E,""),""))</f>
        <v/>
      </c>
      <c r="V5689" s="54" t="s">
        <v>2</v>
      </c>
      <c r="W5689" s="54" t="s">
        <v>2</v>
      </c>
      <c r="X5689" s="54" t="s">
        <v>2</v>
      </c>
      <c r="Y5689" s="54" t="s">
        <v>2</v>
      </c>
      <c r="Z5689" s="54" t="s">
        <v>2</v>
      </c>
      <c r="AA5689" s="54" t="s">
        <v>2</v>
      </c>
      <c r="AB5689" s="54" t="s">
        <v>2</v>
      </c>
      <c r="AC5689" s="54" t="s">
        <v>2</v>
      </c>
      <c r="AD5689" s="54" t="s">
        <v>2</v>
      </c>
      <c r="AE5689" s="54" t="s">
        <v>2</v>
      </c>
      <c r="AF5689" s="54" t="s">
        <v>2</v>
      </c>
      <c r="AG5689" s="54" t="s">
        <v>2</v>
      </c>
    </row>
    <row r="5690" ht="15.75" customHeight="1">
      <c r="B5690" s="56"/>
      <c r="U5690" s="46" t="str">
        <f t="array" ref="U5690">IF($D5690="","",IFERROR(_xlfn.XLOOKUP($D5690,'TIR店舗一覧'!$D:$D,'TIR店舗一覧'!$E:$E,""),""))</f>
        <v/>
      </c>
      <c r="V5690" s="54" t="s">
        <v>2</v>
      </c>
      <c r="W5690" s="54" t="s">
        <v>2</v>
      </c>
      <c r="X5690" s="54" t="s">
        <v>2</v>
      </c>
      <c r="Y5690" s="54" t="s">
        <v>2</v>
      </c>
      <c r="Z5690" s="54" t="s">
        <v>2</v>
      </c>
      <c r="AA5690" s="54" t="s">
        <v>2</v>
      </c>
      <c r="AB5690" s="54" t="s">
        <v>2</v>
      </c>
      <c r="AC5690" s="54" t="s">
        <v>2</v>
      </c>
      <c r="AD5690" s="54" t="s">
        <v>2</v>
      </c>
      <c r="AE5690" s="54" t="s">
        <v>2</v>
      </c>
      <c r="AF5690" s="54" t="s">
        <v>2</v>
      </c>
      <c r="AG5690" s="54" t="s">
        <v>2</v>
      </c>
    </row>
    <row r="5691" ht="15.75" customHeight="1">
      <c r="B5691" s="56"/>
      <c r="U5691" s="46" t="str">
        <f t="array" ref="U5691">IF($D5691="","",IFERROR(_xlfn.XLOOKUP($D5691,'TIR店舗一覧'!$D:$D,'TIR店舗一覧'!$E:$E,""),""))</f>
        <v/>
      </c>
      <c r="V5691" s="54" t="s">
        <v>2</v>
      </c>
      <c r="W5691" s="54" t="s">
        <v>2</v>
      </c>
      <c r="X5691" s="54" t="s">
        <v>2</v>
      </c>
      <c r="Y5691" s="54" t="s">
        <v>2</v>
      </c>
      <c r="Z5691" s="54" t="s">
        <v>2</v>
      </c>
      <c r="AA5691" s="54" t="s">
        <v>2</v>
      </c>
      <c r="AB5691" s="54" t="s">
        <v>2</v>
      </c>
      <c r="AC5691" s="54" t="s">
        <v>2</v>
      </c>
      <c r="AD5691" s="54" t="s">
        <v>2</v>
      </c>
      <c r="AE5691" s="54" t="s">
        <v>2</v>
      </c>
      <c r="AF5691" s="54" t="s">
        <v>2</v>
      </c>
      <c r="AG5691" s="54" t="s">
        <v>2</v>
      </c>
    </row>
    <row r="5692" ht="15.75" customHeight="1">
      <c r="B5692" s="56"/>
      <c r="U5692" s="46" t="str">
        <f t="array" ref="U5692">IF($D5692="","",IFERROR(_xlfn.XLOOKUP($D5692,'TIR店舗一覧'!$D:$D,'TIR店舗一覧'!$E:$E,""),""))</f>
        <v/>
      </c>
      <c r="V5692" s="54" t="s">
        <v>2</v>
      </c>
      <c r="W5692" s="54" t="s">
        <v>2</v>
      </c>
      <c r="X5692" s="54" t="s">
        <v>2</v>
      </c>
      <c r="Y5692" s="54" t="s">
        <v>2</v>
      </c>
      <c r="Z5692" s="54" t="s">
        <v>2</v>
      </c>
      <c r="AA5692" s="54" t="s">
        <v>2</v>
      </c>
      <c r="AB5692" s="54" t="s">
        <v>2</v>
      </c>
      <c r="AC5692" s="54" t="s">
        <v>2</v>
      </c>
      <c r="AD5692" s="54" t="s">
        <v>2</v>
      </c>
      <c r="AE5692" s="54" t="s">
        <v>2</v>
      </c>
      <c r="AF5692" s="54" t="s">
        <v>2</v>
      </c>
      <c r="AG5692" s="54" t="s">
        <v>2</v>
      </c>
    </row>
    <row r="5693" ht="15.75" customHeight="1">
      <c r="B5693" s="56"/>
      <c r="U5693" s="46" t="str">
        <f t="array" ref="U5693">IF($D5693="","",IFERROR(_xlfn.XLOOKUP($D5693,'TIR店舗一覧'!$D:$D,'TIR店舗一覧'!$E:$E,""),""))</f>
        <v/>
      </c>
      <c r="V5693" s="54" t="s">
        <v>2</v>
      </c>
      <c r="W5693" s="54" t="s">
        <v>2</v>
      </c>
      <c r="X5693" s="54" t="s">
        <v>2</v>
      </c>
      <c r="Y5693" s="54" t="s">
        <v>2</v>
      </c>
      <c r="Z5693" s="54" t="s">
        <v>2</v>
      </c>
      <c r="AA5693" s="54" t="s">
        <v>2</v>
      </c>
      <c r="AB5693" s="54" t="s">
        <v>2</v>
      </c>
      <c r="AC5693" s="54" t="s">
        <v>2</v>
      </c>
      <c r="AD5693" s="54" t="s">
        <v>2</v>
      </c>
      <c r="AE5693" s="54" t="s">
        <v>2</v>
      </c>
      <c r="AF5693" s="54" t="s">
        <v>2</v>
      </c>
      <c r="AG5693" s="54" t="s">
        <v>2</v>
      </c>
    </row>
    <row r="5694" ht="15.75" customHeight="1">
      <c r="B5694" s="56"/>
      <c r="U5694" s="46" t="str">
        <f t="array" ref="U5694">IF($D5694="","",IFERROR(_xlfn.XLOOKUP($D5694,'TIR店舗一覧'!$D:$D,'TIR店舗一覧'!$E:$E,""),""))</f>
        <v/>
      </c>
      <c r="V5694" s="54" t="s">
        <v>2</v>
      </c>
      <c r="W5694" s="54" t="s">
        <v>2</v>
      </c>
      <c r="X5694" s="54" t="s">
        <v>2</v>
      </c>
      <c r="Y5694" s="54" t="s">
        <v>2</v>
      </c>
      <c r="Z5694" s="54" t="s">
        <v>2</v>
      </c>
      <c r="AA5694" s="54" t="s">
        <v>2</v>
      </c>
      <c r="AB5694" s="54" t="s">
        <v>2</v>
      </c>
      <c r="AC5694" s="54" t="s">
        <v>2</v>
      </c>
      <c r="AD5694" s="54" t="s">
        <v>2</v>
      </c>
      <c r="AE5694" s="54" t="s">
        <v>2</v>
      </c>
      <c r="AF5694" s="54" t="s">
        <v>2</v>
      </c>
      <c r="AG5694" s="54" t="s">
        <v>2</v>
      </c>
    </row>
    <row r="5695" ht="15.75" customHeight="1">
      <c r="B5695" s="56"/>
      <c r="U5695" s="46" t="str">
        <f t="array" ref="U5695">IF($D5695="","",IFERROR(_xlfn.XLOOKUP($D5695,'TIR店舗一覧'!$D:$D,'TIR店舗一覧'!$E:$E,""),""))</f>
        <v/>
      </c>
      <c r="V5695" s="54" t="s">
        <v>2</v>
      </c>
      <c r="W5695" s="54" t="s">
        <v>2</v>
      </c>
      <c r="X5695" s="54" t="s">
        <v>2</v>
      </c>
      <c r="Y5695" s="54" t="s">
        <v>2</v>
      </c>
      <c r="Z5695" s="54" t="s">
        <v>2</v>
      </c>
      <c r="AA5695" s="54" t="s">
        <v>2</v>
      </c>
      <c r="AB5695" s="54" t="s">
        <v>2</v>
      </c>
      <c r="AC5695" s="54" t="s">
        <v>2</v>
      </c>
      <c r="AD5695" s="54" t="s">
        <v>2</v>
      </c>
      <c r="AE5695" s="54" t="s">
        <v>2</v>
      </c>
      <c r="AF5695" s="54" t="s">
        <v>2</v>
      </c>
      <c r="AG5695" s="54" t="s">
        <v>2</v>
      </c>
    </row>
    <row r="5696" ht="15.75" customHeight="1">
      <c r="B5696" s="56"/>
      <c r="U5696" s="46" t="str">
        <f t="array" ref="U5696">IF($D5696="","",IFERROR(_xlfn.XLOOKUP($D5696,'TIR店舗一覧'!$D:$D,'TIR店舗一覧'!$E:$E,""),""))</f>
        <v/>
      </c>
      <c r="V5696" s="54" t="s">
        <v>2</v>
      </c>
      <c r="W5696" s="54" t="s">
        <v>2</v>
      </c>
      <c r="X5696" s="54" t="s">
        <v>2</v>
      </c>
      <c r="Y5696" s="54" t="s">
        <v>2</v>
      </c>
      <c r="Z5696" s="54" t="s">
        <v>2</v>
      </c>
      <c r="AA5696" s="54" t="s">
        <v>2</v>
      </c>
      <c r="AB5696" s="54" t="s">
        <v>2</v>
      </c>
      <c r="AC5696" s="54" t="s">
        <v>2</v>
      </c>
      <c r="AD5696" s="54" t="s">
        <v>2</v>
      </c>
      <c r="AE5696" s="54" t="s">
        <v>2</v>
      </c>
      <c r="AF5696" s="54" t="s">
        <v>2</v>
      </c>
      <c r="AG5696" s="54" t="s">
        <v>2</v>
      </c>
    </row>
    <row r="5697" ht="15.75" customHeight="1">
      <c r="B5697" s="56"/>
      <c r="U5697" s="46" t="str">
        <f t="array" ref="U5697">IF($D5697="","",IFERROR(_xlfn.XLOOKUP($D5697,'TIR店舗一覧'!$D:$D,'TIR店舗一覧'!$E:$E,""),""))</f>
        <v/>
      </c>
      <c r="V5697" s="54" t="s">
        <v>2</v>
      </c>
      <c r="W5697" s="54" t="s">
        <v>2</v>
      </c>
      <c r="X5697" s="54" t="s">
        <v>2</v>
      </c>
      <c r="Y5697" s="54" t="s">
        <v>2</v>
      </c>
      <c r="Z5697" s="54" t="s">
        <v>2</v>
      </c>
      <c r="AA5697" s="54" t="s">
        <v>2</v>
      </c>
      <c r="AB5697" s="54" t="s">
        <v>2</v>
      </c>
      <c r="AC5697" s="54" t="s">
        <v>2</v>
      </c>
      <c r="AD5697" s="54" t="s">
        <v>2</v>
      </c>
      <c r="AE5697" s="54" t="s">
        <v>2</v>
      </c>
      <c r="AF5697" s="54" t="s">
        <v>2</v>
      </c>
      <c r="AG5697" s="54" t="s">
        <v>2</v>
      </c>
    </row>
    <row r="5698" ht="15.75" customHeight="1">
      <c r="B5698" s="56"/>
      <c r="U5698" s="46" t="str">
        <f t="array" ref="U5698">IF($D5698="","",IFERROR(_xlfn.XLOOKUP($D5698,'TIR店舗一覧'!$D:$D,'TIR店舗一覧'!$E:$E,""),""))</f>
        <v/>
      </c>
      <c r="V5698" s="54" t="s">
        <v>2</v>
      </c>
      <c r="W5698" s="54" t="s">
        <v>2</v>
      </c>
      <c r="X5698" s="54" t="s">
        <v>2</v>
      </c>
      <c r="Y5698" s="54" t="s">
        <v>2</v>
      </c>
      <c r="Z5698" s="54" t="s">
        <v>2</v>
      </c>
      <c r="AA5698" s="54" t="s">
        <v>2</v>
      </c>
      <c r="AB5698" s="54" t="s">
        <v>2</v>
      </c>
      <c r="AC5698" s="54" t="s">
        <v>2</v>
      </c>
      <c r="AD5698" s="54" t="s">
        <v>2</v>
      </c>
      <c r="AE5698" s="54" t="s">
        <v>2</v>
      </c>
      <c r="AF5698" s="54" t="s">
        <v>2</v>
      </c>
      <c r="AG5698" s="54" t="s">
        <v>2</v>
      </c>
    </row>
    <row r="5699" ht="15.75" customHeight="1">
      <c r="B5699" s="56"/>
      <c r="U5699" s="46" t="str">
        <f t="array" ref="U5699">IF($D5699="","",IFERROR(_xlfn.XLOOKUP($D5699,'TIR店舗一覧'!$D:$D,'TIR店舗一覧'!$E:$E,""),""))</f>
        <v/>
      </c>
      <c r="V5699" s="54" t="s">
        <v>2</v>
      </c>
      <c r="W5699" s="54" t="s">
        <v>2</v>
      </c>
      <c r="X5699" s="54" t="s">
        <v>2</v>
      </c>
      <c r="Y5699" s="54" t="s">
        <v>2</v>
      </c>
      <c r="Z5699" s="54" t="s">
        <v>2</v>
      </c>
      <c r="AA5699" s="54" t="s">
        <v>2</v>
      </c>
      <c r="AB5699" s="54" t="s">
        <v>2</v>
      </c>
      <c r="AC5699" s="54" t="s">
        <v>2</v>
      </c>
      <c r="AD5699" s="54" t="s">
        <v>2</v>
      </c>
      <c r="AE5699" s="54" t="s">
        <v>2</v>
      </c>
      <c r="AF5699" s="54" t="s">
        <v>2</v>
      </c>
      <c r="AG5699" s="54" t="s">
        <v>2</v>
      </c>
    </row>
    <row r="5700" ht="15.75" customHeight="1">
      <c r="B5700" s="56"/>
      <c r="U5700" s="46" t="str">
        <f t="array" ref="U5700">IF($D5700="","",IFERROR(_xlfn.XLOOKUP($D5700,'TIR店舗一覧'!$D:$D,'TIR店舗一覧'!$E:$E,""),""))</f>
        <v/>
      </c>
      <c r="V5700" s="54" t="s">
        <v>2</v>
      </c>
      <c r="W5700" s="54" t="s">
        <v>2</v>
      </c>
      <c r="X5700" s="54" t="s">
        <v>2</v>
      </c>
      <c r="Y5700" s="54" t="s">
        <v>2</v>
      </c>
      <c r="Z5700" s="54" t="s">
        <v>2</v>
      </c>
      <c r="AA5700" s="54" t="s">
        <v>2</v>
      </c>
      <c r="AB5700" s="54" t="s">
        <v>2</v>
      </c>
      <c r="AC5700" s="54" t="s">
        <v>2</v>
      </c>
      <c r="AD5700" s="54" t="s">
        <v>2</v>
      </c>
      <c r="AE5700" s="54" t="s">
        <v>2</v>
      </c>
      <c r="AF5700" s="54" t="s">
        <v>2</v>
      </c>
      <c r="AG5700" s="54" t="s">
        <v>2</v>
      </c>
    </row>
    <row r="5701" ht="15.75" customHeight="1">
      <c r="B5701" s="56"/>
      <c r="U5701" s="46" t="str">
        <f t="array" ref="U5701">IF($D5701="","",IFERROR(_xlfn.XLOOKUP($D5701,'TIR店舗一覧'!$D:$D,'TIR店舗一覧'!$E:$E,""),""))</f>
        <v/>
      </c>
      <c r="V5701" s="54" t="s">
        <v>2</v>
      </c>
      <c r="W5701" s="54" t="s">
        <v>2</v>
      </c>
      <c r="X5701" s="54" t="s">
        <v>2</v>
      </c>
      <c r="Y5701" s="54" t="s">
        <v>2</v>
      </c>
      <c r="Z5701" s="54" t="s">
        <v>2</v>
      </c>
      <c r="AA5701" s="54" t="s">
        <v>2</v>
      </c>
      <c r="AB5701" s="54" t="s">
        <v>2</v>
      </c>
      <c r="AC5701" s="54" t="s">
        <v>2</v>
      </c>
      <c r="AD5701" s="54" t="s">
        <v>2</v>
      </c>
      <c r="AE5701" s="54" t="s">
        <v>2</v>
      </c>
      <c r="AF5701" s="54" t="s">
        <v>2</v>
      </c>
      <c r="AG5701" s="54" t="s">
        <v>2</v>
      </c>
    </row>
    <row r="5702" ht="15.75" customHeight="1">
      <c r="B5702" s="56"/>
      <c r="U5702" s="46" t="str">
        <f t="array" ref="U5702">IF($D5702="","",IFERROR(_xlfn.XLOOKUP($D5702,'TIR店舗一覧'!$D:$D,'TIR店舗一覧'!$E:$E,""),""))</f>
        <v/>
      </c>
      <c r="V5702" s="54" t="s">
        <v>2</v>
      </c>
      <c r="W5702" s="54" t="s">
        <v>2</v>
      </c>
      <c r="X5702" s="54" t="s">
        <v>2</v>
      </c>
      <c r="Y5702" s="54" t="s">
        <v>2</v>
      </c>
      <c r="Z5702" s="54" t="s">
        <v>2</v>
      </c>
      <c r="AA5702" s="54" t="s">
        <v>2</v>
      </c>
      <c r="AB5702" s="54" t="s">
        <v>2</v>
      </c>
      <c r="AC5702" s="54" t="s">
        <v>2</v>
      </c>
      <c r="AD5702" s="54" t="s">
        <v>2</v>
      </c>
      <c r="AE5702" s="54" t="s">
        <v>2</v>
      </c>
      <c r="AF5702" s="54" t="s">
        <v>2</v>
      </c>
      <c r="AG5702" s="54" t="s">
        <v>2</v>
      </c>
    </row>
    <row r="5703" ht="15.75" customHeight="1">
      <c r="B5703" s="56"/>
      <c r="U5703" s="46" t="str">
        <f t="array" ref="U5703">IF($D5703="","",IFERROR(_xlfn.XLOOKUP($D5703,'TIR店舗一覧'!$D:$D,'TIR店舗一覧'!$E:$E,""),""))</f>
        <v/>
      </c>
      <c r="V5703" s="54" t="s">
        <v>2</v>
      </c>
      <c r="W5703" s="54" t="s">
        <v>2</v>
      </c>
      <c r="X5703" s="54" t="s">
        <v>2</v>
      </c>
      <c r="Y5703" s="54" t="s">
        <v>2</v>
      </c>
      <c r="Z5703" s="54" t="s">
        <v>2</v>
      </c>
      <c r="AA5703" s="54" t="s">
        <v>2</v>
      </c>
      <c r="AB5703" s="54" t="s">
        <v>2</v>
      </c>
      <c r="AC5703" s="54" t="s">
        <v>2</v>
      </c>
      <c r="AD5703" s="54" t="s">
        <v>2</v>
      </c>
      <c r="AE5703" s="54" t="s">
        <v>2</v>
      </c>
      <c r="AF5703" s="54" t="s">
        <v>2</v>
      </c>
      <c r="AG5703" s="54" t="s">
        <v>2</v>
      </c>
    </row>
    <row r="5704" ht="15.75" customHeight="1">
      <c r="B5704" s="56"/>
      <c r="U5704" s="46" t="str">
        <f t="array" ref="U5704">IF($D5704="","",IFERROR(_xlfn.XLOOKUP($D5704,'TIR店舗一覧'!$D:$D,'TIR店舗一覧'!$E:$E,""),""))</f>
        <v/>
      </c>
      <c r="V5704" s="54" t="s">
        <v>2</v>
      </c>
      <c r="W5704" s="54" t="s">
        <v>2</v>
      </c>
      <c r="X5704" s="54" t="s">
        <v>2</v>
      </c>
      <c r="Y5704" s="54" t="s">
        <v>2</v>
      </c>
      <c r="Z5704" s="54" t="s">
        <v>2</v>
      </c>
      <c r="AA5704" s="54" t="s">
        <v>2</v>
      </c>
      <c r="AB5704" s="54" t="s">
        <v>2</v>
      </c>
      <c r="AC5704" s="54" t="s">
        <v>2</v>
      </c>
      <c r="AD5704" s="54" t="s">
        <v>2</v>
      </c>
      <c r="AE5704" s="54" t="s">
        <v>2</v>
      </c>
      <c r="AF5704" s="54" t="s">
        <v>2</v>
      </c>
      <c r="AG5704" s="54" t="s">
        <v>2</v>
      </c>
    </row>
    <row r="5705" ht="15.75" customHeight="1">
      <c r="B5705" s="56"/>
      <c r="U5705" s="46" t="str">
        <f t="array" ref="U5705">IF($D5705="","",IFERROR(_xlfn.XLOOKUP($D5705,'TIR店舗一覧'!$D:$D,'TIR店舗一覧'!$E:$E,""),""))</f>
        <v/>
      </c>
      <c r="V5705" s="54" t="s">
        <v>2</v>
      </c>
      <c r="W5705" s="54" t="s">
        <v>2</v>
      </c>
      <c r="X5705" s="54" t="s">
        <v>2</v>
      </c>
      <c r="Y5705" s="54" t="s">
        <v>2</v>
      </c>
      <c r="Z5705" s="54" t="s">
        <v>2</v>
      </c>
      <c r="AA5705" s="54" t="s">
        <v>2</v>
      </c>
      <c r="AB5705" s="54" t="s">
        <v>2</v>
      </c>
      <c r="AC5705" s="54" t="s">
        <v>2</v>
      </c>
      <c r="AD5705" s="54" t="s">
        <v>2</v>
      </c>
      <c r="AE5705" s="54" t="s">
        <v>2</v>
      </c>
      <c r="AF5705" s="54" t="s">
        <v>2</v>
      </c>
      <c r="AG5705" s="54" t="s">
        <v>2</v>
      </c>
    </row>
    <row r="5706" ht="15.75" customHeight="1">
      <c r="B5706" s="56"/>
      <c r="U5706" s="46" t="str">
        <f t="array" ref="U5706">IF($D5706="","",IFERROR(_xlfn.XLOOKUP($D5706,'TIR店舗一覧'!$D:$D,'TIR店舗一覧'!$E:$E,""),""))</f>
        <v/>
      </c>
      <c r="V5706" s="54" t="s">
        <v>2</v>
      </c>
      <c r="W5706" s="54" t="s">
        <v>2</v>
      </c>
      <c r="X5706" s="54" t="s">
        <v>2</v>
      </c>
      <c r="Y5706" s="54" t="s">
        <v>2</v>
      </c>
      <c r="Z5706" s="54" t="s">
        <v>2</v>
      </c>
      <c r="AA5706" s="54" t="s">
        <v>2</v>
      </c>
      <c r="AB5706" s="54" t="s">
        <v>2</v>
      </c>
      <c r="AC5706" s="54" t="s">
        <v>2</v>
      </c>
      <c r="AD5706" s="54" t="s">
        <v>2</v>
      </c>
      <c r="AE5706" s="54" t="s">
        <v>2</v>
      </c>
      <c r="AF5706" s="54" t="s">
        <v>2</v>
      </c>
      <c r="AG5706" s="54" t="s">
        <v>2</v>
      </c>
    </row>
    <row r="5707" ht="15.75" customHeight="1">
      <c r="B5707" s="56"/>
      <c r="U5707" s="46" t="str">
        <f t="array" ref="U5707">IF($D5707="","",IFERROR(_xlfn.XLOOKUP($D5707,'TIR店舗一覧'!$D:$D,'TIR店舗一覧'!$E:$E,""),""))</f>
        <v/>
      </c>
      <c r="V5707" s="54" t="s">
        <v>2</v>
      </c>
      <c r="W5707" s="54" t="s">
        <v>2</v>
      </c>
      <c r="X5707" s="54" t="s">
        <v>2</v>
      </c>
      <c r="Y5707" s="54" t="s">
        <v>2</v>
      </c>
      <c r="Z5707" s="54" t="s">
        <v>2</v>
      </c>
      <c r="AA5707" s="54" t="s">
        <v>2</v>
      </c>
      <c r="AB5707" s="54" t="s">
        <v>2</v>
      </c>
      <c r="AC5707" s="54" t="s">
        <v>2</v>
      </c>
      <c r="AD5707" s="54" t="s">
        <v>2</v>
      </c>
      <c r="AE5707" s="54" t="s">
        <v>2</v>
      </c>
      <c r="AF5707" s="54" t="s">
        <v>2</v>
      </c>
      <c r="AG5707" s="54" t="s">
        <v>2</v>
      </c>
    </row>
    <row r="5708" ht="15.75" customHeight="1">
      <c r="B5708" s="56"/>
      <c r="U5708" s="46" t="str">
        <f t="array" ref="U5708">IF($D5708="","",IFERROR(_xlfn.XLOOKUP($D5708,'TIR店舗一覧'!$D:$D,'TIR店舗一覧'!$E:$E,""),""))</f>
        <v/>
      </c>
      <c r="V5708" s="54" t="s">
        <v>2</v>
      </c>
      <c r="W5708" s="54" t="s">
        <v>2</v>
      </c>
      <c r="X5708" s="54" t="s">
        <v>2</v>
      </c>
      <c r="Y5708" s="54" t="s">
        <v>2</v>
      </c>
      <c r="Z5708" s="54" t="s">
        <v>2</v>
      </c>
      <c r="AA5708" s="54" t="s">
        <v>2</v>
      </c>
      <c r="AB5708" s="54" t="s">
        <v>2</v>
      </c>
      <c r="AC5708" s="54" t="s">
        <v>2</v>
      </c>
      <c r="AD5708" s="54" t="s">
        <v>2</v>
      </c>
      <c r="AE5708" s="54" t="s">
        <v>2</v>
      </c>
      <c r="AF5708" s="54" t="s">
        <v>2</v>
      </c>
      <c r="AG5708" s="54" t="s">
        <v>2</v>
      </c>
    </row>
    <row r="5709" ht="15.75" customHeight="1">
      <c r="B5709" s="56"/>
      <c r="U5709" s="46" t="str">
        <f t="array" ref="U5709">IF($D5709="","",IFERROR(_xlfn.XLOOKUP($D5709,'TIR店舗一覧'!$D:$D,'TIR店舗一覧'!$E:$E,""),""))</f>
        <v/>
      </c>
      <c r="V5709" s="54" t="s">
        <v>2</v>
      </c>
      <c r="W5709" s="54" t="s">
        <v>2</v>
      </c>
      <c r="X5709" s="54" t="s">
        <v>2</v>
      </c>
      <c r="Y5709" s="54" t="s">
        <v>2</v>
      </c>
      <c r="Z5709" s="54" t="s">
        <v>2</v>
      </c>
      <c r="AA5709" s="54" t="s">
        <v>2</v>
      </c>
      <c r="AB5709" s="54" t="s">
        <v>2</v>
      </c>
      <c r="AC5709" s="54" t="s">
        <v>2</v>
      </c>
      <c r="AD5709" s="54" t="s">
        <v>2</v>
      </c>
      <c r="AE5709" s="54" t="s">
        <v>2</v>
      </c>
      <c r="AF5709" s="54" t="s">
        <v>2</v>
      </c>
      <c r="AG5709" s="54" t="s">
        <v>2</v>
      </c>
    </row>
    <row r="5710" ht="15.75" customHeight="1">
      <c r="B5710" s="56"/>
      <c r="U5710" s="46" t="str">
        <f t="array" ref="U5710">IF($D5710="","",IFERROR(_xlfn.XLOOKUP($D5710,'TIR店舗一覧'!$D:$D,'TIR店舗一覧'!$E:$E,""),""))</f>
        <v/>
      </c>
      <c r="V5710" s="54" t="s">
        <v>2</v>
      </c>
      <c r="W5710" s="54" t="s">
        <v>2</v>
      </c>
      <c r="X5710" s="54" t="s">
        <v>2</v>
      </c>
      <c r="Y5710" s="54" t="s">
        <v>2</v>
      </c>
      <c r="Z5710" s="54" t="s">
        <v>2</v>
      </c>
      <c r="AA5710" s="54" t="s">
        <v>2</v>
      </c>
      <c r="AB5710" s="54" t="s">
        <v>2</v>
      </c>
      <c r="AC5710" s="54" t="s">
        <v>2</v>
      </c>
      <c r="AD5710" s="54" t="s">
        <v>2</v>
      </c>
      <c r="AE5710" s="54" t="s">
        <v>2</v>
      </c>
      <c r="AF5710" s="54" t="s">
        <v>2</v>
      </c>
      <c r="AG5710" s="54" t="s">
        <v>2</v>
      </c>
    </row>
    <row r="5711" ht="15.75" customHeight="1">
      <c r="B5711" s="56"/>
      <c r="U5711" s="46" t="str">
        <f t="array" ref="U5711">IF($D5711="","",IFERROR(_xlfn.XLOOKUP($D5711,'TIR店舗一覧'!$D:$D,'TIR店舗一覧'!$E:$E,""),""))</f>
        <v/>
      </c>
      <c r="V5711" s="54" t="s">
        <v>2</v>
      </c>
      <c r="W5711" s="54" t="s">
        <v>2</v>
      </c>
      <c r="X5711" s="54" t="s">
        <v>2</v>
      </c>
      <c r="Y5711" s="54" t="s">
        <v>2</v>
      </c>
      <c r="Z5711" s="54" t="s">
        <v>2</v>
      </c>
      <c r="AA5711" s="54" t="s">
        <v>2</v>
      </c>
      <c r="AB5711" s="54" t="s">
        <v>2</v>
      </c>
      <c r="AC5711" s="54" t="s">
        <v>2</v>
      </c>
      <c r="AD5711" s="54" t="s">
        <v>2</v>
      </c>
      <c r="AE5711" s="54" t="s">
        <v>2</v>
      </c>
      <c r="AF5711" s="54" t="s">
        <v>2</v>
      </c>
      <c r="AG5711" s="54" t="s">
        <v>2</v>
      </c>
    </row>
    <row r="5712" ht="15.75" customHeight="1">
      <c r="B5712" s="56"/>
      <c r="U5712" s="46" t="str">
        <f t="array" ref="U5712">IF($D5712="","",IFERROR(_xlfn.XLOOKUP($D5712,'TIR店舗一覧'!$D:$D,'TIR店舗一覧'!$E:$E,""),""))</f>
        <v/>
      </c>
      <c r="V5712" s="54" t="s">
        <v>2</v>
      </c>
      <c r="W5712" s="54" t="s">
        <v>2</v>
      </c>
      <c r="X5712" s="54" t="s">
        <v>2</v>
      </c>
      <c r="Y5712" s="54" t="s">
        <v>2</v>
      </c>
      <c r="Z5712" s="54" t="s">
        <v>2</v>
      </c>
      <c r="AA5712" s="54" t="s">
        <v>2</v>
      </c>
      <c r="AB5712" s="54" t="s">
        <v>2</v>
      </c>
      <c r="AC5712" s="54" t="s">
        <v>2</v>
      </c>
      <c r="AD5712" s="54" t="s">
        <v>2</v>
      </c>
      <c r="AE5712" s="54" t="s">
        <v>2</v>
      </c>
      <c r="AF5712" s="54" t="s">
        <v>2</v>
      </c>
      <c r="AG5712" s="54" t="s">
        <v>2</v>
      </c>
    </row>
    <row r="5713" ht="15.75" customHeight="1">
      <c r="B5713" s="56"/>
      <c r="U5713" s="46" t="str">
        <f t="array" ref="U5713">IF($D5713="","",IFERROR(_xlfn.XLOOKUP($D5713,'TIR店舗一覧'!$D:$D,'TIR店舗一覧'!$E:$E,""),""))</f>
        <v/>
      </c>
      <c r="V5713" s="54" t="s">
        <v>2</v>
      </c>
      <c r="W5713" s="54" t="s">
        <v>2</v>
      </c>
      <c r="X5713" s="54" t="s">
        <v>2</v>
      </c>
      <c r="Y5713" s="54" t="s">
        <v>2</v>
      </c>
      <c r="Z5713" s="54" t="s">
        <v>2</v>
      </c>
      <c r="AA5713" s="54" t="s">
        <v>2</v>
      </c>
      <c r="AB5713" s="54" t="s">
        <v>2</v>
      </c>
      <c r="AC5713" s="54" t="s">
        <v>2</v>
      </c>
      <c r="AD5713" s="54" t="s">
        <v>2</v>
      </c>
      <c r="AE5713" s="54" t="s">
        <v>2</v>
      </c>
      <c r="AF5713" s="54" t="s">
        <v>2</v>
      </c>
      <c r="AG5713" s="54" t="s">
        <v>2</v>
      </c>
    </row>
    <row r="5714" ht="15.75" customHeight="1">
      <c r="B5714" s="56"/>
      <c r="U5714" s="46" t="str">
        <f t="array" ref="U5714">IF($D5714="","",IFERROR(_xlfn.XLOOKUP($D5714,'TIR店舗一覧'!$D:$D,'TIR店舗一覧'!$E:$E,""),""))</f>
        <v/>
      </c>
      <c r="V5714" s="54" t="s">
        <v>2</v>
      </c>
      <c r="W5714" s="54" t="s">
        <v>2</v>
      </c>
      <c r="X5714" s="54" t="s">
        <v>2</v>
      </c>
      <c r="Y5714" s="54" t="s">
        <v>2</v>
      </c>
      <c r="Z5714" s="54" t="s">
        <v>2</v>
      </c>
      <c r="AA5714" s="54" t="s">
        <v>2</v>
      </c>
      <c r="AB5714" s="54" t="s">
        <v>2</v>
      </c>
      <c r="AC5714" s="54" t="s">
        <v>2</v>
      </c>
      <c r="AD5714" s="54" t="s">
        <v>2</v>
      </c>
      <c r="AE5714" s="54" t="s">
        <v>2</v>
      </c>
      <c r="AF5714" s="54" t="s">
        <v>2</v>
      </c>
      <c r="AG5714" s="54" t="s">
        <v>2</v>
      </c>
    </row>
    <row r="5715" ht="15.75" customHeight="1">
      <c r="B5715" s="56"/>
      <c r="U5715" s="46" t="str">
        <f t="array" ref="U5715">IF($D5715="","",IFERROR(_xlfn.XLOOKUP($D5715,'TIR店舗一覧'!$D:$D,'TIR店舗一覧'!$E:$E,""),""))</f>
        <v/>
      </c>
      <c r="V5715" s="54" t="s">
        <v>2</v>
      </c>
      <c r="W5715" s="54" t="s">
        <v>2</v>
      </c>
      <c r="X5715" s="54" t="s">
        <v>2</v>
      </c>
      <c r="Y5715" s="54" t="s">
        <v>2</v>
      </c>
      <c r="Z5715" s="54" t="s">
        <v>2</v>
      </c>
      <c r="AA5715" s="54" t="s">
        <v>2</v>
      </c>
      <c r="AB5715" s="54" t="s">
        <v>2</v>
      </c>
      <c r="AC5715" s="54" t="s">
        <v>2</v>
      </c>
      <c r="AD5715" s="54" t="s">
        <v>2</v>
      </c>
      <c r="AE5715" s="54" t="s">
        <v>2</v>
      </c>
      <c r="AF5715" s="54" t="s">
        <v>2</v>
      </c>
      <c r="AG5715" s="54" t="s">
        <v>2</v>
      </c>
    </row>
    <row r="5716" ht="15.75" customHeight="1">
      <c r="B5716" s="56"/>
      <c r="U5716" s="46" t="str">
        <f t="array" ref="U5716">IF($D5716="","",IFERROR(_xlfn.XLOOKUP($D5716,'TIR店舗一覧'!$D:$D,'TIR店舗一覧'!$E:$E,""),""))</f>
        <v/>
      </c>
      <c r="V5716" s="54" t="s">
        <v>2</v>
      </c>
      <c r="W5716" s="54" t="s">
        <v>2</v>
      </c>
      <c r="X5716" s="54" t="s">
        <v>2</v>
      </c>
      <c r="Y5716" s="54" t="s">
        <v>2</v>
      </c>
      <c r="Z5716" s="54" t="s">
        <v>2</v>
      </c>
      <c r="AA5716" s="54" t="s">
        <v>2</v>
      </c>
      <c r="AB5716" s="54" t="s">
        <v>2</v>
      </c>
      <c r="AC5716" s="54" t="s">
        <v>2</v>
      </c>
      <c r="AD5716" s="54" t="s">
        <v>2</v>
      </c>
      <c r="AE5716" s="54" t="s">
        <v>2</v>
      </c>
      <c r="AF5716" s="54" t="s">
        <v>2</v>
      </c>
      <c r="AG5716" s="54" t="s">
        <v>2</v>
      </c>
    </row>
    <row r="5717" ht="15.75" customHeight="1">
      <c r="B5717" s="56"/>
      <c r="U5717" s="46" t="str">
        <f t="array" ref="U5717">IF($D5717="","",IFERROR(_xlfn.XLOOKUP($D5717,'TIR店舗一覧'!$D:$D,'TIR店舗一覧'!$E:$E,""),""))</f>
        <v/>
      </c>
      <c r="V5717" s="54" t="s">
        <v>2</v>
      </c>
      <c r="W5717" s="54" t="s">
        <v>2</v>
      </c>
      <c r="X5717" s="54" t="s">
        <v>2</v>
      </c>
      <c r="Y5717" s="54" t="s">
        <v>2</v>
      </c>
      <c r="Z5717" s="54" t="s">
        <v>2</v>
      </c>
      <c r="AA5717" s="54" t="s">
        <v>2</v>
      </c>
      <c r="AB5717" s="54" t="s">
        <v>2</v>
      </c>
      <c r="AC5717" s="54" t="s">
        <v>2</v>
      </c>
      <c r="AD5717" s="54" t="s">
        <v>2</v>
      </c>
      <c r="AE5717" s="54" t="s">
        <v>2</v>
      </c>
      <c r="AF5717" s="54" t="s">
        <v>2</v>
      </c>
      <c r="AG5717" s="54" t="s">
        <v>2</v>
      </c>
    </row>
    <row r="5718" ht="15.75" customHeight="1">
      <c r="B5718" s="56"/>
      <c r="U5718" s="46" t="str">
        <f t="array" ref="U5718">IF($D5718="","",IFERROR(_xlfn.XLOOKUP($D5718,'TIR店舗一覧'!$D:$D,'TIR店舗一覧'!$E:$E,""),""))</f>
        <v/>
      </c>
      <c r="V5718" s="54" t="s">
        <v>2</v>
      </c>
      <c r="W5718" s="54" t="s">
        <v>2</v>
      </c>
      <c r="X5718" s="54" t="s">
        <v>2</v>
      </c>
      <c r="Y5718" s="54" t="s">
        <v>2</v>
      </c>
      <c r="Z5718" s="54" t="s">
        <v>2</v>
      </c>
      <c r="AA5718" s="54" t="s">
        <v>2</v>
      </c>
      <c r="AB5718" s="54" t="s">
        <v>2</v>
      </c>
      <c r="AC5718" s="54" t="s">
        <v>2</v>
      </c>
      <c r="AD5718" s="54" t="s">
        <v>2</v>
      </c>
      <c r="AE5718" s="54" t="s">
        <v>2</v>
      </c>
      <c r="AF5718" s="54" t="s">
        <v>2</v>
      </c>
      <c r="AG5718" s="54" t="s">
        <v>2</v>
      </c>
    </row>
    <row r="5719" ht="15.75" customHeight="1">
      <c r="B5719" s="56"/>
      <c r="U5719" s="46" t="str">
        <f t="array" ref="U5719">IF($D5719="","",IFERROR(_xlfn.XLOOKUP($D5719,'TIR店舗一覧'!$D:$D,'TIR店舗一覧'!$E:$E,""),""))</f>
        <v/>
      </c>
      <c r="V5719" s="54" t="s">
        <v>2</v>
      </c>
      <c r="W5719" s="54" t="s">
        <v>2</v>
      </c>
      <c r="X5719" s="54" t="s">
        <v>2</v>
      </c>
      <c r="Y5719" s="54" t="s">
        <v>2</v>
      </c>
      <c r="Z5719" s="54" t="s">
        <v>2</v>
      </c>
      <c r="AA5719" s="54" t="s">
        <v>2</v>
      </c>
      <c r="AB5719" s="54" t="s">
        <v>2</v>
      </c>
      <c r="AC5719" s="54" t="s">
        <v>2</v>
      </c>
      <c r="AD5719" s="54" t="s">
        <v>2</v>
      </c>
      <c r="AE5719" s="54" t="s">
        <v>2</v>
      </c>
      <c r="AF5719" s="54" t="s">
        <v>2</v>
      </c>
      <c r="AG5719" s="54" t="s">
        <v>2</v>
      </c>
    </row>
    <row r="5720" ht="15.75" customHeight="1">
      <c r="B5720" s="56"/>
      <c r="U5720" s="46" t="str">
        <f t="array" ref="U5720">IF($D5720="","",IFERROR(_xlfn.XLOOKUP($D5720,'TIR店舗一覧'!$D:$D,'TIR店舗一覧'!$E:$E,""),""))</f>
        <v/>
      </c>
      <c r="V5720" s="54" t="s">
        <v>2</v>
      </c>
      <c r="W5720" s="54" t="s">
        <v>2</v>
      </c>
      <c r="X5720" s="54" t="s">
        <v>2</v>
      </c>
      <c r="Y5720" s="54" t="s">
        <v>2</v>
      </c>
      <c r="Z5720" s="54" t="s">
        <v>2</v>
      </c>
      <c r="AA5720" s="54" t="s">
        <v>2</v>
      </c>
      <c r="AB5720" s="54" t="s">
        <v>2</v>
      </c>
      <c r="AC5720" s="54" t="s">
        <v>2</v>
      </c>
      <c r="AD5720" s="54" t="s">
        <v>2</v>
      </c>
      <c r="AE5720" s="54" t="s">
        <v>2</v>
      </c>
      <c r="AF5720" s="54" t="s">
        <v>2</v>
      </c>
      <c r="AG5720" s="54" t="s">
        <v>2</v>
      </c>
    </row>
    <row r="5721" ht="15.75" customHeight="1">
      <c r="B5721" s="56"/>
      <c r="U5721" s="46" t="str">
        <f t="array" ref="U5721">IF($D5721="","",IFERROR(_xlfn.XLOOKUP($D5721,'TIR店舗一覧'!$D:$D,'TIR店舗一覧'!$E:$E,""),""))</f>
        <v/>
      </c>
      <c r="V5721" s="54" t="s">
        <v>2</v>
      </c>
      <c r="W5721" s="54" t="s">
        <v>2</v>
      </c>
      <c r="X5721" s="54" t="s">
        <v>2</v>
      </c>
      <c r="Y5721" s="54" t="s">
        <v>2</v>
      </c>
      <c r="Z5721" s="54" t="s">
        <v>2</v>
      </c>
      <c r="AA5721" s="54" t="s">
        <v>2</v>
      </c>
      <c r="AB5721" s="54" t="s">
        <v>2</v>
      </c>
      <c r="AC5721" s="54" t="s">
        <v>2</v>
      </c>
      <c r="AD5721" s="54" t="s">
        <v>2</v>
      </c>
      <c r="AE5721" s="54" t="s">
        <v>2</v>
      </c>
      <c r="AF5721" s="54" t="s">
        <v>2</v>
      </c>
      <c r="AG5721" s="54" t="s">
        <v>2</v>
      </c>
    </row>
    <row r="5722" ht="15.75" customHeight="1">
      <c r="B5722" s="56"/>
      <c r="U5722" s="46" t="str">
        <f t="array" ref="U5722">IF($D5722="","",IFERROR(_xlfn.XLOOKUP($D5722,'TIR店舗一覧'!$D:$D,'TIR店舗一覧'!$E:$E,""),""))</f>
        <v/>
      </c>
      <c r="V5722" s="54" t="s">
        <v>2</v>
      </c>
      <c r="W5722" s="54" t="s">
        <v>2</v>
      </c>
      <c r="X5722" s="54" t="s">
        <v>2</v>
      </c>
      <c r="Y5722" s="54" t="s">
        <v>2</v>
      </c>
      <c r="Z5722" s="54" t="s">
        <v>2</v>
      </c>
      <c r="AA5722" s="54" t="s">
        <v>2</v>
      </c>
      <c r="AB5722" s="54" t="s">
        <v>2</v>
      </c>
      <c r="AC5722" s="54" t="s">
        <v>2</v>
      </c>
      <c r="AD5722" s="54" t="s">
        <v>2</v>
      </c>
      <c r="AE5722" s="54" t="s">
        <v>2</v>
      </c>
      <c r="AF5722" s="54" t="s">
        <v>2</v>
      </c>
      <c r="AG5722" s="54" t="s">
        <v>2</v>
      </c>
    </row>
    <row r="5723" ht="15.75" customHeight="1">
      <c r="B5723" s="56"/>
      <c r="U5723" s="46" t="str">
        <f t="array" ref="U5723">IF($D5723="","",IFERROR(_xlfn.XLOOKUP($D5723,'TIR店舗一覧'!$D:$D,'TIR店舗一覧'!$E:$E,""),""))</f>
        <v/>
      </c>
      <c r="V5723" s="54" t="s">
        <v>2</v>
      </c>
      <c r="W5723" s="54" t="s">
        <v>2</v>
      </c>
      <c r="X5723" s="54" t="s">
        <v>2</v>
      </c>
      <c r="Y5723" s="54" t="s">
        <v>2</v>
      </c>
      <c r="Z5723" s="54" t="s">
        <v>2</v>
      </c>
      <c r="AA5723" s="54" t="s">
        <v>2</v>
      </c>
      <c r="AB5723" s="54" t="s">
        <v>2</v>
      </c>
      <c r="AC5723" s="54" t="s">
        <v>2</v>
      </c>
      <c r="AD5723" s="54" t="s">
        <v>2</v>
      </c>
      <c r="AE5723" s="54" t="s">
        <v>2</v>
      </c>
      <c r="AF5723" s="54" t="s">
        <v>2</v>
      </c>
      <c r="AG5723" s="54" t="s">
        <v>2</v>
      </c>
    </row>
    <row r="5724" ht="15.75" customHeight="1">
      <c r="B5724" s="56"/>
      <c r="U5724" s="46" t="str">
        <f t="array" ref="U5724">IF($D5724="","",IFERROR(_xlfn.XLOOKUP($D5724,'TIR店舗一覧'!$D:$D,'TIR店舗一覧'!$E:$E,""),""))</f>
        <v/>
      </c>
      <c r="V5724" s="54" t="s">
        <v>2</v>
      </c>
      <c r="W5724" s="54" t="s">
        <v>2</v>
      </c>
      <c r="X5724" s="54" t="s">
        <v>2</v>
      </c>
      <c r="Y5724" s="54" t="s">
        <v>2</v>
      </c>
      <c r="Z5724" s="54" t="s">
        <v>2</v>
      </c>
      <c r="AA5724" s="54" t="s">
        <v>2</v>
      </c>
      <c r="AB5724" s="54" t="s">
        <v>2</v>
      </c>
      <c r="AC5724" s="54" t="s">
        <v>2</v>
      </c>
      <c r="AD5724" s="54" t="s">
        <v>2</v>
      </c>
      <c r="AE5724" s="54" t="s">
        <v>2</v>
      </c>
      <c r="AF5724" s="54" t="s">
        <v>2</v>
      </c>
      <c r="AG5724" s="54" t="s">
        <v>2</v>
      </c>
    </row>
    <row r="5725" ht="15.75" customHeight="1">
      <c r="B5725" s="56"/>
      <c r="U5725" s="46" t="str">
        <f t="array" ref="U5725">IF($D5725="","",IFERROR(_xlfn.XLOOKUP($D5725,'TIR店舗一覧'!$D:$D,'TIR店舗一覧'!$E:$E,""),""))</f>
        <v/>
      </c>
      <c r="V5725" s="54" t="s">
        <v>2</v>
      </c>
      <c r="W5725" s="54" t="s">
        <v>2</v>
      </c>
      <c r="X5725" s="54" t="s">
        <v>2</v>
      </c>
      <c r="Y5725" s="54" t="s">
        <v>2</v>
      </c>
      <c r="Z5725" s="54" t="s">
        <v>2</v>
      </c>
      <c r="AA5725" s="54" t="s">
        <v>2</v>
      </c>
      <c r="AB5725" s="54" t="s">
        <v>2</v>
      </c>
      <c r="AC5725" s="54" t="s">
        <v>2</v>
      </c>
      <c r="AD5725" s="54" t="s">
        <v>2</v>
      </c>
      <c r="AE5725" s="54" t="s">
        <v>2</v>
      </c>
      <c r="AF5725" s="54" t="s">
        <v>2</v>
      </c>
      <c r="AG5725" s="54" t="s">
        <v>2</v>
      </c>
    </row>
    <row r="5726" ht="15.75" customHeight="1">
      <c r="B5726" s="56"/>
      <c r="U5726" s="46" t="str">
        <f t="array" ref="U5726">IF($D5726="","",IFERROR(_xlfn.XLOOKUP($D5726,'TIR店舗一覧'!$D:$D,'TIR店舗一覧'!$E:$E,""),""))</f>
        <v/>
      </c>
      <c r="V5726" s="54" t="s">
        <v>2</v>
      </c>
      <c r="W5726" s="54" t="s">
        <v>2</v>
      </c>
      <c r="X5726" s="54" t="s">
        <v>2</v>
      </c>
      <c r="Y5726" s="54" t="s">
        <v>2</v>
      </c>
      <c r="Z5726" s="54" t="s">
        <v>2</v>
      </c>
      <c r="AA5726" s="54" t="s">
        <v>2</v>
      </c>
      <c r="AB5726" s="54" t="s">
        <v>2</v>
      </c>
      <c r="AC5726" s="54" t="s">
        <v>2</v>
      </c>
      <c r="AD5726" s="54" t="s">
        <v>2</v>
      </c>
      <c r="AE5726" s="54" t="s">
        <v>2</v>
      </c>
      <c r="AF5726" s="54" t="s">
        <v>2</v>
      </c>
      <c r="AG5726" s="54" t="s">
        <v>2</v>
      </c>
    </row>
    <row r="5727" ht="15.75" customHeight="1">
      <c r="B5727" s="56"/>
      <c r="U5727" s="46" t="str">
        <f t="array" ref="U5727">IF($D5727="","",IFERROR(_xlfn.XLOOKUP($D5727,'TIR店舗一覧'!$D:$D,'TIR店舗一覧'!$E:$E,""),""))</f>
        <v/>
      </c>
      <c r="V5727" s="54" t="s">
        <v>2</v>
      </c>
      <c r="W5727" s="54" t="s">
        <v>2</v>
      </c>
      <c r="X5727" s="54" t="s">
        <v>2</v>
      </c>
      <c r="Y5727" s="54" t="s">
        <v>2</v>
      </c>
      <c r="Z5727" s="54" t="s">
        <v>2</v>
      </c>
      <c r="AA5727" s="54" t="s">
        <v>2</v>
      </c>
      <c r="AB5727" s="54" t="s">
        <v>2</v>
      </c>
      <c r="AC5727" s="54" t="s">
        <v>2</v>
      </c>
      <c r="AD5727" s="54" t="s">
        <v>2</v>
      </c>
      <c r="AE5727" s="54" t="s">
        <v>2</v>
      </c>
      <c r="AF5727" s="54" t="s">
        <v>2</v>
      </c>
      <c r="AG5727" s="54" t="s">
        <v>2</v>
      </c>
    </row>
    <row r="5728" ht="15.75" customHeight="1">
      <c r="B5728" s="56"/>
      <c r="U5728" s="46" t="str">
        <f t="array" ref="U5728">IF($D5728="","",IFERROR(_xlfn.XLOOKUP($D5728,'TIR店舗一覧'!$D:$D,'TIR店舗一覧'!$E:$E,""),""))</f>
        <v/>
      </c>
      <c r="V5728" s="54" t="s">
        <v>2</v>
      </c>
      <c r="W5728" s="54" t="s">
        <v>2</v>
      </c>
      <c r="X5728" s="54" t="s">
        <v>2</v>
      </c>
      <c r="Y5728" s="54" t="s">
        <v>2</v>
      </c>
      <c r="Z5728" s="54" t="s">
        <v>2</v>
      </c>
      <c r="AA5728" s="54" t="s">
        <v>2</v>
      </c>
      <c r="AB5728" s="54" t="s">
        <v>2</v>
      </c>
      <c r="AC5728" s="54" t="s">
        <v>2</v>
      </c>
      <c r="AD5728" s="54" t="s">
        <v>2</v>
      </c>
      <c r="AE5728" s="54" t="s">
        <v>2</v>
      </c>
      <c r="AF5728" s="54" t="s">
        <v>2</v>
      </c>
      <c r="AG5728" s="54" t="s">
        <v>2</v>
      </c>
    </row>
    <row r="5729" ht="15.75" customHeight="1">
      <c r="B5729" s="56"/>
      <c r="U5729" s="46" t="str">
        <f t="array" ref="U5729">IF($D5729="","",IFERROR(_xlfn.XLOOKUP($D5729,'TIR店舗一覧'!$D:$D,'TIR店舗一覧'!$E:$E,""),""))</f>
        <v/>
      </c>
      <c r="V5729" s="54" t="s">
        <v>2</v>
      </c>
      <c r="W5729" s="54" t="s">
        <v>2</v>
      </c>
      <c r="X5729" s="54" t="s">
        <v>2</v>
      </c>
      <c r="Y5729" s="54" t="s">
        <v>2</v>
      </c>
      <c r="Z5729" s="54" t="s">
        <v>2</v>
      </c>
      <c r="AA5729" s="54" t="s">
        <v>2</v>
      </c>
      <c r="AB5729" s="54" t="s">
        <v>2</v>
      </c>
      <c r="AC5729" s="54" t="s">
        <v>2</v>
      </c>
      <c r="AD5729" s="54" t="s">
        <v>2</v>
      </c>
      <c r="AE5729" s="54" t="s">
        <v>2</v>
      </c>
      <c r="AF5729" s="54" t="s">
        <v>2</v>
      </c>
      <c r="AG5729" s="54" t="s">
        <v>2</v>
      </c>
    </row>
    <row r="5730" ht="15.75" customHeight="1">
      <c r="B5730" s="56"/>
      <c r="U5730" s="46" t="str">
        <f t="array" ref="U5730">IF($D5730="","",IFERROR(_xlfn.XLOOKUP($D5730,'TIR店舗一覧'!$D:$D,'TIR店舗一覧'!$E:$E,""),""))</f>
        <v/>
      </c>
      <c r="V5730" s="54" t="s">
        <v>2</v>
      </c>
      <c r="W5730" s="54" t="s">
        <v>2</v>
      </c>
      <c r="X5730" s="54" t="s">
        <v>2</v>
      </c>
      <c r="Y5730" s="54" t="s">
        <v>2</v>
      </c>
      <c r="Z5730" s="54" t="s">
        <v>2</v>
      </c>
      <c r="AA5730" s="54" t="s">
        <v>2</v>
      </c>
      <c r="AB5730" s="54" t="s">
        <v>2</v>
      </c>
      <c r="AC5730" s="54" t="s">
        <v>2</v>
      </c>
      <c r="AD5730" s="54" t="s">
        <v>2</v>
      </c>
      <c r="AE5730" s="54" t="s">
        <v>2</v>
      </c>
      <c r="AF5730" s="54" t="s">
        <v>2</v>
      </c>
      <c r="AG5730" s="54" t="s">
        <v>2</v>
      </c>
    </row>
    <row r="5731" ht="15.75" customHeight="1">
      <c r="B5731" s="56"/>
      <c r="U5731" s="46" t="str">
        <f t="array" ref="U5731">IF($D5731="","",IFERROR(_xlfn.XLOOKUP($D5731,'TIR店舗一覧'!$D:$D,'TIR店舗一覧'!$E:$E,""),""))</f>
        <v/>
      </c>
      <c r="V5731" s="54" t="s">
        <v>2</v>
      </c>
      <c r="W5731" s="54" t="s">
        <v>2</v>
      </c>
      <c r="X5731" s="54" t="s">
        <v>2</v>
      </c>
      <c r="Y5731" s="54" t="s">
        <v>2</v>
      </c>
      <c r="Z5731" s="54" t="s">
        <v>2</v>
      </c>
      <c r="AA5731" s="54" t="s">
        <v>2</v>
      </c>
      <c r="AB5731" s="54" t="s">
        <v>2</v>
      </c>
      <c r="AC5731" s="54" t="s">
        <v>2</v>
      </c>
      <c r="AD5731" s="54" t="s">
        <v>2</v>
      </c>
      <c r="AE5731" s="54" t="s">
        <v>2</v>
      </c>
      <c r="AF5731" s="54" t="s">
        <v>2</v>
      </c>
      <c r="AG5731" s="54" t="s">
        <v>2</v>
      </c>
    </row>
    <row r="5732" ht="15.75" customHeight="1">
      <c r="B5732" s="56"/>
      <c r="U5732" s="46" t="str">
        <f t="array" ref="U5732">IF($D5732="","",IFERROR(_xlfn.XLOOKUP($D5732,'TIR店舗一覧'!$D:$D,'TIR店舗一覧'!$E:$E,""),""))</f>
        <v/>
      </c>
      <c r="V5732" s="54" t="s">
        <v>2</v>
      </c>
      <c r="W5732" s="54" t="s">
        <v>2</v>
      </c>
      <c r="X5732" s="54" t="s">
        <v>2</v>
      </c>
      <c r="Y5732" s="54" t="s">
        <v>2</v>
      </c>
      <c r="Z5732" s="54" t="s">
        <v>2</v>
      </c>
      <c r="AA5732" s="54" t="s">
        <v>2</v>
      </c>
      <c r="AB5732" s="54" t="s">
        <v>2</v>
      </c>
      <c r="AC5732" s="54" t="s">
        <v>2</v>
      </c>
      <c r="AD5732" s="54" t="s">
        <v>2</v>
      </c>
      <c r="AE5732" s="54" t="s">
        <v>2</v>
      </c>
      <c r="AF5732" s="54" t="s">
        <v>2</v>
      </c>
      <c r="AG5732" s="54" t="s">
        <v>2</v>
      </c>
    </row>
    <row r="5733" ht="15.75" customHeight="1">
      <c r="B5733" s="56"/>
      <c r="U5733" s="46" t="str">
        <f t="array" ref="U5733">IF($D5733="","",IFERROR(_xlfn.XLOOKUP($D5733,'TIR店舗一覧'!$D:$D,'TIR店舗一覧'!$E:$E,""),""))</f>
        <v/>
      </c>
      <c r="V5733" s="54" t="s">
        <v>2</v>
      </c>
      <c r="W5733" s="54" t="s">
        <v>2</v>
      </c>
      <c r="X5733" s="54" t="s">
        <v>2</v>
      </c>
      <c r="Y5733" s="54" t="s">
        <v>2</v>
      </c>
      <c r="Z5733" s="54" t="s">
        <v>2</v>
      </c>
      <c r="AA5733" s="54" t="s">
        <v>2</v>
      </c>
      <c r="AB5733" s="54" t="s">
        <v>2</v>
      </c>
      <c r="AC5733" s="54" t="s">
        <v>2</v>
      </c>
      <c r="AD5733" s="54" t="s">
        <v>2</v>
      </c>
      <c r="AE5733" s="54" t="s">
        <v>2</v>
      </c>
      <c r="AF5733" s="54" t="s">
        <v>2</v>
      </c>
      <c r="AG5733" s="54" t="s">
        <v>2</v>
      </c>
    </row>
    <row r="5734" ht="15.75" customHeight="1">
      <c r="B5734" s="56"/>
      <c r="U5734" s="46" t="str">
        <f t="array" ref="U5734">IF($D5734="","",IFERROR(_xlfn.XLOOKUP($D5734,'TIR店舗一覧'!$D:$D,'TIR店舗一覧'!$E:$E,""),""))</f>
        <v/>
      </c>
      <c r="V5734" s="54" t="s">
        <v>2</v>
      </c>
      <c r="W5734" s="54" t="s">
        <v>2</v>
      </c>
      <c r="X5734" s="54" t="s">
        <v>2</v>
      </c>
      <c r="Y5734" s="54" t="s">
        <v>2</v>
      </c>
      <c r="Z5734" s="54" t="s">
        <v>2</v>
      </c>
      <c r="AA5734" s="54" t="s">
        <v>2</v>
      </c>
      <c r="AB5734" s="54" t="s">
        <v>2</v>
      </c>
      <c r="AC5734" s="54" t="s">
        <v>2</v>
      </c>
      <c r="AD5734" s="54" t="s">
        <v>2</v>
      </c>
      <c r="AE5734" s="54" t="s">
        <v>2</v>
      </c>
      <c r="AF5734" s="54" t="s">
        <v>2</v>
      </c>
      <c r="AG5734" s="54" t="s">
        <v>2</v>
      </c>
    </row>
    <row r="5735" ht="15.75" customHeight="1">
      <c r="B5735" s="56"/>
      <c r="U5735" s="46" t="str">
        <f t="array" ref="U5735">IF($D5735="","",IFERROR(_xlfn.XLOOKUP($D5735,'TIR店舗一覧'!$D:$D,'TIR店舗一覧'!$E:$E,""),""))</f>
        <v/>
      </c>
      <c r="V5735" s="54" t="s">
        <v>2</v>
      </c>
      <c r="W5735" s="54" t="s">
        <v>2</v>
      </c>
      <c r="X5735" s="54" t="s">
        <v>2</v>
      </c>
      <c r="Y5735" s="54" t="s">
        <v>2</v>
      </c>
      <c r="Z5735" s="54" t="s">
        <v>2</v>
      </c>
      <c r="AA5735" s="54" t="s">
        <v>2</v>
      </c>
      <c r="AB5735" s="54" t="s">
        <v>2</v>
      </c>
      <c r="AC5735" s="54" t="s">
        <v>2</v>
      </c>
      <c r="AD5735" s="54" t="s">
        <v>2</v>
      </c>
      <c r="AE5735" s="54" t="s">
        <v>2</v>
      </c>
      <c r="AF5735" s="54" t="s">
        <v>2</v>
      </c>
      <c r="AG5735" s="54" t="s">
        <v>2</v>
      </c>
    </row>
    <row r="5736" ht="15.75" customHeight="1">
      <c r="B5736" s="56"/>
      <c r="U5736" s="46" t="str">
        <f t="array" ref="U5736">IF($D5736="","",IFERROR(_xlfn.XLOOKUP($D5736,'TIR店舗一覧'!$D:$D,'TIR店舗一覧'!$E:$E,""),""))</f>
        <v/>
      </c>
      <c r="V5736" s="54" t="s">
        <v>2</v>
      </c>
      <c r="W5736" s="54" t="s">
        <v>2</v>
      </c>
      <c r="X5736" s="54" t="s">
        <v>2</v>
      </c>
      <c r="Y5736" s="54" t="s">
        <v>2</v>
      </c>
      <c r="Z5736" s="54" t="s">
        <v>2</v>
      </c>
      <c r="AA5736" s="54" t="s">
        <v>2</v>
      </c>
      <c r="AB5736" s="54" t="s">
        <v>2</v>
      </c>
      <c r="AC5736" s="54" t="s">
        <v>2</v>
      </c>
      <c r="AD5736" s="54" t="s">
        <v>2</v>
      </c>
      <c r="AE5736" s="54" t="s">
        <v>2</v>
      </c>
      <c r="AF5736" s="54" t="s">
        <v>2</v>
      </c>
      <c r="AG5736" s="54" t="s">
        <v>2</v>
      </c>
    </row>
    <row r="5737" ht="15.75" customHeight="1">
      <c r="B5737" s="56"/>
      <c r="U5737" s="46" t="str">
        <f t="array" ref="U5737">IF($D5737="","",IFERROR(_xlfn.XLOOKUP($D5737,'TIR店舗一覧'!$D:$D,'TIR店舗一覧'!$E:$E,""),""))</f>
        <v/>
      </c>
      <c r="V5737" s="54" t="s">
        <v>2</v>
      </c>
      <c r="W5737" s="54" t="s">
        <v>2</v>
      </c>
      <c r="X5737" s="54" t="s">
        <v>2</v>
      </c>
      <c r="Y5737" s="54" t="s">
        <v>2</v>
      </c>
      <c r="Z5737" s="54" t="s">
        <v>2</v>
      </c>
      <c r="AA5737" s="54" t="s">
        <v>2</v>
      </c>
      <c r="AB5737" s="54" t="s">
        <v>2</v>
      </c>
      <c r="AC5737" s="54" t="s">
        <v>2</v>
      </c>
      <c r="AD5737" s="54" t="s">
        <v>2</v>
      </c>
      <c r="AE5737" s="54" t="s">
        <v>2</v>
      </c>
      <c r="AF5737" s="54" t="s">
        <v>2</v>
      </c>
      <c r="AG5737" s="54" t="s">
        <v>2</v>
      </c>
    </row>
    <row r="5738" ht="15.75" customHeight="1">
      <c r="B5738" s="56"/>
      <c r="U5738" s="46" t="str">
        <f t="array" ref="U5738">IF($D5738="","",IFERROR(_xlfn.XLOOKUP($D5738,'TIR店舗一覧'!$D:$D,'TIR店舗一覧'!$E:$E,""),""))</f>
        <v/>
      </c>
      <c r="V5738" s="54" t="s">
        <v>2</v>
      </c>
      <c r="W5738" s="54" t="s">
        <v>2</v>
      </c>
      <c r="X5738" s="54" t="s">
        <v>2</v>
      </c>
      <c r="Y5738" s="54" t="s">
        <v>2</v>
      </c>
      <c r="Z5738" s="54" t="s">
        <v>2</v>
      </c>
      <c r="AA5738" s="54" t="s">
        <v>2</v>
      </c>
      <c r="AB5738" s="54" t="s">
        <v>2</v>
      </c>
      <c r="AC5738" s="54" t="s">
        <v>2</v>
      </c>
      <c r="AD5738" s="54" t="s">
        <v>2</v>
      </c>
      <c r="AE5738" s="54" t="s">
        <v>2</v>
      </c>
      <c r="AF5738" s="54" t="s">
        <v>2</v>
      </c>
      <c r="AG5738" s="54" t="s">
        <v>2</v>
      </c>
    </row>
    <row r="5739" ht="15.75" customHeight="1">
      <c r="B5739" s="56"/>
      <c r="U5739" s="46" t="str">
        <f t="array" ref="U5739">IF($D5739="","",IFERROR(_xlfn.XLOOKUP($D5739,'TIR店舗一覧'!$D:$D,'TIR店舗一覧'!$E:$E,""),""))</f>
        <v/>
      </c>
      <c r="V5739" s="54" t="s">
        <v>2</v>
      </c>
      <c r="W5739" s="54" t="s">
        <v>2</v>
      </c>
      <c r="X5739" s="54" t="s">
        <v>2</v>
      </c>
      <c r="Y5739" s="54" t="s">
        <v>2</v>
      </c>
      <c r="Z5739" s="54" t="s">
        <v>2</v>
      </c>
      <c r="AA5739" s="54" t="s">
        <v>2</v>
      </c>
      <c r="AB5739" s="54" t="s">
        <v>2</v>
      </c>
      <c r="AC5739" s="54" t="s">
        <v>2</v>
      </c>
      <c r="AD5739" s="54" t="s">
        <v>2</v>
      </c>
      <c r="AE5739" s="54" t="s">
        <v>2</v>
      </c>
      <c r="AF5739" s="54" t="s">
        <v>2</v>
      </c>
      <c r="AG5739" s="54" t="s">
        <v>2</v>
      </c>
    </row>
    <row r="5740" ht="15.75" customHeight="1">
      <c r="B5740" s="56"/>
      <c r="U5740" s="46" t="str">
        <f t="array" ref="U5740">IF($D5740="","",IFERROR(_xlfn.XLOOKUP($D5740,'TIR店舗一覧'!$D:$D,'TIR店舗一覧'!$E:$E,""),""))</f>
        <v/>
      </c>
      <c r="V5740" s="54" t="s">
        <v>2</v>
      </c>
      <c r="W5740" s="54" t="s">
        <v>2</v>
      </c>
      <c r="X5740" s="54" t="s">
        <v>2</v>
      </c>
      <c r="Y5740" s="54" t="s">
        <v>2</v>
      </c>
      <c r="Z5740" s="54" t="s">
        <v>2</v>
      </c>
      <c r="AA5740" s="54" t="s">
        <v>2</v>
      </c>
      <c r="AB5740" s="54" t="s">
        <v>2</v>
      </c>
      <c r="AC5740" s="54" t="s">
        <v>2</v>
      </c>
      <c r="AD5740" s="54" t="s">
        <v>2</v>
      </c>
      <c r="AE5740" s="54" t="s">
        <v>2</v>
      </c>
      <c r="AF5740" s="54" t="s">
        <v>2</v>
      </c>
      <c r="AG5740" s="54" t="s">
        <v>2</v>
      </c>
    </row>
    <row r="5741" ht="15.75" customHeight="1">
      <c r="B5741" s="56"/>
      <c r="U5741" s="46" t="str">
        <f t="array" ref="U5741">IF($D5741="","",IFERROR(_xlfn.XLOOKUP($D5741,'TIR店舗一覧'!$D:$D,'TIR店舗一覧'!$E:$E,""),""))</f>
        <v/>
      </c>
      <c r="V5741" s="54" t="s">
        <v>2</v>
      </c>
      <c r="W5741" s="54" t="s">
        <v>2</v>
      </c>
      <c r="X5741" s="54" t="s">
        <v>2</v>
      </c>
      <c r="Y5741" s="54" t="s">
        <v>2</v>
      </c>
      <c r="Z5741" s="54" t="s">
        <v>2</v>
      </c>
      <c r="AA5741" s="54" t="s">
        <v>2</v>
      </c>
      <c r="AB5741" s="54" t="s">
        <v>2</v>
      </c>
      <c r="AC5741" s="54" t="s">
        <v>2</v>
      </c>
      <c r="AD5741" s="54" t="s">
        <v>2</v>
      </c>
      <c r="AE5741" s="54" t="s">
        <v>2</v>
      </c>
      <c r="AF5741" s="54" t="s">
        <v>2</v>
      </c>
      <c r="AG5741" s="54" t="s">
        <v>2</v>
      </c>
    </row>
    <row r="5742" ht="15.75" customHeight="1">
      <c r="B5742" s="56"/>
      <c r="U5742" s="46" t="str">
        <f t="array" ref="U5742">IF($D5742="","",IFERROR(_xlfn.XLOOKUP($D5742,'TIR店舗一覧'!$D:$D,'TIR店舗一覧'!$E:$E,""),""))</f>
        <v/>
      </c>
      <c r="V5742" s="54" t="s">
        <v>2</v>
      </c>
      <c r="W5742" s="54" t="s">
        <v>2</v>
      </c>
      <c r="X5742" s="54" t="s">
        <v>2</v>
      </c>
      <c r="Y5742" s="54" t="s">
        <v>2</v>
      </c>
      <c r="Z5742" s="54" t="s">
        <v>2</v>
      </c>
      <c r="AA5742" s="54" t="s">
        <v>2</v>
      </c>
      <c r="AB5742" s="54" t="s">
        <v>2</v>
      </c>
      <c r="AC5742" s="54" t="s">
        <v>2</v>
      </c>
      <c r="AD5742" s="54" t="s">
        <v>2</v>
      </c>
      <c r="AE5742" s="54" t="s">
        <v>2</v>
      </c>
      <c r="AF5742" s="54" t="s">
        <v>2</v>
      </c>
      <c r="AG5742" s="54" t="s">
        <v>2</v>
      </c>
    </row>
    <row r="5743" ht="15.75" customHeight="1">
      <c r="B5743" s="56"/>
      <c r="U5743" s="46" t="str">
        <f t="array" ref="U5743">IF($D5743="","",IFERROR(_xlfn.XLOOKUP($D5743,'TIR店舗一覧'!$D:$D,'TIR店舗一覧'!$E:$E,""),""))</f>
        <v/>
      </c>
      <c r="V5743" s="54" t="s">
        <v>2</v>
      </c>
      <c r="W5743" s="54" t="s">
        <v>2</v>
      </c>
      <c r="X5743" s="54" t="s">
        <v>2</v>
      </c>
      <c r="Y5743" s="54" t="s">
        <v>2</v>
      </c>
      <c r="Z5743" s="54" t="s">
        <v>2</v>
      </c>
      <c r="AA5743" s="54" t="s">
        <v>2</v>
      </c>
      <c r="AB5743" s="54" t="s">
        <v>2</v>
      </c>
      <c r="AC5743" s="54" t="s">
        <v>2</v>
      </c>
      <c r="AD5743" s="54" t="s">
        <v>2</v>
      </c>
      <c r="AE5743" s="54" t="s">
        <v>2</v>
      </c>
      <c r="AF5743" s="54" t="s">
        <v>2</v>
      </c>
      <c r="AG5743" s="54" t="s">
        <v>2</v>
      </c>
    </row>
    <row r="5744" ht="15.75" customHeight="1">
      <c r="B5744" s="56"/>
      <c r="U5744" s="46" t="str">
        <f t="array" ref="U5744">IF($D5744="","",IFERROR(_xlfn.XLOOKUP($D5744,'TIR店舗一覧'!$D:$D,'TIR店舗一覧'!$E:$E,""),""))</f>
        <v/>
      </c>
      <c r="V5744" s="54" t="s">
        <v>2</v>
      </c>
      <c r="W5744" s="54" t="s">
        <v>2</v>
      </c>
      <c r="X5744" s="54" t="s">
        <v>2</v>
      </c>
      <c r="Y5744" s="54" t="s">
        <v>2</v>
      </c>
      <c r="Z5744" s="54" t="s">
        <v>2</v>
      </c>
      <c r="AA5744" s="54" t="s">
        <v>2</v>
      </c>
      <c r="AB5744" s="54" t="s">
        <v>2</v>
      </c>
      <c r="AC5744" s="54" t="s">
        <v>2</v>
      </c>
      <c r="AD5744" s="54" t="s">
        <v>2</v>
      </c>
      <c r="AE5744" s="54" t="s">
        <v>2</v>
      </c>
      <c r="AF5744" s="54" t="s">
        <v>2</v>
      </c>
      <c r="AG5744" s="54" t="s">
        <v>2</v>
      </c>
    </row>
    <row r="5745" ht="15.75" customHeight="1">
      <c r="B5745" s="56"/>
      <c r="U5745" s="46" t="str">
        <f t="array" ref="U5745">IF($D5745="","",IFERROR(_xlfn.XLOOKUP($D5745,'TIR店舗一覧'!$D:$D,'TIR店舗一覧'!$E:$E,""),""))</f>
        <v/>
      </c>
      <c r="V5745" s="54" t="s">
        <v>2</v>
      </c>
      <c r="W5745" s="54" t="s">
        <v>2</v>
      </c>
      <c r="X5745" s="54" t="s">
        <v>2</v>
      </c>
      <c r="Y5745" s="54" t="s">
        <v>2</v>
      </c>
      <c r="Z5745" s="54" t="s">
        <v>2</v>
      </c>
      <c r="AA5745" s="54" t="s">
        <v>2</v>
      </c>
      <c r="AB5745" s="54" t="s">
        <v>2</v>
      </c>
      <c r="AC5745" s="54" t="s">
        <v>2</v>
      </c>
      <c r="AD5745" s="54" t="s">
        <v>2</v>
      </c>
      <c r="AE5745" s="54" t="s">
        <v>2</v>
      </c>
      <c r="AF5745" s="54" t="s">
        <v>2</v>
      </c>
      <c r="AG5745" s="54" t="s">
        <v>2</v>
      </c>
    </row>
    <row r="5746" ht="15.75" customHeight="1">
      <c r="B5746" s="56"/>
      <c r="U5746" s="46" t="str">
        <f t="array" ref="U5746">IF($D5746="","",IFERROR(_xlfn.XLOOKUP($D5746,'TIR店舗一覧'!$D:$D,'TIR店舗一覧'!$E:$E,""),""))</f>
        <v/>
      </c>
      <c r="V5746" s="54" t="s">
        <v>2</v>
      </c>
      <c r="W5746" s="54" t="s">
        <v>2</v>
      </c>
      <c r="X5746" s="54" t="s">
        <v>2</v>
      </c>
      <c r="Y5746" s="54" t="s">
        <v>2</v>
      </c>
      <c r="Z5746" s="54" t="s">
        <v>2</v>
      </c>
      <c r="AA5746" s="54" t="s">
        <v>2</v>
      </c>
      <c r="AB5746" s="54" t="s">
        <v>2</v>
      </c>
      <c r="AC5746" s="54" t="s">
        <v>2</v>
      </c>
      <c r="AD5746" s="54" t="s">
        <v>2</v>
      </c>
      <c r="AE5746" s="54" t="s">
        <v>2</v>
      </c>
      <c r="AF5746" s="54" t="s">
        <v>2</v>
      </c>
      <c r="AG5746" s="54" t="s">
        <v>2</v>
      </c>
    </row>
    <row r="5747" ht="15.75" customHeight="1">
      <c r="B5747" s="56"/>
      <c r="U5747" s="46" t="str">
        <f t="array" ref="U5747">IF($D5747="","",IFERROR(_xlfn.XLOOKUP($D5747,'TIR店舗一覧'!$D:$D,'TIR店舗一覧'!$E:$E,""),""))</f>
        <v/>
      </c>
      <c r="V5747" s="54" t="s">
        <v>2</v>
      </c>
      <c r="W5747" s="54" t="s">
        <v>2</v>
      </c>
      <c r="X5747" s="54" t="s">
        <v>2</v>
      </c>
      <c r="Y5747" s="54" t="s">
        <v>2</v>
      </c>
      <c r="Z5747" s="54" t="s">
        <v>2</v>
      </c>
      <c r="AA5747" s="54" t="s">
        <v>2</v>
      </c>
      <c r="AB5747" s="54" t="s">
        <v>2</v>
      </c>
      <c r="AC5747" s="54" t="s">
        <v>2</v>
      </c>
      <c r="AD5747" s="54" t="s">
        <v>2</v>
      </c>
      <c r="AE5747" s="54" t="s">
        <v>2</v>
      </c>
      <c r="AF5747" s="54" t="s">
        <v>2</v>
      </c>
      <c r="AG5747" s="54" t="s">
        <v>2</v>
      </c>
    </row>
    <row r="5748" ht="15.75" customHeight="1">
      <c r="B5748" s="56"/>
      <c r="U5748" s="46" t="str">
        <f t="array" ref="U5748">IF($D5748="","",IFERROR(_xlfn.XLOOKUP($D5748,'TIR店舗一覧'!$D:$D,'TIR店舗一覧'!$E:$E,""),""))</f>
        <v/>
      </c>
      <c r="V5748" s="54" t="s">
        <v>2</v>
      </c>
      <c r="W5748" s="54" t="s">
        <v>2</v>
      </c>
      <c r="X5748" s="54" t="s">
        <v>2</v>
      </c>
      <c r="Y5748" s="54" t="s">
        <v>2</v>
      </c>
      <c r="Z5748" s="54" t="s">
        <v>2</v>
      </c>
      <c r="AA5748" s="54" t="s">
        <v>2</v>
      </c>
      <c r="AB5748" s="54" t="s">
        <v>2</v>
      </c>
      <c r="AC5748" s="54" t="s">
        <v>2</v>
      </c>
      <c r="AD5748" s="54" t="s">
        <v>2</v>
      </c>
      <c r="AE5748" s="54" t="s">
        <v>2</v>
      </c>
      <c r="AF5748" s="54" t="s">
        <v>2</v>
      </c>
      <c r="AG5748" s="54" t="s">
        <v>2</v>
      </c>
    </row>
    <row r="5749" ht="15.75" customHeight="1">
      <c r="B5749" s="56"/>
      <c r="U5749" s="46" t="str">
        <f t="array" ref="U5749">IF($D5749="","",IFERROR(_xlfn.XLOOKUP($D5749,'TIR店舗一覧'!$D:$D,'TIR店舗一覧'!$E:$E,""),""))</f>
        <v/>
      </c>
      <c r="V5749" s="54" t="s">
        <v>2</v>
      </c>
      <c r="W5749" s="54" t="s">
        <v>2</v>
      </c>
      <c r="X5749" s="54" t="s">
        <v>2</v>
      </c>
      <c r="Y5749" s="54" t="s">
        <v>2</v>
      </c>
      <c r="Z5749" s="54" t="s">
        <v>2</v>
      </c>
      <c r="AA5749" s="54" t="s">
        <v>2</v>
      </c>
      <c r="AB5749" s="54" t="s">
        <v>2</v>
      </c>
      <c r="AC5749" s="54" t="s">
        <v>2</v>
      </c>
      <c r="AD5749" s="54" t="s">
        <v>2</v>
      </c>
      <c r="AE5749" s="54" t="s">
        <v>2</v>
      </c>
      <c r="AF5749" s="54" t="s">
        <v>2</v>
      </c>
      <c r="AG5749" s="54" t="s">
        <v>2</v>
      </c>
    </row>
    <row r="5750" ht="15.75" customHeight="1">
      <c r="B5750" s="56"/>
      <c r="U5750" s="46" t="str">
        <f t="array" ref="U5750">IF($D5750="","",IFERROR(_xlfn.XLOOKUP($D5750,'TIR店舗一覧'!$D:$D,'TIR店舗一覧'!$E:$E,""),""))</f>
        <v/>
      </c>
      <c r="V5750" s="54" t="s">
        <v>2</v>
      </c>
      <c r="W5750" s="54" t="s">
        <v>2</v>
      </c>
      <c r="X5750" s="54" t="s">
        <v>2</v>
      </c>
      <c r="Y5750" s="54" t="s">
        <v>2</v>
      </c>
      <c r="Z5750" s="54" t="s">
        <v>2</v>
      </c>
      <c r="AA5750" s="54" t="s">
        <v>2</v>
      </c>
      <c r="AB5750" s="54" t="s">
        <v>2</v>
      </c>
      <c r="AC5750" s="54" t="s">
        <v>2</v>
      </c>
      <c r="AD5750" s="54" t="s">
        <v>2</v>
      </c>
      <c r="AE5750" s="54" t="s">
        <v>2</v>
      </c>
      <c r="AF5750" s="54" t="s">
        <v>2</v>
      </c>
      <c r="AG5750" s="54" t="s">
        <v>2</v>
      </c>
    </row>
    <row r="5751" ht="15.75" customHeight="1">
      <c r="B5751" s="56"/>
      <c r="U5751" s="46" t="str">
        <f t="array" ref="U5751">IF($D5751="","",IFERROR(_xlfn.XLOOKUP($D5751,'TIR店舗一覧'!$D:$D,'TIR店舗一覧'!$E:$E,""),""))</f>
        <v/>
      </c>
      <c r="V5751" s="54" t="s">
        <v>2</v>
      </c>
      <c r="W5751" s="54" t="s">
        <v>2</v>
      </c>
      <c r="X5751" s="54" t="s">
        <v>2</v>
      </c>
      <c r="Y5751" s="54" t="s">
        <v>2</v>
      </c>
      <c r="Z5751" s="54" t="s">
        <v>2</v>
      </c>
      <c r="AA5751" s="54" t="s">
        <v>2</v>
      </c>
      <c r="AB5751" s="54" t="s">
        <v>2</v>
      </c>
      <c r="AC5751" s="54" t="s">
        <v>2</v>
      </c>
      <c r="AD5751" s="54" t="s">
        <v>2</v>
      </c>
      <c r="AE5751" s="54" t="s">
        <v>2</v>
      </c>
      <c r="AF5751" s="54" t="s">
        <v>2</v>
      </c>
      <c r="AG5751" s="54" t="s">
        <v>2</v>
      </c>
    </row>
    <row r="5752" ht="15.75" customHeight="1">
      <c r="B5752" s="56"/>
      <c r="U5752" s="46" t="str">
        <f t="array" ref="U5752">IF($D5752="","",IFERROR(_xlfn.XLOOKUP($D5752,'TIR店舗一覧'!$D:$D,'TIR店舗一覧'!$E:$E,""),""))</f>
        <v/>
      </c>
      <c r="V5752" s="54" t="s">
        <v>2</v>
      </c>
      <c r="W5752" s="54" t="s">
        <v>2</v>
      </c>
      <c r="X5752" s="54" t="s">
        <v>2</v>
      </c>
      <c r="Y5752" s="54" t="s">
        <v>2</v>
      </c>
      <c r="Z5752" s="54" t="s">
        <v>2</v>
      </c>
      <c r="AA5752" s="54" t="s">
        <v>2</v>
      </c>
      <c r="AB5752" s="54" t="s">
        <v>2</v>
      </c>
      <c r="AC5752" s="54" t="s">
        <v>2</v>
      </c>
      <c r="AD5752" s="54" t="s">
        <v>2</v>
      </c>
      <c r="AE5752" s="54" t="s">
        <v>2</v>
      </c>
      <c r="AF5752" s="54" t="s">
        <v>2</v>
      </c>
      <c r="AG5752" s="54" t="s">
        <v>2</v>
      </c>
    </row>
    <row r="5753" ht="15.75" customHeight="1">
      <c r="B5753" s="56"/>
      <c r="U5753" s="46" t="str">
        <f t="array" ref="U5753">IF($D5753="","",IFERROR(_xlfn.XLOOKUP($D5753,'TIR店舗一覧'!$D:$D,'TIR店舗一覧'!$E:$E,""),""))</f>
        <v/>
      </c>
      <c r="V5753" s="54" t="s">
        <v>2</v>
      </c>
      <c r="W5753" s="54" t="s">
        <v>2</v>
      </c>
      <c r="X5753" s="54" t="s">
        <v>2</v>
      </c>
      <c r="Y5753" s="54" t="s">
        <v>2</v>
      </c>
      <c r="Z5753" s="54" t="s">
        <v>2</v>
      </c>
      <c r="AA5753" s="54" t="s">
        <v>2</v>
      </c>
      <c r="AB5753" s="54" t="s">
        <v>2</v>
      </c>
      <c r="AC5753" s="54" t="s">
        <v>2</v>
      </c>
      <c r="AD5753" s="54" t="s">
        <v>2</v>
      </c>
      <c r="AE5753" s="54" t="s">
        <v>2</v>
      </c>
      <c r="AF5753" s="54" t="s">
        <v>2</v>
      </c>
      <c r="AG5753" s="54" t="s">
        <v>2</v>
      </c>
    </row>
    <row r="5754" ht="15.75" customHeight="1">
      <c r="B5754" s="56"/>
      <c r="U5754" s="46" t="str">
        <f t="array" ref="U5754">IF($D5754="","",IFERROR(_xlfn.XLOOKUP($D5754,'TIR店舗一覧'!$D:$D,'TIR店舗一覧'!$E:$E,""),""))</f>
        <v/>
      </c>
      <c r="V5754" s="54" t="s">
        <v>2</v>
      </c>
      <c r="W5754" s="54" t="s">
        <v>2</v>
      </c>
      <c r="X5754" s="54" t="s">
        <v>2</v>
      </c>
      <c r="Y5754" s="54" t="s">
        <v>2</v>
      </c>
      <c r="Z5754" s="54" t="s">
        <v>2</v>
      </c>
      <c r="AA5754" s="54" t="s">
        <v>2</v>
      </c>
      <c r="AB5754" s="54" t="s">
        <v>2</v>
      </c>
      <c r="AC5754" s="54" t="s">
        <v>2</v>
      </c>
      <c r="AD5754" s="54" t="s">
        <v>2</v>
      </c>
      <c r="AE5754" s="54" t="s">
        <v>2</v>
      </c>
      <c r="AF5754" s="54" t="s">
        <v>2</v>
      </c>
      <c r="AG5754" s="54" t="s">
        <v>2</v>
      </c>
    </row>
    <row r="5755" ht="15.75" customHeight="1">
      <c r="B5755" s="56"/>
      <c r="U5755" s="46" t="str">
        <f t="array" ref="U5755">IF($D5755="","",IFERROR(_xlfn.XLOOKUP($D5755,'TIR店舗一覧'!$D:$D,'TIR店舗一覧'!$E:$E,""),""))</f>
        <v/>
      </c>
      <c r="V5755" s="54" t="s">
        <v>2</v>
      </c>
      <c r="W5755" s="54" t="s">
        <v>2</v>
      </c>
      <c r="X5755" s="54" t="s">
        <v>2</v>
      </c>
      <c r="Y5755" s="54" t="s">
        <v>2</v>
      </c>
      <c r="Z5755" s="54" t="s">
        <v>2</v>
      </c>
      <c r="AA5755" s="54" t="s">
        <v>2</v>
      </c>
      <c r="AB5755" s="54" t="s">
        <v>2</v>
      </c>
      <c r="AC5755" s="54" t="s">
        <v>2</v>
      </c>
      <c r="AD5755" s="54" t="s">
        <v>2</v>
      </c>
      <c r="AE5755" s="54" t="s">
        <v>2</v>
      </c>
      <c r="AF5755" s="54" t="s">
        <v>2</v>
      </c>
      <c r="AG5755" s="54" t="s">
        <v>2</v>
      </c>
    </row>
    <row r="5756" ht="15.75" customHeight="1">
      <c r="B5756" s="56"/>
      <c r="U5756" s="46" t="str">
        <f t="array" ref="U5756">IF($D5756="","",IFERROR(_xlfn.XLOOKUP($D5756,'TIR店舗一覧'!$D:$D,'TIR店舗一覧'!$E:$E,""),""))</f>
        <v/>
      </c>
      <c r="V5756" s="54" t="s">
        <v>2</v>
      </c>
      <c r="W5756" s="54" t="s">
        <v>2</v>
      </c>
      <c r="X5756" s="54" t="s">
        <v>2</v>
      </c>
      <c r="Y5756" s="54" t="s">
        <v>2</v>
      </c>
      <c r="Z5756" s="54" t="s">
        <v>2</v>
      </c>
      <c r="AA5756" s="54" t="s">
        <v>2</v>
      </c>
      <c r="AB5756" s="54" t="s">
        <v>2</v>
      </c>
      <c r="AC5756" s="54" t="s">
        <v>2</v>
      </c>
      <c r="AD5756" s="54" t="s">
        <v>2</v>
      </c>
      <c r="AE5756" s="54" t="s">
        <v>2</v>
      </c>
      <c r="AF5756" s="54" t="s">
        <v>2</v>
      </c>
      <c r="AG5756" s="54" t="s">
        <v>2</v>
      </c>
    </row>
    <row r="5757" ht="15.75" customHeight="1">
      <c r="B5757" s="56"/>
      <c r="U5757" s="46" t="str">
        <f t="array" ref="U5757">IF($D5757="","",IFERROR(_xlfn.XLOOKUP($D5757,'TIR店舗一覧'!$D:$D,'TIR店舗一覧'!$E:$E,""),""))</f>
        <v/>
      </c>
      <c r="V5757" s="54" t="s">
        <v>2</v>
      </c>
      <c r="W5757" s="54" t="s">
        <v>2</v>
      </c>
      <c r="X5757" s="54" t="s">
        <v>2</v>
      </c>
      <c r="Y5757" s="54" t="s">
        <v>2</v>
      </c>
      <c r="Z5757" s="54" t="s">
        <v>2</v>
      </c>
      <c r="AA5757" s="54" t="s">
        <v>2</v>
      </c>
      <c r="AB5757" s="54" t="s">
        <v>2</v>
      </c>
      <c r="AC5757" s="54" t="s">
        <v>2</v>
      </c>
      <c r="AD5757" s="54" t="s">
        <v>2</v>
      </c>
      <c r="AE5757" s="54" t="s">
        <v>2</v>
      </c>
      <c r="AF5757" s="54" t="s">
        <v>2</v>
      </c>
      <c r="AG5757" s="54" t="s">
        <v>2</v>
      </c>
    </row>
    <row r="5758" ht="15.75" customHeight="1">
      <c r="B5758" s="56"/>
      <c r="U5758" s="46" t="str">
        <f t="array" ref="U5758">IF($D5758="","",IFERROR(_xlfn.XLOOKUP($D5758,'TIR店舗一覧'!$D:$D,'TIR店舗一覧'!$E:$E,""),""))</f>
        <v/>
      </c>
      <c r="V5758" s="54" t="s">
        <v>2</v>
      </c>
      <c r="W5758" s="54" t="s">
        <v>2</v>
      </c>
      <c r="X5758" s="54" t="s">
        <v>2</v>
      </c>
      <c r="Y5758" s="54" t="s">
        <v>2</v>
      </c>
      <c r="Z5758" s="54" t="s">
        <v>2</v>
      </c>
      <c r="AA5758" s="54" t="s">
        <v>2</v>
      </c>
      <c r="AB5758" s="54" t="s">
        <v>2</v>
      </c>
      <c r="AC5758" s="54" t="s">
        <v>2</v>
      </c>
      <c r="AD5758" s="54" t="s">
        <v>2</v>
      </c>
      <c r="AE5758" s="54" t="s">
        <v>2</v>
      </c>
      <c r="AF5758" s="54" t="s">
        <v>2</v>
      </c>
      <c r="AG5758" s="54" t="s">
        <v>2</v>
      </c>
    </row>
    <row r="5759" ht="15.75" customHeight="1">
      <c r="B5759" s="56"/>
      <c r="U5759" s="46" t="str">
        <f t="array" ref="U5759">IF($D5759="","",IFERROR(_xlfn.XLOOKUP($D5759,'TIR店舗一覧'!$D:$D,'TIR店舗一覧'!$E:$E,""),""))</f>
        <v/>
      </c>
      <c r="V5759" s="54" t="s">
        <v>2</v>
      </c>
      <c r="W5759" s="54" t="s">
        <v>2</v>
      </c>
      <c r="X5759" s="54" t="s">
        <v>2</v>
      </c>
      <c r="Y5759" s="54" t="s">
        <v>2</v>
      </c>
      <c r="Z5759" s="54" t="s">
        <v>2</v>
      </c>
      <c r="AA5759" s="54" t="s">
        <v>2</v>
      </c>
      <c r="AB5759" s="54" t="s">
        <v>2</v>
      </c>
      <c r="AC5759" s="54" t="s">
        <v>2</v>
      </c>
      <c r="AD5759" s="54" t="s">
        <v>2</v>
      </c>
      <c r="AE5759" s="54" t="s">
        <v>2</v>
      </c>
      <c r="AF5759" s="54" t="s">
        <v>2</v>
      </c>
      <c r="AG5759" s="54" t="s">
        <v>2</v>
      </c>
    </row>
    <row r="5760" ht="15.75" customHeight="1">
      <c r="B5760" s="56"/>
      <c r="U5760" s="46" t="str">
        <f t="array" ref="U5760">IF($D5760="","",IFERROR(_xlfn.XLOOKUP($D5760,'TIR店舗一覧'!$D:$D,'TIR店舗一覧'!$E:$E,""),""))</f>
        <v/>
      </c>
      <c r="V5760" s="54" t="s">
        <v>2</v>
      </c>
      <c r="W5760" s="54" t="s">
        <v>2</v>
      </c>
      <c r="X5760" s="54" t="s">
        <v>2</v>
      </c>
      <c r="Y5760" s="54" t="s">
        <v>2</v>
      </c>
      <c r="Z5760" s="54" t="s">
        <v>2</v>
      </c>
      <c r="AA5760" s="54" t="s">
        <v>2</v>
      </c>
      <c r="AB5760" s="54" t="s">
        <v>2</v>
      </c>
      <c r="AC5760" s="54" t="s">
        <v>2</v>
      </c>
      <c r="AD5760" s="54" t="s">
        <v>2</v>
      </c>
      <c r="AE5760" s="54" t="s">
        <v>2</v>
      </c>
      <c r="AF5760" s="54" t="s">
        <v>2</v>
      </c>
      <c r="AG5760" s="54" t="s">
        <v>2</v>
      </c>
    </row>
    <row r="5761" ht="15.75" customHeight="1">
      <c r="B5761" s="56"/>
      <c r="U5761" s="46" t="str">
        <f t="array" ref="U5761">IF($D5761="","",IFERROR(_xlfn.XLOOKUP($D5761,'TIR店舗一覧'!$D:$D,'TIR店舗一覧'!$E:$E,""),""))</f>
        <v/>
      </c>
      <c r="V5761" s="54" t="s">
        <v>2</v>
      </c>
      <c r="W5761" s="54" t="s">
        <v>2</v>
      </c>
      <c r="X5761" s="54" t="s">
        <v>2</v>
      </c>
      <c r="Y5761" s="54" t="s">
        <v>2</v>
      </c>
      <c r="Z5761" s="54" t="s">
        <v>2</v>
      </c>
      <c r="AA5761" s="54" t="s">
        <v>2</v>
      </c>
      <c r="AB5761" s="54" t="s">
        <v>2</v>
      </c>
      <c r="AC5761" s="54" t="s">
        <v>2</v>
      </c>
      <c r="AD5761" s="54" t="s">
        <v>2</v>
      </c>
      <c r="AE5761" s="54" t="s">
        <v>2</v>
      </c>
      <c r="AF5761" s="54" t="s">
        <v>2</v>
      </c>
      <c r="AG5761" s="54" t="s">
        <v>2</v>
      </c>
    </row>
    <row r="5762" ht="15.75" customHeight="1">
      <c r="B5762" s="56"/>
      <c r="U5762" s="46" t="str">
        <f t="array" ref="U5762">IF($D5762="","",IFERROR(_xlfn.XLOOKUP($D5762,'TIR店舗一覧'!$D:$D,'TIR店舗一覧'!$E:$E,""),""))</f>
        <v/>
      </c>
      <c r="V5762" s="54" t="s">
        <v>2</v>
      </c>
      <c r="W5762" s="54" t="s">
        <v>2</v>
      </c>
      <c r="X5762" s="54" t="s">
        <v>2</v>
      </c>
      <c r="Y5762" s="54" t="s">
        <v>2</v>
      </c>
      <c r="Z5762" s="54" t="s">
        <v>2</v>
      </c>
      <c r="AA5762" s="54" t="s">
        <v>2</v>
      </c>
      <c r="AB5762" s="54" t="s">
        <v>2</v>
      </c>
      <c r="AC5762" s="54" t="s">
        <v>2</v>
      </c>
      <c r="AD5762" s="54" t="s">
        <v>2</v>
      </c>
      <c r="AE5762" s="54" t="s">
        <v>2</v>
      </c>
      <c r="AF5762" s="54" t="s">
        <v>2</v>
      </c>
      <c r="AG5762" s="54" t="s">
        <v>2</v>
      </c>
    </row>
    <row r="5763" ht="15.75" customHeight="1">
      <c r="B5763" s="56"/>
      <c r="U5763" s="46" t="str">
        <f t="array" ref="U5763">IF($D5763="","",IFERROR(_xlfn.XLOOKUP($D5763,'TIR店舗一覧'!$D:$D,'TIR店舗一覧'!$E:$E,""),""))</f>
        <v/>
      </c>
      <c r="V5763" s="54" t="s">
        <v>2</v>
      </c>
      <c r="W5763" s="54" t="s">
        <v>2</v>
      </c>
      <c r="X5763" s="54" t="s">
        <v>2</v>
      </c>
      <c r="Y5763" s="54" t="s">
        <v>2</v>
      </c>
      <c r="Z5763" s="54" t="s">
        <v>2</v>
      </c>
      <c r="AA5763" s="54" t="s">
        <v>2</v>
      </c>
      <c r="AB5763" s="54" t="s">
        <v>2</v>
      </c>
      <c r="AC5763" s="54" t="s">
        <v>2</v>
      </c>
      <c r="AD5763" s="54" t="s">
        <v>2</v>
      </c>
      <c r="AE5763" s="54" t="s">
        <v>2</v>
      </c>
      <c r="AF5763" s="54" t="s">
        <v>2</v>
      </c>
      <c r="AG5763" s="54" t="s">
        <v>2</v>
      </c>
    </row>
    <row r="5764" ht="15.75" customHeight="1">
      <c r="B5764" s="56"/>
      <c r="U5764" s="46" t="str">
        <f t="array" ref="U5764">IF($D5764="","",IFERROR(_xlfn.XLOOKUP($D5764,'TIR店舗一覧'!$D:$D,'TIR店舗一覧'!$E:$E,""),""))</f>
        <v/>
      </c>
      <c r="V5764" s="54" t="s">
        <v>2</v>
      </c>
      <c r="W5764" s="54" t="s">
        <v>2</v>
      </c>
      <c r="X5764" s="54" t="s">
        <v>2</v>
      </c>
      <c r="Y5764" s="54" t="s">
        <v>2</v>
      </c>
      <c r="Z5764" s="54" t="s">
        <v>2</v>
      </c>
      <c r="AA5764" s="54" t="s">
        <v>2</v>
      </c>
      <c r="AB5764" s="54" t="s">
        <v>2</v>
      </c>
      <c r="AC5764" s="54" t="s">
        <v>2</v>
      </c>
      <c r="AD5764" s="54" t="s">
        <v>2</v>
      </c>
      <c r="AE5764" s="54" t="s">
        <v>2</v>
      </c>
      <c r="AF5764" s="54" t="s">
        <v>2</v>
      </c>
      <c r="AG5764" s="54" t="s">
        <v>2</v>
      </c>
    </row>
    <row r="5765" ht="15.75" customHeight="1">
      <c r="B5765" s="56"/>
      <c r="U5765" s="46" t="str">
        <f t="array" ref="U5765">IF($D5765="","",IFERROR(_xlfn.XLOOKUP($D5765,'TIR店舗一覧'!$D:$D,'TIR店舗一覧'!$E:$E,""),""))</f>
        <v/>
      </c>
      <c r="V5765" s="54" t="s">
        <v>2</v>
      </c>
      <c r="W5765" s="54" t="s">
        <v>2</v>
      </c>
      <c r="X5765" s="54" t="s">
        <v>2</v>
      </c>
      <c r="Y5765" s="54" t="s">
        <v>2</v>
      </c>
      <c r="Z5765" s="54" t="s">
        <v>2</v>
      </c>
      <c r="AA5765" s="54" t="s">
        <v>2</v>
      </c>
      <c r="AB5765" s="54" t="s">
        <v>2</v>
      </c>
      <c r="AC5765" s="54" t="s">
        <v>2</v>
      </c>
      <c r="AD5765" s="54" t="s">
        <v>2</v>
      </c>
      <c r="AE5765" s="54" t="s">
        <v>2</v>
      </c>
      <c r="AF5765" s="54" t="s">
        <v>2</v>
      </c>
      <c r="AG5765" s="54" t="s">
        <v>2</v>
      </c>
    </row>
    <row r="5766" ht="15.75" customHeight="1">
      <c r="B5766" s="56"/>
      <c r="U5766" s="46" t="str">
        <f t="array" ref="U5766">IF($D5766="","",IFERROR(_xlfn.XLOOKUP($D5766,'TIR店舗一覧'!$D:$D,'TIR店舗一覧'!$E:$E,""),""))</f>
        <v/>
      </c>
      <c r="V5766" s="54" t="s">
        <v>2</v>
      </c>
      <c r="W5766" s="54" t="s">
        <v>2</v>
      </c>
      <c r="X5766" s="54" t="s">
        <v>2</v>
      </c>
      <c r="Y5766" s="54" t="s">
        <v>2</v>
      </c>
      <c r="Z5766" s="54" t="s">
        <v>2</v>
      </c>
      <c r="AA5766" s="54" t="s">
        <v>2</v>
      </c>
      <c r="AB5766" s="54" t="s">
        <v>2</v>
      </c>
      <c r="AC5766" s="54" t="s">
        <v>2</v>
      </c>
      <c r="AD5766" s="54" t="s">
        <v>2</v>
      </c>
      <c r="AE5766" s="54" t="s">
        <v>2</v>
      </c>
      <c r="AF5766" s="54" t="s">
        <v>2</v>
      </c>
      <c r="AG5766" s="54" t="s">
        <v>2</v>
      </c>
    </row>
    <row r="5767" ht="15.75" customHeight="1">
      <c r="B5767" s="56"/>
      <c r="U5767" s="46" t="str">
        <f t="array" ref="U5767">IF($D5767="","",IFERROR(_xlfn.XLOOKUP($D5767,'TIR店舗一覧'!$D:$D,'TIR店舗一覧'!$E:$E,""),""))</f>
        <v/>
      </c>
      <c r="V5767" s="54" t="s">
        <v>2</v>
      </c>
      <c r="W5767" s="54" t="s">
        <v>2</v>
      </c>
      <c r="X5767" s="54" t="s">
        <v>2</v>
      </c>
      <c r="Y5767" s="54" t="s">
        <v>2</v>
      </c>
      <c r="Z5767" s="54" t="s">
        <v>2</v>
      </c>
      <c r="AA5767" s="54" t="s">
        <v>2</v>
      </c>
      <c r="AB5767" s="54" t="s">
        <v>2</v>
      </c>
      <c r="AC5767" s="54" t="s">
        <v>2</v>
      </c>
      <c r="AD5767" s="54" t="s">
        <v>2</v>
      </c>
      <c r="AE5767" s="54" t="s">
        <v>2</v>
      </c>
      <c r="AF5767" s="54" t="s">
        <v>2</v>
      </c>
      <c r="AG5767" s="54" t="s">
        <v>2</v>
      </c>
    </row>
    <row r="5768" ht="15.75" customHeight="1">
      <c r="B5768" s="56"/>
      <c r="U5768" s="46" t="str">
        <f t="array" ref="U5768">IF($D5768="","",IFERROR(_xlfn.XLOOKUP($D5768,'TIR店舗一覧'!$D:$D,'TIR店舗一覧'!$E:$E,""),""))</f>
        <v/>
      </c>
      <c r="V5768" s="54" t="s">
        <v>2</v>
      </c>
      <c r="W5768" s="54" t="s">
        <v>2</v>
      </c>
      <c r="X5768" s="54" t="s">
        <v>2</v>
      </c>
      <c r="Y5768" s="54" t="s">
        <v>2</v>
      </c>
      <c r="Z5768" s="54" t="s">
        <v>2</v>
      </c>
      <c r="AA5768" s="54" t="s">
        <v>2</v>
      </c>
      <c r="AB5768" s="54" t="s">
        <v>2</v>
      </c>
      <c r="AC5768" s="54" t="s">
        <v>2</v>
      </c>
      <c r="AD5768" s="54" t="s">
        <v>2</v>
      </c>
      <c r="AE5768" s="54" t="s">
        <v>2</v>
      </c>
      <c r="AF5768" s="54" t="s">
        <v>2</v>
      </c>
      <c r="AG5768" s="54" t="s">
        <v>2</v>
      </c>
    </row>
    <row r="5769" ht="15.75" customHeight="1">
      <c r="B5769" s="56"/>
      <c r="U5769" s="46" t="str">
        <f t="array" ref="U5769">IF($D5769="","",IFERROR(_xlfn.XLOOKUP($D5769,'TIR店舗一覧'!$D:$D,'TIR店舗一覧'!$E:$E,""),""))</f>
        <v/>
      </c>
      <c r="V5769" s="54" t="s">
        <v>2</v>
      </c>
      <c r="W5769" s="54" t="s">
        <v>2</v>
      </c>
      <c r="X5769" s="54" t="s">
        <v>2</v>
      </c>
      <c r="Y5769" s="54" t="s">
        <v>2</v>
      </c>
      <c r="Z5769" s="54" t="s">
        <v>2</v>
      </c>
      <c r="AA5769" s="54" t="s">
        <v>2</v>
      </c>
      <c r="AB5769" s="54" t="s">
        <v>2</v>
      </c>
      <c r="AC5769" s="54" t="s">
        <v>2</v>
      </c>
      <c r="AD5769" s="54" t="s">
        <v>2</v>
      </c>
      <c r="AE5769" s="54" t="s">
        <v>2</v>
      </c>
      <c r="AF5769" s="54" t="s">
        <v>2</v>
      </c>
      <c r="AG5769" s="54" t="s">
        <v>2</v>
      </c>
    </row>
    <row r="5770" ht="15.75" customHeight="1">
      <c r="B5770" s="56"/>
      <c r="U5770" s="46" t="str">
        <f t="array" ref="U5770">IF($D5770="","",IFERROR(_xlfn.XLOOKUP($D5770,'TIR店舗一覧'!$D:$D,'TIR店舗一覧'!$E:$E,""),""))</f>
        <v/>
      </c>
      <c r="V5770" s="54" t="s">
        <v>2</v>
      </c>
      <c r="W5770" s="54" t="s">
        <v>2</v>
      </c>
      <c r="X5770" s="54" t="s">
        <v>2</v>
      </c>
      <c r="Y5770" s="54" t="s">
        <v>2</v>
      </c>
      <c r="Z5770" s="54" t="s">
        <v>2</v>
      </c>
      <c r="AA5770" s="54" t="s">
        <v>2</v>
      </c>
      <c r="AB5770" s="54" t="s">
        <v>2</v>
      </c>
      <c r="AC5770" s="54" t="s">
        <v>2</v>
      </c>
      <c r="AD5770" s="54" t="s">
        <v>2</v>
      </c>
      <c r="AE5770" s="54" t="s">
        <v>2</v>
      </c>
      <c r="AF5770" s="54" t="s">
        <v>2</v>
      </c>
      <c r="AG5770" s="54" t="s">
        <v>2</v>
      </c>
    </row>
    <row r="5771" ht="15.75" customHeight="1">
      <c r="B5771" s="56"/>
      <c r="U5771" s="46" t="str">
        <f t="array" ref="U5771">IF($D5771="","",IFERROR(_xlfn.XLOOKUP($D5771,'TIR店舗一覧'!$D:$D,'TIR店舗一覧'!$E:$E,""),""))</f>
        <v/>
      </c>
      <c r="V5771" s="54" t="s">
        <v>2</v>
      </c>
      <c r="W5771" s="54" t="s">
        <v>2</v>
      </c>
      <c r="X5771" s="54" t="s">
        <v>2</v>
      </c>
      <c r="Y5771" s="54" t="s">
        <v>2</v>
      </c>
      <c r="Z5771" s="54" t="s">
        <v>2</v>
      </c>
      <c r="AA5771" s="54" t="s">
        <v>2</v>
      </c>
      <c r="AB5771" s="54" t="s">
        <v>2</v>
      </c>
      <c r="AC5771" s="54" t="s">
        <v>2</v>
      </c>
      <c r="AD5771" s="54" t="s">
        <v>2</v>
      </c>
      <c r="AE5771" s="54" t="s">
        <v>2</v>
      </c>
      <c r="AF5771" s="54" t="s">
        <v>2</v>
      </c>
      <c r="AG5771" s="54" t="s">
        <v>2</v>
      </c>
    </row>
    <row r="5772" ht="15.75" customHeight="1">
      <c r="B5772" s="56"/>
      <c r="U5772" s="46" t="str">
        <f t="array" ref="U5772">IF($D5772="","",IFERROR(_xlfn.XLOOKUP($D5772,'TIR店舗一覧'!$D:$D,'TIR店舗一覧'!$E:$E,""),""))</f>
        <v/>
      </c>
      <c r="V5772" s="54" t="s">
        <v>2</v>
      </c>
      <c r="W5772" s="54" t="s">
        <v>2</v>
      </c>
      <c r="X5772" s="54" t="s">
        <v>2</v>
      </c>
      <c r="Y5772" s="54" t="s">
        <v>2</v>
      </c>
      <c r="Z5772" s="54" t="s">
        <v>2</v>
      </c>
      <c r="AA5772" s="54" t="s">
        <v>2</v>
      </c>
      <c r="AB5772" s="54" t="s">
        <v>2</v>
      </c>
      <c r="AC5772" s="54" t="s">
        <v>2</v>
      </c>
      <c r="AD5772" s="54" t="s">
        <v>2</v>
      </c>
      <c r="AE5772" s="54" t="s">
        <v>2</v>
      </c>
      <c r="AF5772" s="54" t="s">
        <v>2</v>
      </c>
      <c r="AG5772" s="54" t="s">
        <v>2</v>
      </c>
    </row>
    <row r="5773" ht="15.75" customHeight="1">
      <c r="B5773" s="56"/>
      <c r="U5773" s="46" t="str">
        <f t="array" ref="U5773">IF($D5773="","",IFERROR(_xlfn.XLOOKUP($D5773,'TIR店舗一覧'!$D:$D,'TIR店舗一覧'!$E:$E,""),""))</f>
        <v/>
      </c>
      <c r="V5773" s="54" t="s">
        <v>2</v>
      </c>
      <c r="W5773" s="54" t="s">
        <v>2</v>
      </c>
      <c r="X5773" s="54" t="s">
        <v>2</v>
      </c>
      <c r="Y5773" s="54" t="s">
        <v>2</v>
      </c>
      <c r="Z5773" s="54" t="s">
        <v>2</v>
      </c>
      <c r="AA5773" s="54" t="s">
        <v>2</v>
      </c>
      <c r="AB5773" s="54" t="s">
        <v>2</v>
      </c>
      <c r="AC5773" s="54" t="s">
        <v>2</v>
      </c>
      <c r="AD5773" s="54" t="s">
        <v>2</v>
      </c>
      <c r="AE5773" s="54" t="s">
        <v>2</v>
      </c>
      <c r="AF5773" s="54" t="s">
        <v>2</v>
      </c>
      <c r="AG5773" s="54" t="s">
        <v>2</v>
      </c>
    </row>
    <row r="5774" ht="15.75" customHeight="1">
      <c r="B5774" s="56"/>
      <c r="U5774" s="46" t="str">
        <f t="array" ref="U5774">IF($D5774="","",IFERROR(_xlfn.XLOOKUP($D5774,'TIR店舗一覧'!$D:$D,'TIR店舗一覧'!$E:$E,""),""))</f>
        <v/>
      </c>
      <c r="V5774" s="54" t="s">
        <v>2</v>
      </c>
      <c r="W5774" s="54" t="s">
        <v>2</v>
      </c>
      <c r="X5774" s="54" t="s">
        <v>2</v>
      </c>
      <c r="Y5774" s="54" t="s">
        <v>2</v>
      </c>
      <c r="Z5774" s="54" t="s">
        <v>2</v>
      </c>
      <c r="AA5774" s="54" t="s">
        <v>2</v>
      </c>
      <c r="AB5774" s="54" t="s">
        <v>2</v>
      </c>
      <c r="AC5774" s="54" t="s">
        <v>2</v>
      </c>
      <c r="AD5774" s="54" t="s">
        <v>2</v>
      </c>
      <c r="AE5774" s="54" t="s">
        <v>2</v>
      </c>
      <c r="AF5774" s="54" t="s">
        <v>2</v>
      </c>
      <c r="AG5774" s="54" t="s">
        <v>2</v>
      </c>
    </row>
    <row r="5775" ht="15.75" customHeight="1">
      <c r="B5775" s="56"/>
      <c r="U5775" s="46" t="str">
        <f t="array" ref="U5775">IF($D5775="","",IFERROR(_xlfn.XLOOKUP($D5775,'TIR店舗一覧'!$D:$D,'TIR店舗一覧'!$E:$E,""),""))</f>
        <v/>
      </c>
      <c r="V5775" s="54" t="s">
        <v>2</v>
      </c>
      <c r="W5775" s="54" t="s">
        <v>2</v>
      </c>
      <c r="X5775" s="54" t="s">
        <v>2</v>
      </c>
      <c r="Y5775" s="54" t="s">
        <v>2</v>
      </c>
      <c r="Z5775" s="54" t="s">
        <v>2</v>
      </c>
      <c r="AA5775" s="54" t="s">
        <v>2</v>
      </c>
      <c r="AB5775" s="54" t="s">
        <v>2</v>
      </c>
      <c r="AC5775" s="54" t="s">
        <v>2</v>
      </c>
      <c r="AD5775" s="54" t="s">
        <v>2</v>
      </c>
      <c r="AE5775" s="54" t="s">
        <v>2</v>
      </c>
      <c r="AF5775" s="54" t="s">
        <v>2</v>
      </c>
      <c r="AG5775" s="54" t="s">
        <v>2</v>
      </c>
    </row>
    <row r="5776" ht="15.75" customHeight="1">
      <c r="B5776" s="56"/>
      <c r="U5776" s="46" t="str">
        <f t="array" ref="U5776">IF($D5776="","",IFERROR(_xlfn.XLOOKUP($D5776,'TIR店舗一覧'!$D:$D,'TIR店舗一覧'!$E:$E,""),""))</f>
        <v/>
      </c>
      <c r="V5776" s="54" t="s">
        <v>2</v>
      </c>
      <c r="W5776" s="54" t="s">
        <v>2</v>
      </c>
      <c r="X5776" s="54" t="s">
        <v>2</v>
      </c>
      <c r="Y5776" s="54" t="s">
        <v>2</v>
      </c>
      <c r="Z5776" s="54" t="s">
        <v>2</v>
      </c>
      <c r="AA5776" s="54" t="s">
        <v>2</v>
      </c>
      <c r="AB5776" s="54" t="s">
        <v>2</v>
      </c>
      <c r="AC5776" s="54" t="s">
        <v>2</v>
      </c>
      <c r="AD5776" s="54" t="s">
        <v>2</v>
      </c>
      <c r="AE5776" s="54" t="s">
        <v>2</v>
      </c>
      <c r="AF5776" s="54" t="s">
        <v>2</v>
      </c>
      <c r="AG5776" s="54" t="s">
        <v>2</v>
      </c>
    </row>
    <row r="5777" ht="15.75" customHeight="1">
      <c r="B5777" s="56"/>
      <c r="U5777" s="46" t="str">
        <f t="array" ref="U5777">IF($D5777="","",IFERROR(_xlfn.XLOOKUP($D5777,'TIR店舗一覧'!$D:$D,'TIR店舗一覧'!$E:$E,""),""))</f>
        <v/>
      </c>
      <c r="V5777" s="54" t="s">
        <v>2</v>
      </c>
      <c r="W5777" s="54" t="s">
        <v>2</v>
      </c>
      <c r="X5777" s="54" t="s">
        <v>2</v>
      </c>
      <c r="Y5777" s="54" t="s">
        <v>2</v>
      </c>
      <c r="Z5777" s="54" t="s">
        <v>2</v>
      </c>
      <c r="AA5777" s="54" t="s">
        <v>2</v>
      </c>
      <c r="AB5777" s="54" t="s">
        <v>2</v>
      </c>
      <c r="AC5777" s="54" t="s">
        <v>2</v>
      </c>
      <c r="AD5777" s="54" t="s">
        <v>2</v>
      </c>
      <c r="AE5777" s="54" t="s">
        <v>2</v>
      </c>
      <c r="AF5777" s="54" t="s">
        <v>2</v>
      </c>
      <c r="AG5777" s="54" t="s">
        <v>2</v>
      </c>
    </row>
    <row r="5778" ht="15.75" customHeight="1">
      <c r="B5778" s="56"/>
      <c r="U5778" s="46" t="str">
        <f t="array" ref="U5778">IF($D5778="","",IFERROR(_xlfn.XLOOKUP($D5778,'TIR店舗一覧'!$D:$D,'TIR店舗一覧'!$E:$E,""),""))</f>
        <v/>
      </c>
      <c r="V5778" s="54" t="s">
        <v>2</v>
      </c>
      <c r="W5778" s="54" t="s">
        <v>2</v>
      </c>
      <c r="X5778" s="54" t="s">
        <v>2</v>
      </c>
      <c r="Y5778" s="54" t="s">
        <v>2</v>
      </c>
      <c r="Z5778" s="54" t="s">
        <v>2</v>
      </c>
      <c r="AA5778" s="54" t="s">
        <v>2</v>
      </c>
      <c r="AB5778" s="54" t="s">
        <v>2</v>
      </c>
      <c r="AC5778" s="54" t="s">
        <v>2</v>
      </c>
      <c r="AD5778" s="54" t="s">
        <v>2</v>
      </c>
      <c r="AE5778" s="54" t="s">
        <v>2</v>
      </c>
      <c r="AF5778" s="54" t="s">
        <v>2</v>
      </c>
      <c r="AG5778" s="54" t="s">
        <v>2</v>
      </c>
    </row>
    <row r="5779" ht="15.75" customHeight="1">
      <c r="B5779" s="56"/>
      <c r="U5779" s="46" t="str">
        <f t="array" ref="U5779">IF($D5779="","",IFERROR(_xlfn.XLOOKUP($D5779,'TIR店舗一覧'!$D:$D,'TIR店舗一覧'!$E:$E,""),""))</f>
        <v/>
      </c>
      <c r="V5779" s="54" t="s">
        <v>2</v>
      </c>
      <c r="W5779" s="54" t="s">
        <v>2</v>
      </c>
      <c r="X5779" s="54" t="s">
        <v>2</v>
      </c>
      <c r="Y5779" s="54" t="s">
        <v>2</v>
      </c>
      <c r="Z5779" s="54" t="s">
        <v>2</v>
      </c>
      <c r="AA5779" s="54" t="s">
        <v>2</v>
      </c>
      <c r="AB5779" s="54" t="s">
        <v>2</v>
      </c>
      <c r="AC5779" s="54" t="s">
        <v>2</v>
      </c>
      <c r="AD5779" s="54" t="s">
        <v>2</v>
      </c>
      <c r="AE5779" s="54" t="s">
        <v>2</v>
      </c>
      <c r="AF5779" s="54" t="s">
        <v>2</v>
      </c>
      <c r="AG5779" s="54" t="s">
        <v>2</v>
      </c>
    </row>
    <row r="5780" ht="15.75" customHeight="1">
      <c r="B5780" s="56"/>
      <c r="U5780" s="46" t="str">
        <f t="array" ref="U5780">IF($D5780="","",IFERROR(_xlfn.XLOOKUP($D5780,'TIR店舗一覧'!$D:$D,'TIR店舗一覧'!$E:$E,""),""))</f>
        <v/>
      </c>
      <c r="V5780" s="54" t="s">
        <v>2</v>
      </c>
      <c r="W5780" s="54" t="s">
        <v>2</v>
      </c>
      <c r="X5780" s="54" t="s">
        <v>2</v>
      </c>
      <c r="Y5780" s="54" t="s">
        <v>2</v>
      </c>
      <c r="Z5780" s="54" t="s">
        <v>2</v>
      </c>
      <c r="AA5780" s="54" t="s">
        <v>2</v>
      </c>
      <c r="AB5780" s="54" t="s">
        <v>2</v>
      </c>
      <c r="AC5780" s="54" t="s">
        <v>2</v>
      </c>
      <c r="AD5780" s="54" t="s">
        <v>2</v>
      </c>
      <c r="AE5780" s="54" t="s">
        <v>2</v>
      </c>
      <c r="AF5780" s="54" t="s">
        <v>2</v>
      </c>
      <c r="AG5780" s="54" t="s">
        <v>2</v>
      </c>
    </row>
    <row r="5781" ht="15.75" customHeight="1">
      <c r="B5781" s="56"/>
      <c r="U5781" s="46" t="str">
        <f t="array" ref="U5781">IF($D5781="","",IFERROR(_xlfn.XLOOKUP($D5781,'TIR店舗一覧'!$D:$D,'TIR店舗一覧'!$E:$E,""),""))</f>
        <v/>
      </c>
      <c r="V5781" s="54" t="s">
        <v>2</v>
      </c>
      <c r="W5781" s="54" t="s">
        <v>2</v>
      </c>
      <c r="X5781" s="54" t="s">
        <v>2</v>
      </c>
      <c r="Y5781" s="54" t="s">
        <v>2</v>
      </c>
      <c r="Z5781" s="54" t="s">
        <v>2</v>
      </c>
      <c r="AA5781" s="54" t="s">
        <v>2</v>
      </c>
      <c r="AB5781" s="54" t="s">
        <v>2</v>
      </c>
      <c r="AC5781" s="54" t="s">
        <v>2</v>
      </c>
      <c r="AD5781" s="54" t="s">
        <v>2</v>
      </c>
      <c r="AE5781" s="54" t="s">
        <v>2</v>
      </c>
      <c r="AF5781" s="54" t="s">
        <v>2</v>
      </c>
      <c r="AG5781" s="54" t="s">
        <v>2</v>
      </c>
    </row>
    <row r="5782" ht="15.75" customHeight="1">
      <c r="B5782" s="56"/>
      <c r="U5782" s="46" t="str">
        <f t="array" ref="U5782">IF($D5782="","",IFERROR(_xlfn.XLOOKUP($D5782,'TIR店舗一覧'!$D:$D,'TIR店舗一覧'!$E:$E,""),""))</f>
        <v/>
      </c>
      <c r="V5782" s="54" t="s">
        <v>2</v>
      </c>
      <c r="W5782" s="54" t="s">
        <v>2</v>
      </c>
      <c r="X5782" s="54" t="s">
        <v>2</v>
      </c>
      <c r="Y5782" s="54" t="s">
        <v>2</v>
      </c>
      <c r="Z5782" s="54" t="s">
        <v>2</v>
      </c>
      <c r="AA5782" s="54" t="s">
        <v>2</v>
      </c>
      <c r="AB5782" s="54" t="s">
        <v>2</v>
      </c>
      <c r="AC5782" s="54" t="s">
        <v>2</v>
      </c>
      <c r="AD5782" s="54" t="s">
        <v>2</v>
      </c>
      <c r="AE5782" s="54" t="s">
        <v>2</v>
      </c>
      <c r="AF5782" s="54" t="s">
        <v>2</v>
      </c>
      <c r="AG5782" s="54" t="s">
        <v>2</v>
      </c>
    </row>
    <row r="5783" ht="15.75" customHeight="1">
      <c r="B5783" s="56"/>
      <c r="U5783" s="46" t="str">
        <f t="array" ref="U5783">IF($D5783="","",IFERROR(_xlfn.XLOOKUP($D5783,'TIR店舗一覧'!$D:$D,'TIR店舗一覧'!$E:$E,""),""))</f>
        <v/>
      </c>
      <c r="V5783" s="54" t="s">
        <v>2</v>
      </c>
      <c r="W5783" s="54" t="s">
        <v>2</v>
      </c>
      <c r="X5783" s="54" t="s">
        <v>2</v>
      </c>
      <c r="Y5783" s="54" t="s">
        <v>2</v>
      </c>
      <c r="Z5783" s="54" t="s">
        <v>2</v>
      </c>
      <c r="AA5783" s="54" t="s">
        <v>2</v>
      </c>
      <c r="AB5783" s="54" t="s">
        <v>2</v>
      </c>
      <c r="AC5783" s="54" t="s">
        <v>2</v>
      </c>
      <c r="AD5783" s="54" t="s">
        <v>2</v>
      </c>
      <c r="AE5783" s="54" t="s">
        <v>2</v>
      </c>
      <c r="AF5783" s="54" t="s">
        <v>2</v>
      </c>
      <c r="AG5783" s="54" t="s">
        <v>2</v>
      </c>
    </row>
    <row r="5784" ht="15.75" customHeight="1">
      <c r="B5784" s="56"/>
      <c r="U5784" s="46" t="str">
        <f t="array" ref="U5784">IF($D5784="","",IFERROR(_xlfn.XLOOKUP($D5784,'TIR店舗一覧'!$D:$D,'TIR店舗一覧'!$E:$E,""),""))</f>
        <v/>
      </c>
      <c r="V5784" s="54" t="s">
        <v>2</v>
      </c>
      <c r="W5784" s="54" t="s">
        <v>2</v>
      </c>
      <c r="X5784" s="54" t="s">
        <v>2</v>
      </c>
      <c r="Y5784" s="54" t="s">
        <v>2</v>
      </c>
      <c r="Z5784" s="54" t="s">
        <v>2</v>
      </c>
      <c r="AA5784" s="54" t="s">
        <v>2</v>
      </c>
      <c r="AB5784" s="54" t="s">
        <v>2</v>
      </c>
      <c r="AC5784" s="54" t="s">
        <v>2</v>
      </c>
      <c r="AD5784" s="54" t="s">
        <v>2</v>
      </c>
      <c r="AE5784" s="54" t="s">
        <v>2</v>
      </c>
      <c r="AF5784" s="54" t="s">
        <v>2</v>
      </c>
      <c r="AG5784" s="54" t="s">
        <v>2</v>
      </c>
    </row>
    <row r="5785" ht="15.75" customHeight="1">
      <c r="B5785" s="56"/>
      <c r="U5785" s="46" t="str">
        <f t="array" ref="U5785">IF($D5785="","",IFERROR(_xlfn.XLOOKUP($D5785,'TIR店舗一覧'!$D:$D,'TIR店舗一覧'!$E:$E,""),""))</f>
        <v/>
      </c>
      <c r="V5785" s="54" t="s">
        <v>2</v>
      </c>
      <c r="W5785" s="54" t="s">
        <v>2</v>
      </c>
      <c r="X5785" s="54" t="s">
        <v>2</v>
      </c>
      <c r="Y5785" s="54" t="s">
        <v>2</v>
      </c>
      <c r="Z5785" s="54" t="s">
        <v>2</v>
      </c>
      <c r="AA5785" s="54" t="s">
        <v>2</v>
      </c>
      <c r="AB5785" s="54" t="s">
        <v>2</v>
      </c>
      <c r="AC5785" s="54" t="s">
        <v>2</v>
      </c>
      <c r="AD5785" s="54" t="s">
        <v>2</v>
      </c>
      <c r="AE5785" s="54" t="s">
        <v>2</v>
      </c>
      <c r="AF5785" s="54" t="s">
        <v>2</v>
      </c>
      <c r="AG5785" s="54" t="s">
        <v>2</v>
      </c>
    </row>
    <row r="5786" ht="15.75" customHeight="1">
      <c r="B5786" s="56"/>
      <c r="U5786" s="46" t="str">
        <f t="array" ref="U5786">IF($D5786="","",IFERROR(_xlfn.XLOOKUP($D5786,'TIR店舗一覧'!$D:$D,'TIR店舗一覧'!$E:$E,""),""))</f>
        <v/>
      </c>
      <c r="V5786" s="54" t="s">
        <v>2</v>
      </c>
      <c r="W5786" s="54" t="s">
        <v>2</v>
      </c>
      <c r="X5786" s="54" t="s">
        <v>2</v>
      </c>
      <c r="Y5786" s="54" t="s">
        <v>2</v>
      </c>
      <c r="Z5786" s="54" t="s">
        <v>2</v>
      </c>
      <c r="AA5786" s="54" t="s">
        <v>2</v>
      </c>
      <c r="AB5786" s="54" t="s">
        <v>2</v>
      </c>
      <c r="AC5786" s="54" t="s">
        <v>2</v>
      </c>
      <c r="AD5786" s="54" t="s">
        <v>2</v>
      </c>
      <c r="AE5786" s="54" t="s">
        <v>2</v>
      </c>
      <c r="AF5786" s="54" t="s">
        <v>2</v>
      </c>
      <c r="AG5786" s="54" t="s">
        <v>2</v>
      </c>
    </row>
    <row r="5787" ht="15.75" customHeight="1">
      <c r="B5787" s="56"/>
      <c r="U5787" s="46" t="str">
        <f t="array" ref="U5787">IF($D5787="","",IFERROR(_xlfn.XLOOKUP($D5787,'TIR店舗一覧'!$D:$D,'TIR店舗一覧'!$E:$E,""),""))</f>
        <v/>
      </c>
      <c r="V5787" s="54" t="s">
        <v>2</v>
      </c>
      <c r="W5787" s="54" t="s">
        <v>2</v>
      </c>
      <c r="X5787" s="54" t="s">
        <v>2</v>
      </c>
      <c r="Y5787" s="54" t="s">
        <v>2</v>
      </c>
      <c r="Z5787" s="54" t="s">
        <v>2</v>
      </c>
      <c r="AA5787" s="54" t="s">
        <v>2</v>
      </c>
      <c r="AB5787" s="54" t="s">
        <v>2</v>
      </c>
      <c r="AC5787" s="54" t="s">
        <v>2</v>
      </c>
      <c r="AD5787" s="54" t="s">
        <v>2</v>
      </c>
      <c r="AE5787" s="54" t="s">
        <v>2</v>
      </c>
      <c r="AF5787" s="54" t="s">
        <v>2</v>
      </c>
      <c r="AG5787" s="54" t="s">
        <v>2</v>
      </c>
    </row>
    <row r="5788" ht="15.75" customHeight="1">
      <c r="B5788" s="56"/>
      <c r="U5788" s="46" t="str">
        <f t="array" ref="U5788">IF($D5788="","",IFERROR(_xlfn.XLOOKUP($D5788,'TIR店舗一覧'!$D:$D,'TIR店舗一覧'!$E:$E,""),""))</f>
        <v/>
      </c>
      <c r="V5788" s="54" t="s">
        <v>2</v>
      </c>
      <c r="W5788" s="54" t="s">
        <v>2</v>
      </c>
      <c r="X5788" s="54" t="s">
        <v>2</v>
      </c>
      <c r="Y5788" s="54" t="s">
        <v>2</v>
      </c>
      <c r="Z5788" s="54" t="s">
        <v>2</v>
      </c>
      <c r="AA5788" s="54" t="s">
        <v>2</v>
      </c>
      <c r="AB5788" s="54" t="s">
        <v>2</v>
      </c>
      <c r="AC5788" s="54" t="s">
        <v>2</v>
      </c>
      <c r="AD5788" s="54" t="s">
        <v>2</v>
      </c>
      <c r="AE5788" s="54" t="s">
        <v>2</v>
      </c>
      <c r="AF5788" s="54" t="s">
        <v>2</v>
      </c>
      <c r="AG5788" s="54" t="s">
        <v>2</v>
      </c>
    </row>
    <row r="5789" ht="15.75" customHeight="1">
      <c r="B5789" s="56"/>
      <c r="U5789" s="46" t="str">
        <f t="array" ref="U5789">IF($D5789="","",IFERROR(_xlfn.XLOOKUP($D5789,'TIR店舗一覧'!$D:$D,'TIR店舗一覧'!$E:$E,""),""))</f>
        <v/>
      </c>
      <c r="V5789" s="54" t="s">
        <v>2</v>
      </c>
      <c r="W5789" s="54" t="s">
        <v>2</v>
      </c>
      <c r="X5789" s="54" t="s">
        <v>2</v>
      </c>
      <c r="Y5789" s="54" t="s">
        <v>2</v>
      </c>
      <c r="Z5789" s="54" t="s">
        <v>2</v>
      </c>
      <c r="AA5789" s="54" t="s">
        <v>2</v>
      </c>
      <c r="AB5789" s="54" t="s">
        <v>2</v>
      </c>
      <c r="AC5789" s="54" t="s">
        <v>2</v>
      </c>
      <c r="AD5789" s="54" t="s">
        <v>2</v>
      </c>
      <c r="AE5789" s="54" t="s">
        <v>2</v>
      </c>
      <c r="AF5789" s="54" t="s">
        <v>2</v>
      </c>
      <c r="AG5789" s="54" t="s">
        <v>2</v>
      </c>
    </row>
    <row r="5790" ht="15.75" customHeight="1">
      <c r="B5790" s="56"/>
      <c r="U5790" s="46" t="str">
        <f t="array" ref="U5790">IF($D5790="","",IFERROR(_xlfn.XLOOKUP($D5790,'TIR店舗一覧'!$D:$D,'TIR店舗一覧'!$E:$E,""),""))</f>
        <v/>
      </c>
      <c r="V5790" s="54" t="s">
        <v>2</v>
      </c>
      <c r="W5790" s="54" t="s">
        <v>2</v>
      </c>
      <c r="X5790" s="54" t="s">
        <v>2</v>
      </c>
      <c r="Y5790" s="54" t="s">
        <v>2</v>
      </c>
      <c r="Z5790" s="54" t="s">
        <v>2</v>
      </c>
      <c r="AA5790" s="54" t="s">
        <v>2</v>
      </c>
      <c r="AB5790" s="54" t="s">
        <v>2</v>
      </c>
      <c r="AC5790" s="54" t="s">
        <v>2</v>
      </c>
      <c r="AD5790" s="54" t="s">
        <v>2</v>
      </c>
      <c r="AE5790" s="54" t="s">
        <v>2</v>
      </c>
      <c r="AF5790" s="54" t="s">
        <v>2</v>
      </c>
      <c r="AG5790" s="54" t="s">
        <v>2</v>
      </c>
    </row>
    <row r="5791" ht="15.75" customHeight="1">
      <c r="B5791" s="56"/>
      <c r="U5791" s="46" t="str">
        <f t="array" ref="U5791">IF($D5791="","",IFERROR(_xlfn.XLOOKUP($D5791,'TIR店舗一覧'!$D:$D,'TIR店舗一覧'!$E:$E,""),""))</f>
        <v/>
      </c>
      <c r="V5791" s="54" t="s">
        <v>2</v>
      </c>
      <c r="W5791" s="54" t="s">
        <v>2</v>
      </c>
      <c r="X5791" s="54" t="s">
        <v>2</v>
      </c>
      <c r="Y5791" s="54" t="s">
        <v>2</v>
      </c>
      <c r="Z5791" s="54" t="s">
        <v>2</v>
      </c>
      <c r="AA5791" s="54" t="s">
        <v>2</v>
      </c>
      <c r="AB5791" s="54" t="s">
        <v>2</v>
      </c>
      <c r="AC5791" s="54" t="s">
        <v>2</v>
      </c>
      <c r="AD5791" s="54" t="s">
        <v>2</v>
      </c>
      <c r="AE5791" s="54" t="s">
        <v>2</v>
      </c>
      <c r="AF5791" s="54" t="s">
        <v>2</v>
      </c>
      <c r="AG5791" s="54" t="s">
        <v>2</v>
      </c>
    </row>
    <row r="5792" ht="15.75" customHeight="1">
      <c r="B5792" s="56"/>
      <c r="U5792" s="46" t="str">
        <f t="array" ref="U5792">IF($D5792="","",IFERROR(_xlfn.XLOOKUP($D5792,'TIR店舗一覧'!$D:$D,'TIR店舗一覧'!$E:$E,""),""))</f>
        <v/>
      </c>
      <c r="V5792" s="54" t="s">
        <v>2</v>
      </c>
      <c r="W5792" s="54" t="s">
        <v>2</v>
      </c>
      <c r="X5792" s="54" t="s">
        <v>2</v>
      </c>
      <c r="Y5792" s="54" t="s">
        <v>2</v>
      </c>
      <c r="Z5792" s="54" t="s">
        <v>2</v>
      </c>
      <c r="AA5792" s="54" t="s">
        <v>2</v>
      </c>
      <c r="AB5792" s="54" t="s">
        <v>2</v>
      </c>
      <c r="AC5792" s="54" t="s">
        <v>2</v>
      </c>
      <c r="AD5792" s="54" t="s">
        <v>2</v>
      </c>
      <c r="AE5792" s="54" t="s">
        <v>2</v>
      </c>
      <c r="AF5792" s="54" t="s">
        <v>2</v>
      </c>
      <c r="AG5792" s="54" t="s">
        <v>2</v>
      </c>
    </row>
    <row r="5793" ht="15.75" customHeight="1">
      <c r="B5793" s="56"/>
      <c r="U5793" s="46" t="str">
        <f t="array" ref="U5793">IF($D5793="","",IFERROR(_xlfn.XLOOKUP($D5793,'TIR店舗一覧'!$D:$D,'TIR店舗一覧'!$E:$E,""),""))</f>
        <v/>
      </c>
      <c r="V5793" s="54" t="s">
        <v>2</v>
      </c>
      <c r="W5793" s="54" t="s">
        <v>2</v>
      </c>
      <c r="X5793" s="54" t="s">
        <v>2</v>
      </c>
      <c r="Y5793" s="54" t="s">
        <v>2</v>
      </c>
      <c r="Z5793" s="54" t="s">
        <v>2</v>
      </c>
      <c r="AA5793" s="54" t="s">
        <v>2</v>
      </c>
      <c r="AB5793" s="54" t="s">
        <v>2</v>
      </c>
      <c r="AC5793" s="54" t="s">
        <v>2</v>
      </c>
      <c r="AD5793" s="54" t="s">
        <v>2</v>
      </c>
      <c r="AE5793" s="54" t="s">
        <v>2</v>
      </c>
      <c r="AF5793" s="54" t="s">
        <v>2</v>
      </c>
      <c r="AG5793" s="54" t="s">
        <v>2</v>
      </c>
    </row>
    <row r="5794" ht="15.75" customHeight="1">
      <c r="B5794" s="56"/>
      <c r="U5794" s="46" t="str">
        <f t="array" ref="U5794">IF($D5794="","",IFERROR(_xlfn.XLOOKUP($D5794,'TIR店舗一覧'!$D:$D,'TIR店舗一覧'!$E:$E,""),""))</f>
        <v/>
      </c>
      <c r="V5794" s="54" t="s">
        <v>2</v>
      </c>
      <c r="W5794" s="54" t="s">
        <v>2</v>
      </c>
      <c r="X5794" s="54" t="s">
        <v>2</v>
      </c>
      <c r="Y5794" s="54" t="s">
        <v>2</v>
      </c>
      <c r="Z5794" s="54" t="s">
        <v>2</v>
      </c>
      <c r="AA5794" s="54" t="s">
        <v>2</v>
      </c>
      <c r="AB5794" s="54" t="s">
        <v>2</v>
      </c>
      <c r="AC5794" s="54" t="s">
        <v>2</v>
      </c>
      <c r="AD5794" s="54" t="s">
        <v>2</v>
      </c>
      <c r="AE5794" s="54" t="s">
        <v>2</v>
      </c>
      <c r="AF5794" s="54" t="s">
        <v>2</v>
      </c>
      <c r="AG5794" s="54" t="s">
        <v>2</v>
      </c>
    </row>
    <row r="5795" ht="15.75" customHeight="1">
      <c r="B5795" s="56"/>
      <c r="U5795" s="46" t="str">
        <f t="array" ref="U5795">IF($D5795="","",IFERROR(_xlfn.XLOOKUP($D5795,'TIR店舗一覧'!$D:$D,'TIR店舗一覧'!$E:$E,""),""))</f>
        <v/>
      </c>
      <c r="V5795" s="54" t="s">
        <v>2</v>
      </c>
      <c r="W5795" s="54" t="s">
        <v>2</v>
      </c>
      <c r="X5795" s="54" t="s">
        <v>2</v>
      </c>
      <c r="Y5795" s="54" t="s">
        <v>2</v>
      </c>
      <c r="Z5795" s="54" t="s">
        <v>2</v>
      </c>
      <c r="AA5795" s="54" t="s">
        <v>2</v>
      </c>
      <c r="AB5795" s="54" t="s">
        <v>2</v>
      </c>
      <c r="AC5795" s="54" t="s">
        <v>2</v>
      </c>
      <c r="AD5795" s="54" t="s">
        <v>2</v>
      </c>
      <c r="AE5795" s="54" t="s">
        <v>2</v>
      </c>
      <c r="AF5795" s="54" t="s">
        <v>2</v>
      </c>
      <c r="AG5795" s="54" t="s">
        <v>2</v>
      </c>
    </row>
    <row r="5796" ht="15.75" customHeight="1">
      <c r="B5796" s="56"/>
      <c r="U5796" s="46" t="str">
        <f t="array" ref="U5796">IF($D5796="","",IFERROR(_xlfn.XLOOKUP($D5796,'TIR店舗一覧'!$D:$D,'TIR店舗一覧'!$E:$E,""),""))</f>
        <v/>
      </c>
      <c r="V5796" s="54" t="s">
        <v>2</v>
      </c>
      <c r="W5796" s="54" t="s">
        <v>2</v>
      </c>
      <c r="X5796" s="54" t="s">
        <v>2</v>
      </c>
      <c r="Y5796" s="54" t="s">
        <v>2</v>
      </c>
      <c r="Z5796" s="54" t="s">
        <v>2</v>
      </c>
      <c r="AA5796" s="54" t="s">
        <v>2</v>
      </c>
      <c r="AB5796" s="54" t="s">
        <v>2</v>
      </c>
      <c r="AC5796" s="54" t="s">
        <v>2</v>
      </c>
      <c r="AD5796" s="54" t="s">
        <v>2</v>
      </c>
      <c r="AE5796" s="54" t="s">
        <v>2</v>
      </c>
      <c r="AF5796" s="54" t="s">
        <v>2</v>
      </c>
      <c r="AG5796" s="54" t="s">
        <v>2</v>
      </c>
    </row>
    <row r="5797" ht="15.75" customHeight="1">
      <c r="B5797" s="56"/>
      <c r="U5797" s="46" t="str">
        <f t="array" ref="U5797">IF($D5797="","",IFERROR(_xlfn.XLOOKUP($D5797,'TIR店舗一覧'!$D:$D,'TIR店舗一覧'!$E:$E,""),""))</f>
        <v/>
      </c>
      <c r="V5797" s="54" t="s">
        <v>2</v>
      </c>
      <c r="W5797" s="54" t="s">
        <v>2</v>
      </c>
      <c r="X5797" s="54" t="s">
        <v>2</v>
      </c>
      <c r="Y5797" s="54" t="s">
        <v>2</v>
      </c>
      <c r="Z5797" s="54" t="s">
        <v>2</v>
      </c>
      <c r="AA5797" s="54" t="s">
        <v>2</v>
      </c>
      <c r="AB5797" s="54" t="s">
        <v>2</v>
      </c>
      <c r="AC5797" s="54" t="s">
        <v>2</v>
      </c>
      <c r="AD5797" s="54" t="s">
        <v>2</v>
      </c>
      <c r="AE5797" s="54" t="s">
        <v>2</v>
      </c>
      <c r="AF5797" s="54" t="s">
        <v>2</v>
      </c>
      <c r="AG5797" s="54" t="s">
        <v>2</v>
      </c>
    </row>
    <row r="5798" ht="15.75" customHeight="1">
      <c r="B5798" s="56"/>
      <c r="U5798" s="46" t="str">
        <f t="array" ref="U5798">IF($D5798="","",IFERROR(_xlfn.XLOOKUP($D5798,'TIR店舗一覧'!$D:$D,'TIR店舗一覧'!$E:$E,""),""))</f>
        <v/>
      </c>
      <c r="V5798" s="54" t="s">
        <v>2</v>
      </c>
      <c r="W5798" s="54" t="s">
        <v>2</v>
      </c>
      <c r="X5798" s="54" t="s">
        <v>2</v>
      </c>
      <c r="Y5798" s="54" t="s">
        <v>2</v>
      </c>
      <c r="Z5798" s="54" t="s">
        <v>2</v>
      </c>
      <c r="AA5798" s="54" t="s">
        <v>2</v>
      </c>
      <c r="AB5798" s="54" t="s">
        <v>2</v>
      </c>
      <c r="AC5798" s="54" t="s">
        <v>2</v>
      </c>
      <c r="AD5798" s="54" t="s">
        <v>2</v>
      </c>
      <c r="AE5798" s="54" t="s">
        <v>2</v>
      </c>
      <c r="AF5798" s="54" t="s">
        <v>2</v>
      </c>
      <c r="AG5798" s="54" t="s">
        <v>2</v>
      </c>
    </row>
    <row r="5799" ht="15.75" customHeight="1">
      <c r="B5799" s="56"/>
      <c r="U5799" s="46" t="str">
        <f t="array" ref="U5799">IF($D5799="","",IFERROR(_xlfn.XLOOKUP($D5799,'TIR店舗一覧'!$D:$D,'TIR店舗一覧'!$E:$E,""),""))</f>
        <v/>
      </c>
      <c r="V5799" s="54" t="s">
        <v>2</v>
      </c>
      <c r="W5799" s="54" t="s">
        <v>2</v>
      </c>
      <c r="X5799" s="54" t="s">
        <v>2</v>
      </c>
      <c r="Y5799" s="54" t="s">
        <v>2</v>
      </c>
      <c r="Z5799" s="54" t="s">
        <v>2</v>
      </c>
      <c r="AA5799" s="54" t="s">
        <v>2</v>
      </c>
      <c r="AB5799" s="54" t="s">
        <v>2</v>
      </c>
      <c r="AC5799" s="54" t="s">
        <v>2</v>
      </c>
      <c r="AD5799" s="54" t="s">
        <v>2</v>
      </c>
      <c r="AE5799" s="54" t="s">
        <v>2</v>
      </c>
      <c r="AF5799" s="54" t="s">
        <v>2</v>
      </c>
      <c r="AG5799" s="54" t="s">
        <v>2</v>
      </c>
    </row>
    <row r="5800" ht="15.75" customHeight="1">
      <c r="B5800" s="56"/>
      <c r="U5800" s="46" t="str">
        <f t="array" ref="U5800">IF($D5800="","",IFERROR(_xlfn.XLOOKUP($D5800,'TIR店舗一覧'!$D:$D,'TIR店舗一覧'!$E:$E,""),""))</f>
        <v/>
      </c>
      <c r="V5800" s="54" t="s">
        <v>2</v>
      </c>
      <c r="W5800" s="54" t="s">
        <v>2</v>
      </c>
      <c r="X5800" s="54" t="s">
        <v>2</v>
      </c>
      <c r="Y5800" s="54" t="s">
        <v>2</v>
      </c>
      <c r="Z5800" s="54" t="s">
        <v>2</v>
      </c>
      <c r="AA5800" s="54" t="s">
        <v>2</v>
      </c>
      <c r="AB5800" s="54" t="s">
        <v>2</v>
      </c>
      <c r="AC5800" s="54" t="s">
        <v>2</v>
      </c>
      <c r="AD5800" s="54" t="s">
        <v>2</v>
      </c>
      <c r="AE5800" s="54" t="s">
        <v>2</v>
      </c>
      <c r="AF5800" s="54" t="s">
        <v>2</v>
      </c>
      <c r="AG5800" s="54" t="s">
        <v>2</v>
      </c>
    </row>
    <row r="5801" ht="15.75" customHeight="1">
      <c r="B5801" s="56"/>
      <c r="U5801" s="46" t="str">
        <f t="array" ref="U5801">IF($D5801="","",IFERROR(_xlfn.XLOOKUP($D5801,'TIR店舗一覧'!$D:$D,'TIR店舗一覧'!$E:$E,""),""))</f>
        <v/>
      </c>
      <c r="V5801" s="54" t="s">
        <v>2</v>
      </c>
      <c r="W5801" s="54" t="s">
        <v>2</v>
      </c>
      <c r="X5801" s="54" t="s">
        <v>2</v>
      </c>
      <c r="Y5801" s="54" t="s">
        <v>2</v>
      </c>
      <c r="Z5801" s="54" t="s">
        <v>2</v>
      </c>
      <c r="AA5801" s="54" t="s">
        <v>2</v>
      </c>
      <c r="AB5801" s="54" t="s">
        <v>2</v>
      </c>
      <c r="AC5801" s="54" t="s">
        <v>2</v>
      </c>
      <c r="AD5801" s="54" t="s">
        <v>2</v>
      </c>
      <c r="AE5801" s="54" t="s">
        <v>2</v>
      </c>
      <c r="AF5801" s="54" t="s">
        <v>2</v>
      </c>
      <c r="AG5801" s="54" t="s">
        <v>2</v>
      </c>
    </row>
    <row r="5802" ht="15.75" customHeight="1">
      <c r="B5802" s="56"/>
      <c r="U5802" s="46" t="str">
        <f t="array" ref="U5802">IF($D5802="","",IFERROR(_xlfn.XLOOKUP($D5802,'TIR店舗一覧'!$D:$D,'TIR店舗一覧'!$E:$E,""),""))</f>
        <v/>
      </c>
      <c r="V5802" s="54" t="s">
        <v>2</v>
      </c>
      <c r="W5802" s="54" t="s">
        <v>2</v>
      </c>
      <c r="X5802" s="54" t="s">
        <v>2</v>
      </c>
      <c r="Y5802" s="54" t="s">
        <v>2</v>
      </c>
      <c r="Z5802" s="54" t="s">
        <v>2</v>
      </c>
      <c r="AA5802" s="54" t="s">
        <v>2</v>
      </c>
      <c r="AB5802" s="54" t="s">
        <v>2</v>
      </c>
      <c r="AC5802" s="54" t="s">
        <v>2</v>
      </c>
      <c r="AD5802" s="54" t="s">
        <v>2</v>
      </c>
      <c r="AE5802" s="54" t="s">
        <v>2</v>
      </c>
      <c r="AF5802" s="54" t="s">
        <v>2</v>
      </c>
      <c r="AG5802" s="54" t="s">
        <v>2</v>
      </c>
    </row>
    <row r="5803" ht="15.75" customHeight="1">
      <c r="B5803" s="56"/>
      <c r="U5803" s="46" t="str">
        <f t="array" ref="U5803">IF($D5803="","",IFERROR(_xlfn.XLOOKUP($D5803,'TIR店舗一覧'!$D:$D,'TIR店舗一覧'!$E:$E,""),""))</f>
        <v/>
      </c>
      <c r="V5803" s="54" t="s">
        <v>2</v>
      </c>
      <c r="W5803" s="54" t="s">
        <v>2</v>
      </c>
      <c r="X5803" s="54" t="s">
        <v>2</v>
      </c>
      <c r="Y5803" s="54" t="s">
        <v>2</v>
      </c>
      <c r="Z5803" s="54" t="s">
        <v>2</v>
      </c>
      <c r="AA5803" s="54" t="s">
        <v>2</v>
      </c>
      <c r="AB5803" s="54" t="s">
        <v>2</v>
      </c>
      <c r="AC5803" s="54" t="s">
        <v>2</v>
      </c>
      <c r="AD5803" s="54" t="s">
        <v>2</v>
      </c>
      <c r="AE5803" s="54" t="s">
        <v>2</v>
      </c>
      <c r="AF5803" s="54" t="s">
        <v>2</v>
      </c>
      <c r="AG5803" s="54" t="s">
        <v>2</v>
      </c>
    </row>
    <row r="5804" ht="15.75" customHeight="1">
      <c r="B5804" s="56"/>
      <c r="U5804" s="46" t="str">
        <f t="array" ref="U5804">IF($D5804="","",IFERROR(_xlfn.XLOOKUP($D5804,'TIR店舗一覧'!$D:$D,'TIR店舗一覧'!$E:$E,""),""))</f>
        <v/>
      </c>
      <c r="V5804" s="54" t="s">
        <v>2</v>
      </c>
      <c r="W5804" s="54" t="s">
        <v>2</v>
      </c>
      <c r="X5804" s="54" t="s">
        <v>2</v>
      </c>
      <c r="Y5804" s="54" t="s">
        <v>2</v>
      </c>
      <c r="Z5804" s="54" t="s">
        <v>2</v>
      </c>
      <c r="AA5804" s="54" t="s">
        <v>2</v>
      </c>
      <c r="AB5804" s="54" t="s">
        <v>2</v>
      </c>
      <c r="AC5804" s="54" t="s">
        <v>2</v>
      </c>
      <c r="AD5804" s="54" t="s">
        <v>2</v>
      </c>
      <c r="AE5804" s="54" t="s">
        <v>2</v>
      </c>
      <c r="AF5804" s="54" t="s">
        <v>2</v>
      </c>
      <c r="AG5804" s="54" t="s">
        <v>2</v>
      </c>
    </row>
    <row r="5805" ht="15.75" customHeight="1">
      <c r="B5805" s="56"/>
      <c r="U5805" s="46" t="str">
        <f t="array" ref="U5805">IF($D5805="","",IFERROR(_xlfn.XLOOKUP($D5805,'TIR店舗一覧'!$D:$D,'TIR店舗一覧'!$E:$E,""),""))</f>
        <v/>
      </c>
      <c r="V5805" s="54" t="s">
        <v>2</v>
      </c>
      <c r="W5805" s="54" t="s">
        <v>2</v>
      </c>
      <c r="X5805" s="54" t="s">
        <v>2</v>
      </c>
      <c r="Y5805" s="54" t="s">
        <v>2</v>
      </c>
      <c r="Z5805" s="54" t="s">
        <v>2</v>
      </c>
      <c r="AA5805" s="54" t="s">
        <v>2</v>
      </c>
      <c r="AB5805" s="54" t="s">
        <v>2</v>
      </c>
      <c r="AC5805" s="54" t="s">
        <v>2</v>
      </c>
      <c r="AD5805" s="54" t="s">
        <v>2</v>
      </c>
      <c r="AE5805" s="54" t="s">
        <v>2</v>
      </c>
      <c r="AF5805" s="54" t="s">
        <v>2</v>
      </c>
      <c r="AG5805" s="54" t="s">
        <v>2</v>
      </c>
    </row>
    <row r="5806" ht="15.75" customHeight="1">
      <c r="B5806" s="56"/>
      <c r="U5806" s="46" t="str">
        <f t="array" ref="U5806">IF($D5806="","",IFERROR(_xlfn.XLOOKUP($D5806,'TIR店舗一覧'!$D:$D,'TIR店舗一覧'!$E:$E,""),""))</f>
        <v/>
      </c>
      <c r="V5806" s="54" t="s">
        <v>2</v>
      </c>
      <c r="W5806" s="54" t="s">
        <v>2</v>
      </c>
      <c r="X5806" s="54" t="s">
        <v>2</v>
      </c>
      <c r="Y5806" s="54" t="s">
        <v>2</v>
      </c>
      <c r="Z5806" s="54" t="s">
        <v>2</v>
      </c>
      <c r="AA5806" s="54" t="s">
        <v>2</v>
      </c>
      <c r="AB5806" s="54" t="s">
        <v>2</v>
      </c>
      <c r="AC5806" s="54" t="s">
        <v>2</v>
      </c>
      <c r="AD5806" s="54" t="s">
        <v>2</v>
      </c>
      <c r="AE5806" s="54" t="s">
        <v>2</v>
      </c>
      <c r="AF5806" s="54" t="s">
        <v>2</v>
      </c>
      <c r="AG5806" s="54" t="s">
        <v>2</v>
      </c>
    </row>
    <row r="5807" ht="15.75" customHeight="1">
      <c r="B5807" s="56"/>
      <c r="U5807" s="46" t="str">
        <f t="array" ref="U5807">IF($D5807="","",IFERROR(_xlfn.XLOOKUP($D5807,'TIR店舗一覧'!$D:$D,'TIR店舗一覧'!$E:$E,""),""))</f>
        <v/>
      </c>
      <c r="V5807" s="54" t="s">
        <v>2</v>
      </c>
      <c r="W5807" s="54" t="s">
        <v>2</v>
      </c>
      <c r="X5807" s="54" t="s">
        <v>2</v>
      </c>
      <c r="Y5807" s="54" t="s">
        <v>2</v>
      </c>
      <c r="Z5807" s="54" t="s">
        <v>2</v>
      </c>
      <c r="AA5807" s="54" t="s">
        <v>2</v>
      </c>
      <c r="AB5807" s="54" t="s">
        <v>2</v>
      </c>
      <c r="AC5807" s="54" t="s">
        <v>2</v>
      </c>
      <c r="AD5807" s="54" t="s">
        <v>2</v>
      </c>
      <c r="AE5807" s="54" t="s">
        <v>2</v>
      </c>
      <c r="AF5807" s="54" t="s">
        <v>2</v>
      </c>
      <c r="AG5807" s="54" t="s">
        <v>2</v>
      </c>
    </row>
    <row r="5808" ht="15.75" customHeight="1">
      <c r="B5808" s="56"/>
      <c r="U5808" s="46" t="str">
        <f t="array" ref="U5808">IF($D5808="","",IFERROR(_xlfn.XLOOKUP($D5808,'TIR店舗一覧'!$D:$D,'TIR店舗一覧'!$E:$E,""),""))</f>
        <v/>
      </c>
      <c r="V5808" s="54" t="s">
        <v>2</v>
      </c>
      <c r="W5808" s="54" t="s">
        <v>2</v>
      </c>
      <c r="X5808" s="54" t="s">
        <v>2</v>
      </c>
      <c r="Y5808" s="54" t="s">
        <v>2</v>
      </c>
      <c r="Z5808" s="54" t="s">
        <v>2</v>
      </c>
      <c r="AA5808" s="54" t="s">
        <v>2</v>
      </c>
      <c r="AB5808" s="54" t="s">
        <v>2</v>
      </c>
      <c r="AC5808" s="54" t="s">
        <v>2</v>
      </c>
      <c r="AD5808" s="54" t="s">
        <v>2</v>
      </c>
      <c r="AE5808" s="54" t="s">
        <v>2</v>
      </c>
      <c r="AF5808" s="54" t="s">
        <v>2</v>
      </c>
      <c r="AG5808" s="54" t="s">
        <v>2</v>
      </c>
    </row>
    <row r="5809" ht="15.75" customHeight="1">
      <c r="B5809" s="56"/>
      <c r="U5809" s="46" t="str">
        <f t="array" ref="U5809">IF($D5809="","",IFERROR(_xlfn.XLOOKUP($D5809,'TIR店舗一覧'!$D:$D,'TIR店舗一覧'!$E:$E,""),""))</f>
        <v/>
      </c>
      <c r="V5809" s="54" t="s">
        <v>2</v>
      </c>
      <c r="W5809" s="54" t="s">
        <v>2</v>
      </c>
      <c r="X5809" s="54" t="s">
        <v>2</v>
      </c>
      <c r="Y5809" s="54" t="s">
        <v>2</v>
      </c>
      <c r="Z5809" s="54" t="s">
        <v>2</v>
      </c>
      <c r="AA5809" s="54" t="s">
        <v>2</v>
      </c>
      <c r="AB5809" s="54" t="s">
        <v>2</v>
      </c>
      <c r="AC5809" s="54" t="s">
        <v>2</v>
      </c>
      <c r="AD5809" s="54" t="s">
        <v>2</v>
      </c>
      <c r="AE5809" s="54" t="s">
        <v>2</v>
      </c>
      <c r="AF5809" s="54" t="s">
        <v>2</v>
      </c>
      <c r="AG5809" s="54" t="s">
        <v>2</v>
      </c>
    </row>
    <row r="5810" ht="15.75" customHeight="1">
      <c r="B5810" s="56"/>
      <c r="U5810" s="46" t="str">
        <f t="array" ref="U5810">IF($D5810="","",IFERROR(_xlfn.XLOOKUP($D5810,'TIR店舗一覧'!$D:$D,'TIR店舗一覧'!$E:$E,""),""))</f>
        <v/>
      </c>
      <c r="V5810" s="54" t="s">
        <v>2</v>
      </c>
      <c r="W5810" s="54" t="s">
        <v>2</v>
      </c>
      <c r="X5810" s="54" t="s">
        <v>2</v>
      </c>
      <c r="Y5810" s="54" t="s">
        <v>2</v>
      </c>
      <c r="Z5810" s="54" t="s">
        <v>2</v>
      </c>
      <c r="AA5810" s="54" t="s">
        <v>2</v>
      </c>
      <c r="AB5810" s="54" t="s">
        <v>2</v>
      </c>
      <c r="AC5810" s="54" t="s">
        <v>2</v>
      </c>
      <c r="AD5810" s="54" t="s">
        <v>2</v>
      </c>
      <c r="AE5810" s="54" t="s">
        <v>2</v>
      </c>
      <c r="AF5810" s="54" t="s">
        <v>2</v>
      </c>
      <c r="AG5810" s="54" t="s">
        <v>2</v>
      </c>
    </row>
    <row r="5811" ht="15.75" customHeight="1">
      <c r="B5811" s="56"/>
      <c r="U5811" s="46" t="str">
        <f t="array" ref="U5811">IF($D5811="","",IFERROR(_xlfn.XLOOKUP($D5811,'TIR店舗一覧'!$D:$D,'TIR店舗一覧'!$E:$E,""),""))</f>
        <v/>
      </c>
      <c r="V5811" s="54" t="s">
        <v>2</v>
      </c>
      <c r="W5811" s="54" t="s">
        <v>2</v>
      </c>
      <c r="X5811" s="54" t="s">
        <v>2</v>
      </c>
      <c r="Y5811" s="54" t="s">
        <v>2</v>
      </c>
      <c r="Z5811" s="54" t="s">
        <v>2</v>
      </c>
      <c r="AA5811" s="54" t="s">
        <v>2</v>
      </c>
      <c r="AB5811" s="54" t="s">
        <v>2</v>
      </c>
      <c r="AC5811" s="54" t="s">
        <v>2</v>
      </c>
      <c r="AD5811" s="54" t="s">
        <v>2</v>
      </c>
      <c r="AE5811" s="54" t="s">
        <v>2</v>
      </c>
      <c r="AF5811" s="54" t="s">
        <v>2</v>
      </c>
      <c r="AG5811" s="54" t="s">
        <v>2</v>
      </c>
    </row>
    <row r="5812" ht="15.75" customHeight="1">
      <c r="B5812" s="56"/>
      <c r="U5812" s="46" t="str">
        <f t="array" ref="U5812">IF($D5812="","",IFERROR(_xlfn.XLOOKUP($D5812,'TIR店舗一覧'!$D:$D,'TIR店舗一覧'!$E:$E,""),""))</f>
        <v/>
      </c>
      <c r="V5812" s="54" t="s">
        <v>2</v>
      </c>
      <c r="W5812" s="54" t="s">
        <v>2</v>
      </c>
      <c r="X5812" s="54" t="s">
        <v>2</v>
      </c>
      <c r="Y5812" s="54" t="s">
        <v>2</v>
      </c>
      <c r="Z5812" s="54" t="s">
        <v>2</v>
      </c>
      <c r="AA5812" s="54" t="s">
        <v>2</v>
      </c>
      <c r="AB5812" s="54" t="s">
        <v>2</v>
      </c>
      <c r="AC5812" s="54" t="s">
        <v>2</v>
      </c>
      <c r="AD5812" s="54" t="s">
        <v>2</v>
      </c>
      <c r="AE5812" s="54" t="s">
        <v>2</v>
      </c>
      <c r="AF5812" s="54" t="s">
        <v>2</v>
      </c>
      <c r="AG5812" s="54" t="s">
        <v>2</v>
      </c>
    </row>
    <row r="5813" ht="15.75" customHeight="1">
      <c r="B5813" s="56"/>
      <c r="U5813" s="46" t="str">
        <f t="array" ref="U5813">IF($D5813="","",IFERROR(_xlfn.XLOOKUP($D5813,'TIR店舗一覧'!$D:$D,'TIR店舗一覧'!$E:$E,""),""))</f>
        <v/>
      </c>
      <c r="V5813" s="54" t="s">
        <v>2</v>
      </c>
      <c r="W5813" s="54" t="s">
        <v>2</v>
      </c>
      <c r="X5813" s="54" t="s">
        <v>2</v>
      </c>
      <c r="Y5813" s="54" t="s">
        <v>2</v>
      </c>
      <c r="Z5813" s="54" t="s">
        <v>2</v>
      </c>
      <c r="AA5813" s="54" t="s">
        <v>2</v>
      </c>
      <c r="AB5813" s="54" t="s">
        <v>2</v>
      </c>
      <c r="AC5813" s="54" t="s">
        <v>2</v>
      </c>
      <c r="AD5813" s="54" t="s">
        <v>2</v>
      </c>
      <c r="AE5813" s="54" t="s">
        <v>2</v>
      </c>
      <c r="AF5813" s="54" t="s">
        <v>2</v>
      </c>
      <c r="AG5813" s="54" t="s">
        <v>2</v>
      </c>
    </row>
    <row r="5814" ht="15.75" customHeight="1">
      <c r="B5814" s="56"/>
      <c r="U5814" s="46" t="str">
        <f t="array" ref="U5814">IF($D5814="","",IFERROR(_xlfn.XLOOKUP($D5814,'TIR店舗一覧'!$D:$D,'TIR店舗一覧'!$E:$E,""),""))</f>
        <v/>
      </c>
      <c r="V5814" s="54" t="s">
        <v>2</v>
      </c>
      <c r="W5814" s="54" t="s">
        <v>2</v>
      </c>
      <c r="X5814" s="54" t="s">
        <v>2</v>
      </c>
      <c r="Y5814" s="54" t="s">
        <v>2</v>
      </c>
      <c r="Z5814" s="54" t="s">
        <v>2</v>
      </c>
      <c r="AA5814" s="54" t="s">
        <v>2</v>
      </c>
      <c r="AB5814" s="54" t="s">
        <v>2</v>
      </c>
      <c r="AC5814" s="54" t="s">
        <v>2</v>
      </c>
      <c r="AD5814" s="54" t="s">
        <v>2</v>
      </c>
      <c r="AE5814" s="54" t="s">
        <v>2</v>
      </c>
      <c r="AF5814" s="54" t="s">
        <v>2</v>
      </c>
      <c r="AG5814" s="54" t="s">
        <v>2</v>
      </c>
    </row>
    <row r="5815" ht="15.75" customHeight="1">
      <c r="B5815" s="56"/>
      <c r="U5815" s="46" t="str">
        <f t="array" ref="U5815">IF($D5815="","",IFERROR(_xlfn.XLOOKUP($D5815,'TIR店舗一覧'!$D:$D,'TIR店舗一覧'!$E:$E,""),""))</f>
        <v/>
      </c>
      <c r="V5815" s="54" t="s">
        <v>2</v>
      </c>
      <c r="W5815" s="54" t="s">
        <v>2</v>
      </c>
      <c r="X5815" s="54" t="s">
        <v>2</v>
      </c>
      <c r="Y5815" s="54" t="s">
        <v>2</v>
      </c>
      <c r="Z5815" s="54" t="s">
        <v>2</v>
      </c>
      <c r="AA5815" s="54" t="s">
        <v>2</v>
      </c>
      <c r="AB5815" s="54" t="s">
        <v>2</v>
      </c>
      <c r="AC5815" s="54" t="s">
        <v>2</v>
      </c>
      <c r="AD5815" s="54" t="s">
        <v>2</v>
      </c>
      <c r="AE5815" s="54" t="s">
        <v>2</v>
      </c>
      <c r="AF5815" s="54" t="s">
        <v>2</v>
      </c>
      <c r="AG5815" s="54" t="s">
        <v>2</v>
      </c>
    </row>
    <row r="5816" ht="15.75" customHeight="1">
      <c r="B5816" s="56"/>
      <c r="U5816" s="46" t="str">
        <f t="array" ref="U5816">IF($D5816="","",IFERROR(_xlfn.XLOOKUP($D5816,'TIR店舗一覧'!$D:$D,'TIR店舗一覧'!$E:$E,""),""))</f>
        <v/>
      </c>
      <c r="V5816" s="54" t="s">
        <v>2</v>
      </c>
      <c r="W5816" s="54" t="s">
        <v>2</v>
      </c>
      <c r="X5816" s="54" t="s">
        <v>2</v>
      </c>
      <c r="Y5816" s="54" t="s">
        <v>2</v>
      </c>
      <c r="Z5816" s="54" t="s">
        <v>2</v>
      </c>
      <c r="AA5816" s="54" t="s">
        <v>2</v>
      </c>
      <c r="AB5816" s="54" t="s">
        <v>2</v>
      </c>
      <c r="AC5816" s="54" t="s">
        <v>2</v>
      </c>
      <c r="AD5816" s="54" t="s">
        <v>2</v>
      </c>
      <c r="AE5816" s="54" t="s">
        <v>2</v>
      </c>
      <c r="AF5816" s="54" t="s">
        <v>2</v>
      </c>
      <c r="AG5816" s="54" t="s">
        <v>2</v>
      </c>
    </row>
    <row r="5817" ht="15.75" customHeight="1">
      <c r="B5817" s="56"/>
      <c r="U5817" s="46" t="str">
        <f t="array" ref="U5817">IF($D5817="","",IFERROR(_xlfn.XLOOKUP($D5817,'TIR店舗一覧'!$D:$D,'TIR店舗一覧'!$E:$E,""),""))</f>
        <v/>
      </c>
      <c r="V5817" s="54" t="s">
        <v>2</v>
      </c>
      <c r="W5817" s="54" t="s">
        <v>2</v>
      </c>
      <c r="X5817" s="54" t="s">
        <v>2</v>
      </c>
      <c r="Y5817" s="54" t="s">
        <v>2</v>
      </c>
      <c r="Z5817" s="54" t="s">
        <v>2</v>
      </c>
      <c r="AA5817" s="54" t="s">
        <v>2</v>
      </c>
      <c r="AB5817" s="54" t="s">
        <v>2</v>
      </c>
      <c r="AC5817" s="54" t="s">
        <v>2</v>
      </c>
      <c r="AD5817" s="54" t="s">
        <v>2</v>
      </c>
      <c r="AE5817" s="54" t="s">
        <v>2</v>
      </c>
      <c r="AF5817" s="54" t="s">
        <v>2</v>
      </c>
      <c r="AG5817" s="54" t="s">
        <v>2</v>
      </c>
    </row>
    <row r="5818" ht="15.75" customHeight="1">
      <c r="B5818" s="56"/>
      <c r="U5818" s="46" t="str">
        <f t="array" ref="U5818">IF($D5818="","",IFERROR(_xlfn.XLOOKUP($D5818,'TIR店舗一覧'!$D:$D,'TIR店舗一覧'!$E:$E,""),""))</f>
        <v/>
      </c>
      <c r="V5818" s="54" t="s">
        <v>2</v>
      </c>
      <c r="W5818" s="54" t="s">
        <v>2</v>
      </c>
      <c r="X5818" s="54" t="s">
        <v>2</v>
      </c>
      <c r="Y5818" s="54" t="s">
        <v>2</v>
      </c>
      <c r="Z5818" s="54" t="s">
        <v>2</v>
      </c>
      <c r="AA5818" s="54" t="s">
        <v>2</v>
      </c>
      <c r="AB5818" s="54" t="s">
        <v>2</v>
      </c>
      <c r="AC5818" s="54" t="s">
        <v>2</v>
      </c>
      <c r="AD5818" s="54" t="s">
        <v>2</v>
      </c>
      <c r="AE5818" s="54" t="s">
        <v>2</v>
      </c>
      <c r="AF5818" s="54" t="s">
        <v>2</v>
      </c>
      <c r="AG5818" s="54" t="s">
        <v>2</v>
      </c>
    </row>
    <row r="5819" ht="15.75" customHeight="1">
      <c r="B5819" s="56"/>
      <c r="U5819" s="46" t="str">
        <f t="array" ref="U5819">IF($D5819="","",IFERROR(_xlfn.XLOOKUP($D5819,'TIR店舗一覧'!$D:$D,'TIR店舗一覧'!$E:$E,""),""))</f>
        <v/>
      </c>
      <c r="V5819" s="54" t="s">
        <v>2</v>
      </c>
      <c r="W5819" s="54" t="s">
        <v>2</v>
      </c>
      <c r="X5819" s="54" t="s">
        <v>2</v>
      </c>
      <c r="Y5819" s="54" t="s">
        <v>2</v>
      </c>
      <c r="Z5819" s="54" t="s">
        <v>2</v>
      </c>
      <c r="AA5819" s="54" t="s">
        <v>2</v>
      </c>
      <c r="AB5819" s="54" t="s">
        <v>2</v>
      </c>
      <c r="AC5819" s="54" t="s">
        <v>2</v>
      </c>
      <c r="AD5819" s="54" t="s">
        <v>2</v>
      </c>
      <c r="AE5819" s="54" t="s">
        <v>2</v>
      </c>
      <c r="AF5819" s="54" t="s">
        <v>2</v>
      </c>
      <c r="AG5819" s="54" t="s">
        <v>2</v>
      </c>
    </row>
    <row r="5820" ht="15.75" customHeight="1">
      <c r="B5820" s="56"/>
      <c r="U5820" s="46" t="str">
        <f t="array" ref="U5820">IF($D5820="","",IFERROR(_xlfn.XLOOKUP($D5820,'TIR店舗一覧'!$D:$D,'TIR店舗一覧'!$E:$E,""),""))</f>
        <v/>
      </c>
      <c r="V5820" s="54" t="s">
        <v>2</v>
      </c>
      <c r="W5820" s="54" t="s">
        <v>2</v>
      </c>
      <c r="X5820" s="54" t="s">
        <v>2</v>
      </c>
      <c r="Y5820" s="54" t="s">
        <v>2</v>
      </c>
      <c r="Z5820" s="54" t="s">
        <v>2</v>
      </c>
      <c r="AA5820" s="54" t="s">
        <v>2</v>
      </c>
      <c r="AB5820" s="54" t="s">
        <v>2</v>
      </c>
      <c r="AC5820" s="54" t="s">
        <v>2</v>
      </c>
      <c r="AD5820" s="54" t="s">
        <v>2</v>
      </c>
      <c r="AE5820" s="54" t="s">
        <v>2</v>
      </c>
      <c r="AF5820" s="54" t="s">
        <v>2</v>
      </c>
      <c r="AG5820" s="54" t="s">
        <v>2</v>
      </c>
    </row>
    <row r="5821" ht="15.75" customHeight="1">
      <c r="B5821" s="56"/>
      <c r="U5821" s="46" t="str">
        <f t="array" ref="U5821">IF($D5821="","",IFERROR(_xlfn.XLOOKUP($D5821,'TIR店舗一覧'!$D:$D,'TIR店舗一覧'!$E:$E,""),""))</f>
        <v/>
      </c>
      <c r="V5821" s="54" t="s">
        <v>2</v>
      </c>
      <c r="W5821" s="54" t="s">
        <v>2</v>
      </c>
      <c r="X5821" s="54" t="s">
        <v>2</v>
      </c>
      <c r="Y5821" s="54" t="s">
        <v>2</v>
      </c>
      <c r="Z5821" s="54" t="s">
        <v>2</v>
      </c>
      <c r="AA5821" s="54" t="s">
        <v>2</v>
      </c>
      <c r="AB5821" s="54" t="s">
        <v>2</v>
      </c>
      <c r="AC5821" s="54" t="s">
        <v>2</v>
      </c>
      <c r="AD5821" s="54" t="s">
        <v>2</v>
      </c>
      <c r="AE5821" s="54" t="s">
        <v>2</v>
      </c>
      <c r="AF5821" s="54" t="s">
        <v>2</v>
      </c>
      <c r="AG5821" s="54" t="s">
        <v>2</v>
      </c>
    </row>
    <row r="5822" ht="15.75" customHeight="1">
      <c r="B5822" s="56"/>
      <c r="U5822" s="46" t="str">
        <f t="array" ref="U5822">IF($D5822="","",IFERROR(_xlfn.XLOOKUP($D5822,'TIR店舗一覧'!$D:$D,'TIR店舗一覧'!$E:$E,""),""))</f>
        <v/>
      </c>
      <c r="V5822" s="54" t="s">
        <v>2</v>
      </c>
      <c r="W5822" s="54" t="s">
        <v>2</v>
      </c>
      <c r="X5822" s="54" t="s">
        <v>2</v>
      </c>
      <c r="Y5822" s="54" t="s">
        <v>2</v>
      </c>
      <c r="Z5822" s="54" t="s">
        <v>2</v>
      </c>
      <c r="AA5822" s="54" t="s">
        <v>2</v>
      </c>
      <c r="AB5822" s="54" t="s">
        <v>2</v>
      </c>
      <c r="AC5822" s="54" t="s">
        <v>2</v>
      </c>
      <c r="AD5822" s="54" t="s">
        <v>2</v>
      </c>
      <c r="AE5822" s="54" t="s">
        <v>2</v>
      </c>
      <c r="AF5822" s="54" t="s">
        <v>2</v>
      </c>
      <c r="AG5822" s="54" t="s">
        <v>2</v>
      </c>
    </row>
    <row r="5823" ht="15.75" customHeight="1">
      <c r="B5823" s="56"/>
      <c r="U5823" s="46" t="str">
        <f t="array" ref="U5823">IF($D5823="","",IFERROR(_xlfn.XLOOKUP($D5823,'TIR店舗一覧'!$D:$D,'TIR店舗一覧'!$E:$E,""),""))</f>
        <v/>
      </c>
      <c r="V5823" s="54" t="s">
        <v>2</v>
      </c>
      <c r="W5823" s="54" t="s">
        <v>2</v>
      </c>
      <c r="X5823" s="54" t="s">
        <v>2</v>
      </c>
      <c r="Y5823" s="54" t="s">
        <v>2</v>
      </c>
      <c r="Z5823" s="54" t="s">
        <v>2</v>
      </c>
      <c r="AA5823" s="54" t="s">
        <v>2</v>
      </c>
      <c r="AB5823" s="54" t="s">
        <v>2</v>
      </c>
      <c r="AC5823" s="54" t="s">
        <v>2</v>
      </c>
      <c r="AD5823" s="54" t="s">
        <v>2</v>
      </c>
      <c r="AE5823" s="54" t="s">
        <v>2</v>
      </c>
      <c r="AF5823" s="54" t="s">
        <v>2</v>
      </c>
      <c r="AG5823" s="54" t="s">
        <v>2</v>
      </c>
    </row>
    <row r="5824" ht="15.75" customHeight="1">
      <c r="B5824" s="56"/>
      <c r="U5824" s="46" t="str">
        <f t="array" ref="U5824">IF($D5824="","",IFERROR(_xlfn.XLOOKUP($D5824,'TIR店舗一覧'!$D:$D,'TIR店舗一覧'!$E:$E,""),""))</f>
        <v/>
      </c>
      <c r="V5824" s="54" t="s">
        <v>2</v>
      </c>
      <c r="W5824" s="54" t="s">
        <v>2</v>
      </c>
      <c r="X5824" s="54" t="s">
        <v>2</v>
      </c>
      <c r="Y5824" s="54" t="s">
        <v>2</v>
      </c>
      <c r="Z5824" s="54" t="s">
        <v>2</v>
      </c>
      <c r="AA5824" s="54" t="s">
        <v>2</v>
      </c>
      <c r="AB5824" s="54" t="s">
        <v>2</v>
      </c>
      <c r="AC5824" s="54" t="s">
        <v>2</v>
      </c>
      <c r="AD5824" s="54" t="s">
        <v>2</v>
      </c>
      <c r="AE5824" s="54" t="s">
        <v>2</v>
      </c>
      <c r="AF5824" s="54" t="s">
        <v>2</v>
      </c>
      <c r="AG5824" s="54" t="s">
        <v>2</v>
      </c>
    </row>
    <row r="5825" ht="15.75" customHeight="1">
      <c r="B5825" s="56"/>
      <c r="U5825" s="46" t="str">
        <f t="array" ref="U5825">IF($D5825="","",IFERROR(_xlfn.XLOOKUP($D5825,'TIR店舗一覧'!$D:$D,'TIR店舗一覧'!$E:$E,""),""))</f>
        <v/>
      </c>
      <c r="V5825" s="54" t="s">
        <v>2</v>
      </c>
      <c r="W5825" s="54" t="s">
        <v>2</v>
      </c>
      <c r="X5825" s="54" t="s">
        <v>2</v>
      </c>
      <c r="Y5825" s="54" t="s">
        <v>2</v>
      </c>
      <c r="Z5825" s="54" t="s">
        <v>2</v>
      </c>
      <c r="AA5825" s="54" t="s">
        <v>2</v>
      </c>
      <c r="AB5825" s="54" t="s">
        <v>2</v>
      </c>
      <c r="AC5825" s="54" t="s">
        <v>2</v>
      </c>
      <c r="AD5825" s="54" t="s">
        <v>2</v>
      </c>
      <c r="AE5825" s="54" t="s">
        <v>2</v>
      </c>
      <c r="AF5825" s="54" t="s">
        <v>2</v>
      </c>
      <c r="AG5825" s="54" t="s">
        <v>2</v>
      </c>
    </row>
    <row r="5826" ht="15.75" customHeight="1">
      <c r="B5826" s="56"/>
      <c r="U5826" s="46" t="str">
        <f t="array" ref="U5826">IF($D5826="","",IFERROR(_xlfn.XLOOKUP($D5826,'TIR店舗一覧'!$D:$D,'TIR店舗一覧'!$E:$E,""),""))</f>
        <v/>
      </c>
      <c r="V5826" s="54" t="s">
        <v>2</v>
      </c>
      <c r="W5826" s="54" t="s">
        <v>2</v>
      </c>
      <c r="X5826" s="54" t="s">
        <v>2</v>
      </c>
      <c r="Y5826" s="54" t="s">
        <v>2</v>
      </c>
      <c r="Z5826" s="54" t="s">
        <v>2</v>
      </c>
      <c r="AA5826" s="54" t="s">
        <v>2</v>
      </c>
      <c r="AB5826" s="54" t="s">
        <v>2</v>
      </c>
      <c r="AC5826" s="54" t="s">
        <v>2</v>
      </c>
      <c r="AD5826" s="54" t="s">
        <v>2</v>
      </c>
      <c r="AE5826" s="54" t="s">
        <v>2</v>
      </c>
      <c r="AF5826" s="54" t="s">
        <v>2</v>
      </c>
      <c r="AG5826" s="54" t="s">
        <v>2</v>
      </c>
    </row>
    <row r="5827" ht="15.75" customHeight="1">
      <c r="B5827" s="56"/>
      <c r="U5827" s="46" t="str">
        <f t="array" ref="U5827">IF($D5827="","",IFERROR(_xlfn.XLOOKUP($D5827,'TIR店舗一覧'!$D:$D,'TIR店舗一覧'!$E:$E,""),""))</f>
        <v/>
      </c>
      <c r="V5827" s="54" t="s">
        <v>2</v>
      </c>
      <c r="W5827" s="54" t="s">
        <v>2</v>
      </c>
      <c r="X5827" s="54" t="s">
        <v>2</v>
      </c>
      <c r="Y5827" s="54" t="s">
        <v>2</v>
      </c>
      <c r="Z5827" s="54" t="s">
        <v>2</v>
      </c>
      <c r="AA5827" s="54" t="s">
        <v>2</v>
      </c>
      <c r="AB5827" s="54" t="s">
        <v>2</v>
      </c>
      <c r="AC5827" s="54" t="s">
        <v>2</v>
      </c>
      <c r="AD5827" s="54" t="s">
        <v>2</v>
      </c>
      <c r="AE5827" s="54" t="s">
        <v>2</v>
      </c>
      <c r="AF5827" s="54" t="s">
        <v>2</v>
      </c>
      <c r="AG5827" s="54" t="s">
        <v>2</v>
      </c>
    </row>
    <row r="5828" ht="15.75" customHeight="1">
      <c r="B5828" s="56"/>
      <c r="U5828" s="46" t="str">
        <f t="array" ref="U5828">IF($D5828="","",IFERROR(_xlfn.XLOOKUP($D5828,'TIR店舗一覧'!$D:$D,'TIR店舗一覧'!$E:$E,""),""))</f>
        <v/>
      </c>
      <c r="V5828" s="54" t="s">
        <v>2</v>
      </c>
      <c r="W5828" s="54" t="s">
        <v>2</v>
      </c>
      <c r="X5828" s="54" t="s">
        <v>2</v>
      </c>
      <c r="Y5828" s="54" t="s">
        <v>2</v>
      </c>
      <c r="Z5828" s="54" t="s">
        <v>2</v>
      </c>
      <c r="AA5828" s="54" t="s">
        <v>2</v>
      </c>
      <c r="AB5828" s="54" t="s">
        <v>2</v>
      </c>
      <c r="AC5828" s="54" t="s">
        <v>2</v>
      </c>
      <c r="AD5828" s="54" t="s">
        <v>2</v>
      </c>
      <c r="AE5828" s="54" t="s">
        <v>2</v>
      </c>
      <c r="AF5828" s="54" t="s">
        <v>2</v>
      </c>
      <c r="AG5828" s="54" t="s">
        <v>2</v>
      </c>
    </row>
    <row r="5829" ht="15.75" customHeight="1">
      <c r="B5829" s="56"/>
      <c r="U5829" s="46" t="str">
        <f t="array" ref="U5829">IF($D5829="","",IFERROR(_xlfn.XLOOKUP($D5829,'TIR店舗一覧'!$D:$D,'TIR店舗一覧'!$E:$E,""),""))</f>
        <v/>
      </c>
      <c r="V5829" s="54" t="s">
        <v>2</v>
      </c>
      <c r="W5829" s="54" t="s">
        <v>2</v>
      </c>
      <c r="X5829" s="54" t="s">
        <v>2</v>
      </c>
      <c r="Y5829" s="54" t="s">
        <v>2</v>
      </c>
      <c r="Z5829" s="54" t="s">
        <v>2</v>
      </c>
      <c r="AA5829" s="54" t="s">
        <v>2</v>
      </c>
      <c r="AB5829" s="54" t="s">
        <v>2</v>
      </c>
      <c r="AC5829" s="54" t="s">
        <v>2</v>
      </c>
      <c r="AD5829" s="54" t="s">
        <v>2</v>
      </c>
      <c r="AE5829" s="54" t="s">
        <v>2</v>
      </c>
      <c r="AF5829" s="54" t="s">
        <v>2</v>
      </c>
      <c r="AG5829" s="54" t="s">
        <v>2</v>
      </c>
    </row>
    <row r="5830" ht="15.75" customHeight="1">
      <c r="B5830" s="56"/>
      <c r="U5830" s="46" t="str">
        <f t="array" ref="U5830">IF($D5830="","",IFERROR(_xlfn.XLOOKUP($D5830,'TIR店舗一覧'!$D:$D,'TIR店舗一覧'!$E:$E,""),""))</f>
        <v/>
      </c>
      <c r="V5830" s="54" t="s">
        <v>2</v>
      </c>
      <c r="W5830" s="54" t="s">
        <v>2</v>
      </c>
      <c r="X5830" s="54" t="s">
        <v>2</v>
      </c>
      <c r="Y5830" s="54" t="s">
        <v>2</v>
      </c>
      <c r="Z5830" s="54" t="s">
        <v>2</v>
      </c>
      <c r="AA5830" s="54" t="s">
        <v>2</v>
      </c>
      <c r="AB5830" s="54" t="s">
        <v>2</v>
      </c>
      <c r="AC5830" s="54" t="s">
        <v>2</v>
      </c>
      <c r="AD5830" s="54" t="s">
        <v>2</v>
      </c>
      <c r="AE5830" s="54" t="s">
        <v>2</v>
      </c>
      <c r="AF5830" s="54" t="s">
        <v>2</v>
      </c>
      <c r="AG5830" s="54" t="s">
        <v>2</v>
      </c>
    </row>
    <row r="5831" ht="15.75" customHeight="1">
      <c r="B5831" s="56"/>
      <c r="U5831" s="46" t="str">
        <f t="array" ref="U5831">IF($D5831="","",IFERROR(_xlfn.XLOOKUP($D5831,'TIR店舗一覧'!$D:$D,'TIR店舗一覧'!$E:$E,""),""))</f>
        <v/>
      </c>
      <c r="V5831" s="54" t="s">
        <v>2</v>
      </c>
      <c r="W5831" s="54" t="s">
        <v>2</v>
      </c>
      <c r="X5831" s="54" t="s">
        <v>2</v>
      </c>
      <c r="Y5831" s="54" t="s">
        <v>2</v>
      </c>
      <c r="Z5831" s="54" t="s">
        <v>2</v>
      </c>
      <c r="AA5831" s="54" t="s">
        <v>2</v>
      </c>
      <c r="AB5831" s="54" t="s">
        <v>2</v>
      </c>
      <c r="AC5831" s="54" t="s">
        <v>2</v>
      </c>
      <c r="AD5831" s="54" t="s">
        <v>2</v>
      </c>
      <c r="AE5831" s="54" t="s">
        <v>2</v>
      </c>
      <c r="AF5831" s="54" t="s">
        <v>2</v>
      </c>
      <c r="AG5831" s="54" t="s">
        <v>2</v>
      </c>
    </row>
    <row r="5832" ht="15.75" customHeight="1">
      <c r="B5832" s="56"/>
      <c r="U5832" s="46" t="str">
        <f t="array" ref="U5832">IF($D5832="","",IFERROR(_xlfn.XLOOKUP($D5832,'TIR店舗一覧'!$D:$D,'TIR店舗一覧'!$E:$E,""),""))</f>
        <v/>
      </c>
      <c r="V5832" s="54" t="s">
        <v>2</v>
      </c>
      <c r="W5832" s="54" t="s">
        <v>2</v>
      </c>
      <c r="X5832" s="54" t="s">
        <v>2</v>
      </c>
      <c r="Y5832" s="54" t="s">
        <v>2</v>
      </c>
      <c r="Z5832" s="54" t="s">
        <v>2</v>
      </c>
      <c r="AA5832" s="54" t="s">
        <v>2</v>
      </c>
      <c r="AB5832" s="54" t="s">
        <v>2</v>
      </c>
      <c r="AC5832" s="54" t="s">
        <v>2</v>
      </c>
      <c r="AD5832" s="54" t="s">
        <v>2</v>
      </c>
      <c r="AE5832" s="54" t="s">
        <v>2</v>
      </c>
      <c r="AF5832" s="54" t="s">
        <v>2</v>
      </c>
      <c r="AG5832" s="54" t="s">
        <v>2</v>
      </c>
    </row>
    <row r="5833" ht="15.75" customHeight="1">
      <c r="B5833" s="56"/>
      <c r="U5833" s="46" t="str">
        <f t="array" ref="U5833">IF($D5833="","",IFERROR(_xlfn.XLOOKUP($D5833,'TIR店舗一覧'!$D:$D,'TIR店舗一覧'!$E:$E,""),""))</f>
        <v/>
      </c>
      <c r="V5833" s="54" t="s">
        <v>2</v>
      </c>
      <c r="W5833" s="54" t="s">
        <v>2</v>
      </c>
      <c r="X5833" s="54" t="s">
        <v>2</v>
      </c>
      <c r="Y5833" s="54" t="s">
        <v>2</v>
      </c>
      <c r="Z5833" s="54" t="s">
        <v>2</v>
      </c>
      <c r="AA5833" s="54" t="s">
        <v>2</v>
      </c>
      <c r="AB5833" s="54" t="s">
        <v>2</v>
      </c>
      <c r="AC5833" s="54" t="s">
        <v>2</v>
      </c>
      <c r="AD5833" s="54" t="s">
        <v>2</v>
      </c>
      <c r="AE5833" s="54" t="s">
        <v>2</v>
      </c>
      <c r="AF5833" s="54" t="s">
        <v>2</v>
      </c>
      <c r="AG5833" s="54" t="s">
        <v>2</v>
      </c>
    </row>
    <row r="5834" ht="15.75" customHeight="1">
      <c r="B5834" s="56"/>
      <c r="U5834" s="46" t="str">
        <f t="array" ref="U5834">IF($D5834="","",IFERROR(_xlfn.XLOOKUP($D5834,'TIR店舗一覧'!$D:$D,'TIR店舗一覧'!$E:$E,""),""))</f>
        <v/>
      </c>
      <c r="V5834" s="54" t="s">
        <v>2</v>
      </c>
      <c r="W5834" s="54" t="s">
        <v>2</v>
      </c>
      <c r="X5834" s="54" t="s">
        <v>2</v>
      </c>
      <c r="Y5834" s="54" t="s">
        <v>2</v>
      </c>
      <c r="Z5834" s="54" t="s">
        <v>2</v>
      </c>
      <c r="AA5834" s="54" t="s">
        <v>2</v>
      </c>
      <c r="AB5834" s="54" t="s">
        <v>2</v>
      </c>
      <c r="AC5834" s="54" t="s">
        <v>2</v>
      </c>
      <c r="AD5834" s="54" t="s">
        <v>2</v>
      </c>
      <c r="AE5834" s="54" t="s">
        <v>2</v>
      </c>
      <c r="AF5834" s="54" t="s">
        <v>2</v>
      </c>
      <c r="AG5834" s="54" t="s">
        <v>2</v>
      </c>
    </row>
    <row r="5835" ht="15.75" customHeight="1">
      <c r="B5835" s="56"/>
      <c r="U5835" s="46" t="str">
        <f t="array" ref="U5835">IF($D5835="","",IFERROR(_xlfn.XLOOKUP($D5835,'TIR店舗一覧'!$D:$D,'TIR店舗一覧'!$E:$E,""),""))</f>
        <v/>
      </c>
      <c r="V5835" s="54" t="s">
        <v>2</v>
      </c>
      <c r="W5835" s="54" t="s">
        <v>2</v>
      </c>
      <c r="X5835" s="54" t="s">
        <v>2</v>
      </c>
      <c r="Y5835" s="54" t="s">
        <v>2</v>
      </c>
      <c r="Z5835" s="54" t="s">
        <v>2</v>
      </c>
      <c r="AA5835" s="54" t="s">
        <v>2</v>
      </c>
      <c r="AB5835" s="54" t="s">
        <v>2</v>
      </c>
      <c r="AC5835" s="54" t="s">
        <v>2</v>
      </c>
      <c r="AD5835" s="54" t="s">
        <v>2</v>
      </c>
      <c r="AE5835" s="54" t="s">
        <v>2</v>
      </c>
      <c r="AF5835" s="54" t="s">
        <v>2</v>
      </c>
      <c r="AG5835" s="54" t="s">
        <v>2</v>
      </c>
    </row>
    <row r="5836" ht="15.75" customHeight="1">
      <c r="B5836" s="56"/>
      <c r="U5836" s="46" t="str">
        <f t="array" ref="U5836">IF($D5836="","",IFERROR(_xlfn.XLOOKUP($D5836,'TIR店舗一覧'!$D:$D,'TIR店舗一覧'!$E:$E,""),""))</f>
        <v/>
      </c>
      <c r="V5836" s="54" t="s">
        <v>2</v>
      </c>
      <c r="W5836" s="54" t="s">
        <v>2</v>
      </c>
      <c r="X5836" s="54" t="s">
        <v>2</v>
      </c>
      <c r="Y5836" s="54" t="s">
        <v>2</v>
      </c>
      <c r="Z5836" s="54" t="s">
        <v>2</v>
      </c>
      <c r="AA5836" s="54" t="s">
        <v>2</v>
      </c>
      <c r="AB5836" s="54" t="s">
        <v>2</v>
      </c>
      <c r="AC5836" s="54" t="s">
        <v>2</v>
      </c>
      <c r="AD5836" s="54" t="s">
        <v>2</v>
      </c>
      <c r="AE5836" s="54" t="s">
        <v>2</v>
      </c>
      <c r="AF5836" s="54" t="s">
        <v>2</v>
      </c>
      <c r="AG5836" s="54" t="s">
        <v>2</v>
      </c>
    </row>
    <row r="5837" ht="15.75" customHeight="1">
      <c r="B5837" s="56"/>
      <c r="U5837" s="46" t="str">
        <f t="array" ref="U5837">IF($D5837="","",IFERROR(_xlfn.XLOOKUP($D5837,'TIR店舗一覧'!$D:$D,'TIR店舗一覧'!$E:$E,""),""))</f>
        <v/>
      </c>
      <c r="V5837" s="54" t="s">
        <v>2</v>
      </c>
      <c r="W5837" s="54" t="s">
        <v>2</v>
      </c>
      <c r="X5837" s="54" t="s">
        <v>2</v>
      </c>
      <c r="Y5837" s="54" t="s">
        <v>2</v>
      </c>
      <c r="Z5837" s="54" t="s">
        <v>2</v>
      </c>
      <c r="AA5837" s="54" t="s">
        <v>2</v>
      </c>
      <c r="AB5837" s="54" t="s">
        <v>2</v>
      </c>
      <c r="AC5837" s="54" t="s">
        <v>2</v>
      </c>
      <c r="AD5837" s="54" t="s">
        <v>2</v>
      </c>
      <c r="AE5837" s="54" t="s">
        <v>2</v>
      </c>
      <c r="AF5837" s="54" t="s">
        <v>2</v>
      </c>
      <c r="AG5837" s="54" t="s">
        <v>2</v>
      </c>
    </row>
    <row r="5838" ht="15.75" customHeight="1">
      <c r="B5838" s="56"/>
      <c r="U5838" s="46" t="str">
        <f t="array" ref="U5838">IF($D5838="","",IFERROR(_xlfn.XLOOKUP($D5838,'TIR店舗一覧'!$D:$D,'TIR店舗一覧'!$E:$E,""),""))</f>
        <v/>
      </c>
      <c r="V5838" s="54" t="s">
        <v>2</v>
      </c>
      <c r="W5838" s="54" t="s">
        <v>2</v>
      </c>
      <c r="X5838" s="54" t="s">
        <v>2</v>
      </c>
      <c r="Y5838" s="54" t="s">
        <v>2</v>
      </c>
      <c r="Z5838" s="54" t="s">
        <v>2</v>
      </c>
      <c r="AA5838" s="54" t="s">
        <v>2</v>
      </c>
      <c r="AB5838" s="54" t="s">
        <v>2</v>
      </c>
      <c r="AC5838" s="54" t="s">
        <v>2</v>
      </c>
      <c r="AD5838" s="54" t="s">
        <v>2</v>
      </c>
      <c r="AE5838" s="54" t="s">
        <v>2</v>
      </c>
      <c r="AF5838" s="54" t="s">
        <v>2</v>
      </c>
      <c r="AG5838" s="54" t="s">
        <v>2</v>
      </c>
    </row>
    <row r="5839" ht="15.75" customHeight="1">
      <c r="B5839" s="56"/>
      <c r="U5839" s="46" t="str">
        <f t="array" ref="U5839">IF($D5839="","",IFERROR(_xlfn.XLOOKUP($D5839,'TIR店舗一覧'!$D:$D,'TIR店舗一覧'!$E:$E,""),""))</f>
        <v/>
      </c>
      <c r="V5839" s="54" t="s">
        <v>2</v>
      </c>
      <c r="W5839" s="54" t="s">
        <v>2</v>
      </c>
      <c r="X5839" s="54" t="s">
        <v>2</v>
      </c>
      <c r="Y5839" s="54" t="s">
        <v>2</v>
      </c>
      <c r="Z5839" s="54" t="s">
        <v>2</v>
      </c>
      <c r="AA5839" s="54" t="s">
        <v>2</v>
      </c>
      <c r="AB5839" s="54" t="s">
        <v>2</v>
      </c>
      <c r="AC5839" s="54" t="s">
        <v>2</v>
      </c>
      <c r="AD5839" s="54" t="s">
        <v>2</v>
      </c>
      <c r="AE5839" s="54" t="s">
        <v>2</v>
      </c>
      <c r="AF5839" s="54" t="s">
        <v>2</v>
      </c>
      <c r="AG5839" s="54" t="s">
        <v>2</v>
      </c>
    </row>
    <row r="5840" ht="15.75" customHeight="1">
      <c r="B5840" s="56"/>
      <c r="U5840" s="46" t="str">
        <f t="array" ref="U5840">IF($D5840="","",IFERROR(_xlfn.XLOOKUP($D5840,'TIR店舗一覧'!$D:$D,'TIR店舗一覧'!$E:$E,""),""))</f>
        <v/>
      </c>
      <c r="V5840" s="54" t="s">
        <v>2</v>
      </c>
      <c r="W5840" s="54" t="s">
        <v>2</v>
      </c>
      <c r="X5840" s="54" t="s">
        <v>2</v>
      </c>
      <c r="Y5840" s="54" t="s">
        <v>2</v>
      </c>
      <c r="Z5840" s="54" t="s">
        <v>2</v>
      </c>
      <c r="AA5840" s="54" t="s">
        <v>2</v>
      </c>
      <c r="AB5840" s="54" t="s">
        <v>2</v>
      </c>
      <c r="AC5840" s="54" t="s">
        <v>2</v>
      </c>
      <c r="AD5840" s="54" t="s">
        <v>2</v>
      </c>
      <c r="AE5840" s="54" t="s">
        <v>2</v>
      </c>
      <c r="AF5840" s="54" t="s">
        <v>2</v>
      </c>
      <c r="AG5840" s="54" t="s">
        <v>2</v>
      </c>
    </row>
    <row r="5841" ht="15.75" customHeight="1">
      <c r="B5841" s="56"/>
      <c r="U5841" s="46" t="str">
        <f t="array" ref="U5841">IF($D5841="","",IFERROR(_xlfn.XLOOKUP($D5841,'TIR店舗一覧'!$D:$D,'TIR店舗一覧'!$E:$E,""),""))</f>
        <v/>
      </c>
      <c r="V5841" s="54" t="s">
        <v>2</v>
      </c>
      <c r="W5841" s="54" t="s">
        <v>2</v>
      </c>
      <c r="X5841" s="54" t="s">
        <v>2</v>
      </c>
      <c r="Y5841" s="54" t="s">
        <v>2</v>
      </c>
      <c r="Z5841" s="54" t="s">
        <v>2</v>
      </c>
      <c r="AA5841" s="54" t="s">
        <v>2</v>
      </c>
      <c r="AB5841" s="54" t="s">
        <v>2</v>
      </c>
      <c r="AC5841" s="54" t="s">
        <v>2</v>
      </c>
      <c r="AD5841" s="54" t="s">
        <v>2</v>
      </c>
      <c r="AE5841" s="54" t="s">
        <v>2</v>
      </c>
      <c r="AF5841" s="54" t="s">
        <v>2</v>
      </c>
      <c r="AG5841" s="54" t="s">
        <v>2</v>
      </c>
    </row>
    <row r="5842" ht="15.75" customHeight="1">
      <c r="B5842" s="56"/>
      <c r="U5842" s="46" t="str">
        <f t="array" ref="U5842">IF($D5842="","",IFERROR(_xlfn.XLOOKUP($D5842,'TIR店舗一覧'!$D:$D,'TIR店舗一覧'!$E:$E,""),""))</f>
        <v/>
      </c>
      <c r="V5842" s="54" t="s">
        <v>2</v>
      </c>
      <c r="W5842" s="54" t="s">
        <v>2</v>
      </c>
      <c r="X5842" s="54" t="s">
        <v>2</v>
      </c>
      <c r="Y5842" s="54" t="s">
        <v>2</v>
      </c>
      <c r="Z5842" s="54" t="s">
        <v>2</v>
      </c>
      <c r="AA5842" s="54" t="s">
        <v>2</v>
      </c>
      <c r="AB5842" s="54" t="s">
        <v>2</v>
      </c>
      <c r="AC5842" s="54" t="s">
        <v>2</v>
      </c>
      <c r="AD5842" s="54" t="s">
        <v>2</v>
      </c>
      <c r="AE5842" s="54" t="s">
        <v>2</v>
      </c>
      <c r="AF5842" s="54" t="s">
        <v>2</v>
      </c>
      <c r="AG5842" s="54" t="s">
        <v>2</v>
      </c>
    </row>
    <row r="5843" ht="15.75" customHeight="1">
      <c r="B5843" s="56"/>
      <c r="U5843" s="46" t="str">
        <f t="array" ref="U5843">IF($D5843="","",IFERROR(_xlfn.XLOOKUP($D5843,'TIR店舗一覧'!$D:$D,'TIR店舗一覧'!$E:$E,""),""))</f>
        <v/>
      </c>
      <c r="V5843" s="54" t="s">
        <v>2</v>
      </c>
      <c r="W5843" s="54" t="s">
        <v>2</v>
      </c>
      <c r="X5843" s="54" t="s">
        <v>2</v>
      </c>
      <c r="Y5843" s="54" t="s">
        <v>2</v>
      </c>
      <c r="Z5843" s="54" t="s">
        <v>2</v>
      </c>
      <c r="AA5843" s="54" t="s">
        <v>2</v>
      </c>
      <c r="AB5843" s="54" t="s">
        <v>2</v>
      </c>
      <c r="AC5843" s="54" t="s">
        <v>2</v>
      </c>
      <c r="AD5843" s="54" t="s">
        <v>2</v>
      </c>
      <c r="AE5843" s="54" t="s">
        <v>2</v>
      </c>
      <c r="AF5843" s="54" t="s">
        <v>2</v>
      </c>
      <c r="AG5843" s="54" t="s">
        <v>2</v>
      </c>
    </row>
    <row r="5844" ht="15.75" customHeight="1">
      <c r="B5844" s="56"/>
      <c r="U5844" s="46" t="str">
        <f t="array" ref="U5844">IF($D5844="","",IFERROR(_xlfn.XLOOKUP($D5844,'TIR店舗一覧'!$D:$D,'TIR店舗一覧'!$E:$E,""),""))</f>
        <v/>
      </c>
      <c r="V5844" s="54" t="s">
        <v>2</v>
      </c>
      <c r="W5844" s="54" t="s">
        <v>2</v>
      </c>
      <c r="X5844" s="54" t="s">
        <v>2</v>
      </c>
      <c r="Y5844" s="54" t="s">
        <v>2</v>
      </c>
      <c r="Z5844" s="54" t="s">
        <v>2</v>
      </c>
      <c r="AA5844" s="54" t="s">
        <v>2</v>
      </c>
      <c r="AB5844" s="54" t="s">
        <v>2</v>
      </c>
      <c r="AC5844" s="54" t="s">
        <v>2</v>
      </c>
      <c r="AD5844" s="54" t="s">
        <v>2</v>
      </c>
      <c r="AE5844" s="54" t="s">
        <v>2</v>
      </c>
      <c r="AF5844" s="54" t="s">
        <v>2</v>
      </c>
      <c r="AG5844" s="54" t="s">
        <v>2</v>
      </c>
    </row>
    <row r="5845" ht="15.75" customHeight="1">
      <c r="B5845" s="56"/>
      <c r="U5845" s="46" t="str">
        <f t="array" ref="U5845">IF($D5845="","",IFERROR(_xlfn.XLOOKUP($D5845,'TIR店舗一覧'!$D:$D,'TIR店舗一覧'!$E:$E,""),""))</f>
        <v/>
      </c>
      <c r="V5845" s="54" t="s">
        <v>2</v>
      </c>
      <c r="W5845" s="54" t="s">
        <v>2</v>
      </c>
      <c r="X5845" s="54" t="s">
        <v>2</v>
      </c>
      <c r="Y5845" s="54" t="s">
        <v>2</v>
      </c>
      <c r="Z5845" s="54" t="s">
        <v>2</v>
      </c>
      <c r="AA5845" s="54" t="s">
        <v>2</v>
      </c>
      <c r="AB5845" s="54" t="s">
        <v>2</v>
      </c>
      <c r="AC5845" s="54" t="s">
        <v>2</v>
      </c>
      <c r="AD5845" s="54" t="s">
        <v>2</v>
      </c>
      <c r="AE5845" s="54" t="s">
        <v>2</v>
      </c>
      <c r="AF5845" s="54" t="s">
        <v>2</v>
      </c>
      <c r="AG5845" s="54" t="s">
        <v>2</v>
      </c>
    </row>
    <row r="5846" ht="15.75" customHeight="1">
      <c r="B5846" s="56"/>
      <c r="U5846" s="46" t="str">
        <f t="array" ref="U5846">IF($D5846="","",IFERROR(_xlfn.XLOOKUP($D5846,'TIR店舗一覧'!$D:$D,'TIR店舗一覧'!$E:$E,""),""))</f>
        <v/>
      </c>
      <c r="V5846" s="54" t="s">
        <v>2</v>
      </c>
      <c r="W5846" s="54" t="s">
        <v>2</v>
      </c>
      <c r="X5846" s="54" t="s">
        <v>2</v>
      </c>
      <c r="Y5846" s="54" t="s">
        <v>2</v>
      </c>
      <c r="Z5846" s="54" t="s">
        <v>2</v>
      </c>
      <c r="AA5846" s="54" t="s">
        <v>2</v>
      </c>
      <c r="AB5846" s="54" t="s">
        <v>2</v>
      </c>
      <c r="AC5846" s="54" t="s">
        <v>2</v>
      </c>
      <c r="AD5846" s="54" t="s">
        <v>2</v>
      </c>
      <c r="AE5846" s="54" t="s">
        <v>2</v>
      </c>
      <c r="AF5846" s="54" t="s">
        <v>2</v>
      </c>
      <c r="AG5846" s="54" t="s">
        <v>2</v>
      </c>
    </row>
    <row r="5847" ht="15.75" customHeight="1">
      <c r="B5847" s="56"/>
      <c r="U5847" s="46" t="str">
        <f t="array" ref="U5847">IF($D5847="","",IFERROR(_xlfn.XLOOKUP($D5847,'TIR店舗一覧'!$D:$D,'TIR店舗一覧'!$E:$E,""),""))</f>
        <v/>
      </c>
      <c r="V5847" s="54" t="s">
        <v>2</v>
      </c>
      <c r="W5847" s="54" t="s">
        <v>2</v>
      </c>
      <c r="X5847" s="54" t="s">
        <v>2</v>
      </c>
      <c r="Y5847" s="54" t="s">
        <v>2</v>
      </c>
      <c r="Z5847" s="54" t="s">
        <v>2</v>
      </c>
      <c r="AA5847" s="54" t="s">
        <v>2</v>
      </c>
      <c r="AB5847" s="54" t="s">
        <v>2</v>
      </c>
      <c r="AC5847" s="54" t="s">
        <v>2</v>
      </c>
      <c r="AD5847" s="54" t="s">
        <v>2</v>
      </c>
      <c r="AE5847" s="54" t="s">
        <v>2</v>
      </c>
      <c r="AF5847" s="54" t="s">
        <v>2</v>
      </c>
      <c r="AG5847" s="54" t="s">
        <v>2</v>
      </c>
    </row>
    <row r="5848" ht="15.75" customHeight="1">
      <c r="B5848" s="56"/>
      <c r="U5848" s="46" t="str">
        <f t="array" ref="U5848">IF($D5848="","",IFERROR(_xlfn.XLOOKUP($D5848,'TIR店舗一覧'!$D:$D,'TIR店舗一覧'!$E:$E,""),""))</f>
        <v/>
      </c>
      <c r="V5848" s="54" t="s">
        <v>2</v>
      </c>
      <c r="W5848" s="54" t="s">
        <v>2</v>
      </c>
      <c r="X5848" s="54" t="s">
        <v>2</v>
      </c>
      <c r="Y5848" s="54" t="s">
        <v>2</v>
      </c>
      <c r="Z5848" s="54" t="s">
        <v>2</v>
      </c>
      <c r="AA5848" s="54" t="s">
        <v>2</v>
      </c>
      <c r="AB5848" s="54" t="s">
        <v>2</v>
      </c>
      <c r="AC5848" s="54" t="s">
        <v>2</v>
      </c>
      <c r="AD5848" s="54" t="s">
        <v>2</v>
      </c>
      <c r="AE5848" s="54" t="s">
        <v>2</v>
      </c>
      <c r="AF5848" s="54" t="s">
        <v>2</v>
      </c>
      <c r="AG5848" s="54" t="s">
        <v>2</v>
      </c>
    </row>
    <row r="5849" ht="15.75" customHeight="1">
      <c r="B5849" s="56"/>
      <c r="U5849" s="46" t="str">
        <f t="array" ref="U5849">IF($D5849="","",IFERROR(_xlfn.XLOOKUP($D5849,'TIR店舗一覧'!$D:$D,'TIR店舗一覧'!$E:$E,""),""))</f>
        <v/>
      </c>
      <c r="V5849" s="54" t="s">
        <v>2</v>
      </c>
      <c r="W5849" s="54" t="s">
        <v>2</v>
      </c>
      <c r="X5849" s="54" t="s">
        <v>2</v>
      </c>
      <c r="Y5849" s="54" t="s">
        <v>2</v>
      </c>
      <c r="Z5849" s="54" t="s">
        <v>2</v>
      </c>
      <c r="AA5849" s="54" t="s">
        <v>2</v>
      </c>
      <c r="AB5849" s="54" t="s">
        <v>2</v>
      </c>
      <c r="AC5849" s="54" t="s">
        <v>2</v>
      </c>
      <c r="AD5849" s="54" t="s">
        <v>2</v>
      </c>
      <c r="AE5849" s="54" t="s">
        <v>2</v>
      </c>
      <c r="AF5849" s="54" t="s">
        <v>2</v>
      </c>
      <c r="AG5849" s="54" t="s">
        <v>2</v>
      </c>
    </row>
    <row r="5850" ht="15.75" customHeight="1">
      <c r="B5850" s="56"/>
      <c r="U5850" s="46" t="str">
        <f t="array" ref="U5850">IF($D5850="","",IFERROR(_xlfn.XLOOKUP($D5850,'TIR店舗一覧'!$D:$D,'TIR店舗一覧'!$E:$E,""),""))</f>
        <v/>
      </c>
      <c r="V5850" s="54" t="s">
        <v>2</v>
      </c>
      <c r="W5850" s="54" t="s">
        <v>2</v>
      </c>
      <c r="X5850" s="54" t="s">
        <v>2</v>
      </c>
      <c r="Y5850" s="54" t="s">
        <v>2</v>
      </c>
      <c r="Z5850" s="54" t="s">
        <v>2</v>
      </c>
      <c r="AA5850" s="54" t="s">
        <v>2</v>
      </c>
      <c r="AB5850" s="54" t="s">
        <v>2</v>
      </c>
      <c r="AC5850" s="54" t="s">
        <v>2</v>
      </c>
      <c r="AD5850" s="54" t="s">
        <v>2</v>
      </c>
      <c r="AE5850" s="54" t="s">
        <v>2</v>
      </c>
      <c r="AF5850" s="54" t="s">
        <v>2</v>
      </c>
      <c r="AG5850" s="54" t="s">
        <v>2</v>
      </c>
    </row>
    <row r="5851" ht="15.75" customHeight="1">
      <c r="B5851" s="56"/>
      <c r="U5851" s="46" t="str">
        <f t="array" ref="U5851">IF($D5851="","",IFERROR(_xlfn.XLOOKUP($D5851,'TIR店舗一覧'!$D:$D,'TIR店舗一覧'!$E:$E,""),""))</f>
        <v/>
      </c>
      <c r="V5851" s="54" t="s">
        <v>2</v>
      </c>
      <c r="W5851" s="54" t="s">
        <v>2</v>
      </c>
      <c r="X5851" s="54" t="s">
        <v>2</v>
      </c>
      <c r="Y5851" s="54" t="s">
        <v>2</v>
      </c>
      <c r="Z5851" s="54" t="s">
        <v>2</v>
      </c>
      <c r="AA5851" s="54" t="s">
        <v>2</v>
      </c>
      <c r="AB5851" s="54" t="s">
        <v>2</v>
      </c>
      <c r="AC5851" s="54" t="s">
        <v>2</v>
      </c>
      <c r="AD5851" s="54" t="s">
        <v>2</v>
      </c>
      <c r="AE5851" s="54" t="s">
        <v>2</v>
      </c>
      <c r="AF5851" s="54" t="s">
        <v>2</v>
      </c>
      <c r="AG5851" s="54" t="s">
        <v>2</v>
      </c>
    </row>
    <row r="5852" ht="15.75" customHeight="1">
      <c r="B5852" s="56"/>
      <c r="U5852" s="46" t="str">
        <f t="array" ref="U5852">IF($D5852="","",IFERROR(_xlfn.XLOOKUP($D5852,'TIR店舗一覧'!$D:$D,'TIR店舗一覧'!$E:$E,""),""))</f>
        <v/>
      </c>
      <c r="V5852" s="54" t="s">
        <v>2</v>
      </c>
      <c r="W5852" s="54" t="s">
        <v>2</v>
      </c>
      <c r="X5852" s="54" t="s">
        <v>2</v>
      </c>
      <c r="Y5852" s="54" t="s">
        <v>2</v>
      </c>
      <c r="Z5852" s="54" t="s">
        <v>2</v>
      </c>
      <c r="AA5852" s="54" t="s">
        <v>2</v>
      </c>
      <c r="AB5852" s="54" t="s">
        <v>2</v>
      </c>
      <c r="AC5852" s="54" t="s">
        <v>2</v>
      </c>
      <c r="AD5852" s="54" t="s">
        <v>2</v>
      </c>
      <c r="AE5852" s="54" t="s">
        <v>2</v>
      </c>
      <c r="AF5852" s="54" t="s">
        <v>2</v>
      </c>
      <c r="AG5852" s="54" t="s">
        <v>2</v>
      </c>
    </row>
    <row r="5853" ht="15.75" customHeight="1">
      <c r="B5853" s="56"/>
      <c r="U5853" s="46" t="str">
        <f t="array" ref="U5853">IF($D5853="","",IFERROR(_xlfn.XLOOKUP($D5853,'TIR店舗一覧'!$D:$D,'TIR店舗一覧'!$E:$E,""),""))</f>
        <v/>
      </c>
      <c r="V5853" s="54" t="s">
        <v>2</v>
      </c>
      <c r="W5853" s="54" t="s">
        <v>2</v>
      </c>
      <c r="X5853" s="54" t="s">
        <v>2</v>
      </c>
      <c r="Y5853" s="54" t="s">
        <v>2</v>
      </c>
      <c r="Z5853" s="54" t="s">
        <v>2</v>
      </c>
      <c r="AA5853" s="54" t="s">
        <v>2</v>
      </c>
      <c r="AB5853" s="54" t="s">
        <v>2</v>
      </c>
      <c r="AC5853" s="54" t="s">
        <v>2</v>
      </c>
      <c r="AD5853" s="54" t="s">
        <v>2</v>
      </c>
      <c r="AE5853" s="54" t="s">
        <v>2</v>
      </c>
      <c r="AF5853" s="54" t="s">
        <v>2</v>
      </c>
      <c r="AG5853" s="54" t="s">
        <v>2</v>
      </c>
    </row>
    <row r="5854" ht="15.75" customHeight="1">
      <c r="B5854" s="56"/>
      <c r="U5854" s="46" t="str">
        <f t="array" ref="U5854">IF($D5854="","",IFERROR(_xlfn.XLOOKUP($D5854,'TIR店舗一覧'!$D:$D,'TIR店舗一覧'!$E:$E,""),""))</f>
        <v/>
      </c>
      <c r="V5854" s="54" t="s">
        <v>2</v>
      </c>
      <c r="W5854" s="54" t="s">
        <v>2</v>
      </c>
      <c r="X5854" s="54" t="s">
        <v>2</v>
      </c>
      <c r="Y5854" s="54" t="s">
        <v>2</v>
      </c>
      <c r="Z5854" s="54" t="s">
        <v>2</v>
      </c>
      <c r="AA5854" s="54" t="s">
        <v>2</v>
      </c>
      <c r="AB5854" s="54" t="s">
        <v>2</v>
      </c>
      <c r="AC5854" s="54" t="s">
        <v>2</v>
      </c>
      <c r="AD5854" s="54" t="s">
        <v>2</v>
      </c>
      <c r="AE5854" s="54" t="s">
        <v>2</v>
      </c>
      <c r="AF5854" s="54" t="s">
        <v>2</v>
      </c>
      <c r="AG5854" s="54" t="s">
        <v>2</v>
      </c>
    </row>
    <row r="5855" ht="15.75" customHeight="1">
      <c r="B5855" s="56"/>
      <c r="U5855" s="46" t="str">
        <f t="array" ref="U5855">IF($D5855="","",IFERROR(_xlfn.XLOOKUP($D5855,'TIR店舗一覧'!$D:$D,'TIR店舗一覧'!$E:$E,""),""))</f>
        <v/>
      </c>
      <c r="V5855" s="54" t="s">
        <v>2</v>
      </c>
      <c r="W5855" s="54" t="s">
        <v>2</v>
      </c>
      <c r="X5855" s="54" t="s">
        <v>2</v>
      </c>
      <c r="Y5855" s="54" t="s">
        <v>2</v>
      </c>
      <c r="Z5855" s="54" t="s">
        <v>2</v>
      </c>
      <c r="AA5855" s="54" t="s">
        <v>2</v>
      </c>
      <c r="AB5855" s="54" t="s">
        <v>2</v>
      </c>
      <c r="AC5855" s="54" t="s">
        <v>2</v>
      </c>
      <c r="AD5855" s="54" t="s">
        <v>2</v>
      </c>
      <c r="AE5855" s="54" t="s">
        <v>2</v>
      </c>
      <c r="AF5855" s="54" t="s">
        <v>2</v>
      </c>
      <c r="AG5855" s="54" t="s">
        <v>2</v>
      </c>
    </row>
    <row r="5856" ht="15.75" customHeight="1">
      <c r="B5856" s="56"/>
      <c r="U5856" s="46" t="str">
        <f t="array" ref="U5856">IF($D5856="","",IFERROR(_xlfn.XLOOKUP($D5856,'TIR店舗一覧'!$D:$D,'TIR店舗一覧'!$E:$E,""),""))</f>
        <v/>
      </c>
      <c r="V5856" s="54" t="s">
        <v>2</v>
      </c>
      <c r="W5856" s="54" t="s">
        <v>2</v>
      </c>
      <c r="X5856" s="54" t="s">
        <v>2</v>
      </c>
      <c r="Y5856" s="54" t="s">
        <v>2</v>
      </c>
      <c r="Z5856" s="54" t="s">
        <v>2</v>
      </c>
      <c r="AA5856" s="54" t="s">
        <v>2</v>
      </c>
      <c r="AB5856" s="54" t="s">
        <v>2</v>
      </c>
      <c r="AC5856" s="54" t="s">
        <v>2</v>
      </c>
      <c r="AD5856" s="54" t="s">
        <v>2</v>
      </c>
      <c r="AE5856" s="54" t="s">
        <v>2</v>
      </c>
      <c r="AF5856" s="54" t="s">
        <v>2</v>
      </c>
      <c r="AG5856" s="54" t="s">
        <v>2</v>
      </c>
    </row>
    <row r="5857" ht="15.75" customHeight="1">
      <c r="B5857" s="56"/>
      <c r="U5857" s="46" t="str">
        <f t="array" ref="U5857">IF($D5857="","",IFERROR(_xlfn.XLOOKUP($D5857,'TIR店舗一覧'!$D:$D,'TIR店舗一覧'!$E:$E,""),""))</f>
        <v/>
      </c>
      <c r="V5857" s="54" t="s">
        <v>2</v>
      </c>
      <c r="W5857" s="54" t="s">
        <v>2</v>
      </c>
      <c r="X5857" s="54" t="s">
        <v>2</v>
      </c>
      <c r="Y5857" s="54" t="s">
        <v>2</v>
      </c>
      <c r="Z5857" s="54" t="s">
        <v>2</v>
      </c>
      <c r="AA5857" s="54" t="s">
        <v>2</v>
      </c>
      <c r="AB5857" s="54" t="s">
        <v>2</v>
      </c>
      <c r="AC5857" s="54" t="s">
        <v>2</v>
      </c>
      <c r="AD5857" s="54" t="s">
        <v>2</v>
      </c>
      <c r="AE5857" s="54" t="s">
        <v>2</v>
      </c>
      <c r="AF5857" s="54" t="s">
        <v>2</v>
      </c>
      <c r="AG5857" s="54" t="s">
        <v>2</v>
      </c>
    </row>
    <row r="5858" ht="15.75" customHeight="1">
      <c r="B5858" s="56"/>
      <c r="U5858" s="46" t="str">
        <f t="array" ref="U5858">IF($D5858="","",IFERROR(_xlfn.XLOOKUP($D5858,'TIR店舗一覧'!$D:$D,'TIR店舗一覧'!$E:$E,""),""))</f>
        <v/>
      </c>
      <c r="V5858" s="54" t="s">
        <v>2</v>
      </c>
      <c r="W5858" s="54" t="s">
        <v>2</v>
      </c>
      <c r="X5858" s="54" t="s">
        <v>2</v>
      </c>
      <c r="Y5858" s="54" t="s">
        <v>2</v>
      </c>
      <c r="Z5858" s="54" t="s">
        <v>2</v>
      </c>
      <c r="AA5858" s="54" t="s">
        <v>2</v>
      </c>
      <c r="AB5858" s="54" t="s">
        <v>2</v>
      </c>
      <c r="AC5858" s="54" t="s">
        <v>2</v>
      </c>
      <c r="AD5858" s="54" t="s">
        <v>2</v>
      </c>
      <c r="AE5858" s="54" t="s">
        <v>2</v>
      </c>
      <c r="AF5858" s="54" t="s">
        <v>2</v>
      </c>
      <c r="AG5858" s="54" t="s">
        <v>2</v>
      </c>
    </row>
    <row r="5859" ht="15.75" customHeight="1">
      <c r="B5859" s="56"/>
      <c r="U5859" s="46" t="str">
        <f t="array" ref="U5859">IF($D5859="","",IFERROR(_xlfn.XLOOKUP($D5859,'TIR店舗一覧'!$D:$D,'TIR店舗一覧'!$E:$E,""),""))</f>
        <v/>
      </c>
      <c r="V5859" s="54" t="s">
        <v>2</v>
      </c>
      <c r="W5859" s="54" t="s">
        <v>2</v>
      </c>
      <c r="X5859" s="54" t="s">
        <v>2</v>
      </c>
      <c r="Y5859" s="54" t="s">
        <v>2</v>
      </c>
      <c r="Z5859" s="54" t="s">
        <v>2</v>
      </c>
      <c r="AA5859" s="54" t="s">
        <v>2</v>
      </c>
      <c r="AB5859" s="54" t="s">
        <v>2</v>
      </c>
      <c r="AC5859" s="54" t="s">
        <v>2</v>
      </c>
      <c r="AD5859" s="54" t="s">
        <v>2</v>
      </c>
      <c r="AE5859" s="54" t="s">
        <v>2</v>
      </c>
      <c r="AF5859" s="54" t="s">
        <v>2</v>
      </c>
      <c r="AG5859" s="54" t="s">
        <v>2</v>
      </c>
    </row>
    <row r="5860" ht="15.75" customHeight="1">
      <c r="B5860" s="56"/>
      <c r="U5860" s="46" t="str">
        <f t="array" ref="U5860">IF($D5860="","",IFERROR(_xlfn.XLOOKUP($D5860,'TIR店舗一覧'!$D:$D,'TIR店舗一覧'!$E:$E,""),""))</f>
        <v/>
      </c>
      <c r="V5860" s="54" t="s">
        <v>2</v>
      </c>
      <c r="W5860" s="54" t="s">
        <v>2</v>
      </c>
      <c r="X5860" s="54" t="s">
        <v>2</v>
      </c>
      <c r="Y5860" s="54" t="s">
        <v>2</v>
      </c>
      <c r="Z5860" s="54" t="s">
        <v>2</v>
      </c>
      <c r="AA5860" s="54" t="s">
        <v>2</v>
      </c>
      <c r="AB5860" s="54" t="s">
        <v>2</v>
      </c>
      <c r="AC5860" s="54" t="s">
        <v>2</v>
      </c>
      <c r="AD5860" s="54" t="s">
        <v>2</v>
      </c>
      <c r="AE5860" s="54" t="s">
        <v>2</v>
      </c>
      <c r="AF5860" s="54" t="s">
        <v>2</v>
      </c>
      <c r="AG5860" s="54" t="s">
        <v>2</v>
      </c>
    </row>
    <row r="5861" ht="15.75" customHeight="1">
      <c r="B5861" s="56"/>
      <c r="U5861" s="46" t="str">
        <f t="array" ref="U5861">IF($D5861="","",IFERROR(_xlfn.XLOOKUP($D5861,'TIR店舗一覧'!$D:$D,'TIR店舗一覧'!$E:$E,""),""))</f>
        <v/>
      </c>
      <c r="V5861" s="54" t="s">
        <v>2</v>
      </c>
      <c r="W5861" s="54" t="s">
        <v>2</v>
      </c>
      <c r="X5861" s="54" t="s">
        <v>2</v>
      </c>
      <c r="Y5861" s="54" t="s">
        <v>2</v>
      </c>
      <c r="Z5861" s="54" t="s">
        <v>2</v>
      </c>
      <c r="AA5861" s="54" t="s">
        <v>2</v>
      </c>
      <c r="AB5861" s="54" t="s">
        <v>2</v>
      </c>
      <c r="AC5861" s="54" t="s">
        <v>2</v>
      </c>
      <c r="AD5861" s="54" t="s">
        <v>2</v>
      </c>
      <c r="AE5861" s="54" t="s">
        <v>2</v>
      </c>
      <c r="AF5861" s="54" t="s">
        <v>2</v>
      </c>
      <c r="AG5861" s="54" t="s">
        <v>2</v>
      </c>
    </row>
    <row r="5862" ht="15.75" customHeight="1">
      <c r="B5862" s="56"/>
      <c r="U5862" s="46" t="str">
        <f t="array" ref="U5862">IF($D5862="","",IFERROR(_xlfn.XLOOKUP($D5862,'TIR店舗一覧'!$D:$D,'TIR店舗一覧'!$E:$E,""),""))</f>
        <v/>
      </c>
      <c r="V5862" s="54" t="s">
        <v>2</v>
      </c>
      <c r="W5862" s="54" t="s">
        <v>2</v>
      </c>
      <c r="X5862" s="54" t="s">
        <v>2</v>
      </c>
      <c r="Y5862" s="54" t="s">
        <v>2</v>
      </c>
      <c r="Z5862" s="54" t="s">
        <v>2</v>
      </c>
      <c r="AA5862" s="54" t="s">
        <v>2</v>
      </c>
      <c r="AB5862" s="54" t="s">
        <v>2</v>
      </c>
      <c r="AC5862" s="54" t="s">
        <v>2</v>
      </c>
      <c r="AD5862" s="54" t="s">
        <v>2</v>
      </c>
      <c r="AE5862" s="54" t="s">
        <v>2</v>
      </c>
      <c r="AF5862" s="54" t="s">
        <v>2</v>
      </c>
      <c r="AG5862" s="54" t="s">
        <v>2</v>
      </c>
    </row>
    <row r="5863" ht="15.75" customHeight="1">
      <c r="B5863" s="56"/>
      <c r="U5863" s="46" t="str">
        <f t="array" ref="U5863">IF($D5863="","",IFERROR(_xlfn.XLOOKUP($D5863,'TIR店舗一覧'!$D:$D,'TIR店舗一覧'!$E:$E,""),""))</f>
        <v/>
      </c>
      <c r="V5863" s="54" t="s">
        <v>2</v>
      </c>
      <c r="W5863" s="54" t="s">
        <v>2</v>
      </c>
      <c r="X5863" s="54" t="s">
        <v>2</v>
      </c>
      <c r="Y5863" s="54" t="s">
        <v>2</v>
      </c>
      <c r="Z5863" s="54" t="s">
        <v>2</v>
      </c>
      <c r="AA5863" s="54" t="s">
        <v>2</v>
      </c>
      <c r="AB5863" s="54" t="s">
        <v>2</v>
      </c>
      <c r="AC5863" s="54" t="s">
        <v>2</v>
      </c>
      <c r="AD5863" s="54" t="s">
        <v>2</v>
      </c>
      <c r="AE5863" s="54" t="s">
        <v>2</v>
      </c>
      <c r="AF5863" s="54" t="s">
        <v>2</v>
      </c>
      <c r="AG5863" s="54" t="s">
        <v>2</v>
      </c>
    </row>
    <row r="5864" ht="15.75" customHeight="1">
      <c r="B5864" s="56"/>
      <c r="U5864" s="46" t="str">
        <f t="array" ref="U5864">IF($D5864="","",IFERROR(_xlfn.XLOOKUP($D5864,'TIR店舗一覧'!$D:$D,'TIR店舗一覧'!$E:$E,""),""))</f>
        <v/>
      </c>
      <c r="V5864" s="54" t="s">
        <v>2</v>
      </c>
      <c r="W5864" s="54" t="s">
        <v>2</v>
      </c>
      <c r="X5864" s="54" t="s">
        <v>2</v>
      </c>
      <c r="Y5864" s="54" t="s">
        <v>2</v>
      </c>
      <c r="Z5864" s="54" t="s">
        <v>2</v>
      </c>
      <c r="AA5864" s="54" t="s">
        <v>2</v>
      </c>
      <c r="AB5864" s="54" t="s">
        <v>2</v>
      </c>
      <c r="AC5864" s="54" t="s">
        <v>2</v>
      </c>
      <c r="AD5864" s="54" t="s">
        <v>2</v>
      </c>
      <c r="AE5864" s="54" t="s">
        <v>2</v>
      </c>
      <c r="AF5864" s="54" t="s">
        <v>2</v>
      </c>
      <c r="AG5864" s="54" t="s">
        <v>2</v>
      </c>
    </row>
    <row r="5865" ht="15.75" customHeight="1">
      <c r="B5865" s="56"/>
      <c r="U5865" s="46" t="str">
        <f t="array" ref="U5865">IF($D5865="","",IFERROR(_xlfn.XLOOKUP($D5865,'TIR店舗一覧'!$D:$D,'TIR店舗一覧'!$E:$E,""),""))</f>
        <v/>
      </c>
      <c r="V5865" s="54" t="s">
        <v>2</v>
      </c>
      <c r="W5865" s="54" t="s">
        <v>2</v>
      </c>
      <c r="X5865" s="54" t="s">
        <v>2</v>
      </c>
      <c r="Y5865" s="54" t="s">
        <v>2</v>
      </c>
      <c r="Z5865" s="54" t="s">
        <v>2</v>
      </c>
      <c r="AA5865" s="54" t="s">
        <v>2</v>
      </c>
      <c r="AB5865" s="54" t="s">
        <v>2</v>
      </c>
      <c r="AC5865" s="54" t="s">
        <v>2</v>
      </c>
      <c r="AD5865" s="54" t="s">
        <v>2</v>
      </c>
      <c r="AE5865" s="54" t="s">
        <v>2</v>
      </c>
      <c r="AF5865" s="54" t="s">
        <v>2</v>
      </c>
      <c r="AG5865" s="54" t="s">
        <v>2</v>
      </c>
    </row>
    <row r="5866" ht="15.75" customHeight="1">
      <c r="B5866" s="56"/>
      <c r="U5866" s="46" t="str">
        <f t="array" ref="U5866">IF($D5866="","",IFERROR(_xlfn.XLOOKUP($D5866,'TIR店舗一覧'!$D:$D,'TIR店舗一覧'!$E:$E,""),""))</f>
        <v/>
      </c>
      <c r="V5866" s="54" t="s">
        <v>2</v>
      </c>
      <c r="W5866" s="54" t="s">
        <v>2</v>
      </c>
      <c r="X5866" s="54" t="s">
        <v>2</v>
      </c>
      <c r="Y5866" s="54" t="s">
        <v>2</v>
      </c>
      <c r="Z5866" s="54" t="s">
        <v>2</v>
      </c>
      <c r="AA5866" s="54" t="s">
        <v>2</v>
      </c>
      <c r="AB5866" s="54" t="s">
        <v>2</v>
      </c>
      <c r="AC5866" s="54" t="s">
        <v>2</v>
      </c>
      <c r="AD5866" s="54" t="s">
        <v>2</v>
      </c>
      <c r="AE5866" s="54" t="s">
        <v>2</v>
      </c>
      <c r="AF5866" s="54" t="s">
        <v>2</v>
      </c>
      <c r="AG5866" s="54" t="s">
        <v>2</v>
      </c>
    </row>
    <row r="5867" ht="15.75" customHeight="1">
      <c r="B5867" s="56"/>
      <c r="U5867" s="46" t="str">
        <f t="array" ref="U5867">IF($D5867="","",IFERROR(_xlfn.XLOOKUP($D5867,'TIR店舗一覧'!$D:$D,'TIR店舗一覧'!$E:$E,""),""))</f>
        <v/>
      </c>
      <c r="V5867" s="54" t="s">
        <v>2</v>
      </c>
      <c r="W5867" s="54" t="s">
        <v>2</v>
      </c>
      <c r="X5867" s="54" t="s">
        <v>2</v>
      </c>
      <c r="Y5867" s="54" t="s">
        <v>2</v>
      </c>
      <c r="Z5867" s="54" t="s">
        <v>2</v>
      </c>
      <c r="AA5867" s="54" t="s">
        <v>2</v>
      </c>
      <c r="AB5867" s="54" t="s">
        <v>2</v>
      </c>
      <c r="AC5867" s="54" t="s">
        <v>2</v>
      </c>
      <c r="AD5867" s="54" t="s">
        <v>2</v>
      </c>
      <c r="AE5867" s="54" t="s">
        <v>2</v>
      </c>
      <c r="AF5867" s="54" t="s">
        <v>2</v>
      </c>
      <c r="AG5867" s="54" t="s">
        <v>2</v>
      </c>
    </row>
    <row r="5868" ht="15.75" customHeight="1">
      <c r="B5868" s="56"/>
      <c r="U5868" s="46" t="str">
        <f t="array" ref="U5868">IF($D5868="","",IFERROR(_xlfn.XLOOKUP($D5868,'TIR店舗一覧'!$D:$D,'TIR店舗一覧'!$E:$E,""),""))</f>
        <v/>
      </c>
      <c r="V5868" s="54" t="s">
        <v>2</v>
      </c>
      <c r="W5868" s="54" t="s">
        <v>2</v>
      </c>
      <c r="X5868" s="54" t="s">
        <v>2</v>
      </c>
      <c r="Y5868" s="54" t="s">
        <v>2</v>
      </c>
      <c r="Z5868" s="54" t="s">
        <v>2</v>
      </c>
      <c r="AA5868" s="54" t="s">
        <v>2</v>
      </c>
      <c r="AB5868" s="54" t="s">
        <v>2</v>
      </c>
      <c r="AC5868" s="54" t="s">
        <v>2</v>
      </c>
      <c r="AD5868" s="54" t="s">
        <v>2</v>
      </c>
      <c r="AE5868" s="54" t="s">
        <v>2</v>
      </c>
      <c r="AF5868" s="54" t="s">
        <v>2</v>
      </c>
      <c r="AG5868" s="54" t="s">
        <v>2</v>
      </c>
    </row>
    <row r="5869" ht="15.75" customHeight="1">
      <c r="B5869" s="56"/>
      <c r="U5869" s="46" t="str">
        <f t="array" ref="U5869">IF($D5869="","",IFERROR(_xlfn.XLOOKUP($D5869,'TIR店舗一覧'!$D:$D,'TIR店舗一覧'!$E:$E,""),""))</f>
        <v/>
      </c>
      <c r="V5869" s="54" t="s">
        <v>2</v>
      </c>
      <c r="W5869" s="54" t="s">
        <v>2</v>
      </c>
      <c r="X5869" s="54" t="s">
        <v>2</v>
      </c>
      <c r="Y5869" s="54" t="s">
        <v>2</v>
      </c>
      <c r="Z5869" s="54" t="s">
        <v>2</v>
      </c>
      <c r="AA5869" s="54" t="s">
        <v>2</v>
      </c>
      <c r="AB5869" s="54" t="s">
        <v>2</v>
      </c>
      <c r="AC5869" s="54" t="s">
        <v>2</v>
      </c>
      <c r="AD5869" s="54" t="s">
        <v>2</v>
      </c>
      <c r="AE5869" s="54" t="s">
        <v>2</v>
      </c>
      <c r="AF5869" s="54" t="s">
        <v>2</v>
      </c>
      <c r="AG5869" s="54" t="s">
        <v>2</v>
      </c>
    </row>
    <row r="5870" ht="15.75" customHeight="1">
      <c r="B5870" s="56"/>
      <c r="U5870" s="46" t="str">
        <f t="array" ref="U5870">IF($D5870="","",IFERROR(_xlfn.XLOOKUP($D5870,'TIR店舗一覧'!$D:$D,'TIR店舗一覧'!$E:$E,""),""))</f>
        <v/>
      </c>
      <c r="V5870" s="54" t="s">
        <v>2</v>
      </c>
      <c r="W5870" s="54" t="s">
        <v>2</v>
      </c>
      <c r="X5870" s="54" t="s">
        <v>2</v>
      </c>
      <c r="Y5870" s="54" t="s">
        <v>2</v>
      </c>
      <c r="Z5870" s="54" t="s">
        <v>2</v>
      </c>
      <c r="AA5870" s="54" t="s">
        <v>2</v>
      </c>
      <c r="AB5870" s="54" t="s">
        <v>2</v>
      </c>
      <c r="AC5870" s="54" t="s">
        <v>2</v>
      </c>
      <c r="AD5870" s="54" t="s">
        <v>2</v>
      </c>
      <c r="AE5870" s="54" t="s">
        <v>2</v>
      </c>
      <c r="AF5870" s="54" t="s">
        <v>2</v>
      </c>
      <c r="AG5870" s="54" t="s">
        <v>2</v>
      </c>
    </row>
    <row r="5871" ht="15.75" customHeight="1">
      <c r="B5871" s="56"/>
      <c r="U5871" s="46" t="str">
        <f t="array" ref="U5871">IF($D5871="","",IFERROR(_xlfn.XLOOKUP($D5871,'TIR店舗一覧'!$D:$D,'TIR店舗一覧'!$E:$E,""),""))</f>
        <v/>
      </c>
      <c r="V5871" s="54" t="s">
        <v>2</v>
      </c>
      <c r="W5871" s="54" t="s">
        <v>2</v>
      </c>
      <c r="X5871" s="54" t="s">
        <v>2</v>
      </c>
      <c r="Y5871" s="54" t="s">
        <v>2</v>
      </c>
      <c r="Z5871" s="54" t="s">
        <v>2</v>
      </c>
      <c r="AA5871" s="54" t="s">
        <v>2</v>
      </c>
      <c r="AB5871" s="54" t="s">
        <v>2</v>
      </c>
      <c r="AC5871" s="54" t="s">
        <v>2</v>
      </c>
      <c r="AD5871" s="54" t="s">
        <v>2</v>
      </c>
      <c r="AE5871" s="54" t="s">
        <v>2</v>
      </c>
      <c r="AF5871" s="54" t="s">
        <v>2</v>
      </c>
      <c r="AG5871" s="54" t="s">
        <v>2</v>
      </c>
    </row>
    <row r="5872" ht="15.75" customHeight="1">
      <c r="B5872" s="56"/>
      <c r="U5872" s="46" t="str">
        <f t="array" ref="U5872">IF($D5872="","",IFERROR(_xlfn.XLOOKUP($D5872,'TIR店舗一覧'!$D:$D,'TIR店舗一覧'!$E:$E,""),""))</f>
        <v/>
      </c>
      <c r="V5872" s="54" t="s">
        <v>2</v>
      </c>
      <c r="W5872" s="54" t="s">
        <v>2</v>
      </c>
      <c r="X5872" s="54" t="s">
        <v>2</v>
      </c>
      <c r="Y5872" s="54" t="s">
        <v>2</v>
      </c>
      <c r="Z5872" s="54" t="s">
        <v>2</v>
      </c>
      <c r="AA5872" s="54" t="s">
        <v>2</v>
      </c>
      <c r="AB5872" s="54" t="s">
        <v>2</v>
      </c>
      <c r="AC5872" s="54" t="s">
        <v>2</v>
      </c>
      <c r="AD5872" s="54" t="s">
        <v>2</v>
      </c>
      <c r="AE5872" s="54" t="s">
        <v>2</v>
      </c>
      <c r="AF5872" s="54" t="s">
        <v>2</v>
      </c>
      <c r="AG5872" s="54" t="s">
        <v>2</v>
      </c>
    </row>
    <row r="5873" ht="15.75" customHeight="1">
      <c r="B5873" s="56"/>
      <c r="U5873" s="46" t="str">
        <f t="array" ref="U5873">IF($D5873="","",IFERROR(_xlfn.XLOOKUP($D5873,'TIR店舗一覧'!$D:$D,'TIR店舗一覧'!$E:$E,""),""))</f>
        <v/>
      </c>
      <c r="V5873" s="54" t="s">
        <v>2</v>
      </c>
      <c r="W5873" s="54" t="s">
        <v>2</v>
      </c>
      <c r="X5873" s="54" t="s">
        <v>2</v>
      </c>
      <c r="Y5873" s="54" t="s">
        <v>2</v>
      </c>
      <c r="Z5873" s="54" t="s">
        <v>2</v>
      </c>
      <c r="AA5873" s="54" t="s">
        <v>2</v>
      </c>
      <c r="AB5873" s="54" t="s">
        <v>2</v>
      </c>
      <c r="AC5873" s="54" t="s">
        <v>2</v>
      </c>
      <c r="AD5873" s="54" t="s">
        <v>2</v>
      </c>
      <c r="AE5873" s="54" t="s">
        <v>2</v>
      </c>
      <c r="AF5873" s="54" t="s">
        <v>2</v>
      </c>
      <c r="AG5873" s="54" t="s">
        <v>2</v>
      </c>
    </row>
    <row r="5874" ht="15.75" customHeight="1">
      <c r="B5874" s="56"/>
      <c r="U5874" s="46" t="str">
        <f t="array" ref="U5874">IF($D5874="","",IFERROR(_xlfn.XLOOKUP($D5874,'TIR店舗一覧'!$D:$D,'TIR店舗一覧'!$E:$E,""),""))</f>
        <v/>
      </c>
      <c r="V5874" s="54" t="s">
        <v>2</v>
      </c>
      <c r="W5874" s="54" t="s">
        <v>2</v>
      </c>
      <c r="X5874" s="54" t="s">
        <v>2</v>
      </c>
      <c r="Y5874" s="54" t="s">
        <v>2</v>
      </c>
      <c r="Z5874" s="54" t="s">
        <v>2</v>
      </c>
      <c r="AA5874" s="54" t="s">
        <v>2</v>
      </c>
      <c r="AB5874" s="54" t="s">
        <v>2</v>
      </c>
      <c r="AC5874" s="54" t="s">
        <v>2</v>
      </c>
      <c r="AD5874" s="54" t="s">
        <v>2</v>
      </c>
      <c r="AE5874" s="54" t="s">
        <v>2</v>
      </c>
      <c r="AF5874" s="54" t="s">
        <v>2</v>
      </c>
      <c r="AG5874" s="54" t="s">
        <v>2</v>
      </c>
    </row>
    <row r="5875" ht="15.75" customHeight="1">
      <c r="B5875" s="56"/>
      <c r="U5875" s="46" t="str">
        <f t="array" ref="U5875">IF($D5875="","",IFERROR(_xlfn.XLOOKUP($D5875,'TIR店舗一覧'!$D:$D,'TIR店舗一覧'!$E:$E,""),""))</f>
        <v/>
      </c>
      <c r="V5875" s="54" t="s">
        <v>2</v>
      </c>
      <c r="W5875" s="54" t="s">
        <v>2</v>
      </c>
      <c r="X5875" s="54" t="s">
        <v>2</v>
      </c>
      <c r="Y5875" s="54" t="s">
        <v>2</v>
      </c>
      <c r="Z5875" s="54" t="s">
        <v>2</v>
      </c>
      <c r="AA5875" s="54" t="s">
        <v>2</v>
      </c>
      <c r="AB5875" s="54" t="s">
        <v>2</v>
      </c>
      <c r="AC5875" s="54" t="s">
        <v>2</v>
      </c>
      <c r="AD5875" s="54" t="s">
        <v>2</v>
      </c>
      <c r="AE5875" s="54" t="s">
        <v>2</v>
      </c>
      <c r="AF5875" s="54" t="s">
        <v>2</v>
      </c>
      <c r="AG5875" s="54" t="s">
        <v>2</v>
      </c>
    </row>
    <row r="5876" ht="15.75" customHeight="1">
      <c r="B5876" s="56"/>
      <c r="U5876" s="46" t="str">
        <f t="array" ref="U5876">IF($D5876="","",IFERROR(_xlfn.XLOOKUP($D5876,'TIR店舗一覧'!$D:$D,'TIR店舗一覧'!$E:$E,""),""))</f>
        <v/>
      </c>
      <c r="V5876" s="54" t="s">
        <v>2</v>
      </c>
      <c r="W5876" s="54" t="s">
        <v>2</v>
      </c>
      <c r="X5876" s="54" t="s">
        <v>2</v>
      </c>
      <c r="Y5876" s="54" t="s">
        <v>2</v>
      </c>
      <c r="Z5876" s="54" t="s">
        <v>2</v>
      </c>
      <c r="AA5876" s="54" t="s">
        <v>2</v>
      </c>
      <c r="AB5876" s="54" t="s">
        <v>2</v>
      </c>
      <c r="AC5876" s="54" t="s">
        <v>2</v>
      </c>
      <c r="AD5876" s="54" t="s">
        <v>2</v>
      </c>
      <c r="AE5876" s="54" t="s">
        <v>2</v>
      </c>
      <c r="AF5876" s="54" t="s">
        <v>2</v>
      </c>
      <c r="AG5876" s="54" t="s">
        <v>2</v>
      </c>
    </row>
    <row r="5877" ht="15.75" customHeight="1">
      <c r="B5877" s="56"/>
      <c r="U5877" s="46" t="str">
        <f t="array" ref="U5877">IF($D5877="","",IFERROR(_xlfn.XLOOKUP($D5877,'TIR店舗一覧'!$D:$D,'TIR店舗一覧'!$E:$E,""),""))</f>
        <v/>
      </c>
      <c r="V5877" s="54" t="s">
        <v>2</v>
      </c>
      <c r="W5877" s="54" t="s">
        <v>2</v>
      </c>
      <c r="X5877" s="54" t="s">
        <v>2</v>
      </c>
      <c r="Y5877" s="54" t="s">
        <v>2</v>
      </c>
      <c r="Z5877" s="54" t="s">
        <v>2</v>
      </c>
      <c r="AA5877" s="54" t="s">
        <v>2</v>
      </c>
      <c r="AB5877" s="54" t="s">
        <v>2</v>
      </c>
      <c r="AC5877" s="54" t="s">
        <v>2</v>
      </c>
      <c r="AD5877" s="54" t="s">
        <v>2</v>
      </c>
      <c r="AE5877" s="54" t="s">
        <v>2</v>
      </c>
      <c r="AF5877" s="54" t="s">
        <v>2</v>
      </c>
      <c r="AG5877" s="54" t="s">
        <v>2</v>
      </c>
    </row>
    <row r="5878" ht="15.75" customHeight="1">
      <c r="B5878" s="56"/>
      <c r="U5878" s="46" t="str">
        <f t="array" ref="U5878">IF($D5878="","",IFERROR(_xlfn.XLOOKUP($D5878,'TIR店舗一覧'!$D:$D,'TIR店舗一覧'!$E:$E,""),""))</f>
        <v/>
      </c>
      <c r="V5878" s="54" t="s">
        <v>2</v>
      </c>
      <c r="W5878" s="54" t="s">
        <v>2</v>
      </c>
      <c r="X5878" s="54" t="s">
        <v>2</v>
      </c>
      <c r="Y5878" s="54" t="s">
        <v>2</v>
      </c>
      <c r="Z5878" s="54" t="s">
        <v>2</v>
      </c>
      <c r="AA5878" s="54" t="s">
        <v>2</v>
      </c>
      <c r="AB5878" s="54" t="s">
        <v>2</v>
      </c>
      <c r="AC5878" s="54" t="s">
        <v>2</v>
      </c>
      <c r="AD5878" s="54" t="s">
        <v>2</v>
      </c>
      <c r="AE5878" s="54" t="s">
        <v>2</v>
      </c>
      <c r="AF5878" s="54" t="s">
        <v>2</v>
      </c>
      <c r="AG5878" s="54" t="s">
        <v>2</v>
      </c>
    </row>
    <row r="5879" ht="15.75" customHeight="1">
      <c r="B5879" s="56"/>
      <c r="U5879" s="46" t="str">
        <f t="array" ref="U5879">IF($D5879="","",IFERROR(_xlfn.XLOOKUP($D5879,'TIR店舗一覧'!$D:$D,'TIR店舗一覧'!$E:$E,""),""))</f>
        <v/>
      </c>
      <c r="V5879" s="54" t="s">
        <v>2</v>
      </c>
      <c r="W5879" s="54" t="s">
        <v>2</v>
      </c>
      <c r="X5879" s="54" t="s">
        <v>2</v>
      </c>
      <c r="Y5879" s="54" t="s">
        <v>2</v>
      </c>
      <c r="Z5879" s="54" t="s">
        <v>2</v>
      </c>
      <c r="AA5879" s="54" t="s">
        <v>2</v>
      </c>
      <c r="AB5879" s="54" t="s">
        <v>2</v>
      </c>
      <c r="AC5879" s="54" t="s">
        <v>2</v>
      </c>
      <c r="AD5879" s="54" t="s">
        <v>2</v>
      </c>
      <c r="AE5879" s="54" t="s">
        <v>2</v>
      </c>
      <c r="AF5879" s="54" t="s">
        <v>2</v>
      </c>
      <c r="AG5879" s="54" t="s">
        <v>2</v>
      </c>
    </row>
    <row r="5880" ht="15.75" customHeight="1">
      <c r="B5880" s="56"/>
      <c r="U5880" s="46" t="str">
        <f t="array" ref="U5880">IF($D5880="","",IFERROR(_xlfn.XLOOKUP($D5880,'TIR店舗一覧'!$D:$D,'TIR店舗一覧'!$E:$E,""),""))</f>
        <v/>
      </c>
      <c r="V5880" s="54" t="s">
        <v>2</v>
      </c>
      <c r="W5880" s="54" t="s">
        <v>2</v>
      </c>
      <c r="X5880" s="54" t="s">
        <v>2</v>
      </c>
      <c r="Y5880" s="54" t="s">
        <v>2</v>
      </c>
      <c r="Z5880" s="54" t="s">
        <v>2</v>
      </c>
      <c r="AA5880" s="54" t="s">
        <v>2</v>
      </c>
      <c r="AB5880" s="54" t="s">
        <v>2</v>
      </c>
      <c r="AC5880" s="54" t="s">
        <v>2</v>
      </c>
      <c r="AD5880" s="54" t="s">
        <v>2</v>
      </c>
      <c r="AE5880" s="54" t="s">
        <v>2</v>
      </c>
      <c r="AF5880" s="54" t="s">
        <v>2</v>
      </c>
      <c r="AG5880" s="54" t="s">
        <v>2</v>
      </c>
    </row>
    <row r="5881" ht="15.75" customHeight="1">
      <c r="B5881" s="56"/>
      <c r="U5881" s="46" t="str">
        <f t="array" ref="U5881">IF($D5881="","",IFERROR(_xlfn.XLOOKUP($D5881,'TIR店舗一覧'!$D:$D,'TIR店舗一覧'!$E:$E,""),""))</f>
        <v/>
      </c>
      <c r="V5881" s="54" t="s">
        <v>2</v>
      </c>
      <c r="W5881" s="54" t="s">
        <v>2</v>
      </c>
      <c r="X5881" s="54" t="s">
        <v>2</v>
      </c>
      <c r="Y5881" s="54" t="s">
        <v>2</v>
      </c>
      <c r="Z5881" s="54" t="s">
        <v>2</v>
      </c>
      <c r="AA5881" s="54" t="s">
        <v>2</v>
      </c>
      <c r="AB5881" s="54" t="s">
        <v>2</v>
      </c>
      <c r="AC5881" s="54" t="s">
        <v>2</v>
      </c>
      <c r="AD5881" s="54" t="s">
        <v>2</v>
      </c>
      <c r="AE5881" s="54" t="s">
        <v>2</v>
      </c>
      <c r="AF5881" s="54" t="s">
        <v>2</v>
      </c>
      <c r="AG5881" s="54" t="s">
        <v>2</v>
      </c>
    </row>
    <row r="5882" ht="15.75" customHeight="1">
      <c r="B5882" s="56"/>
      <c r="U5882" s="46" t="str">
        <f t="array" ref="U5882">IF($D5882="","",IFERROR(_xlfn.XLOOKUP($D5882,'TIR店舗一覧'!$D:$D,'TIR店舗一覧'!$E:$E,""),""))</f>
        <v/>
      </c>
      <c r="V5882" s="54" t="s">
        <v>2</v>
      </c>
      <c r="W5882" s="54" t="s">
        <v>2</v>
      </c>
      <c r="X5882" s="54" t="s">
        <v>2</v>
      </c>
      <c r="Y5882" s="54" t="s">
        <v>2</v>
      </c>
      <c r="Z5882" s="54" t="s">
        <v>2</v>
      </c>
      <c r="AA5882" s="54" t="s">
        <v>2</v>
      </c>
      <c r="AB5882" s="54" t="s">
        <v>2</v>
      </c>
      <c r="AC5882" s="54" t="s">
        <v>2</v>
      </c>
      <c r="AD5882" s="54" t="s">
        <v>2</v>
      </c>
      <c r="AE5882" s="54" t="s">
        <v>2</v>
      </c>
      <c r="AF5882" s="54" t="s">
        <v>2</v>
      </c>
      <c r="AG5882" s="54" t="s">
        <v>2</v>
      </c>
    </row>
    <row r="5883" ht="15.75" customHeight="1">
      <c r="B5883" s="56"/>
      <c r="U5883" s="46" t="str">
        <f t="array" ref="U5883">IF($D5883="","",IFERROR(_xlfn.XLOOKUP($D5883,'TIR店舗一覧'!$D:$D,'TIR店舗一覧'!$E:$E,""),""))</f>
        <v/>
      </c>
      <c r="V5883" s="54" t="s">
        <v>2</v>
      </c>
      <c r="W5883" s="54" t="s">
        <v>2</v>
      </c>
      <c r="X5883" s="54" t="s">
        <v>2</v>
      </c>
      <c r="Y5883" s="54" t="s">
        <v>2</v>
      </c>
      <c r="Z5883" s="54" t="s">
        <v>2</v>
      </c>
      <c r="AA5883" s="54" t="s">
        <v>2</v>
      </c>
      <c r="AB5883" s="54" t="s">
        <v>2</v>
      </c>
      <c r="AC5883" s="54" t="s">
        <v>2</v>
      </c>
      <c r="AD5883" s="54" t="s">
        <v>2</v>
      </c>
      <c r="AE5883" s="54" t="s">
        <v>2</v>
      </c>
      <c r="AF5883" s="54" t="s">
        <v>2</v>
      </c>
      <c r="AG5883" s="54" t="s">
        <v>2</v>
      </c>
    </row>
    <row r="5884" ht="15.75" customHeight="1">
      <c r="B5884" s="56"/>
      <c r="U5884" s="46" t="str">
        <f t="array" ref="U5884">IF($D5884="","",IFERROR(_xlfn.XLOOKUP($D5884,'TIR店舗一覧'!$D:$D,'TIR店舗一覧'!$E:$E,""),""))</f>
        <v/>
      </c>
      <c r="V5884" s="54" t="s">
        <v>2</v>
      </c>
      <c r="W5884" s="54" t="s">
        <v>2</v>
      </c>
      <c r="X5884" s="54" t="s">
        <v>2</v>
      </c>
      <c r="Y5884" s="54" t="s">
        <v>2</v>
      </c>
      <c r="Z5884" s="54" t="s">
        <v>2</v>
      </c>
      <c r="AA5884" s="54" t="s">
        <v>2</v>
      </c>
      <c r="AB5884" s="54" t="s">
        <v>2</v>
      </c>
      <c r="AC5884" s="54" t="s">
        <v>2</v>
      </c>
      <c r="AD5884" s="54" t="s">
        <v>2</v>
      </c>
      <c r="AE5884" s="54" t="s">
        <v>2</v>
      </c>
      <c r="AF5884" s="54" t="s">
        <v>2</v>
      </c>
      <c r="AG5884" s="54" t="s">
        <v>2</v>
      </c>
    </row>
    <row r="5885" ht="15.75" customHeight="1">
      <c r="B5885" s="56"/>
      <c r="U5885" s="46" t="str">
        <f t="array" ref="U5885">IF($D5885="","",IFERROR(_xlfn.XLOOKUP($D5885,'TIR店舗一覧'!$D:$D,'TIR店舗一覧'!$E:$E,""),""))</f>
        <v/>
      </c>
      <c r="V5885" s="54" t="s">
        <v>2</v>
      </c>
      <c r="W5885" s="54" t="s">
        <v>2</v>
      </c>
      <c r="X5885" s="54" t="s">
        <v>2</v>
      </c>
      <c r="Y5885" s="54" t="s">
        <v>2</v>
      </c>
      <c r="Z5885" s="54" t="s">
        <v>2</v>
      </c>
      <c r="AA5885" s="54" t="s">
        <v>2</v>
      </c>
      <c r="AB5885" s="54" t="s">
        <v>2</v>
      </c>
      <c r="AC5885" s="54" t="s">
        <v>2</v>
      </c>
      <c r="AD5885" s="54" t="s">
        <v>2</v>
      </c>
      <c r="AE5885" s="54" t="s">
        <v>2</v>
      </c>
      <c r="AF5885" s="54" t="s">
        <v>2</v>
      </c>
      <c r="AG5885" s="54" t="s">
        <v>2</v>
      </c>
    </row>
    <row r="5886" ht="15.75" customHeight="1">
      <c r="B5886" s="56"/>
      <c r="U5886" s="46" t="str">
        <f t="array" ref="U5886">IF($D5886="","",IFERROR(_xlfn.XLOOKUP($D5886,'TIR店舗一覧'!$D:$D,'TIR店舗一覧'!$E:$E,""),""))</f>
        <v/>
      </c>
      <c r="V5886" s="54" t="s">
        <v>2</v>
      </c>
      <c r="W5886" s="54" t="s">
        <v>2</v>
      </c>
      <c r="X5886" s="54" t="s">
        <v>2</v>
      </c>
      <c r="Y5886" s="54" t="s">
        <v>2</v>
      </c>
      <c r="Z5886" s="54" t="s">
        <v>2</v>
      </c>
      <c r="AA5886" s="54" t="s">
        <v>2</v>
      </c>
      <c r="AB5886" s="54" t="s">
        <v>2</v>
      </c>
      <c r="AC5886" s="54" t="s">
        <v>2</v>
      </c>
      <c r="AD5886" s="54" t="s">
        <v>2</v>
      </c>
      <c r="AE5886" s="54" t="s">
        <v>2</v>
      </c>
      <c r="AF5886" s="54" t="s">
        <v>2</v>
      </c>
      <c r="AG5886" s="54" t="s">
        <v>2</v>
      </c>
    </row>
    <row r="5887" ht="15.75" customHeight="1">
      <c r="B5887" s="56"/>
      <c r="U5887" s="46" t="str">
        <f t="array" ref="U5887">IF($D5887="","",IFERROR(_xlfn.XLOOKUP($D5887,'TIR店舗一覧'!$D:$D,'TIR店舗一覧'!$E:$E,""),""))</f>
        <v/>
      </c>
      <c r="V5887" s="54" t="s">
        <v>2</v>
      </c>
      <c r="W5887" s="54" t="s">
        <v>2</v>
      </c>
      <c r="X5887" s="54" t="s">
        <v>2</v>
      </c>
      <c r="Y5887" s="54" t="s">
        <v>2</v>
      </c>
      <c r="Z5887" s="54" t="s">
        <v>2</v>
      </c>
      <c r="AA5887" s="54" t="s">
        <v>2</v>
      </c>
      <c r="AB5887" s="54" t="s">
        <v>2</v>
      </c>
      <c r="AC5887" s="54" t="s">
        <v>2</v>
      </c>
      <c r="AD5887" s="54" t="s">
        <v>2</v>
      </c>
      <c r="AE5887" s="54" t="s">
        <v>2</v>
      </c>
      <c r="AF5887" s="54" t="s">
        <v>2</v>
      </c>
      <c r="AG5887" s="54" t="s">
        <v>2</v>
      </c>
    </row>
    <row r="5888" ht="15.75" customHeight="1">
      <c r="B5888" s="56"/>
      <c r="U5888" s="46" t="str">
        <f t="array" ref="U5888">IF($D5888="","",IFERROR(_xlfn.XLOOKUP($D5888,'TIR店舗一覧'!$D:$D,'TIR店舗一覧'!$E:$E,""),""))</f>
        <v/>
      </c>
      <c r="V5888" s="54" t="s">
        <v>2</v>
      </c>
      <c r="W5888" s="54" t="s">
        <v>2</v>
      </c>
      <c r="X5888" s="54" t="s">
        <v>2</v>
      </c>
      <c r="Y5888" s="54" t="s">
        <v>2</v>
      </c>
      <c r="Z5888" s="54" t="s">
        <v>2</v>
      </c>
      <c r="AA5888" s="54" t="s">
        <v>2</v>
      </c>
      <c r="AB5888" s="54" t="s">
        <v>2</v>
      </c>
      <c r="AC5888" s="54" t="s">
        <v>2</v>
      </c>
      <c r="AD5888" s="54" t="s">
        <v>2</v>
      </c>
      <c r="AE5888" s="54" t="s">
        <v>2</v>
      </c>
      <c r="AF5888" s="54" t="s">
        <v>2</v>
      </c>
      <c r="AG5888" s="54" t="s">
        <v>2</v>
      </c>
    </row>
    <row r="5889" ht="15.75" customHeight="1">
      <c r="B5889" s="56"/>
      <c r="U5889" s="46" t="str">
        <f t="array" ref="U5889">IF($D5889="","",IFERROR(_xlfn.XLOOKUP($D5889,'TIR店舗一覧'!$D:$D,'TIR店舗一覧'!$E:$E,""),""))</f>
        <v/>
      </c>
      <c r="V5889" s="54" t="s">
        <v>2</v>
      </c>
      <c r="W5889" s="54" t="s">
        <v>2</v>
      </c>
      <c r="X5889" s="54" t="s">
        <v>2</v>
      </c>
      <c r="Y5889" s="54" t="s">
        <v>2</v>
      </c>
      <c r="Z5889" s="54" t="s">
        <v>2</v>
      </c>
      <c r="AA5889" s="54" t="s">
        <v>2</v>
      </c>
      <c r="AB5889" s="54" t="s">
        <v>2</v>
      </c>
      <c r="AC5889" s="54" t="s">
        <v>2</v>
      </c>
      <c r="AD5889" s="54" t="s">
        <v>2</v>
      </c>
      <c r="AE5889" s="54" t="s">
        <v>2</v>
      </c>
      <c r="AF5889" s="54" t="s">
        <v>2</v>
      </c>
      <c r="AG5889" s="54" t="s">
        <v>2</v>
      </c>
    </row>
    <row r="5890" ht="15.75" customHeight="1">
      <c r="B5890" s="56"/>
      <c r="U5890" s="46" t="str">
        <f t="array" ref="U5890">IF($D5890="","",IFERROR(_xlfn.XLOOKUP($D5890,'TIR店舗一覧'!$D:$D,'TIR店舗一覧'!$E:$E,""),""))</f>
        <v/>
      </c>
      <c r="V5890" s="54" t="s">
        <v>2</v>
      </c>
      <c r="W5890" s="54" t="s">
        <v>2</v>
      </c>
      <c r="X5890" s="54" t="s">
        <v>2</v>
      </c>
      <c r="Y5890" s="54" t="s">
        <v>2</v>
      </c>
      <c r="Z5890" s="54" t="s">
        <v>2</v>
      </c>
      <c r="AA5890" s="54" t="s">
        <v>2</v>
      </c>
      <c r="AB5890" s="54" t="s">
        <v>2</v>
      </c>
      <c r="AC5890" s="54" t="s">
        <v>2</v>
      </c>
      <c r="AD5890" s="54" t="s">
        <v>2</v>
      </c>
      <c r="AE5890" s="54" t="s">
        <v>2</v>
      </c>
      <c r="AF5890" s="54" t="s">
        <v>2</v>
      </c>
      <c r="AG5890" s="54" t="s">
        <v>2</v>
      </c>
    </row>
    <row r="5891" ht="15.75" customHeight="1">
      <c r="B5891" s="56"/>
      <c r="U5891" s="46" t="str">
        <f t="array" ref="U5891">IF($D5891="","",IFERROR(_xlfn.XLOOKUP($D5891,'TIR店舗一覧'!$D:$D,'TIR店舗一覧'!$E:$E,""),""))</f>
        <v/>
      </c>
      <c r="V5891" s="54" t="s">
        <v>2</v>
      </c>
      <c r="W5891" s="54" t="s">
        <v>2</v>
      </c>
      <c r="X5891" s="54" t="s">
        <v>2</v>
      </c>
      <c r="Y5891" s="54" t="s">
        <v>2</v>
      </c>
      <c r="Z5891" s="54" t="s">
        <v>2</v>
      </c>
      <c r="AA5891" s="54" t="s">
        <v>2</v>
      </c>
      <c r="AB5891" s="54" t="s">
        <v>2</v>
      </c>
      <c r="AC5891" s="54" t="s">
        <v>2</v>
      </c>
      <c r="AD5891" s="54" t="s">
        <v>2</v>
      </c>
      <c r="AE5891" s="54" t="s">
        <v>2</v>
      </c>
      <c r="AF5891" s="54" t="s">
        <v>2</v>
      </c>
      <c r="AG5891" s="54" t="s">
        <v>2</v>
      </c>
    </row>
    <row r="5892" ht="15.75" customHeight="1">
      <c r="B5892" s="56"/>
      <c r="U5892" s="46" t="str">
        <f t="array" ref="U5892">IF($D5892="","",IFERROR(_xlfn.XLOOKUP($D5892,'TIR店舗一覧'!$D:$D,'TIR店舗一覧'!$E:$E,""),""))</f>
        <v/>
      </c>
      <c r="V5892" s="54" t="s">
        <v>2</v>
      </c>
      <c r="W5892" s="54" t="s">
        <v>2</v>
      </c>
      <c r="X5892" s="54" t="s">
        <v>2</v>
      </c>
      <c r="Y5892" s="54" t="s">
        <v>2</v>
      </c>
      <c r="Z5892" s="54" t="s">
        <v>2</v>
      </c>
      <c r="AA5892" s="54" t="s">
        <v>2</v>
      </c>
      <c r="AB5892" s="54" t="s">
        <v>2</v>
      </c>
      <c r="AC5892" s="54" t="s">
        <v>2</v>
      </c>
      <c r="AD5892" s="54" t="s">
        <v>2</v>
      </c>
      <c r="AE5892" s="54" t="s">
        <v>2</v>
      </c>
      <c r="AF5892" s="54" t="s">
        <v>2</v>
      </c>
      <c r="AG5892" s="54" t="s">
        <v>2</v>
      </c>
    </row>
    <row r="5893" ht="15.75" customHeight="1">
      <c r="B5893" s="56"/>
      <c r="U5893" s="46" t="str">
        <f t="array" ref="U5893">IF($D5893="","",IFERROR(_xlfn.XLOOKUP($D5893,'TIR店舗一覧'!$D:$D,'TIR店舗一覧'!$E:$E,""),""))</f>
        <v/>
      </c>
      <c r="V5893" s="54" t="s">
        <v>2</v>
      </c>
      <c r="W5893" s="54" t="s">
        <v>2</v>
      </c>
      <c r="X5893" s="54" t="s">
        <v>2</v>
      </c>
      <c r="Y5893" s="54" t="s">
        <v>2</v>
      </c>
      <c r="Z5893" s="54" t="s">
        <v>2</v>
      </c>
      <c r="AA5893" s="54" t="s">
        <v>2</v>
      </c>
      <c r="AB5893" s="54" t="s">
        <v>2</v>
      </c>
      <c r="AC5893" s="54" t="s">
        <v>2</v>
      </c>
      <c r="AD5893" s="54" t="s">
        <v>2</v>
      </c>
      <c r="AE5893" s="54" t="s">
        <v>2</v>
      </c>
      <c r="AF5893" s="54" t="s">
        <v>2</v>
      </c>
      <c r="AG5893" s="54" t="s">
        <v>2</v>
      </c>
    </row>
    <row r="5894" ht="15.75" customHeight="1">
      <c r="B5894" s="56"/>
      <c r="U5894" s="46" t="str">
        <f t="array" ref="U5894">IF($D5894="","",IFERROR(_xlfn.XLOOKUP($D5894,'TIR店舗一覧'!$D:$D,'TIR店舗一覧'!$E:$E,""),""))</f>
        <v/>
      </c>
      <c r="V5894" s="54" t="s">
        <v>2</v>
      </c>
      <c r="W5894" s="54" t="s">
        <v>2</v>
      </c>
      <c r="X5894" s="54" t="s">
        <v>2</v>
      </c>
      <c r="Y5894" s="54" t="s">
        <v>2</v>
      </c>
      <c r="Z5894" s="54" t="s">
        <v>2</v>
      </c>
      <c r="AA5894" s="54" t="s">
        <v>2</v>
      </c>
      <c r="AB5894" s="54" t="s">
        <v>2</v>
      </c>
      <c r="AC5894" s="54" t="s">
        <v>2</v>
      </c>
      <c r="AD5894" s="54" t="s">
        <v>2</v>
      </c>
      <c r="AE5894" s="54" t="s">
        <v>2</v>
      </c>
      <c r="AF5894" s="54" t="s">
        <v>2</v>
      </c>
      <c r="AG5894" s="54" t="s">
        <v>2</v>
      </c>
    </row>
    <row r="5895" ht="15.75" customHeight="1">
      <c r="B5895" s="56"/>
      <c r="U5895" s="46" t="str">
        <f t="array" ref="U5895">IF($D5895="","",IFERROR(_xlfn.XLOOKUP($D5895,'TIR店舗一覧'!$D:$D,'TIR店舗一覧'!$E:$E,""),""))</f>
        <v/>
      </c>
      <c r="V5895" s="54" t="s">
        <v>2</v>
      </c>
      <c r="W5895" s="54" t="s">
        <v>2</v>
      </c>
      <c r="X5895" s="54" t="s">
        <v>2</v>
      </c>
      <c r="Y5895" s="54" t="s">
        <v>2</v>
      </c>
      <c r="Z5895" s="54" t="s">
        <v>2</v>
      </c>
      <c r="AA5895" s="54" t="s">
        <v>2</v>
      </c>
      <c r="AB5895" s="54" t="s">
        <v>2</v>
      </c>
      <c r="AC5895" s="54" t="s">
        <v>2</v>
      </c>
      <c r="AD5895" s="54" t="s">
        <v>2</v>
      </c>
      <c r="AE5895" s="54" t="s">
        <v>2</v>
      </c>
      <c r="AF5895" s="54" t="s">
        <v>2</v>
      </c>
      <c r="AG5895" s="54" t="s">
        <v>2</v>
      </c>
    </row>
    <row r="5896" ht="15.75" customHeight="1">
      <c r="B5896" s="56"/>
      <c r="U5896" s="46" t="str">
        <f t="array" ref="U5896">IF($D5896="","",IFERROR(_xlfn.XLOOKUP($D5896,'TIR店舗一覧'!$D:$D,'TIR店舗一覧'!$E:$E,""),""))</f>
        <v/>
      </c>
      <c r="V5896" s="54" t="s">
        <v>2</v>
      </c>
      <c r="W5896" s="54" t="s">
        <v>2</v>
      </c>
      <c r="X5896" s="54" t="s">
        <v>2</v>
      </c>
      <c r="Y5896" s="54" t="s">
        <v>2</v>
      </c>
      <c r="Z5896" s="54" t="s">
        <v>2</v>
      </c>
      <c r="AA5896" s="54" t="s">
        <v>2</v>
      </c>
      <c r="AB5896" s="54" t="s">
        <v>2</v>
      </c>
      <c r="AC5896" s="54" t="s">
        <v>2</v>
      </c>
      <c r="AD5896" s="54" t="s">
        <v>2</v>
      </c>
      <c r="AE5896" s="54" t="s">
        <v>2</v>
      </c>
      <c r="AF5896" s="54" t="s">
        <v>2</v>
      </c>
      <c r="AG5896" s="54" t="s">
        <v>2</v>
      </c>
    </row>
    <row r="5897" ht="15.75" customHeight="1">
      <c r="B5897" s="56"/>
      <c r="U5897" s="46" t="str">
        <f t="array" ref="U5897">IF($D5897="","",IFERROR(_xlfn.XLOOKUP($D5897,'TIR店舗一覧'!$D:$D,'TIR店舗一覧'!$E:$E,""),""))</f>
        <v/>
      </c>
      <c r="V5897" s="54" t="s">
        <v>2</v>
      </c>
      <c r="W5897" s="54" t="s">
        <v>2</v>
      </c>
      <c r="X5897" s="54" t="s">
        <v>2</v>
      </c>
      <c r="Y5897" s="54" t="s">
        <v>2</v>
      </c>
      <c r="Z5897" s="54" t="s">
        <v>2</v>
      </c>
      <c r="AA5897" s="54" t="s">
        <v>2</v>
      </c>
      <c r="AB5897" s="54" t="s">
        <v>2</v>
      </c>
      <c r="AC5897" s="54" t="s">
        <v>2</v>
      </c>
      <c r="AD5897" s="54" t="s">
        <v>2</v>
      </c>
      <c r="AE5897" s="54" t="s">
        <v>2</v>
      </c>
      <c r="AF5897" s="54" t="s">
        <v>2</v>
      </c>
      <c r="AG5897" s="54" t="s">
        <v>2</v>
      </c>
    </row>
    <row r="5898" ht="15.75" customHeight="1">
      <c r="B5898" s="56"/>
      <c r="U5898" s="46" t="str">
        <f t="array" ref="U5898">IF($D5898="","",IFERROR(_xlfn.XLOOKUP($D5898,'TIR店舗一覧'!$D:$D,'TIR店舗一覧'!$E:$E,""),""))</f>
        <v/>
      </c>
      <c r="V5898" s="54" t="s">
        <v>2</v>
      </c>
      <c r="W5898" s="54" t="s">
        <v>2</v>
      </c>
      <c r="X5898" s="54" t="s">
        <v>2</v>
      </c>
      <c r="Y5898" s="54" t="s">
        <v>2</v>
      </c>
      <c r="Z5898" s="54" t="s">
        <v>2</v>
      </c>
      <c r="AA5898" s="54" t="s">
        <v>2</v>
      </c>
      <c r="AB5898" s="54" t="s">
        <v>2</v>
      </c>
      <c r="AC5898" s="54" t="s">
        <v>2</v>
      </c>
      <c r="AD5898" s="54" t="s">
        <v>2</v>
      </c>
      <c r="AE5898" s="54" t="s">
        <v>2</v>
      </c>
      <c r="AF5898" s="54" t="s">
        <v>2</v>
      </c>
      <c r="AG5898" s="54" t="s">
        <v>2</v>
      </c>
    </row>
    <row r="5899" ht="15.75" customHeight="1">
      <c r="B5899" s="56"/>
      <c r="U5899" s="46" t="str">
        <f t="array" ref="U5899">IF($D5899="","",IFERROR(_xlfn.XLOOKUP($D5899,'TIR店舗一覧'!$D:$D,'TIR店舗一覧'!$E:$E,""),""))</f>
        <v/>
      </c>
      <c r="V5899" s="54" t="s">
        <v>2</v>
      </c>
      <c r="W5899" s="54" t="s">
        <v>2</v>
      </c>
      <c r="X5899" s="54" t="s">
        <v>2</v>
      </c>
      <c r="Y5899" s="54" t="s">
        <v>2</v>
      </c>
      <c r="Z5899" s="54" t="s">
        <v>2</v>
      </c>
      <c r="AA5899" s="54" t="s">
        <v>2</v>
      </c>
      <c r="AB5899" s="54" t="s">
        <v>2</v>
      </c>
      <c r="AC5899" s="54" t="s">
        <v>2</v>
      </c>
      <c r="AD5899" s="54" t="s">
        <v>2</v>
      </c>
      <c r="AE5899" s="54" t="s">
        <v>2</v>
      </c>
      <c r="AF5899" s="54" t="s">
        <v>2</v>
      </c>
      <c r="AG5899" s="54" t="s">
        <v>2</v>
      </c>
    </row>
    <row r="5900" ht="15.75" customHeight="1">
      <c r="B5900" s="56"/>
      <c r="U5900" s="46" t="str">
        <f t="array" ref="U5900">IF($D5900="","",IFERROR(_xlfn.XLOOKUP($D5900,'TIR店舗一覧'!$D:$D,'TIR店舗一覧'!$E:$E,""),""))</f>
        <v/>
      </c>
      <c r="V5900" s="54" t="s">
        <v>2</v>
      </c>
      <c r="W5900" s="54" t="s">
        <v>2</v>
      </c>
      <c r="X5900" s="54" t="s">
        <v>2</v>
      </c>
      <c r="Y5900" s="54" t="s">
        <v>2</v>
      </c>
      <c r="Z5900" s="54" t="s">
        <v>2</v>
      </c>
      <c r="AA5900" s="54" t="s">
        <v>2</v>
      </c>
      <c r="AB5900" s="54" t="s">
        <v>2</v>
      </c>
      <c r="AC5900" s="54" t="s">
        <v>2</v>
      </c>
      <c r="AD5900" s="54" t="s">
        <v>2</v>
      </c>
      <c r="AE5900" s="54" t="s">
        <v>2</v>
      </c>
      <c r="AF5900" s="54" t="s">
        <v>2</v>
      </c>
      <c r="AG5900" s="54" t="s">
        <v>2</v>
      </c>
    </row>
    <row r="5901" ht="15.75" customHeight="1">
      <c r="B5901" s="56"/>
      <c r="U5901" s="46" t="str">
        <f t="array" ref="U5901">IF($D5901="","",IFERROR(_xlfn.XLOOKUP($D5901,'TIR店舗一覧'!$D:$D,'TIR店舗一覧'!$E:$E,""),""))</f>
        <v/>
      </c>
      <c r="V5901" s="54" t="s">
        <v>2</v>
      </c>
      <c r="W5901" s="54" t="s">
        <v>2</v>
      </c>
      <c r="X5901" s="54" t="s">
        <v>2</v>
      </c>
      <c r="Y5901" s="54" t="s">
        <v>2</v>
      </c>
      <c r="Z5901" s="54" t="s">
        <v>2</v>
      </c>
      <c r="AA5901" s="54" t="s">
        <v>2</v>
      </c>
      <c r="AB5901" s="54" t="s">
        <v>2</v>
      </c>
      <c r="AC5901" s="54" t="s">
        <v>2</v>
      </c>
      <c r="AD5901" s="54" t="s">
        <v>2</v>
      </c>
      <c r="AE5901" s="54" t="s">
        <v>2</v>
      </c>
      <c r="AF5901" s="54" t="s">
        <v>2</v>
      </c>
      <c r="AG5901" s="54" t="s">
        <v>2</v>
      </c>
    </row>
    <row r="5902" ht="15.75" customHeight="1">
      <c r="B5902" s="56"/>
      <c r="U5902" s="46" t="str">
        <f t="array" ref="U5902">IF($D5902="","",IFERROR(_xlfn.XLOOKUP($D5902,'TIR店舗一覧'!$D:$D,'TIR店舗一覧'!$E:$E,""),""))</f>
        <v/>
      </c>
      <c r="V5902" s="54" t="s">
        <v>2</v>
      </c>
      <c r="W5902" s="54" t="s">
        <v>2</v>
      </c>
      <c r="X5902" s="54" t="s">
        <v>2</v>
      </c>
      <c r="Y5902" s="54" t="s">
        <v>2</v>
      </c>
      <c r="Z5902" s="54" t="s">
        <v>2</v>
      </c>
      <c r="AA5902" s="54" t="s">
        <v>2</v>
      </c>
      <c r="AB5902" s="54" t="s">
        <v>2</v>
      </c>
      <c r="AC5902" s="54" t="s">
        <v>2</v>
      </c>
      <c r="AD5902" s="54" t="s">
        <v>2</v>
      </c>
      <c r="AE5902" s="54" t="s">
        <v>2</v>
      </c>
      <c r="AF5902" s="54" t="s">
        <v>2</v>
      </c>
      <c r="AG5902" s="54" t="s">
        <v>2</v>
      </c>
    </row>
    <row r="5903" ht="15.75" customHeight="1">
      <c r="B5903" s="56"/>
      <c r="U5903" s="46" t="str">
        <f t="array" ref="U5903">IF($D5903="","",IFERROR(_xlfn.XLOOKUP($D5903,'TIR店舗一覧'!$D:$D,'TIR店舗一覧'!$E:$E,""),""))</f>
        <v/>
      </c>
      <c r="V5903" s="54" t="s">
        <v>2</v>
      </c>
      <c r="W5903" s="54" t="s">
        <v>2</v>
      </c>
      <c r="X5903" s="54" t="s">
        <v>2</v>
      </c>
      <c r="Y5903" s="54" t="s">
        <v>2</v>
      </c>
      <c r="Z5903" s="54" t="s">
        <v>2</v>
      </c>
      <c r="AA5903" s="54" t="s">
        <v>2</v>
      </c>
      <c r="AB5903" s="54" t="s">
        <v>2</v>
      </c>
      <c r="AC5903" s="54" t="s">
        <v>2</v>
      </c>
      <c r="AD5903" s="54" t="s">
        <v>2</v>
      </c>
      <c r="AE5903" s="54" t="s">
        <v>2</v>
      </c>
      <c r="AF5903" s="54" t="s">
        <v>2</v>
      </c>
      <c r="AG5903" s="54" t="s">
        <v>2</v>
      </c>
    </row>
    <row r="5904" ht="15.75" customHeight="1">
      <c r="B5904" s="56"/>
      <c r="U5904" s="46" t="str">
        <f t="array" ref="U5904">IF($D5904="","",IFERROR(_xlfn.XLOOKUP($D5904,'TIR店舗一覧'!$D:$D,'TIR店舗一覧'!$E:$E,""),""))</f>
        <v/>
      </c>
      <c r="V5904" s="54" t="s">
        <v>2</v>
      </c>
      <c r="W5904" s="54" t="s">
        <v>2</v>
      </c>
      <c r="X5904" s="54" t="s">
        <v>2</v>
      </c>
      <c r="Y5904" s="54" t="s">
        <v>2</v>
      </c>
      <c r="Z5904" s="54" t="s">
        <v>2</v>
      </c>
      <c r="AA5904" s="54" t="s">
        <v>2</v>
      </c>
      <c r="AB5904" s="54" t="s">
        <v>2</v>
      </c>
      <c r="AC5904" s="54" t="s">
        <v>2</v>
      </c>
      <c r="AD5904" s="54" t="s">
        <v>2</v>
      </c>
      <c r="AE5904" s="54" t="s">
        <v>2</v>
      </c>
      <c r="AF5904" s="54" t="s">
        <v>2</v>
      </c>
      <c r="AG5904" s="54" t="s">
        <v>2</v>
      </c>
    </row>
    <row r="5905" ht="15.75" customHeight="1">
      <c r="B5905" s="56"/>
      <c r="U5905" s="46" t="str">
        <f t="array" ref="U5905">IF($D5905="","",IFERROR(_xlfn.XLOOKUP($D5905,'TIR店舗一覧'!$D:$D,'TIR店舗一覧'!$E:$E,""),""))</f>
        <v/>
      </c>
      <c r="V5905" s="54" t="s">
        <v>2</v>
      </c>
      <c r="W5905" s="54" t="s">
        <v>2</v>
      </c>
      <c r="X5905" s="54" t="s">
        <v>2</v>
      </c>
      <c r="Y5905" s="54" t="s">
        <v>2</v>
      </c>
      <c r="Z5905" s="54" t="s">
        <v>2</v>
      </c>
      <c r="AA5905" s="54" t="s">
        <v>2</v>
      </c>
      <c r="AB5905" s="54" t="s">
        <v>2</v>
      </c>
      <c r="AC5905" s="54" t="s">
        <v>2</v>
      </c>
      <c r="AD5905" s="54" t="s">
        <v>2</v>
      </c>
      <c r="AE5905" s="54" t="s">
        <v>2</v>
      </c>
      <c r="AF5905" s="54" t="s">
        <v>2</v>
      </c>
      <c r="AG5905" s="54" t="s">
        <v>2</v>
      </c>
    </row>
    <row r="5906" ht="15.75" customHeight="1">
      <c r="B5906" s="56"/>
      <c r="U5906" s="46" t="str">
        <f t="array" ref="U5906">IF($D5906="","",IFERROR(_xlfn.XLOOKUP($D5906,'TIR店舗一覧'!$D:$D,'TIR店舗一覧'!$E:$E,""),""))</f>
        <v/>
      </c>
      <c r="V5906" s="54" t="s">
        <v>2</v>
      </c>
      <c r="W5906" s="54" t="s">
        <v>2</v>
      </c>
      <c r="X5906" s="54" t="s">
        <v>2</v>
      </c>
      <c r="Y5906" s="54" t="s">
        <v>2</v>
      </c>
      <c r="Z5906" s="54" t="s">
        <v>2</v>
      </c>
      <c r="AA5906" s="54" t="s">
        <v>2</v>
      </c>
      <c r="AB5906" s="54" t="s">
        <v>2</v>
      </c>
      <c r="AC5906" s="54" t="s">
        <v>2</v>
      </c>
      <c r="AD5906" s="54" t="s">
        <v>2</v>
      </c>
      <c r="AE5906" s="54" t="s">
        <v>2</v>
      </c>
      <c r="AF5906" s="54" t="s">
        <v>2</v>
      </c>
      <c r="AG5906" s="54" t="s">
        <v>2</v>
      </c>
    </row>
    <row r="5907" ht="15.75" customHeight="1">
      <c r="B5907" s="56"/>
      <c r="U5907" s="46" t="str">
        <f t="array" ref="U5907">IF($D5907="","",IFERROR(_xlfn.XLOOKUP($D5907,'TIR店舗一覧'!$D:$D,'TIR店舗一覧'!$E:$E,""),""))</f>
        <v/>
      </c>
      <c r="V5907" s="54" t="s">
        <v>2</v>
      </c>
      <c r="W5907" s="54" t="s">
        <v>2</v>
      </c>
      <c r="X5907" s="54" t="s">
        <v>2</v>
      </c>
      <c r="Y5907" s="54" t="s">
        <v>2</v>
      </c>
      <c r="Z5907" s="54" t="s">
        <v>2</v>
      </c>
      <c r="AA5907" s="54" t="s">
        <v>2</v>
      </c>
      <c r="AB5907" s="54" t="s">
        <v>2</v>
      </c>
      <c r="AC5907" s="54" t="s">
        <v>2</v>
      </c>
      <c r="AD5907" s="54" t="s">
        <v>2</v>
      </c>
      <c r="AE5907" s="54" t="s">
        <v>2</v>
      </c>
      <c r="AF5907" s="54" t="s">
        <v>2</v>
      </c>
      <c r="AG5907" s="54" t="s">
        <v>2</v>
      </c>
    </row>
    <row r="5908" ht="15.75" customHeight="1">
      <c r="B5908" s="56"/>
      <c r="U5908" s="46" t="str">
        <f t="array" ref="U5908">IF($D5908="","",IFERROR(_xlfn.XLOOKUP($D5908,'TIR店舗一覧'!$D:$D,'TIR店舗一覧'!$E:$E,""),""))</f>
        <v/>
      </c>
      <c r="V5908" s="54" t="s">
        <v>2</v>
      </c>
      <c r="W5908" s="54" t="s">
        <v>2</v>
      </c>
      <c r="X5908" s="54" t="s">
        <v>2</v>
      </c>
      <c r="Y5908" s="54" t="s">
        <v>2</v>
      </c>
      <c r="Z5908" s="54" t="s">
        <v>2</v>
      </c>
      <c r="AA5908" s="54" t="s">
        <v>2</v>
      </c>
      <c r="AB5908" s="54" t="s">
        <v>2</v>
      </c>
      <c r="AC5908" s="54" t="s">
        <v>2</v>
      </c>
      <c r="AD5908" s="54" t="s">
        <v>2</v>
      </c>
      <c r="AE5908" s="54" t="s">
        <v>2</v>
      </c>
      <c r="AF5908" s="54" t="s">
        <v>2</v>
      </c>
      <c r="AG5908" s="54" t="s">
        <v>2</v>
      </c>
    </row>
    <row r="5909" ht="15.75" customHeight="1">
      <c r="B5909" s="56"/>
      <c r="U5909" s="46" t="str">
        <f t="array" ref="U5909">IF($D5909="","",IFERROR(_xlfn.XLOOKUP($D5909,'TIR店舗一覧'!$D:$D,'TIR店舗一覧'!$E:$E,""),""))</f>
        <v/>
      </c>
      <c r="V5909" s="54" t="s">
        <v>2</v>
      </c>
      <c r="W5909" s="54" t="s">
        <v>2</v>
      </c>
      <c r="X5909" s="54" t="s">
        <v>2</v>
      </c>
      <c r="Y5909" s="54" t="s">
        <v>2</v>
      </c>
      <c r="Z5909" s="54" t="s">
        <v>2</v>
      </c>
      <c r="AA5909" s="54" t="s">
        <v>2</v>
      </c>
      <c r="AB5909" s="54" t="s">
        <v>2</v>
      </c>
      <c r="AC5909" s="54" t="s">
        <v>2</v>
      </c>
      <c r="AD5909" s="54" t="s">
        <v>2</v>
      </c>
      <c r="AE5909" s="54" t="s">
        <v>2</v>
      </c>
      <c r="AF5909" s="54" t="s">
        <v>2</v>
      </c>
      <c r="AG5909" s="54" t="s">
        <v>2</v>
      </c>
    </row>
    <row r="5910" ht="15.75" customHeight="1">
      <c r="B5910" s="56"/>
      <c r="U5910" s="46" t="str">
        <f t="array" ref="U5910">IF($D5910="","",IFERROR(_xlfn.XLOOKUP($D5910,'TIR店舗一覧'!$D:$D,'TIR店舗一覧'!$E:$E,""),""))</f>
        <v/>
      </c>
      <c r="V5910" s="54" t="s">
        <v>2</v>
      </c>
      <c r="W5910" s="54" t="s">
        <v>2</v>
      </c>
      <c r="X5910" s="54" t="s">
        <v>2</v>
      </c>
      <c r="Y5910" s="54" t="s">
        <v>2</v>
      </c>
      <c r="Z5910" s="54" t="s">
        <v>2</v>
      </c>
      <c r="AA5910" s="54" t="s">
        <v>2</v>
      </c>
      <c r="AB5910" s="54" t="s">
        <v>2</v>
      </c>
      <c r="AC5910" s="54" t="s">
        <v>2</v>
      </c>
      <c r="AD5910" s="54" t="s">
        <v>2</v>
      </c>
      <c r="AE5910" s="54" t="s">
        <v>2</v>
      </c>
      <c r="AF5910" s="54" t="s">
        <v>2</v>
      </c>
      <c r="AG5910" s="54" t="s">
        <v>2</v>
      </c>
    </row>
    <row r="5911" ht="15.75" customHeight="1">
      <c r="B5911" s="56"/>
      <c r="U5911" s="46" t="str">
        <f t="array" ref="U5911">IF($D5911="","",IFERROR(_xlfn.XLOOKUP($D5911,'TIR店舗一覧'!$D:$D,'TIR店舗一覧'!$E:$E,""),""))</f>
        <v/>
      </c>
      <c r="V5911" s="54" t="s">
        <v>2</v>
      </c>
      <c r="W5911" s="54" t="s">
        <v>2</v>
      </c>
      <c r="X5911" s="54" t="s">
        <v>2</v>
      </c>
      <c r="Y5911" s="54" t="s">
        <v>2</v>
      </c>
      <c r="Z5911" s="54" t="s">
        <v>2</v>
      </c>
      <c r="AA5911" s="54" t="s">
        <v>2</v>
      </c>
      <c r="AB5911" s="54" t="s">
        <v>2</v>
      </c>
      <c r="AC5911" s="54" t="s">
        <v>2</v>
      </c>
      <c r="AD5911" s="54" t="s">
        <v>2</v>
      </c>
      <c r="AE5911" s="54" t="s">
        <v>2</v>
      </c>
      <c r="AF5911" s="54" t="s">
        <v>2</v>
      </c>
      <c r="AG5911" s="54" t="s">
        <v>2</v>
      </c>
    </row>
    <row r="5912" ht="15.75" customHeight="1">
      <c r="B5912" s="56"/>
      <c r="U5912" s="46" t="str">
        <f t="array" ref="U5912">IF($D5912="","",IFERROR(_xlfn.XLOOKUP($D5912,'TIR店舗一覧'!$D:$D,'TIR店舗一覧'!$E:$E,""),""))</f>
        <v/>
      </c>
      <c r="V5912" s="54" t="s">
        <v>2</v>
      </c>
      <c r="W5912" s="54" t="s">
        <v>2</v>
      </c>
      <c r="X5912" s="54" t="s">
        <v>2</v>
      </c>
      <c r="Y5912" s="54" t="s">
        <v>2</v>
      </c>
      <c r="Z5912" s="54" t="s">
        <v>2</v>
      </c>
      <c r="AA5912" s="54" t="s">
        <v>2</v>
      </c>
      <c r="AB5912" s="54" t="s">
        <v>2</v>
      </c>
      <c r="AC5912" s="54" t="s">
        <v>2</v>
      </c>
      <c r="AD5912" s="54" t="s">
        <v>2</v>
      </c>
      <c r="AE5912" s="54" t="s">
        <v>2</v>
      </c>
      <c r="AF5912" s="54" t="s">
        <v>2</v>
      </c>
      <c r="AG5912" s="54" t="s">
        <v>2</v>
      </c>
    </row>
    <row r="5913" ht="15.75" customHeight="1">
      <c r="B5913" s="56"/>
      <c r="U5913" s="46" t="str">
        <f t="array" ref="U5913">IF($D5913="","",IFERROR(_xlfn.XLOOKUP($D5913,'TIR店舗一覧'!$D:$D,'TIR店舗一覧'!$E:$E,""),""))</f>
        <v/>
      </c>
      <c r="V5913" s="54" t="s">
        <v>2</v>
      </c>
      <c r="W5913" s="54" t="s">
        <v>2</v>
      </c>
      <c r="X5913" s="54" t="s">
        <v>2</v>
      </c>
      <c r="Y5913" s="54" t="s">
        <v>2</v>
      </c>
      <c r="Z5913" s="54" t="s">
        <v>2</v>
      </c>
      <c r="AA5913" s="54" t="s">
        <v>2</v>
      </c>
      <c r="AB5913" s="54" t="s">
        <v>2</v>
      </c>
      <c r="AC5913" s="54" t="s">
        <v>2</v>
      </c>
      <c r="AD5913" s="54" t="s">
        <v>2</v>
      </c>
      <c r="AE5913" s="54" t="s">
        <v>2</v>
      </c>
      <c r="AF5913" s="54" t="s">
        <v>2</v>
      </c>
      <c r="AG5913" s="54" t="s">
        <v>2</v>
      </c>
    </row>
    <row r="5914" ht="15.75" customHeight="1">
      <c r="B5914" s="56"/>
      <c r="U5914" s="46" t="str">
        <f t="array" ref="U5914">IF($D5914="","",IFERROR(_xlfn.XLOOKUP($D5914,'TIR店舗一覧'!$D:$D,'TIR店舗一覧'!$E:$E,""),""))</f>
        <v/>
      </c>
      <c r="V5914" s="54" t="s">
        <v>2</v>
      </c>
      <c r="W5914" s="54" t="s">
        <v>2</v>
      </c>
      <c r="X5914" s="54" t="s">
        <v>2</v>
      </c>
      <c r="Y5914" s="54" t="s">
        <v>2</v>
      </c>
      <c r="Z5914" s="54" t="s">
        <v>2</v>
      </c>
      <c r="AA5914" s="54" t="s">
        <v>2</v>
      </c>
      <c r="AB5914" s="54" t="s">
        <v>2</v>
      </c>
      <c r="AC5914" s="54" t="s">
        <v>2</v>
      </c>
      <c r="AD5914" s="54" t="s">
        <v>2</v>
      </c>
      <c r="AE5914" s="54" t="s">
        <v>2</v>
      </c>
      <c r="AF5914" s="54" t="s">
        <v>2</v>
      </c>
      <c r="AG5914" s="54" t="s">
        <v>2</v>
      </c>
    </row>
    <row r="5915" ht="15.75" customHeight="1">
      <c r="B5915" s="56"/>
      <c r="U5915" s="46" t="str">
        <f t="array" ref="U5915">IF($D5915="","",IFERROR(_xlfn.XLOOKUP($D5915,'TIR店舗一覧'!$D:$D,'TIR店舗一覧'!$E:$E,""),""))</f>
        <v/>
      </c>
      <c r="V5915" s="54" t="s">
        <v>2</v>
      </c>
      <c r="W5915" s="54" t="s">
        <v>2</v>
      </c>
      <c r="X5915" s="54" t="s">
        <v>2</v>
      </c>
      <c r="Y5915" s="54" t="s">
        <v>2</v>
      </c>
      <c r="Z5915" s="54" t="s">
        <v>2</v>
      </c>
      <c r="AA5915" s="54" t="s">
        <v>2</v>
      </c>
      <c r="AB5915" s="54" t="s">
        <v>2</v>
      </c>
      <c r="AC5915" s="54" t="s">
        <v>2</v>
      </c>
      <c r="AD5915" s="54" t="s">
        <v>2</v>
      </c>
      <c r="AE5915" s="54" t="s">
        <v>2</v>
      </c>
      <c r="AF5915" s="54" t="s">
        <v>2</v>
      </c>
      <c r="AG5915" s="54" t="s">
        <v>2</v>
      </c>
    </row>
    <row r="5916" ht="15.75" customHeight="1">
      <c r="B5916" s="56"/>
      <c r="U5916" s="46" t="str">
        <f t="array" ref="U5916">IF($D5916="","",IFERROR(_xlfn.XLOOKUP($D5916,'TIR店舗一覧'!$D:$D,'TIR店舗一覧'!$E:$E,""),""))</f>
        <v/>
      </c>
      <c r="V5916" s="54" t="s">
        <v>2</v>
      </c>
      <c r="W5916" s="54" t="s">
        <v>2</v>
      </c>
      <c r="X5916" s="54" t="s">
        <v>2</v>
      </c>
      <c r="Y5916" s="54" t="s">
        <v>2</v>
      </c>
      <c r="Z5916" s="54" t="s">
        <v>2</v>
      </c>
      <c r="AA5916" s="54" t="s">
        <v>2</v>
      </c>
      <c r="AB5916" s="54" t="s">
        <v>2</v>
      </c>
      <c r="AC5916" s="54" t="s">
        <v>2</v>
      </c>
      <c r="AD5916" s="54" t="s">
        <v>2</v>
      </c>
      <c r="AE5916" s="54" t="s">
        <v>2</v>
      </c>
      <c r="AF5916" s="54" t="s">
        <v>2</v>
      </c>
      <c r="AG5916" s="54" t="s">
        <v>2</v>
      </c>
    </row>
    <row r="5917" ht="15.75" customHeight="1">
      <c r="B5917" s="56"/>
      <c r="U5917" s="46" t="str">
        <f t="array" ref="U5917">IF($D5917="","",IFERROR(_xlfn.XLOOKUP($D5917,'TIR店舗一覧'!$D:$D,'TIR店舗一覧'!$E:$E,""),""))</f>
        <v/>
      </c>
      <c r="V5917" s="54" t="s">
        <v>2</v>
      </c>
      <c r="W5917" s="54" t="s">
        <v>2</v>
      </c>
      <c r="X5917" s="54" t="s">
        <v>2</v>
      </c>
      <c r="Y5917" s="54" t="s">
        <v>2</v>
      </c>
      <c r="Z5917" s="54" t="s">
        <v>2</v>
      </c>
      <c r="AA5917" s="54" t="s">
        <v>2</v>
      </c>
      <c r="AB5917" s="54" t="s">
        <v>2</v>
      </c>
      <c r="AC5917" s="54" t="s">
        <v>2</v>
      </c>
      <c r="AD5917" s="54" t="s">
        <v>2</v>
      </c>
      <c r="AE5917" s="54" t="s">
        <v>2</v>
      </c>
      <c r="AF5917" s="54" t="s">
        <v>2</v>
      </c>
      <c r="AG5917" s="54" t="s">
        <v>2</v>
      </c>
    </row>
    <row r="5918" ht="15.75" customHeight="1">
      <c r="B5918" s="56"/>
      <c r="U5918" s="46" t="str">
        <f t="array" ref="U5918">IF($D5918="","",IFERROR(_xlfn.XLOOKUP($D5918,'TIR店舗一覧'!$D:$D,'TIR店舗一覧'!$E:$E,""),""))</f>
        <v/>
      </c>
      <c r="V5918" s="54" t="s">
        <v>2</v>
      </c>
      <c r="W5918" s="54" t="s">
        <v>2</v>
      </c>
      <c r="X5918" s="54" t="s">
        <v>2</v>
      </c>
      <c r="Y5918" s="54" t="s">
        <v>2</v>
      </c>
      <c r="Z5918" s="54" t="s">
        <v>2</v>
      </c>
      <c r="AA5918" s="54" t="s">
        <v>2</v>
      </c>
      <c r="AB5918" s="54" t="s">
        <v>2</v>
      </c>
      <c r="AC5918" s="54" t="s">
        <v>2</v>
      </c>
      <c r="AD5918" s="54" t="s">
        <v>2</v>
      </c>
      <c r="AE5918" s="54" t="s">
        <v>2</v>
      </c>
      <c r="AF5918" s="54" t="s">
        <v>2</v>
      </c>
      <c r="AG5918" s="54" t="s">
        <v>2</v>
      </c>
    </row>
    <row r="5919" ht="15.75" customHeight="1">
      <c r="B5919" s="56"/>
      <c r="U5919" s="46" t="str">
        <f t="array" ref="U5919">IF($D5919="","",IFERROR(_xlfn.XLOOKUP($D5919,'TIR店舗一覧'!$D:$D,'TIR店舗一覧'!$E:$E,""),""))</f>
        <v/>
      </c>
      <c r="V5919" s="54" t="s">
        <v>2</v>
      </c>
      <c r="W5919" s="54" t="s">
        <v>2</v>
      </c>
      <c r="X5919" s="54" t="s">
        <v>2</v>
      </c>
      <c r="Y5919" s="54" t="s">
        <v>2</v>
      </c>
      <c r="Z5919" s="54" t="s">
        <v>2</v>
      </c>
      <c r="AA5919" s="54" t="s">
        <v>2</v>
      </c>
      <c r="AB5919" s="54" t="s">
        <v>2</v>
      </c>
      <c r="AC5919" s="54" t="s">
        <v>2</v>
      </c>
      <c r="AD5919" s="54" t="s">
        <v>2</v>
      </c>
      <c r="AE5919" s="54" t="s">
        <v>2</v>
      </c>
      <c r="AF5919" s="54" t="s">
        <v>2</v>
      </c>
      <c r="AG5919" s="54" t="s">
        <v>2</v>
      </c>
    </row>
    <row r="5920" ht="15.75" customHeight="1">
      <c r="B5920" s="56"/>
      <c r="U5920" s="46" t="str">
        <f t="array" ref="U5920">IF($D5920="","",IFERROR(_xlfn.XLOOKUP($D5920,'TIR店舗一覧'!$D:$D,'TIR店舗一覧'!$E:$E,""),""))</f>
        <v/>
      </c>
      <c r="V5920" s="54" t="s">
        <v>2</v>
      </c>
      <c r="W5920" s="54" t="s">
        <v>2</v>
      </c>
      <c r="X5920" s="54" t="s">
        <v>2</v>
      </c>
      <c r="Y5920" s="54" t="s">
        <v>2</v>
      </c>
      <c r="Z5920" s="54" t="s">
        <v>2</v>
      </c>
      <c r="AA5920" s="54" t="s">
        <v>2</v>
      </c>
      <c r="AB5920" s="54" t="s">
        <v>2</v>
      </c>
      <c r="AC5920" s="54" t="s">
        <v>2</v>
      </c>
      <c r="AD5920" s="54" t="s">
        <v>2</v>
      </c>
      <c r="AE5920" s="54" t="s">
        <v>2</v>
      </c>
      <c r="AF5920" s="54" t="s">
        <v>2</v>
      </c>
      <c r="AG5920" s="54" t="s">
        <v>2</v>
      </c>
    </row>
    <row r="5921" ht="15.75" customHeight="1">
      <c r="B5921" s="56"/>
      <c r="U5921" s="46" t="str">
        <f t="array" ref="U5921">IF($D5921="","",IFERROR(_xlfn.XLOOKUP($D5921,'TIR店舗一覧'!$D:$D,'TIR店舗一覧'!$E:$E,""),""))</f>
        <v/>
      </c>
      <c r="V5921" s="54" t="s">
        <v>2</v>
      </c>
      <c r="W5921" s="54" t="s">
        <v>2</v>
      </c>
      <c r="X5921" s="54" t="s">
        <v>2</v>
      </c>
      <c r="Y5921" s="54" t="s">
        <v>2</v>
      </c>
      <c r="Z5921" s="54" t="s">
        <v>2</v>
      </c>
      <c r="AA5921" s="54" t="s">
        <v>2</v>
      </c>
      <c r="AB5921" s="54" t="s">
        <v>2</v>
      </c>
      <c r="AC5921" s="54" t="s">
        <v>2</v>
      </c>
      <c r="AD5921" s="54" t="s">
        <v>2</v>
      </c>
      <c r="AE5921" s="54" t="s">
        <v>2</v>
      </c>
      <c r="AF5921" s="54" t="s">
        <v>2</v>
      </c>
      <c r="AG5921" s="54" t="s">
        <v>2</v>
      </c>
    </row>
    <row r="5922" ht="15.75" customHeight="1">
      <c r="B5922" s="56"/>
      <c r="U5922" s="46" t="str">
        <f t="array" ref="U5922">IF($D5922="","",IFERROR(_xlfn.XLOOKUP($D5922,'TIR店舗一覧'!$D:$D,'TIR店舗一覧'!$E:$E,""),""))</f>
        <v/>
      </c>
      <c r="V5922" s="54" t="s">
        <v>2</v>
      </c>
      <c r="W5922" s="54" t="s">
        <v>2</v>
      </c>
      <c r="X5922" s="54" t="s">
        <v>2</v>
      </c>
      <c r="Y5922" s="54" t="s">
        <v>2</v>
      </c>
      <c r="Z5922" s="54" t="s">
        <v>2</v>
      </c>
      <c r="AA5922" s="54" t="s">
        <v>2</v>
      </c>
      <c r="AB5922" s="54" t="s">
        <v>2</v>
      </c>
      <c r="AC5922" s="54" t="s">
        <v>2</v>
      </c>
      <c r="AD5922" s="54" t="s">
        <v>2</v>
      </c>
      <c r="AE5922" s="54" t="s">
        <v>2</v>
      </c>
      <c r="AF5922" s="54" t="s">
        <v>2</v>
      </c>
      <c r="AG5922" s="54" t="s">
        <v>2</v>
      </c>
    </row>
    <row r="5923" ht="15.75" customHeight="1">
      <c r="B5923" s="56"/>
      <c r="U5923" s="46" t="str">
        <f t="array" ref="U5923">IF($D5923="","",IFERROR(_xlfn.XLOOKUP($D5923,'TIR店舗一覧'!$D:$D,'TIR店舗一覧'!$E:$E,""),""))</f>
        <v/>
      </c>
      <c r="V5923" s="54" t="s">
        <v>2</v>
      </c>
      <c r="W5923" s="54" t="s">
        <v>2</v>
      </c>
      <c r="X5923" s="54" t="s">
        <v>2</v>
      </c>
      <c r="Y5923" s="54" t="s">
        <v>2</v>
      </c>
      <c r="Z5923" s="54" t="s">
        <v>2</v>
      </c>
      <c r="AA5923" s="54" t="s">
        <v>2</v>
      </c>
      <c r="AB5923" s="54" t="s">
        <v>2</v>
      </c>
      <c r="AC5923" s="54" t="s">
        <v>2</v>
      </c>
      <c r="AD5923" s="54" t="s">
        <v>2</v>
      </c>
      <c r="AE5923" s="54" t="s">
        <v>2</v>
      </c>
      <c r="AF5923" s="54" t="s">
        <v>2</v>
      </c>
      <c r="AG5923" s="54" t="s">
        <v>2</v>
      </c>
    </row>
    <row r="5924" ht="15.75" customHeight="1">
      <c r="B5924" s="56"/>
      <c r="U5924" s="46" t="str">
        <f t="array" ref="U5924">IF($D5924="","",IFERROR(_xlfn.XLOOKUP($D5924,'TIR店舗一覧'!$D:$D,'TIR店舗一覧'!$E:$E,""),""))</f>
        <v/>
      </c>
      <c r="V5924" s="54" t="s">
        <v>2</v>
      </c>
      <c r="W5924" s="54" t="s">
        <v>2</v>
      </c>
      <c r="X5924" s="54" t="s">
        <v>2</v>
      </c>
      <c r="Y5924" s="54" t="s">
        <v>2</v>
      </c>
      <c r="Z5924" s="54" t="s">
        <v>2</v>
      </c>
      <c r="AA5924" s="54" t="s">
        <v>2</v>
      </c>
      <c r="AB5924" s="54" t="s">
        <v>2</v>
      </c>
      <c r="AC5924" s="54" t="s">
        <v>2</v>
      </c>
      <c r="AD5924" s="54" t="s">
        <v>2</v>
      </c>
      <c r="AE5924" s="54" t="s">
        <v>2</v>
      </c>
      <c r="AF5924" s="54" t="s">
        <v>2</v>
      </c>
      <c r="AG5924" s="54" t="s">
        <v>2</v>
      </c>
    </row>
    <row r="5925" ht="15.75" customHeight="1">
      <c r="B5925" s="56"/>
      <c r="U5925" s="46" t="str">
        <f t="array" ref="U5925">IF($D5925="","",IFERROR(_xlfn.XLOOKUP($D5925,'TIR店舗一覧'!$D:$D,'TIR店舗一覧'!$E:$E,""),""))</f>
        <v/>
      </c>
      <c r="V5925" s="54" t="s">
        <v>2</v>
      </c>
      <c r="W5925" s="54" t="s">
        <v>2</v>
      </c>
      <c r="X5925" s="54" t="s">
        <v>2</v>
      </c>
      <c r="Y5925" s="54" t="s">
        <v>2</v>
      </c>
      <c r="Z5925" s="54" t="s">
        <v>2</v>
      </c>
      <c r="AA5925" s="54" t="s">
        <v>2</v>
      </c>
      <c r="AB5925" s="54" t="s">
        <v>2</v>
      </c>
      <c r="AC5925" s="54" t="s">
        <v>2</v>
      </c>
      <c r="AD5925" s="54" t="s">
        <v>2</v>
      </c>
      <c r="AE5925" s="54" t="s">
        <v>2</v>
      </c>
      <c r="AF5925" s="54" t="s">
        <v>2</v>
      </c>
      <c r="AG5925" s="54" t="s">
        <v>2</v>
      </c>
    </row>
    <row r="5926" ht="15.75" customHeight="1">
      <c r="B5926" s="56"/>
      <c r="U5926" s="46" t="str">
        <f t="array" ref="U5926">IF($D5926="","",IFERROR(_xlfn.XLOOKUP($D5926,'TIR店舗一覧'!$D:$D,'TIR店舗一覧'!$E:$E,""),""))</f>
        <v/>
      </c>
      <c r="V5926" s="54" t="s">
        <v>2</v>
      </c>
      <c r="W5926" s="54" t="s">
        <v>2</v>
      </c>
      <c r="X5926" s="54" t="s">
        <v>2</v>
      </c>
      <c r="Y5926" s="54" t="s">
        <v>2</v>
      </c>
      <c r="Z5926" s="54" t="s">
        <v>2</v>
      </c>
      <c r="AA5926" s="54" t="s">
        <v>2</v>
      </c>
      <c r="AB5926" s="54" t="s">
        <v>2</v>
      </c>
      <c r="AC5926" s="54" t="s">
        <v>2</v>
      </c>
      <c r="AD5926" s="54" t="s">
        <v>2</v>
      </c>
      <c r="AE5926" s="54" t="s">
        <v>2</v>
      </c>
      <c r="AF5926" s="54" t="s">
        <v>2</v>
      </c>
      <c r="AG5926" s="54" t="s">
        <v>2</v>
      </c>
    </row>
    <row r="5927" ht="15.75" customHeight="1">
      <c r="B5927" s="56"/>
      <c r="U5927" s="46" t="str">
        <f t="array" ref="U5927">IF($D5927="","",IFERROR(_xlfn.XLOOKUP($D5927,'TIR店舗一覧'!$D:$D,'TIR店舗一覧'!$E:$E,""),""))</f>
        <v/>
      </c>
      <c r="V5927" s="54" t="s">
        <v>2</v>
      </c>
      <c r="W5927" s="54" t="s">
        <v>2</v>
      </c>
      <c r="X5927" s="54" t="s">
        <v>2</v>
      </c>
      <c r="Y5927" s="54" t="s">
        <v>2</v>
      </c>
      <c r="Z5927" s="54" t="s">
        <v>2</v>
      </c>
      <c r="AA5927" s="54" t="s">
        <v>2</v>
      </c>
      <c r="AB5927" s="54" t="s">
        <v>2</v>
      </c>
      <c r="AC5927" s="54" t="s">
        <v>2</v>
      </c>
      <c r="AD5927" s="54" t="s">
        <v>2</v>
      </c>
      <c r="AE5927" s="54" t="s">
        <v>2</v>
      </c>
      <c r="AF5927" s="54" t="s">
        <v>2</v>
      </c>
      <c r="AG5927" s="54" t="s">
        <v>2</v>
      </c>
    </row>
    <row r="5928" ht="15.75" customHeight="1">
      <c r="B5928" s="56"/>
      <c r="U5928" s="46" t="str">
        <f t="array" ref="U5928">IF($D5928="","",IFERROR(_xlfn.XLOOKUP($D5928,'TIR店舗一覧'!$D:$D,'TIR店舗一覧'!$E:$E,""),""))</f>
        <v/>
      </c>
      <c r="V5928" s="54" t="s">
        <v>2</v>
      </c>
      <c r="W5928" s="54" t="s">
        <v>2</v>
      </c>
      <c r="X5928" s="54" t="s">
        <v>2</v>
      </c>
      <c r="Y5928" s="54" t="s">
        <v>2</v>
      </c>
      <c r="Z5928" s="54" t="s">
        <v>2</v>
      </c>
      <c r="AA5928" s="54" t="s">
        <v>2</v>
      </c>
      <c r="AB5928" s="54" t="s">
        <v>2</v>
      </c>
      <c r="AC5928" s="54" t="s">
        <v>2</v>
      </c>
      <c r="AD5928" s="54" t="s">
        <v>2</v>
      </c>
      <c r="AE5928" s="54" t="s">
        <v>2</v>
      </c>
      <c r="AF5928" s="54" t="s">
        <v>2</v>
      </c>
      <c r="AG5928" s="54" t="s">
        <v>2</v>
      </c>
    </row>
    <row r="5929" ht="15.75" customHeight="1">
      <c r="B5929" s="56"/>
      <c r="U5929" s="46" t="str">
        <f t="array" ref="U5929">IF($D5929="","",IFERROR(_xlfn.XLOOKUP($D5929,'TIR店舗一覧'!$D:$D,'TIR店舗一覧'!$E:$E,""),""))</f>
        <v/>
      </c>
      <c r="V5929" s="54" t="s">
        <v>2</v>
      </c>
      <c r="W5929" s="54" t="s">
        <v>2</v>
      </c>
      <c r="X5929" s="54" t="s">
        <v>2</v>
      </c>
      <c r="Y5929" s="54" t="s">
        <v>2</v>
      </c>
      <c r="Z5929" s="54" t="s">
        <v>2</v>
      </c>
      <c r="AA5929" s="54" t="s">
        <v>2</v>
      </c>
      <c r="AB5929" s="54" t="s">
        <v>2</v>
      </c>
      <c r="AC5929" s="54" t="s">
        <v>2</v>
      </c>
      <c r="AD5929" s="54" t="s">
        <v>2</v>
      </c>
      <c r="AE5929" s="54" t="s">
        <v>2</v>
      </c>
      <c r="AF5929" s="54" t="s">
        <v>2</v>
      </c>
      <c r="AG5929" s="54" t="s">
        <v>2</v>
      </c>
    </row>
    <row r="5930" ht="15.75" customHeight="1">
      <c r="B5930" s="56"/>
      <c r="U5930" s="46" t="str">
        <f t="array" ref="U5930">IF($D5930="","",IFERROR(_xlfn.XLOOKUP($D5930,'TIR店舗一覧'!$D:$D,'TIR店舗一覧'!$E:$E,""),""))</f>
        <v/>
      </c>
      <c r="V5930" s="54" t="s">
        <v>2</v>
      </c>
      <c r="W5930" s="54" t="s">
        <v>2</v>
      </c>
      <c r="X5930" s="54" t="s">
        <v>2</v>
      </c>
      <c r="Y5930" s="54" t="s">
        <v>2</v>
      </c>
      <c r="Z5930" s="54" t="s">
        <v>2</v>
      </c>
      <c r="AA5930" s="54" t="s">
        <v>2</v>
      </c>
      <c r="AB5930" s="54" t="s">
        <v>2</v>
      </c>
      <c r="AC5930" s="54" t="s">
        <v>2</v>
      </c>
      <c r="AD5930" s="54" t="s">
        <v>2</v>
      </c>
      <c r="AE5930" s="54" t="s">
        <v>2</v>
      </c>
      <c r="AF5930" s="54" t="s">
        <v>2</v>
      </c>
      <c r="AG5930" s="54" t="s">
        <v>2</v>
      </c>
    </row>
    <row r="5931" ht="15.75" customHeight="1">
      <c r="B5931" s="56"/>
      <c r="U5931" s="46" t="str">
        <f t="array" ref="U5931">IF($D5931="","",IFERROR(_xlfn.XLOOKUP($D5931,'TIR店舗一覧'!$D:$D,'TIR店舗一覧'!$E:$E,""),""))</f>
        <v/>
      </c>
      <c r="V5931" s="54" t="s">
        <v>2</v>
      </c>
      <c r="W5931" s="54" t="s">
        <v>2</v>
      </c>
      <c r="X5931" s="54" t="s">
        <v>2</v>
      </c>
      <c r="Y5931" s="54" t="s">
        <v>2</v>
      </c>
      <c r="Z5931" s="54" t="s">
        <v>2</v>
      </c>
      <c r="AA5931" s="54" t="s">
        <v>2</v>
      </c>
      <c r="AB5931" s="54" t="s">
        <v>2</v>
      </c>
      <c r="AC5931" s="54" t="s">
        <v>2</v>
      </c>
      <c r="AD5931" s="54" t="s">
        <v>2</v>
      </c>
      <c r="AE5931" s="54" t="s">
        <v>2</v>
      </c>
      <c r="AF5931" s="54" t="s">
        <v>2</v>
      </c>
      <c r="AG5931" s="54" t="s">
        <v>2</v>
      </c>
    </row>
    <row r="5932" ht="15.75" customHeight="1">
      <c r="B5932" s="56"/>
      <c r="U5932" s="46" t="str">
        <f t="array" ref="U5932">IF($D5932="","",IFERROR(_xlfn.XLOOKUP($D5932,'TIR店舗一覧'!$D:$D,'TIR店舗一覧'!$E:$E,""),""))</f>
        <v/>
      </c>
      <c r="V5932" s="54" t="s">
        <v>2</v>
      </c>
      <c r="W5932" s="54" t="s">
        <v>2</v>
      </c>
      <c r="X5932" s="54" t="s">
        <v>2</v>
      </c>
      <c r="Y5932" s="54" t="s">
        <v>2</v>
      </c>
      <c r="Z5932" s="54" t="s">
        <v>2</v>
      </c>
      <c r="AA5932" s="54" t="s">
        <v>2</v>
      </c>
      <c r="AB5932" s="54" t="s">
        <v>2</v>
      </c>
      <c r="AC5932" s="54" t="s">
        <v>2</v>
      </c>
      <c r="AD5932" s="54" t="s">
        <v>2</v>
      </c>
      <c r="AE5932" s="54" t="s">
        <v>2</v>
      </c>
      <c r="AF5932" s="54" t="s">
        <v>2</v>
      </c>
      <c r="AG5932" s="54" t="s">
        <v>2</v>
      </c>
    </row>
    <row r="5933" ht="15.75" customHeight="1">
      <c r="B5933" s="56"/>
      <c r="U5933" s="46" t="str">
        <f t="array" ref="U5933">IF($D5933="","",IFERROR(_xlfn.XLOOKUP($D5933,'TIR店舗一覧'!$D:$D,'TIR店舗一覧'!$E:$E,""),""))</f>
        <v/>
      </c>
      <c r="V5933" s="54" t="s">
        <v>2</v>
      </c>
      <c r="W5933" s="54" t="s">
        <v>2</v>
      </c>
      <c r="X5933" s="54" t="s">
        <v>2</v>
      </c>
      <c r="Y5933" s="54" t="s">
        <v>2</v>
      </c>
      <c r="Z5933" s="54" t="s">
        <v>2</v>
      </c>
      <c r="AA5933" s="54" t="s">
        <v>2</v>
      </c>
      <c r="AB5933" s="54" t="s">
        <v>2</v>
      </c>
      <c r="AC5933" s="54" t="s">
        <v>2</v>
      </c>
      <c r="AD5933" s="54" t="s">
        <v>2</v>
      </c>
      <c r="AE5933" s="54" t="s">
        <v>2</v>
      </c>
      <c r="AF5933" s="54" t="s">
        <v>2</v>
      </c>
      <c r="AG5933" s="54" t="s">
        <v>2</v>
      </c>
    </row>
    <row r="5934" ht="15.75" customHeight="1">
      <c r="B5934" s="56"/>
      <c r="U5934" s="46" t="str">
        <f t="array" ref="U5934">IF($D5934="","",IFERROR(_xlfn.XLOOKUP($D5934,'TIR店舗一覧'!$D:$D,'TIR店舗一覧'!$E:$E,""),""))</f>
        <v/>
      </c>
      <c r="V5934" s="54" t="s">
        <v>2</v>
      </c>
      <c r="W5934" s="54" t="s">
        <v>2</v>
      </c>
      <c r="X5934" s="54" t="s">
        <v>2</v>
      </c>
      <c r="Y5934" s="54" t="s">
        <v>2</v>
      </c>
      <c r="Z5934" s="54" t="s">
        <v>2</v>
      </c>
      <c r="AA5934" s="54" t="s">
        <v>2</v>
      </c>
      <c r="AB5934" s="54" t="s">
        <v>2</v>
      </c>
      <c r="AC5934" s="54" t="s">
        <v>2</v>
      </c>
      <c r="AD5934" s="54" t="s">
        <v>2</v>
      </c>
      <c r="AE5934" s="54" t="s">
        <v>2</v>
      </c>
      <c r="AF5934" s="54" t="s">
        <v>2</v>
      </c>
      <c r="AG5934" s="54" t="s">
        <v>2</v>
      </c>
    </row>
    <row r="5935" ht="15.75" customHeight="1">
      <c r="B5935" s="56"/>
      <c r="U5935" s="46" t="str">
        <f t="array" ref="U5935">IF($D5935="","",IFERROR(_xlfn.XLOOKUP($D5935,'TIR店舗一覧'!$D:$D,'TIR店舗一覧'!$E:$E,""),""))</f>
        <v/>
      </c>
      <c r="V5935" s="54" t="s">
        <v>2</v>
      </c>
      <c r="W5935" s="54" t="s">
        <v>2</v>
      </c>
      <c r="X5935" s="54" t="s">
        <v>2</v>
      </c>
      <c r="Y5935" s="54" t="s">
        <v>2</v>
      </c>
      <c r="Z5935" s="54" t="s">
        <v>2</v>
      </c>
      <c r="AA5935" s="54" t="s">
        <v>2</v>
      </c>
      <c r="AB5935" s="54" t="s">
        <v>2</v>
      </c>
      <c r="AC5935" s="54" t="s">
        <v>2</v>
      </c>
      <c r="AD5935" s="54" t="s">
        <v>2</v>
      </c>
      <c r="AE5935" s="54" t="s">
        <v>2</v>
      </c>
      <c r="AF5935" s="54" t="s">
        <v>2</v>
      </c>
      <c r="AG5935" s="54" t="s">
        <v>2</v>
      </c>
    </row>
    <row r="5936" ht="15.75" customHeight="1">
      <c r="B5936" s="56"/>
      <c r="U5936" s="46" t="str">
        <f t="array" ref="U5936">IF($D5936="","",IFERROR(_xlfn.XLOOKUP($D5936,'TIR店舗一覧'!$D:$D,'TIR店舗一覧'!$E:$E,""),""))</f>
        <v/>
      </c>
      <c r="V5936" s="54" t="s">
        <v>2</v>
      </c>
      <c r="W5936" s="54" t="s">
        <v>2</v>
      </c>
      <c r="X5936" s="54" t="s">
        <v>2</v>
      </c>
      <c r="Y5936" s="54" t="s">
        <v>2</v>
      </c>
      <c r="Z5936" s="54" t="s">
        <v>2</v>
      </c>
      <c r="AA5936" s="54" t="s">
        <v>2</v>
      </c>
      <c r="AB5936" s="54" t="s">
        <v>2</v>
      </c>
      <c r="AC5936" s="54" t="s">
        <v>2</v>
      </c>
      <c r="AD5936" s="54" t="s">
        <v>2</v>
      </c>
      <c r="AE5936" s="54" t="s">
        <v>2</v>
      </c>
      <c r="AF5936" s="54" t="s">
        <v>2</v>
      </c>
      <c r="AG5936" s="54" t="s">
        <v>2</v>
      </c>
    </row>
    <row r="5937" ht="15.75" customHeight="1">
      <c r="B5937" s="56"/>
      <c r="U5937" s="46" t="str">
        <f t="array" ref="U5937">IF($D5937="","",IFERROR(_xlfn.XLOOKUP($D5937,'TIR店舗一覧'!$D:$D,'TIR店舗一覧'!$E:$E,""),""))</f>
        <v/>
      </c>
      <c r="V5937" s="54" t="s">
        <v>2</v>
      </c>
      <c r="W5937" s="54" t="s">
        <v>2</v>
      </c>
      <c r="X5937" s="54" t="s">
        <v>2</v>
      </c>
      <c r="Y5937" s="54" t="s">
        <v>2</v>
      </c>
      <c r="Z5937" s="54" t="s">
        <v>2</v>
      </c>
      <c r="AA5937" s="54" t="s">
        <v>2</v>
      </c>
      <c r="AB5937" s="54" t="s">
        <v>2</v>
      </c>
      <c r="AC5937" s="54" t="s">
        <v>2</v>
      </c>
      <c r="AD5937" s="54" t="s">
        <v>2</v>
      </c>
      <c r="AE5937" s="54" t="s">
        <v>2</v>
      </c>
      <c r="AF5937" s="54" t="s">
        <v>2</v>
      </c>
      <c r="AG5937" s="54" t="s">
        <v>2</v>
      </c>
    </row>
    <row r="5938" ht="15.75" customHeight="1">
      <c r="B5938" s="56"/>
      <c r="U5938" s="46" t="str">
        <f t="array" ref="U5938">IF($D5938="","",IFERROR(_xlfn.XLOOKUP($D5938,'TIR店舗一覧'!$D:$D,'TIR店舗一覧'!$E:$E,""),""))</f>
        <v/>
      </c>
      <c r="V5938" s="54" t="s">
        <v>2</v>
      </c>
      <c r="W5938" s="54" t="s">
        <v>2</v>
      </c>
      <c r="X5938" s="54" t="s">
        <v>2</v>
      </c>
      <c r="Y5938" s="54" t="s">
        <v>2</v>
      </c>
      <c r="Z5938" s="54" t="s">
        <v>2</v>
      </c>
      <c r="AA5938" s="54" t="s">
        <v>2</v>
      </c>
      <c r="AB5938" s="54" t="s">
        <v>2</v>
      </c>
      <c r="AC5938" s="54" t="s">
        <v>2</v>
      </c>
      <c r="AD5938" s="54" t="s">
        <v>2</v>
      </c>
      <c r="AE5938" s="54" t="s">
        <v>2</v>
      </c>
      <c r="AF5938" s="54" t="s">
        <v>2</v>
      </c>
      <c r="AG5938" s="54" t="s">
        <v>2</v>
      </c>
    </row>
    <row r="5939" ht="15.75" customHeight="1">
      <c r="B5939" s="56"/>
      <c r="U5939" s="46" t="str">
        <f t="array" ref="U5939">IF($D5939="","",IFERROR(_xlfn.XLOOKUP($D5939,'TIR店舗一覧'!$D:$D,'TIR店舗一覧'!$E:$E,""),""))</f>
        <v/>
      </c>
      <c r="V5939" s="54" t="s">
        <v>2</v>
      </c>
      <c r="W5939" s="54" t="s">
        <v>2</v>
      </c>
      <c r="X5939" s="54" t="s">
        <v>2</v>
      </c>
      <c r="Y5939" s="54" t="s">
        <v>2</v>
      </c>
      <c r="Z5939" s="54" t="s">
        <v>2</v>
      </c>
      <c r="AA5939" s="54" t="s">
        <v>2</v>
      </c>
      <c r="AB5939" s="54" t="s">
        <v>2</v>
      </c>
      <c r="AC5939" s="54" t="s">
        <v>2</v>
      </c>
      <c r="AD5939" s="54" t="s">
        <v>2</v>
      </c>
      <c r="AE5939" s="54" t="s">
        <v>2</v>
      </c>
      <c r="AF5939" s="54" t="s">
        <v>2</v>
      </c>
      <c r="AG5939" s="54" t="s">
        <v>2</v>
      </c>
    </row>
    <row r="5940" ht="15.75" customHeight="1">
      <c r="B5940" s="56"/>
      <c r="U5940" s="46" t="str">
        <f t="array" ref="U5940">IF($D5940="","",IFERROR(_xlfn.XLOOKUP($D5940,'TIR店舗一覧'!$D:$D,'TIR店舗一覧'!$E:$E,""),""))</f>
        <v/>
      </c>
      <c r="V5940" s="54" t="s">
        <v>2</v>
      </c>
      <c r="W5940" s="54" t="s">
        <v>2</v>
      </c>
      <c r="X5940" s="54" t="s">
        <v>2</v>
      </c>
      <c r="Y5940" s="54" t="s">
        <v>2</v>
      </c>
      <c r="Z5940" s="54" t="s">
        <v>2</v>
      </c>
      <c r="AA5940" s="54" t="s">
        <v>2</v>
      </c>
      <c r="AB5940" s="54" t="s">
        <v>2</v>
      </c>
      <c r="AC5940" s="54" t="s">
        <v>2</v>
      </c>
      <c r="AD5940" s="54" t="s">
        <v>2</v>
      </c>
      <c r="AE5940" s="54" t="s">
        <v>2</v>
      </c>
      <c r="AF5940" s="54" t="s">
        <v>2</v>
      </c>
      <c r="AG5940" s="54" t="s">
        <v>2</v>
      </c>
    </row>
    <row r="5941" ht="15.75" customHeight="1">
      <c r="B5941" s="56"/>
      <c r="U5941" s="46" t="str">
        <f t="array" ref="U5941">IF($D5941="","",IFERROR(_xlfn.XLOOKUP($D5941,'TIR店舗一覧'!$D:$D,'TIR店舗一覧'!$E:$E,""),""))</f>
        <v/>
      </c>
      <c r="V5941" s="54" t="s">
        <v>2</v>
      </c>
      <c r="W5941" s="54" t="s">
        <v>2</v>
      </c>
      <c r="X5941" s="54" t="s">
        <v>2</v>
      </c>
      <c r="Y5941" s="54" t="s">
        <v>2</v>
      </c>
      <c r="Z5941" s="54" t="s">
        <v>2</v>
      </c>
      <c r="AA5941" s="54" t="s">
        <v>2</v>
      </c>
      <c r="AB5941" s="54" t="s">
        <v>2</v>
      </c>
      <c r="AC5941" s="54" t="s">
        <v>2</v>
      </c>
      <c r="AD5941" s="54" t="s">
        <v>2</v>
      </c>
      <c r="AE5941" s="54" t="s">
        <v>2</v>
      </c>
      <c r="AF5941" s="54" t="s">
        <v>2</v>
      </c>
      <c r="AG5941" s="54" t="s">
        <v>2</v>
      </c>
    </row>
    <row r="5942" ht="15.75" customHeight="1">
      <c r="B5942" s="56"/>
      <c r="U5942" s="46" t="str">
        <f t="array" ref="U5942">IF($D5942="","",IFERROR(_xlfn.XLOOKUP($D5942,'TIR店舗一覧'!$D:$D,'TIR店舗一覧'!$E:$E,""),""))</f>
        <v/>
      </c>
      <c r="V5942" s="54" t="s">
        <v>2</v>
      </c>
      <c r="W5942" s="54" t="s">
        <v>2</v>
      </c>
      <c r="X5942" s="54" t="s">
        <v>2</v>
      </c>
      <c r="Y5942" s="54" t="s">
        <v>2</v>
      </c>
      <c r="Z5942" s="54" t="s">
        <v>2</v>
      </c>
      <c r="AA5942" s="54" t="s">
        <v>2</v>
      </c>
      <c r="AB5942" s="54" t="s">
        <v>2</v>
      </c>
      <c r="AC5942" s="54" t="s">
        <v>2</v>
      </c>
      <c r="AD5942" s="54" t="s">
        <v>2</v>
      </c>
      <c r="AE5942" s="54" t="s">
        <v>2</v>
      </c>
      <c r="AF5942" s="54" t="s">
        <v>2</v>
      </c>
      <c r="AG5942" s="54" t="s">
        <v>2</v>
      </c>
    </row>
    <row r="5943" ht="15.75" customHeight="1">
      <c r="B5943" s="56"/>
      <c r="U5943" s="46" t="str">
        <f t="array" ref="U5943">IF($D5943="","",IFERROR(_xlfn.XLOOKUP($D5943,'TIR店舗一覧'!$D:$D,'TIR店舗一覧'!$E:$E,""),""))</f>
        <v/>
      </c>
      <c r="V5943" s="54" t="s">
        <v>2</v>
      </c>
      <c r="W5943" s="54" t="s">
        <v>2</v>
      </c>
      <c r="X5943" s="54" t="s">
        <v>2</v>
      </c>
      <c r="Y5943" s="54" t="s">
        <v>2</v>
      </c>
      <c r="Z5943" s="54" t="s">
        <v>2</v>
      </c>
      <c r="AA5943" s="54" t="s">
        <v>2</v>
      </c>
      <c r="AB5943" s="54" t="s">
        <v>2</v>
      </c>
      <c r="AC5943" s="54" t="s">
        <v>2</v>
      </c>
      <c r="AD5943" s="54" t="s">
        <v>2</v>
      </c>
      <c r="AE5943" s="54" t="s">
        <v>2</v>
      </c>
      <c r="AF5943" s="54" t="s">
        <v>2</v>
      </c>
      <c r="AG5943" s="54" t="s">
        <v>2</v>
      </c>
    </row>
    <row r="5944" ht="15.75" customHeight="1">
      <c r="B5944" s="56"/>
      <c r="U5944" s="46" t="str">
        <f t="array" ref="U5944">IF($D5944="","",IFERROR(_xlfn.XLOOKUP($D5944,'TIR店舗一覧'!$D:$D,'TIR店舗一覧'!$E:$E,""),""))</f>
        <v/>
      </c>
      <c r="V5944" s="54" t="s">
        <v>2</v>
      </c>
      <c r="W5944" s="54" t="s">
        <v>2</v>
      </c>
      <c r="X5944" s="54" t="s">
        <v>2</v>
      </c>
      <c r="Y5944" s="54" t="s">
        <v>2</v>
      </c>
      <c r="Z5944" s="54" t="s">
        <v>2</v>
      </c>
      <c r="AA5944" s="54" t="s">
        <v>2</v>
      </c>
      <c r="AB5944" s="54" t="s">
        <v>2</v>
      </c>
      <c r="AC5944" s="54" t="s">
        <v>2</v>
      </c>
      <c r="AD5944" s="54" t="s">
        <v>2</v>
      </c>
      <c r="AE5944" s="54" t="s">
        <v>2</v>
      </c>
      <c r="AF5944" s="54" t="s">
        <v>2</v>
      </c>
      <c r="AG5944" s="54" t="s">
        <v>2</v>
      </c>
    </row>
    <row r="5945" ht="15.75" customHeight="1">
      <c r="B5945" s="56"/>
      <c r="U5945" s="46" t="str">
        <f t="array" ref="U5945">IF($D5945="","",IFERROR(_xlfn.XLOOKUP($D5945,'TIR店舗一覧'!$D:$D,'TIR店舗一覧'!$E:$E,""),""))</f>
        <v/>
      </c>
      <c r="V5945" s="54" t="s">
        <v>2</v>
      </c>
      <c r="W5945" s="54" t="s">
        <v>2</v>
      </c>
      <c r="X5945" s="54" t="s">
        <v>2</v>
      </c>
      <c r="Y5945" s="54" t="s">
        <v>2</v>
      </c>
      <c r="Z5945" s="54" t="s">
        <v>2</v>
      </c>
      <c r="AA5945" s="54" t="s">
        <v>2</v>
      </c>
      <c r="AB5945" s="54" t="s">
        <v>2</v>
      </c>
      <c r="AC5945" s="54" t="s">
        <v>2</v>
      </c>
      <c r="AD5945" s="54" t="s">
        <v>2</v>
      </c>
      <c r="AE5945" s="54" t="s">
        <v>2</v>
      </c>
      <c r="AF5945" s="54" t="s">
        <v>2</v>
      </c>
      <c r="AG5945" s="54" t="s">
        <v>2</v>
      </c>
    </row>
    <row r="5946" ht="15.75" customHeight="1">
      <c r="B5946" s="56"/>
      <c r="U5946" s="46" t="str">
        <f t="array" ref="U5946">IF($D5946="","",IFERROR(_xlfn.XLOOKUP($D5946,'TIR店舗一覧'!$D:$D,'TIR店舗一覧'!$E:$E,""),""))</f>
        <v/>
      </c>
      <c r="V5946" s="54" t="s">
        <v>2</v>
      </c>
      <c r="W5946" s="54" t="s">
        <v>2</v>
      </c>
      <c r="X5946" s="54" t="s">
        <v>2</v>
      </c>
      <c r="Y5946" s="54" t="s">
        <v>2</v>
      </c>
      <c r="Z5946" s="54" t="s">
        <v>2</v>
      </c>
      <c r="AA5946" s="54" t="s">
        <v>2</v>
      </c>
      <c r="AB5946" s="54" t="s">
        <v>2</v>
      </c>
      <c r="AC5946" s="54" t="s">
        <v>2</v>
      </c>
      <c r="AD5946" s="54" t="s">
        <v>2</v>
      </c>
      <c r="AE5946" s="54" t="s">
        <v>2</v>
      </c>
      <c r="AF5946" s="54" t="s">
        <v>2</v>
      </c>
      <c r="AG5946" s="54" t="s">
        <v>2</v>
      </c>
    </row>
    <row r="5947" ht="15.75" customHeight="1">
      <c r="B5947" s="56"/>
      <c r="U5947" s="46" t="str">
        <f t="array" ref="U5947">IF($D5947="","",IFERROR(_xlfn.XLOOKUP($D5947,'TIR店舗一覧'!$D:$D,'TIR店舗一覧'!$E:$E,""),""))</f>
        <v/>
      </c>
      <c r="V5947" s="54" t="s">
        <v>2</v>
      </c>
      <c r="W5947" s="54" t="s">
        <v>2</v>
      </c>
      <c r="X5947" s="54" t="s">
        <v>2</v>
      </c>
      <c r="Y5947" s="54" t="s">
        <v>2</v>
      </c>
      <c r="Z5947" s="54" t="s">
        <v>2</v>
      </c>
      <c r="AA5947" s="54" t="s">
        <v>2</v>
      </c>
      <c r="AB5947" s="54" t="s">
        <v>2</v>
      </c>
      <c r="AC5947" s="54" t="s">
        <v>2</v>
      </c>
      <c r="AD5947" s="54" t="s">
        <v>2</v>
      </c>
      <c r="AE5947" s="54" t="s">
        <v>2</v>
      </c>
      <c r="AF5947" s="54" t="s">
        <v>2</v>
      </c>
      <c r="AG5947" s="54" t="s">
        <v>2</v>
      </c>
    </row>
    <row r="5948" ht="15.75" customHeight="1">
      <c r="B5948" s="56"/>
      <c r="U5948" s="46" t="str">
        <f t="array" ref="U5948">IF($D5948="","",IFERROR(_xlfn.XLOOKUP($D5948,'TIR店舗一覧'!$D:$D,'TIR店舗一覧'!$E:$E,""),""))</f>
        <v/>
      </c>
      <c r="V5948" s="54" t="s">
        <v>2</v>
      </c>
      <c r="W5948" s="54" t="s">
        <v>2</v>
      </c>
      <c r="X5948" s="54" t="s">
        <v>2</v>
      </c>
      <c r="Y5948" s="54" t="s">
        <v>2</v>
      </c>
      <c r="Z5948" s="54" t="s">
        <v>2</v>
      </c>
      <c r="AA5948" s="54" t="s">
        <v>2</v>
      </c>
      <c r="AB5948" s="54" t="s">
        <v>2</v>
      </c>
      <c r="AC5948" s="54" t="s">
        <v>2</v>
      </c>
      <c r="AD5948" s="54" t="s">
        <v>2</v>
      </c>
      <c r="AE5948" s="54" t="s">
        <v>2</v>
      </c>
      <c r="AF5948" s="54" t="s">
        <v>2</v>
      </c>
      <c r="AG5948" s="54" t="s">
        <v>2</v>
      </c>
    </row>
    <row r="5949" ht="15.75" customHeight="1">
      <c r="B5949" s="56"/>
      <c r="U5949" s="46" t="str">
        <f t="array" ref="U5949">IF($D5949="","",IFERROR(_xlfn.XLOOKUP($D5949,'TIR店舗一覧'!$D:$D,'TIR店舗一覧'!$E:$E,""),""))</f>
        <v/>
      </c>
      <c r="V5949" s="54" t="s">
        <v>2</v>
      </c>
      <c r="W5949" s="54" t="s">
        <v>2</v>
      </c>
      <c r="X5949" s="54" t="s">
        <v>2</v>
      </c>
      <c r="Y5949" s="54" t="s">
        <v>2</v>
      </c>
      <c r="Z5949" s="54" t="s">
        <v>2</v>
      </c>
      <c r="AA5949" s="54" t="s">
        <v>2</v>
      </c>
      <c r="AB5949" s="54" t="s">
        <v>2</v>
      </c>
      <c r="AC5949" s="54" t="s">
        <v>2</v>
      </c>
      <c r="AD5949" s="54" t="s">
        <v>2</v>
      </c>
      <c r="AE5949" s="54" t="s">
        <v>2</v>
      </c>
      <c r="AF5949" s="54" t="s">
        <v>2</v>
      </c>
      <c r="AG5949" s="54" t="s">
        <v>2</v>
      </c>
    </row>
    <row r="5950" ht="15.75" customHeight="1">
      <c r="B5950" s="56"/>
      <c r="U5950" s="46" t="str">
        <f t="array" ref="U5950">IF($D5950="","",IFERROR(_xlfn.XLOOKUP($D5950,'TIR店舗一覧'!$D:$D,'TIR店舗一覧'!$E:$E,""),""))</f>
        <v/>
      </c>
      <c r="V5950" s="54" t="s">
        <v>2</v>
      </c>
      <c r="W5950" s="54" t="s">
        <v>2</v>
      </c>
      <c r="X5950" s="54" t="s">
        <v>2</v>
      </c>
      <c r="Y5950" s="54" t="s">
        <v>2</v>
      </c>
      <c r="Z5950" s="54" t="s">
        <v>2</v>
      </c>
      <c r="AA5950" s="54" t="s">
        <v>2</v>
      </c>
      <c r="AB5950" s="54" t="s">
        <v>2</v>
      </c>
      <c r="AC5950" s="54" t="s">
        <v>2</v>
      </c>
      <c r="AD5950" s="54" t="s">
        <v>2</v>
      </c>
      <c r="AE5950" s="54" t="s">
        <v>2</v>
      </c>
      <c r="AF5950" s="54" t="s">
        <v>2</v>
      </c>
      <c r="AG5950" s="54" t="s">
        <v>2</v>
      </c>
    </row>
    <row r="5951" ht="15.75" customHeight="1">
      <c r="B5951" s="56"/>
      <c r="U5951" s="46" t="str">
        <f t="array" ref="U5951">IF($D5951="","",IFERROR(_xlfn.XLOOKUP($D5951,'TIR店舗一覧'!$D:$D,'TIR店舗一覧'!$E:$E,""),""))</f>
        <v/>
      </c>
      <c r="V5951" s="54" t="s">
        <v>2</v>
      </c>
      <c r="W5951" s="54" t="s">
        <v>2</v>
      </c>
      <c r="X5951" s="54" t="s">
        <v>2</v>
      </c>
      <c r="Y5951" s="54" t="s">
        <v>2</v>
      </c>
      <c r="Z5951" s="54" t="s">
        <v>2</v>
      </c>
      <c r="AA5951" s="54" t="s">
        <v>2</v>
      </c>
      <c r="AB5951" s="54" t="s">
        <v>2</v>
      </c>
      <c r="AC5951" s="54" t="s">
        <v>2</v>
      </c>
      <c r="AD5951" s="54" t="s">
        <v>2</v>
      </c>
      <c r="AE5951" s="54" t="s">
        <v>2</v>
      </c>
      <c r="AF5951" s="54" t="s">
        <v>2</v>
      </c>
      <c r="AG5951" s="54" t="s">
        <v>2</v>
      </c>
    </row>
    <row r="5952" ht="15.75" customHeight="1">
      <c r="B5952" s="56"/>
      <c r="U5952" s="46" t="str">
        <f t="array" ref="U5952">IF($D5952="","",IFERROR(_xlfn.XLOOKUP($D5952,'TIR店舗一覧'!$D:$D,'TIR店舗一覧'!$E:$E,""),""))</f>
        <v/>
      </c>
      <c r="V5952" s="54" t="s">
        <v>2</v>
      </c>
      <c r="W5952" s="54" t="s">
        <v>2</v>
      </c>
      <c r="X5952" s="54" t="s">
        <v>2</v>
      </c>
      <c r="Y5952" s="54" t="s">
        <v>2</v>
      </c>
      <c r="Z5952" s="54" t="s">
        <v>2</v>
      </c>
      <c r="AA5952" s="54" t="s">
        <v>2</v>
      </c>
      <c r="AB5952" s="54" t="s">
        <v>2</v>
      </c>
      <c r="AC5952" s="54" t="s">
        <v>2</v>
      </c>
      <c r="AD5952" s="54" t="s">
        <v>2</v>
      </c>
      <c r="AE5952" s="54" t="s">
        <v>2</v>
      </c>
      <c r="AF5952" s="54" t="s">
        <v>2</v>
      </c>
      <c r="AG5952" s="54" t="s">
        <v>2</v>
      </c>
    </row>
    <row r="5953" ht="15.75" customHeight="1">
      <c r="B5953" s="56"/>
      <c r="U5953" s="46" t="str">
        <f t="array" ref="U5953">IF($D5953="","",IFERROR(_xlfn.XLOOKUP($D5953,'TIR店舗一覧'!$D:$D,'TIR店舗一覧'!$E:$E,""),""))</f>
        <v/>
      </c>
      <c r="V5953" s="54" t="s">
        <v>2</v>
      </c>
      <c r="W5953" s="54" t="s">
        <v>2</v>
      </c>
      <c r="X5953" s="54" t="s">
        <v>2</v>
      </c>
      <c r="Y5953" s="54" t="s">
        <v>2</v>
      </c>
      <c r="Z5953" s="54" t="s">
        <v>2</v>
      </c>
      <c r="AA5953" s="54" t="s">
        <v>2</v>
      </c>
      <c r="AB5953" s="54" t="s">
        <v>2</v>
      </c>
      <c r="AC5953" s="54" t="s">
        <v>2</v>
      </c>
      <c r="AD5953" s="54" t="s">
        <v>2</v>
      </c>
      <c r="AE5953" s="54" t="s">
        <v>2</v>
      </c>
      <c r="AF5953" s="54" t="s">
        <v>2</v>
      </c>
      <c r="AG5953" s="54" t="s">
        <v>2</v>
      </c>
    </row>
    <row r="5954" ht="15.75" customHeight="1">
      <c r="B5954" s="56"/>
      <c r="U5954" s="46" t="str">
        <f t="array" ref="U5954">IF($D5954="","",IFERROR(_xlfn.XLOOKUP($D5954,'TIR店舗一覧'!$D:$D,'TIR店舗一覧'!$E:$E,""),""))</f>
        <v/>
      </c>
      <c r="V5954" s="54" t="s">
        <v>2</v>
      </c>
      <c r="W5954" s="54" t="s">
        <v>2</v>
      </c>
      <c r="X5954" s="54" t="s">
        <v>2</v>
      </c>
      <c r="Y5954" s="54" t="s">
        <v>2</v>
      </c>
      <c r="Z5954" s="54" t="s">
        <v>2</v>
      </c>
      <c r="AA5954" s="54" t="s">
        <v>2</v>
      </c>
      <c r="AB5954" s="54" t="s">
        <v>2</v>
      </c>
      <c r="AC5954" s="54" t="s">
        <v>2</v>
      </c>
      <c r="AD5954" s="54" t="s">
        <v>2</v>
      </c>
      <c r="AE5954" s="54" t="s">
        <v>2</v>
      </c>
      <c r="AF5954" s="54" t="s">
        <v>2</v>
      </c>
      <c r="AG5954" s="54" t="s">
        <v>2</v>
      </c>
    </row>
    <row r="5955" ht="15.75" customHeight="1">
      <c r="B5955" s="56"/>
      <c r="U5955" s="46" t="str">
        <f t="array" ref="U5955">IF($D5955="","",IFERROR(_xlfn.XLOOKUP($D5955,'TIR店舗一覧'!$D:$D,'TIR店舗一覧'!$E:$E,""),""))</f>
        <v/>
      </c>
      <c r="V5955" s="54" t="s">
        <v>2</v>
      </c>
      <c r="W5955" s="54" t="s">
        <v>2</v>
      </c>
      <c r="X5955" s="54" t="s">
        <v>2</v>
      </c>
      <c r="Y5955" s="54" t="s">
        <v>2</v>
      </c>
      <c r="Z5955" s="54" t="s">
        <v>2</v>
      </c>
      <c r="AA5955" s="54" t="s">
        <v>2</v>
      </c>
      <c r="AB5955" s="54" t="s">
        <v>2</v>
      </c>
      <c r="AC5955" s="54" t="s">
        <v>2</v>
      </c>
      <c r="AD5955" s="54" t="s">
        <v>2</v>
      </c>
      <c r="AE5955" s="54" t="s">
        <v>2</v>
      </c>
      <c r="AF5955" s="54" t="s">
        <v>2</v>
      </c>
      <c r="AG5955" s="54" t="s">
        <v>2</v>
      </c>
    </row>
    <row r="5956" ht="15.75" customHeight="1">
      <c r="B5956" s="56"/>
      <c r="U5956" s="46" t="str">
        <f t="array" ref="U5956">IF($D5956="","",IFERROR(_xlfn.XLOOKUP($D5956,'TIR店舗一覧'!$D:$D,'TIR店舗一覧'!$E:$E,""),""))</f>
        <v/>
      </c>
      <c r="V5956" s="54" t="s">
        <v>2</v>
      </c>
      <c r="W5956" s="54" t="s">
        <v>2</v>
      </c>
      <c r="X5956" s="54" t="s">
        <v>2</v>
      </c>
      <c r="Y5956" s="54" t="s">
        <v>2</v>
      </c>
      <c r="Z5956" s="54" t="s">
        <v>2</v>
      </c>
      <c r="AA5956" s="54" t="s">
        <v>2</v>
      </c>
      <c r="AB5956" s="54" t="s">
        <v>2</v>
      </c>
      <c r="AC5956" s="54" t="s">
        <v>2</v>
      </c>
      <c r="AD5956" s="54" t="s">
        <v>2</v>
      </c>
      <c r="AE5956" s="54" t="s">
        <v>2</v>
      </c>
      <c r="AF5956" s="54" t="s">
        <v>2</v>
      </c>
      <c r="AG5956" s="54" t="s">
        <v>2</v>
      </c>
    </row>
    <row r="5957" ht="15.75" customHeight="1">
      <c r="B5957" s="56"/>
      <c r="U5957" s="46" t="str">
        <f t="array" ref="U5957">IF($D5957="","",IFERROR(_xlfn.XLOOKUP($D5957,'TIR店舗一覧'!$D:$D,'TIR店舗一覧'!$E:$E,""),""))</f>
        <v/>
      </c>
      <c r="V5957" s="54" t="s">
        <v>2</v>
      </c>
      <c r="W5957" s="54" t="s">
        <v>2</v>
      </c>
      <c r="X5957" s="54" t="s">
        <v>2</v>
      </c>
      <c r="Y5957" s="54" t="s">
        <v>2</v>
      </c>
      <c r="Z5957" s="54" t="s">
        <v>2</v>
      </c>
      <c r="AA5957" s="54" t="s">
        <v>2</v>
      </c>
      <c r="AB5957" s="54" t="s">
        <v>2</v>
      </c>
      <c r="AC5957" s="54" t="s">
        <v>2</v>
      </c>
      <c r="AD5957" s="54" t="s">
        <v>2</v>
      </c>
      <c r="AE5957" s="54" t="s">
        <v>2</v>
      </c>
      <c r="AF5957" s="54" t="s">
        <v>2</v>
      </c>
      <c r="AG5957" s="54" t="s">
        <v>2</v>
      </c>
    </row>
    <row r="5958" ht="15.75" customHeight="1">
      <c r="B5958" s="56"/>
      <c r="U5958" s="46" t="str">
        <f t="array" ref="U5958">IF($D5958="","",IFERROR(_xlfn.XLOOKUP($D5958,'TIR店舗一覧'!$D:$D,'TIR店舗一覧'!$E:$E,""),""))</f>
        <v/>
      </c>
      <c r="V5958" s="54" t="s">
        <v>2</v>
      </c>
      <c r="W5958" s="54" t="s">
        <v>2</v>
      </c>
      <c r="X5958" s="54" t="s">
        <v>2</v>
      </c>
      <c r="Y5958" s="54" t="s">
        <v>2</v>
      </c>
      <c r="Z5958" s="54" t="s">
        <v>2</v>
      </c>
      <c r="AA5958" s="54" t="s">
        <v>2</v>
      </c>
      <c r="AB5958" s="54" t="s">
        <v>2</v>
      </c>
      <c r="AC5958" s="54" t="s">
        <v>2</v>
      </c>
      <c r="AD5958" s="54" t="s">
        <v>2</v>
      </c>
      <c r="AE5958" s="54" t="s">
        <v>2</v>
      </c>
      <c r="AF5958" s="54" t="s">
        <v>2</v>
      </c>
      <c r="AG5958" s="54" t="s">
        <v>2</v>
      </c>
    </row>
    <row r="5959" ht="15.75" customHeight="1">
      <c r="B5959" s="56"/>
      <c r="U5959" s="46" t="str">
        <f t="array" ref="U5959">IF($D5959="","",IFERROR(_xlfn.XLOOKUP($D5959,'TIR店舗一覧'!$D:$D,'TIR店舗一覧'!$E:$E,""),""))</f>
        <v/>
      </c>
      <c r="V5959" s="54" t="s">
        <v>2</v>
      </c>
      <c r="W5959" s="54" t="s">
        <v>2</v>
      </c>
      <c r="X5959" s="54" t="s">
        <v>2</v>
      </c>
      <c r="Y5959" s="54" t="s">
        <v>2</v>
      </c>
      <c r="Z5959" s="54" t="s">
        <v>2</v>
      </c>
      <c r="AA5959" s="54" t="s">
        <v>2</v>
      </c>
      <c r="AB5959" s="54" t="s">
        <v>2</v>
      </c>
      <c r="AC5959" s="54" t="s">
        <v>2</v>
      </c>
      <c r="AD5959" s="54" t="s">
        <v>2</v>
      </c>
      <c r="AE5959" s="54" t="s">
        <v>2</v>
      </c>
      <c r="AF5959" s="54" t="s">
        <v>2</v>
      </c>
      <c r="AG5959" s="54" t="s">
        <v>2</v>
      </c>
    </row>
    <row r="5960" ht="15.75" customHeight="1">
      <c r="B5960" s="56"/>
      <c r="U5960" s="46" t="str">
        <f t="array" ref="U5960">IF($D5960="","",IFERROR(_xlfn.XLOOKUP($D5960,'TIR店舗一覧'!$D:$D,'TIR店舗一覧'!$E:$E,""),""))</f>
        <v/>
      </c>
      <c r="V5960" s="54" t="s">
        <v>2</v>
      </c>
      <c r="W5960" s="54" t="s">
        <v>2</v>
      </c>
      <c r="X5960" s="54" t="s">
        <v>2</v>
      </c>
      <c r="Y5960" s="54" t="s">
        <v>2</v>
      </c>
      <c r="Z5960" s="54" t="s">
        <v>2</v>
      </c>
      <c r="AA5960" s="54" t="s">
        <v>2</v>
      </c>
      <c r="AB5960" s="54" t="s">
        <v>2</v>
      </c>
      <c r="AC5960" s="54" t="s">
        <v>2</v>
      </c>
      <c r="AD5960" s="54" t="s">
        <v>2</v>
      </c>
      <c r="AE5960" s="54" t="s">
        <v>2</v>
      </c>
      <c r="AF5960" s="54" t="s">
        <v>2</v>
      </c>
      <c r="AG5960" s="54" t="s">
        <v>2</v>
      </c>
    </row>
    <row r="5961" ht="15.75" customHeight="1">
      <c r="B5961" s="56"/>
      <c r="U5961" s="46" t="str">
        <f t="array" ref="U5961">IF($D5961="","",IFERROR(_xlfn.XLOOKUP($D5961,'TIR店舗一覧'!$D:$D,'TIR店舗一覧'!$E:$E,""),""))</f>
        <v/>
      </c>
      <c r="V5961" s="54" t="s">
        <v>2</v>
      </c>
      <c r="W5961" s="54" t="s">
        <v>2</v>
      </c>
      <c r="X5961" s="54" t="s">
        <v>2</v>
      </c>
      <c r="Y5961" s="54" t="s">
        <v>2</v>
      </c>
      <c r="Z5961" s="54" t="s">
        <v>2</v>
      </c>
      <c r="AA5961" s="54" t="s">
        <v>2</v>
      </c>
      <c r="AB5961" s="54" t="s">
        <v>2</v>
      </c>
      <c r="AC5961" s="54" t="s">
        <v>2</v>
      </c>
      <c r="AD5961" s="54" t="s">
        <v>2</v>
      </c>
      <c r="AE5961" s="54" t="s">
        <v>2</v>
      </c>
      <c r="AF5961" s="54" t="s">
        <v>2</v>
      </c>
      <c r="AG5961" s="54" t="s">
        <v>2</v>
      </c>
    </row>
    <row r="5962" ht="15.75" customHeight="1">
      <c r="B5962" s="56"/>
      <c r="U5962" s="46" t="str">
        <f t="array" ref="U5962">IF($D5962="","",IFERROR(_xlfn.XLOOKUP($D5962,'TIR店舗一覧'!$D:$D,'TIR店舗一覧'!$E:$E,""),""))</f>
        <v/>
      </c>
      <c r="V5962" s="54" t="s">
        <v>2</v>
      </c>
      <c r="W5962" s="54" t="s">
        <v>2</v>
      </c>
      <c r="X5962" s="54" t="s">
        <v>2</v>
      </c>
      <c r="Y5962" s="54" t="s">
        <v>2</v>
      </c>
      <c r="Z5962" s="54" t="s">
        <v>2</v>
      </c>
      <c r="AA5962" s="54" t="s">
        <v>2</v>
      </c>
      <c r="AB5962" s="54" t="s">
        <v>2</v>
      </c>
      <c r="AC5962" s="54" t="s">
        <v>2</v>
      </c>
      <c r="AD5962" s="54" t="s">
        <v>2</v>
      </c>
      <c r="AE5962" s="54" t="s">
        <v>2</v>
      </c>
      <c r="AF5962" s="54" t="s">
        <v>2</v>
      </c>
      <c r="AG5962" s="54" t="s">
        <v>2</v>
      </c>
    </row>
    <row r="5963" ht="15.75" customHeight="1">
      <c r="B5963" s="56"/>
      <c r="U5963" s="46" t="str">
        <f t="array" ref="U5963">IF($D5963="","",IFERROR(_xlfn.XLOOKUP($D5963,'TIR店舗一覧'!$D:$D,'TIR店舗一覧'!$E:$E,""),""))</f>
        <v/>
      </c>
      <c r="V5963" s="54" t="s">
        <v>2</v>
      </c>
      <c r="W5963" s="54" t="s">
        <v>2</v>
      </c>
      <c r="X5963" s="54" t="s">
        <v>2</v>
      </c>
      <c r="Y5963" s="54" t="s">
        <v>2</v>
      </c>
      <c r="Z5963" s="54" t="s">
        <v>2</v>
      </c>
      <c r="AA5963" s="54" t="s">
        <v>2</v>
      </c>
      <c r="AB5963" s="54" t="s">
        <v>2</v>
      </c>
      <c r="AC5963" s="54" t="s">
        <v>2</v>
      </c>
      <c r="AD5963" s="54" t="s">
        <v>2</v>
      </c>
      <c r="AE5963" s="54" t="s">
        <v>2</v>
      </c>
      <c r="AF5963" s="54" t="s">
        <v>2</v>
      </c>
      <c r="AG5963" s="54" t="s">
        <v>2</v>
      </c>
    </row>
    <row r="5964" ht="15.75" customHeight="1">
      <c r="B5964" s="56"/>
      <c r="U5964" s="46" t="str">
        <f t="array" ref="U5964">IF($D5964="","",IFERROR(_xlfn.XLOOKUP($D5964,'TIR店舗一覧'!$D:$D,'TIR店舗一覧'!$E:$E,""),""))</f>
        <v/>
      </c>
      <c r="V5964" s="54" t="s">
        <v>2</v>
      </c>
      <c r="W5964" s="54" t="s">
        <v>2</v>
      </c>
      <c r="X5964" s="54" t="s">
        <v>2</v>
      </c>
      <c r="Y5964" s="54" t="s">
        <v>2</v>
      </c>
      <c r="Z5964" s="54" t="s">
        <v>2</v>
      </c>
      <c r="AA5964" s="54" t="s">
        <v>2</v>
      </c>
      <c r="AB5964" s="54" t="s">
        <v>2</v>
      </c>
      <c r="AC5964" s="54" t="s">
        <v>2</v>
      </c>
      <c r="AD5964" s="54" t="s">
        <v>2</v>
      </c>
      <c r="AE5964" s="54" t="s">
        <v>2</v>
      </c>
      <c r="AF5964" s="54" t="s">
        <v>2</v>
      </c>
      <c r="AG5964" s="54" t="s">
        <v>2</v>
      </c>
    </row>
    <row r="5965" ht="15.75" customHeight="1">
      <c r="B5965" s="56"/>
      <c r="U5965" s="46" t="str">
        <f t="array" ref="U5965">IF($D5965="","",IFERROR(_xlfn.XLOOKUP($D5965,'TIR店舗一覧'!$D:$D,'TIR店舗一覧'!$E:$E,""),""))</f>
        <v/>
      </c>
      <c r="V5965" s="54" t="s">
        <v>2</v>
      </c>
      <c r="W5965" s="54" t="s">
        <v>2</v>
      </c>
      <c r="X5965" s="54" t="s">
        <v>2</v>
      </c>
      <c r="Y5965" s="54" t="s">
        <v>2</v>
      </c>
      <c r="Z5965" s="54" t="s">
        <v>2</v>
      </c>
      <c r="AA5965" s="54" t="s">
        <v>2</v>
      </c>
      <c r="AB5965" s="54" t="s">
        <v>2</v>
      </c>
      <c r="AC5965" s="54" t="s">
        <v>2</v>
      </c>
      <c r="AD5965" s="54" t="s">
        <v>2</v>
      </c>
      <c r="AE5965" s="54" t="s">
        <v>2</v>
      </c>
      <c r="AF5965" s="54" t="s">
        <v>2</v>
      </c>
      <c r="AG5965" s="54" t="s">
        <v>2</v>
      </c>
    </row>
    <row r="5966" ht="15.75" customHeight="1">
      <c r="B5966" s="56"/>
      <c r="U5966" s="46" t="str">
        <f t="array" ref="U5966">IF($D5966="","",IFERROR(_xlfn.XLOOKUP($D5966,'TIR店舗一覧'!$D:$D,'TIR店舗一覧'!$E:$E,""),""))</f>
        <v/>
      </c>
      <c r="V5966" s="54" t="s">
        <v>2</v>
      </c>
      <c r="W5966" s="54" t="s">
        <v>2</v>
      </c>
      <c r="X5966" s="54" t="s">
        <v>2</v>
      </c>
      <c r="Y5966" s="54" t="s">
        <v>2</v>
      </c>
      <c r="Z5966" s="54" t="s">
        <v>2</v>
      </c>
      <c r="AA5966" s="54" t="s">
        <v>2</v>
      </c>
      <c r="AB5966" s="54" t="s">
        <v>2</v>
      </c>
      <c r="AC5966" s="54" t="s">
        <v>2</v>
      </c>
      <c r="AD5966" s="54" t="s">
        <v>2</v>
      </c>
      <c r="AE5966" s="54" t="s">
        <v>2</v>
      </c>
      <c r="AF5966" s="54" t="s">
        <v>2</v>
      </c>
      <c r="AG5966" s="54" t="s">
        <v>2</v>
      </c>
    </row>
    <row r="5967" ht="15.75" customHeight="1">
      <c r="B5967" s="56"/>
      <c r="U5967" s="46" t="str">
        <f t="array" ref="U5967">IF($D5967="","",IFERROR(_xlfn.XLOOKUP($D5967,'TIR店舗一覧'!$D:$D,'TIR店舗一覧'!$E:$E,""),""))</f>
        <v/>
      </c>
      <c r="V5967" s="54" t="s">
        <v>2</v>
      </c>
      <c r="W5967" s="54" t="s">
        <v>2</v>
      </c>
      <c r="X5967" s="54" t="s">
        <v>2</v>
      </c>
      <c r="Y5967" s="54" t="s">
        <v>2</v>
      </c>
      <c r="Z5967" s="54" t="s">
        <v>2</v>
      </c>
      <c r="AA5967" s="54" t="s">
        <v>2</v>
      </c>
      <c r="AB5967" s="54" t="s">
        <v>2</v>
      </c>
      <c r="AC5967" s="54" t="s">
        <v>2</v>
      </c>
      <c r="AD5967" s="54" t="s">
        <v>2</v>
      </c>
      <c r="AE5967" s="54" t="s">
        <v>2</v>
      </c>
      <c r="AF5967" s="54" t="s">
        <v>2</v>
      </c>
      <c r="AG5967" s="54" t="s">
        <v>2</v>
      </c>
    </row>
    <row r="5968" ht="15.75" customHeight="1">
      <c r="B5968" s="56"/>
      <c r="U5968" s="46" t="str">
        <f t="array" ref="U5968">IF($D5968="","",IFERROR(_xlfn.XLOOKUP($D5968,'TIR店舗一覧'!$D:$D,'TIR店舗一覧'!$E:$E,""),""))</f>
        <v/>
      </c>
      <c r="V5968" s="54" t="s">
        <v>2</v>
      </c>
      <c r="W5968" s="54" t="s">
        <v>2</v>
      </c>
      <c r="X5968" s="54" t="s">
        <v>2</v>
      </c>
      <c r="Y5968" s="54" t="s">
        <v>2</v>
      </c>
      <c r="Z5968" s="54" t="s">
        <v>2</v>
      </c>
      <c r="AA5968" s="54" t="s">
        <v>2</v>
      </c>
      <c r="AB5968" s="54" t="s">
        <v>2</v>
      </c>
      <c r="AC5968" s="54" t="s">
        <v>2</v>
      </c>
      <c r="AD5968" s="54" t="s">
        <v>2</v>
      </c>
      <c r="AE5968" s="54" t="s">
        <v>2</v>
      </c>
      <c r="AF5968" s="54" t="s">
        <v>2</v>
      </c>
      <c r="AG5968" s="54" t="s">
        <v>2</v>
      </c>
    </row>
    <row r="5969" ht="15.75" customHeight="1">
      <c r="B5969" s="56"/>
      <c r="U5969" s="46" t="str">
        <f t="array" ref="U5969">IF($D5969="","",IFERROR(_xlfn.XLOOKUP($D5969,'TIR店舗一覧'!$D:$D,'TIR店舗一覧'!$E:$E,""),""))</f>
        <v/>
      </c>
      <c r="V5969" s="54" t="s">
        <v>2</v>
      </c>
      <c r="W5969" s="54" t="s">
        <v>2</v>
      </c>
      <c r="X5969" s="54" t="s">
        <v>2</v>
      </c>
      <c r="Y5969" s="54" t="s">
        <v>2</v>
      </c>
      <c r="Z5969" s="54" t="s">
        <v>2</v>
      </c>
      <c r="AA5969" s="54" t="s">
        <v>2</v>
      </c>
      <c r="AB5969" s="54" t="s">
        <v>2</v>
      </c>
      <c r="AC5969" s="54" t="s">
        <v>2</v>
      </c>
      <c r="AD5969" s="54" t="s">
        <v>2</v>
      </c>
      <c r="AE5969" s="54" t="s">
        <v>2</v>
      </c>
      <c r="AF5969" s="54" t="s">
        <v>2</v>
      </c>
      <c r="AG5969" s="54" t="s">
        <v>2</v>
      </c>
    </row>
    <row r="5970" ht="15.75" customHeight="1">
      <c r="B5970" s="56"/>
      <c r="U5970" s="46" t="str">
        <f t="array" ref="U5970">IF($D5970="","",IFERROR(_xlfn.XLOOKUP($D5970,'TIR店舗一覧'!$D:$D,'TIR店舗一覧'!$E:$E,""),""))</f>
        <v/>
      </c>
      <c r="V5970" s="54" t="s">
        <v>2</v>
      </c>
      <c r="W5970" s="54" t="s">
        <v>2</v>
      </c>
      <c r="X5970" s="54" t="s">
        <v>2</v>
      </c>
      <c r="Y5970" s="54" t="s">
        <v>2</v>
      </c>
      <c r="Z5970" s="54" t="s">
        <v>2</v>
      </c>
      <c r="AA5970" s="54" t="s">
        <v>2</v>
      </c>
      <c r="AB5970" s="54" t="s">
        <v>2</v>
      </c>
      <c r="AC5970" s="54" t="s">
        <v>2</v>
      </c>
      <c r="AD5970" s="54" t="s">
        <v>2</v>
      </c>
      <c r="AE5970" s="54" t="s">
        <v>2</v>
      </c>
      <c r="AF5970" s="54" t="s">
        <v>2</v>
      </c>
      <c r="AG5970" s="54" t="s">
        <v>2</v>
      </c>
    </row>
    <row r="5971" ht="15.75" customHeight="1">
      <c r="B5971" s="56"/>
      <c r="U5971" s="46" t="str">
        <f t="array" ref="U5971">IF($D5971="","",IFERROR(_xlfn.XLOOKUP($D5971,'TIR店舗一覧'!$D:$D,'TIR店舗一覧'!$E:$E,""),""))</f>
        <v/>
      </c>
      <c r="V5971" s="54" t="s">
        <v>2</v>
      </c>
      <c r="W5971" s="54" t="s">
        <v>2</v>
      </c>
      <c r="X5971" s="54" t="s">
        <v>2</v>
      </c>
      <c r="Y5971" s="54" t="s">
        <v>2</v>
      </c>
      <c r="Z5971" s="54" t="s">
        <v>2</v>
      </c>
      <c r="AA5971" s="54" t="s">
        <v>2</v>
      </c>
      <c r="AB5971" s="54" t="s">
        <v>2</v>
      </c>
      <c r="AC5971" s="54" t="s">
        <v>2</v>
      </c>
      <c r="AD5971" s="54" t="s">
        <v>2</v>
      </c>
      <c r="AE5971" s="54" t="s">
        <v>2</v>
      </c>
      <c r="AF5971" s="54" t="s">
        <v>2</v>
      </c>
      <c r="AG5971" s="54" t="s">
        <v>2</v>
      </c>
    </row>
    <row r="5972" ht="15.75" customHeight="1">
      <c r="B5972" s="56"/>
      <c r="U5972" s="46" t="str">
        <f t="array" ref="U5972">IF($D5972="","",IFERROR(_xlfn.XLOOKUP($D5972,'TIR店舗一覧'!$D:$D,'TIR店舗一覧'!$E:$E,""),""))</f>
        <v/>
      </c>
      <c r="V5972" s="54" t="s">
        <v>2</v>
      </c>
      <c r="W5972" s="54" t="s">
        <v>2</v>
      </c>
      <c r="X5972" s="54" t="s">
        <v>2</v>
      </c>
      <c r="Y5972" s="54" t="s">
        <v>2</v>
      </c>
      <c r="Z5972" s="54" t="s">
        <v>2</v>
      </c>
      <c r="AA5972" s="54" t="s">
        <v>2</v>
      </c>
      <c r="AB5972" s="54" t="s">
        <v>2</v>
      </c>
      <c r="AC5972" s="54" t="s">
        <v>2</v>
      </c>
      <c r="AD5972" s="54" t="s">
        <v>2</v>
      </c>
      <c r="AE5972" s="54" t="s">
        <v>2</v>
      </c>
      <c r="AF5972" s="54" t="s">
        <v>2</v>
      </c>
      <c r="AG5972" s="54" t="s">
        <v>2</v>
      </c>
    </row>
    <row r="5973" ht="15.75" customHeight="1">
      <c r="B5973" s="56"/>
      <c r="U5973" s="46" t="str">
        <f t="array" ref="U5973">IF($D5973="","",IFERROR(_xlfn.XLOOKUP($D5973,'TIR店舗一覧'!$D:$D,'TIR店舗一覧'!$E:$E,""),""))</f>
        <v/>
      </c>
      <c r="V5973" s="54" t="s">
        <v>2</v>
      </c>
      <c r="W5973" s="54" t="s">
        <v>2</v>
      </c>
      <c r="X5973" s="54" t="s">
        <v>2</v>
      </c>
      <c r="Y5973" s="54" t="s">
        <v>2</v>
      </c>
      <c r="Z5973" s="54" t="s">
        <v>2</v>
      </c>
      <c r="AA5973" s="54" t="s">
        <v>2</v>
      </c>
      <c r="AB5973" s="54" t="s">
        <v>2</v>
      </c>
      <c r="AC5973" s="54" t="s">
        <v>2</v>
      </c>
      <c r="AD5973" s="54" t="s">
        <v>2</v>
      </c>
      <c r="AE5973" s="54" t="s">
        <v>2</v>
      </c>
      <c r="AF5973" s="54" t="s">
        <v>2</v>
      </c>
      <c r="AG5973" s="54" t="s">
        <v>2</v>
      </c>
    </row>
    <row r="5974" ht="15.75" customHeight="1">
      <c r="B5974" s="56"/>
      <c r="U5974" s="46" t="str">
        <f t="array" ref="U5974">IF($D5974="","",IFERROR(_xlfn.XLOOKUP($D5974,'TIR店舗一覧'!$D:$D,'TIR店舗一覧'!$E:$E,""),""))</f>
        <v/>
      </c>
      <c r="V5974" s="54" t="s">
        <v>2</v>
      </c>
      <c r="W5974" s="54" t="s">
        <v>2</v>
      </c>
      <c r="X5974" s="54" t="s">
        <v>2</v>
      </c>
      <c r="Y5974" s="54" t="s">
        <v>2</v>
      </c>
      <c r="Z5974" s="54" t="s">
        <v>2</v>
      </c>
      <c r="AA5974" s="54" t="s">
        <v>2</v>
      </c>
      <c r="AB5974" s="54" t="s">
        <v>2</v>
      </c>
      <c r="AC5974" s="54" t="s">
        <v>2</v>
      </c>
      <c r="AD5974" s="54" t="s">
        <v>2</v>
      </c>
      <c r="AE5974" s="54" t="s">
        <v>2</v>
      </c>
      <c r="AF5974" s="54" t="s">
        <v>2</v>
      </c>
      <c r="AG5974" s="54" t="s">
        <v>2</v>
      </c>
    </row>
    <row r="5975" ht="15.75" customHeight="1">
      <c r="B5975" s="56"/>
      <c r="U5975" s="46" t="str">
        <f t="array" ref="U5975">IF($D5975="","",IFERROR(_xlfn.XLOOKUP($D5975,'TIR店舗一覧'!$D:$D,'TIR店舗一覧'!$E:$E,""),""))</f>
        <v/>
      </c>
      <c r="V5975" s="54" t="s">
        <v>2</v>
      </c>
      <c r="W5975" s="54" t="s">
        <v>2</v>
      </c>
      <c r="X5975" s="54" t="s">
        <v>2</v>
      </c>
      <c r="Y5975" s="54" t="s">
        <v>2</v>
      </c>
      <c r="Z5975" s="54" t="s">
        <v>2</v>
      </c>
      <c r="AA5975" s="54" t="s">
        <v>2</v>
      </c>
      <c r="AB5975" s="54" t="s">
        <v>2</v>
      </c>
      <c r="AC5975" s="54" t="s">
        <v>2</v>
      </c>
      <c r="AD5975" s="54" t="s">
        <v>2</v>
      </c>
      <c r="AE5975" s="54" t="s">
        <v>2</v>
      </c>
      <c r="AF5975" s="54" t="s">
        <v>2</v>
      </c>
      <c r="AG5975" s="54" t="s">
        <v>2</v>
      </c>
    </row>
    <row r="5976" ht="15.75" customHeight="1">
      <c r="B5976" s="56"/>
      <c r="U5976" s="46" t="str">
        <f t="array" ref="U5976">IF($D5976="","",IFERROR(_xlfn.XLOOKUP($D5976,'TIR店舗一覧'!$D:$D,'TIR店舗一覧'!$E:$E,""),""))</f>
        <v/>
      </c>
      <c r="V5976" s="54" t="s">
        <v>2</v>
      </c>
      <c r="W5976" s="54" t="s">
        <v>2</v>
      </c>
      <c r="X5976" s="54" t="s">
        <v>2</v>
      </c>
      <c r="Y5976" s="54" t="s">
        <v>2</v>
      </c>
      <c r="Z5976" s="54" t="s">
        <v>2</v>
      </c>
      <c r="AA5976" s="54" t="s">
        <v>2</v>
      </c>
      <c r="AB5976" s="54" t="s">
        <v>2</v>
      </c>
      <c r="AC5976" s="54" t="s">
        <v>2</v>
      </c>
      <c r="AD5976" s="54" t="s">
        <v>2</v>
      </c>
      <c r="AE5976" s="54" t="s">
        <v>2</v>
      </c>
      <c r="AF5976" s="54" t="s">
        <v>2</v>
      </c>
      <c r="AG5976" s="54" t="s">
        <v>2</v>
      </c>
    </row>
    <row r="5977" ht="15.75" customHeight="1">
      <c r="B5977" s="56"/>
      <c r="U5977" s="46" t="str">
        <f t="array" ref="U5977">IF($D5977="","",IFERROR(_xlfn.XLOOKUP($D5977,'TIR店舗一覧'!$D:$D,'TIR店舗一覧'!$E:$E,""),""))</f>
        <v/>
      </c>
      <c r="V5977" s="54" t="s">
        <v>2</v>
      </c>
      <c r="W5977" s="54" t="s">
        <v>2</v>
      </c>
      <c r="X5977" s="54" t="s">
        <v>2</v>
      </c>
      <c r="Y5977" s="54" t="s">
        <v>2</v>
      </c>
      <c r="Z5977" s="54" t="s">
        <v>2</v>
      </c>
      <c r="AA5977" s="54" t="s">
        <v>2</v>
      </c>
      <c r="AB5977" s="54" t="s">
        <v>2</v>
      </c>
      <c r="AC5977" s="54" t="s">
        <v>2</v>
      </c>
      <c r="AD5977" s="54" t="s">
        <v>2</v>
      </c>
      <c r="AE5977" s="54" t="s">
        <v>2</v>
      </c>
      <c r="AF5977" s="54" t="s">
        <v>2</v>
      </c>
      <c r="AG5977" s="54" t="s">
        <v>2</v>
      </c>
    </row>
    <row r="5978" ht="15.75" customHeight="1">
      <c r="B5978" s="56"/>
      <c r="U5978" s="46" t="str">
        <f t="array" ref="U5978">IF($D5978="","",IFERROR(_xlfn.XLOOKUP($D5978,'TIR店舗一覧'!$D:$D,'TIR店舗一覧'!$E:$E,""),""))</f>
        <v/>
      </c>
      <c r="V5978" s="54" t="s">
        <v>2</v>
      </c>
      <c r="W5978" s="54" t="s">
        <v>2</v>
      </c>
      <c r="X5978" s="54" t="s">
        <v>2</v>
      </c>
      <c r="Y5978" s="54" t="s">
        <v>2</v>
      </c>
      <c r="Z5978" s="54" t="s">
        <v>2</v>
      </c>
      <c r="AA5978" s="54" t="s">
        <v>2</v>
      </c>
      <c r="AB5978" s="54" t="s">
        <v>2</v>
      </c>
      <c r="AC5978" s="54" t="s">
        <v>2</v>
      </c>
      <c r="AD5978" s="54" t="s">
        <v>2</v>
      </c>
      <c r="AE5978" s="54" t="s">
        <v>2</v>
      </c>
      <c r="AF5978" s="54" t="s">
        <v>2</v>
      </c>
      <c r="AG5978" s="54" t="s">
        <v>2</v>
      </c>
    </row>
    <row r="5979" ht="15.75" customHeight="1">
      <c r="B5979" s="56"/>
      <c r="U5979" s="46" t="str">
        <f t="array" ref="U5979">IF($D5979="","",IFERROR(_xlfn.XLOOKUP($D5979,'TIR店舗一覧'!$D:$D,'TIR店舗一覧'!$E:$E,""),""))</f>
        <v/>
      </c>
      <c r="V5979" s="54" t="s">
        <v>2</v>
      </c>
      <c r="W5979" s="54" t="s">
        <v>2</v>
      </c>
      <c r="X5979" s="54" t="s">
        <v>2</v>
      </c>
      <c r="Y5979" s="54" t="s">
        <v>2</v>
      </c>
      <c r="Z5979" s="54" t="s">
        <v>2</v>
      </c>
      <c r="AA5979" s="54" t="s">
        <v>2</v>
      </c>
      <c r="AB5979" s="54" t="s">
        <v>2</v>
      </c>
      <c r="AC5979" s="54" t="s">
        <v>2</v>
      </c>
      <c r="AD5979" s="54" t="s">
        <v>2</v>
      </c>
      <c r="AE5979" s="54" t="s">
        <v>2</v>
      </c>
      <c r="AF5979" s="54" t="s">
        <v>2</v>
      </c>
      <c r="AG5979" s="54" t="s">
        <v>2</v>
      </c>
    </row>
    <row r="5980" ht="15.75" customHeight="1">
      <c r="B5980" s="56"/>
      <c r="U5980" s="46" t="str">
        <f t="array" ref="U5980">IF($D5980="","",IFERROR(_xlfn.XLOOKUP($D5980,'TIR店舗一覧'!$D:$D,'TIR店舗一覧'!$E:$E,""),""))</f>
        <v/>
      </c>
      <c r="V5980" s="54" t="s">
        <v>2</v>
      </c>
      <c r="W5980" s="54" t="s">
        <v>2</v>
      </c>
      <c r="X5980" s="54" t="s">
        <v>2</v>
      </c>
      <c r="Y5980" s="54" t="s">
        <v>2</v>
      </c>
      <c r="Z5980" s="54" t="s">
        <v>2</v>
      </c>
      <c r="AA5980" s="54" t="s">
        <v>2</v>
      </c>
      <c r="AB5980" s="54" t="s">
        <v>2</v>
      </c>
      <c r="AC5980" s="54" t="s">
        <v>2</v>
      </c>
      <c r="AD5980" s="54" t="s">
        <v>2</v>
      </c>
      <c r="AE5980" s="54" t="s">
        <v>2</v>
      </c>
      <c r="AF5980" s="54" t="s">
        <v>2</v>
      </c>
      <c r="AG5980" s="54" t="s">
        <v>2</v>
      </c>
    </row>
    <row r="5981" ht="15.75" customHeight="1">
      <c r="B5981" s="56"/>
      <c r="U5981" s="46" t="str">
        <f t="array" ref="U5981">IF($D5981="","",IFERROR(_xlfn.XLOOKUP($D5981,'TIR店舗一覧'!$D:$D,'TIR店舗一覧'!$E:$E,""),""))</f>
        <v/>
      </c>
      <c r="V5981" s="54" t="s">
        <v>2</v>
      </c>
      <c r="W5981" s="54" t="s">
        <v>2</v>
      </c>
      <c r="X5981" s="54" t="s">
        <v>2</v>
      </c>
      <c r="Y5981" s="54" t="s">
        <v>2</v>
      </c>
      <c r="Z5981" s="54" t="s">
        <v>2</v>
      </c>
      <c r="AA5981" s="54" t="s">
        <v>2</v>
      </c>
      <c r="AB5981" s="54" t="s">
        <v>2</v>
      </c>
      <c r="AC5981" s="54" t="s">
        <v>2</v>
      </c>
      <c r="AD5981" s="54" t="s">
        <v>2</v>
      </c>
      <c r="AE5981" s="54" t="s">
        <v>2</v>
      </c>
      <c r="AF5981" s="54" t="s">
        <v>2</v>
      </c>
      <c r="AG5981" s="54" t="s">
        <v>2</v>
      </c>
    </row>
    <row r="5982" ht="15.75" customHeight="1">
      <c r="B5982" s="56"/>
      <c r="U5982" s="46" t="str">
        <f t="array" ref="U5982">IF($D5982="","",IFERROR(_xlfn.XLOOKUP($D5982,'TIR店舗一覧'!$D:$D,'TIR店舗一覧'!$E:$E,""),""))</f>
        <v/>
      </c>
      <c r="V5982" s="54" t="s">
        <v>2</v>
      </c>
      <c r="W5982" s="54" t="s">
        <v>2</v>
      </c>
      <c r="X5982" s="54" t="s">
        <v>2</v>
      </c>
      <c r="Y5982" s="54" t="s">
        <v>2</v>
      </c>
      <c r="Z5982" s="54" t="s">
        <v>2</v>
      </c>
      <c r="AA5982" s="54" t="s">
        <v>2</v>
      </c>
      <c r="AB5982" s="54" t="s">
        <v>2</v>
      </c>
      <c r="AC5982" s="54" t="s">
        <v>2</v>
      </c>
      <c r="AD5982" s="54" t="s">
        <v>2</v>
      </c>
      <c r="AE5982" s="54" t="s">
        <v>2</v>
      </c>
      <c r="AF5982" s="54" t="s">
        <v>2</v>
      </c>
      <c r="AG5982" s="54" t="s">
        <v>2</v>
      </c>
    </row>
    <row r="5983" ht="15.75" customHeight="1">
      <c r="B5983" s="56"/>
      <c r="U5983" s="46" t="str">
        <f t="array" ref="U5983">IF($D5983="","",IFERROR(_xlfn.XLOOKUP($D5983,'TIR店舗一覧'!$D:$D,'TIR店舗一覧'!$E:$E,""),""))</f>
        <v/>
      </c>
      <c r="V5983" s="54" t="s">
        <v>2</v>
      </c>
      <c r="W5983" s="54" t="s">
        <v>2</v>
      </c>
      <c r="X5983" s="54" t="s">
        <v>2</v>
      </c>
      <c r="Y5983" s="54" t="s">
        <v>2</v>
      </c>
      <c r="Z5983" s="54" t="s">
        <v>2</v>
      </c>
      <c r="AA5983" s="54" t="s">
        <v>2</v>
      </c>
      <c r="AB5983" s="54" t="s">
        <v>2</v>
      </c>
      <c r="AC5983" s="54" t="s">
        <v>2</v>
      </c>
      <c r="AD5983" s="54" t="s">
        <v>2</v>
      </c>
      <c r="AE5983" s="54" t="s">
        <v>2</v>
      </c>
      <c r="AF5983" s="54" t="s">
        <v>2</v>
      </c>
      <c r="AG5983" s="54" t="s">
        <v>2</v>
      </c>
    </row>
    <row r="5984" ht="15.75" customHeight="1">
      <c r="B5984" s="56"/>
      <c r="U5984" s="46" t="str">
        <f t="array" ref="U5984">IF($D5984="","",IFERROR(_xlfn.XLOOKUP($D5984,'TIR店舗一覧'!$D:$D,'TIR店舗一覧'!$E:$E,""),""))</f>
        <v/>
      </c>
      <c r="V5984" s="54" t="s">
        <v>2</v>
      </c>
      <c r="W5984" s="54" t="s">
        <v>2</v>
      </c>
      <c r="X5984" s="54" t="s">
        <v>2</v>
      </c>
      <c r="Y5984" s="54" t="s">
        <v>2</v>
      </c>
      <c r="Z5984" s="54" t="s">
        <v>2</v>
      </c>
      <c r="AA5984" s="54" t="s">
        <v>2</v>
      </c>
      <c r="AB5984" s="54" t="s">
        <v>2</v>
      </c>
      <c r="AC5984" s="54" t="s">
        <v>2</v>
      </c>
      <c r="AD5984" s="54" t="s">
        <v>2</v>
      </c>
      <c r="AE5984" s="54" t="s">
        <v>2</v>
      </c>
      <c r="AF5984" s="54" t="s">
        <v>2</v>
      </c>
      <c r="AG5984" s="54" t="s">
        <v>2</v>
      </c>
    </row>
    <row r="5985" ht="15.75" customHeight="1">
      <c r="B5985" s="56"/>
      <c r="U5985" s="46" t="str">
        <f t="array" ref="U5985">IF($D5985="","",IFERROR(_xlfn.XLOOKUP($D5985,'TIR店舗一覧'!$D:$D,'TIR店舗一覧'!$E:$E,""),""))</f>
        <v/>
      </c>
      <c r="V5985" s="54" t="s">
        <v>2</v>
      </c>
      <c r="W5985" s="54" t="s">
        <v>2</v>
      </c>
      <c r="X5985" s="54" t="s">
        <v>2</v>
      </c>
      <c r="Y5985" s="54" t="s">
        <v>2</v>
      </c>
      <c r="Z5985" s="54" t="s">
        <v>2</v>
      </c>
      <c r="AA5985" s="54" t="s">
        <v>2</v>
      </c>
      <c r="AB5985" s="54" t="s">
        <v>2</v>
      </c>
      <c r="AC5985" s="54" t="s">
        <v>2</v>
      </c>
      <c r="AD5985" s="54" t="s">
        <v>2</v>
      </c>
      <c r="AE5985" s="54" t="s">
        <v>2</v>
      </c>
      <c r="AF5985" s="54" t="s">
        <v>2</v>
      </c>
      <c r="AG5985" s="54" t="s">
        <v>2</v>
      </c>
    </row>
    <row r="5986" ht="15.75" customHeight="1">
      <c r="B5986" s="56"/>
      <c r="U5986" s="46" t="str">
        <f t="array" ref="U5986">IF($D5986="","",IFERROR(_xlfn.XLOOKUP($D5986,'TIR店舗一覧'!$D:$D,'TIR店舗一覧'!$E:$E,""),""))</f>
        <v/>
      </c>
      <c r="V5986" s="54" t="s">
        <v>2</v>
      </c>
      <c r="W5986" s="54" t="s">
        <v>2</v>
      </c>
      <c r="X5986" s="54" t="s">
        <v>2</v>
      </c>
      <c r="Y5986" s="54" t="s">
        <v>2</v>
      </c>
      <c r="Z5986" s="54" t="s">
        <v>2</v>
      </c>
      <c r="AA5986" s="54" t="s">
        <v>2</v>
      </c>
      <c r="AB5986" s="54" t="s">
        <v>2</v>
      </c>
      <c r="AC5986" s="54" t="s">
        <v>2</v>
      </c>
      <c r="AD5986" s="54" t="s">
        <v>2</v>
      </c>
      <c r="AE5986" s="54" t="s">
        <v>2</v>
      </c>
      <c r="AF5986" s="54" t="s">
        <v>2</v>
      </c>
      <c r="AG5986" s="54" t="s">
        <v>2</v>
      </c>
    </row>
    <row r="5987" ht="15.75" customHeight="1">
      <c r="B5987" s="56"/>
      <c r="U5987" s="46" t="str">
        <f t="array" ref="U5987">IF($D5987="","",IFERROR(_xlfn.XLOOKUP($D5987,'TIR店舗一覧'!$D:$D,'TIR店舗一覧'!$E:$E,""),""))</f>
        <v/>
      </c>
      <c r="V5987" s="54" t="s">
        <v>2</v>
      </c>
      <c r="W5987" s="54" t="s">
        <v>2</v>
      </c>
      <c r="X5987" s="54" t="s">
        <v>2</v>
      </c>
      <c r="Y5987" s="54" t="s">
        <v>2</v>
      </c>
      <c r="Z5987" s="54" t="s">
        <v>2</v>
      </c>
      <c r="AA5987" s="54" t="s">
        <v>2</v>
      </c>
      <c r="AB5987" s="54" t="s">
        <v>2</v>
      </c>
      <c r="AC5987" s="54" t="s">
        <v>2</v>
      </c>
      <c r="AD5987" s="54" t="s">
        <v>2</v>
      </c>
      <c r="AE5987" s="54" t="s">
        <v>2</v>
      </c>
      <c r="AF5987" s="54" t="s">
        <v>2</v>
      </c>
      <c r="AG5987" s="54" t="s">
        <v>2</v>
      </c>
    </row>
    <row r="5988" ht="15.75" customHeight="1">
      <c r="B5988" s="56"/>
      <c r="U5988" s="46" t="str">
        <f t="array" ref="U5988">IF($D5988="","",IFERROR(_xlfn.XLOOKUP($D5988,'TIR店舗一覧'!$D:$D,'TIR店舗一覧'!$E:$E,""),""))</f>
        <v/>
      </c>
      <c r="V5988" s="54" t="s">
        <v>2</v>
      </c>
      <c r="W5988" s="54" t="s">
        <v>2</v>
      </c>
      <c r="X5988" s="54" t="s">
        <v>2</v>
      </c>
      <c r="Y5988" s="54" t="s">
        <v>2</v>
      </c>
      <c r="Z5988" s="54" t="s">
        <v>2</v>
      </c>
      <c r="AA5988" s="54" t="s">
        <v>2</v>
      </c>
      <c r="AB5988" s="54" t="s">
        <v>2</v>
      </c>
      <c r="AC5988" s="54" t="s">
        <v>2</v>
      </c>
      <c r="AD5988" s="54" t="s">
        <v>2</v>
      </c>
      <c r="AE5988" s="54" t="s">
        <v>2</v>
      </c>
      <c r="AF5988" s="54" t="s">
        <v>2</v>
      </c>
      <c r="AG5988" s="54" t="s">
        <v>2</v>
      </c>
    </row>
    <row r="5989" ht="15.75" customHeight="1">
      <c r="B5989" s="56"/>
      <c r="U5989" s="46" t="str">
        <f t="array" ref="U5989">IF($D5989="","",IFERROR(_xlfn.XLOOKUP($D5989,'TIR店舗一覧'!$D:$D,'TIR店舗一覧'!$E:$E,""),""))</f>
        <v/>
      </c>
      <c r="V5989" s="54" t="s">
        <v>2</v>
      </c>
      <c r="W5989" s="54" t="s">
        <v>2</v>
      </c>
      <c r="X5989" s="54" t="s">
        <v>2</v>
      </c>
      <c r="Y5989" s="54" t="s">
        <v>2</v>
      </c>
      <c r="Z5989" s="54" t="s">
        <v>2</v>
      </c>
      <c r="AA5989" s="54" t="s">
        <v>2</v>
      </c>
      <c r="AB5989" s="54" t="s">
        <v>2</v>
      </c>
      <c r="AC5989" s="54" t="s">
        <v>2</v>
      </c>
      <c r="AD5989" s="54" t="s">
        <v>2</v>
      </c>
      <c r="AE5989" s="54" t="s">
        <v>2</v>
      </c>
      <c r="AF5989" s="54" t="s">
        <v>2</v>
      </c>
      <c r="AG5989" s="54" t="s">
        <v>2</v>
      </c>
    </row>
    <row r="5990" ht="15.75" customHeight="1">
      <c r="B5990" s="56"/>
      <c r="U5990" s="46" t="str">
        <f t="array" ref="U5990">IF($D5990="","",IFERROR(_xlfn.XLOOKUP($D5990,'TIR店舗一覧'!$D:$D,'TIR店舗一覧'!$E:$E,""),""))</f>
        <v/>
      </c>
      <c r="V5990" s="54" t="s">
        <v>2</v>
      </c>
      <c r="W5990" s="54" t="s">
        <v>2</v>
      </c>
      <c r="X5990" s="54" t="s">
        <v>2</v>
      </c>
      <c r="Y5990" s="54" t="s">
        <v>2</v>
      </c>
      <c r="Z5990" s="54" t="s">
        <v>2</v>
      </c>
      <c r="AA5990" s="54" t="s">
        <v>2</v>
      </c>
      <c r="AB5990" s="54" t="s">
        <v>2</v>
      </c>
      <c r="AC5990" s="54" t="s">
        <v>2</v>
      </c>
      <c r="AD5990" s="54" t="s">
        <v>2</v>
      </c>
      <c r="AE5990" s="54" t="s">
        <v>2</v>
      </c>
      <c r="AF5990" s="54" t="s">
        <v>2</v>
      </c>
      <c r="AG5990" s="54" t="s">
        <v>2</v>
      </c>
    </row>
    <row r="5991" ht="15.75" customHeight="1">
      <c r="B5991" s="56"/>
      <c r="U5991" s="46" t="str">
        <f t="array" ref="U5991">IF($D5991="","",IFERROR(_xlfn.XLOOKUP($D5991,'TIR店舗一覧'!$D:$D,'TIR店舗一覧'!$E:$E,""),""))</f>
        <v/>
      </c>
      <c r="V5991" s="54" t="s">
        <v>2</v>
      </c>
      <c r="W5991" s="54" t="s">
        <v>2</v>
      </c>
      <c r="X5991" s="54" t="s">
        <v>2</v>
      </c>
      <c r="Y5991" s="54" t="s">
        <v>2</v>
      </c>
      <c r="Z5991" s="54" t="s">
        <v>2</v>
      </c>
      <c r="AA5991" s="54" t="s">
        <v>2</v>
      </c>
      <c r="AB5991" s="54" t="s">
        <v>2</v>
      </c>
      <c r="AC5991" s="54" t="s">
        <v>2</v>
      </c>
      <c r="AD5991" s="54" t="s">
        <v>2</v>
      </c>
      <c r="AE5991" s="54" t="s">
        <v>2</v>
      </c>
      <c r="AF5991" s="54" t="s">
        <v>2</v>
      </c>
      <c r="AG5991" s="54" t="s">
        <v>2</v>
      </c>
    </row>
    <row r="5992" ht="15.75" customHeight="1">
      <c r="B5992" s="56"/>
      <c r="U5992" s="46" t="str">
        <f t="array" ref="U5992">IF($D5992="","",IFERROR(_xlfn.XLOOKUP($D5992,'TIR店舗一覧'!$D:$D,'TIR店舗一覧'!$E:$E,""),""))</f>
        <v/>
      </c>
      <c r="V5992" s="54" t="s">
        <v>2</v>
      </c>
      <c r="W5992" s="54" t="s">
        <v>2</v>
      </c>
      <c r="X5992" s="54" t="s">
        <v>2</v>
      </c>
      <c r="Y5992" s="54" t="s">
        <v>2</v>
      </c>
      <c r="Z5992" s="54" t="s">
        <v>2</v>
      </c>
      <c r="AA5992" s="54" t="s">
        <v>2</v>
      </c>
      <c r="AB5992" s="54" t="s">
        <v>2</v>
      </c>
      <c r="AC5992" s="54" t="s">
        <v>2</v>
      </c>
      <c r="AD5992" s="54" t="s">
        <v>2</v>
      </c>
      <c r="AE5992" s="54" t="s">
        <v>2</v>
      </c>
      <c r="AF5992" s="54" t="s">
        <v>2</v>
      </c>
      <c r="AG5992" s="54" t="s">
        <v>2</v>
      </c>
    </row>
    <row r="5993" ht="15.75" customHeight="1">
      <c r="B5993" s="56"/>
      <c r="U5993" s="46" t="str">
        <f t="array" ref="U5993">IF($D5993="","",IFERROR(_xlfn.XLOOKUP($D5993,'TIR店舗一覧'!$D:$D,'TIR店舗一覧'!$E:$E,""),""))</f>
        <v/>
      </c>
      <c r="V5993" s="54" t="s">
        <v>2</v>
      </c>
      <c r="W5993" s="54" t="s">
        <v>2</v>
      </c>
      <c r="X5993" s="54" t="s">
        <v>2</v>
      </c>
      <c r="Y5993" s="54" t="s">
        <v>2</v>
      </c>
      <c r="Z5993" s="54" t="s">
        <v>2</v>
      </c>
      <c r="AA5993" s="54" t="s">
        <v>2</v>
      </c>
      <c r="AB5993" s="54" t="s">
        <v>2</v>
      </c>
      <c r="AC5993" s="54" t="s">
        <v>2</v>
      </c>
      <c r="AD5993" s="54" t="s">
        <v>2</v>
      </c>
      <c r="AE5993" s="54" t="s">
        <v>2</v>
      </c>
      <c r="AF5993" s="54" t="s">
        <v>2</v>
      </c>
      <c r="AG5993" s="54" t="s">
        <v>2</v>
      </c>
    </row>
    <row r="5994" ht="15.75" customHeight="1">
      <c r="B5994" s="56"/>
      <c r="U5994" s="46" t="str">
        <f t="array" ref="U5994">IF($D5994="","",IFERROR(_xlfn.XLOOKUP($D5994,'TIR店舗一覧'!$D:$D,'TIR店舗一覧'!$E:$E,""),""))</f>
        <v/>
      </c>
      <c r="V5994" s="54" t="s">
        <v>2</v>
      </c>
      <c r="W5994" s="54" t="s">
        <v>2</v>
      </c>
      <c r="X5994" s="54" t="s">
        <v>2</v>
      </c>
      <c r="Y5994" s="54" t="s">
        <v>2</v>
      </c>
      <c r="Z5994" s="54" t="s">
        <v>2</v>
      </c>
      <c r="AA5994" s="54" t="s">
        <v>2</v>
      </c>
      <c r="AB5994" s="54" t="s">
        <v>2</v>
      </c>
      <c r="AC5994" s="54" t="s">
        <v>2</v>
      </c>
      <c r="AD5994" s="54" t="s">
        <v>2</v>
      </c>
      <c r="AE5994" s="54" t="s">
        <v>2</v>
      </c>
      <c r="AF5994" s="54" t="s">
        <v>2</v>
      </c>
      <c r="AG5994" s="54" t="s">
        <v>2</v>
      </c>
    </row>
    <row r="5995" ht="15.75" customHeight="1">
      <c r="B5995" s="56"/>
      <c r="U5995" s="46" t="str">
        <f t="array" ref="U5995">IF($D5995="","",IFERROR(_xlfn.XLOOKUP($D5995,'TIR店舗一覧'!$D:$D,'TIR店舗一覧'!$E:$E,""),""))</f>
        <v/>
      </c>
      <c r="V5995" s="54" t="s">
        <v>2</v>
      </c>
      <c r="W5995" s="54" t="s">
        <v>2</v>
      </c>
      <c r="X5995" s="54" t="s">
        <v>2</v>
      </c>
      <c r="Y5995" s="54" t="s">
        <v>2</v>
      </c>
      <c r="Z5995" s="54" t="s">
        <v>2</v>
      </c>
      <c r="AA5995" s="54" t="s">
        <v>2</v>
      </c>
      <c r="AB5995" s="54" t="s">
        <v>2</v>
      </c>
      <c r="AC5995" s="54" t="s">
        <v>2</v>
      </c>
      <c r="AD5995" s="54" t="s">
        <v>2</v>
      </c>
      <c r="AE5995" s="54" t="s">
        <v>2</v>
      </c>
      <c r="AF5995" s="54" t="s">
        <v>2</v>
      </c>
      <c r="AG5995" s="54" t="s">
        <v>2</v>
      </c>
    </row>
    <row r="5996" ht="15.75" customHeight="1">
      <c r="B5996" s="56"/>
      <c r="U5996" s="46" t="str">
        <f t="array" ref="U5996">IF($D5996="","",IFERROR(_xlfn.XLOOKUP($D5996,'TIR店舗一覧'!$D:$D,'TIR店舗一覧'!$E:$E,""),""))</f>
        <v/>
      </c>
      <c r="V5996" s="54" t="s">
        <v>2</v>
      </c>
      <c r="W5996" s="54" t="s">
        <v>2</v>
      </c>
      <c r="X5996" s="54" t="s">
        <v>2</v>
      </c>
      <c r="Y5996" s="54" t="s">
        <v>2</v>
      </c>
      <c r="Z5996" s="54" t="s">
        <v>2</v>
      </c>
      <c r="AA5996" s="54" t="s">
        <v>2</v>
      </c>
      <c r="AB5996" s="54" t="s">
        <v>2</v>
      </c>
      <c r="AC5996" s="54" t="s">
        <v>2</v>
      </c>
      <c r="AD5996" s="54" t="s">
        <v>2</v>
      </c>
      <c r="AE5996" s="54" t="s">
        <v>2</v>
      </c>
      <c r="AF5996" s="54" t="s">
        <v>2</v>
      </c>
      <c r="AG5996" s="54" t="s">
        <v>2</v>
      </c>
    </row>
    <row r="5997" ht="15.75" customHeight="1">
      <c r="B5997" s="56"/>
      <c r="U5997" s="46" t="str">
        <f t="array" ref="U5997">IF($D5997="","",IFERROR(_xlfn.XLOOKUP($D5997,'TIR店舗一覧'!$D:$D,'TIR店舗一覧'!$E:$E,""),""))</f>
        <v/>
      </c>
      <c r="V5997" s="54" t="s">
        <v>2</v>
      </c>
      <c r="W5997" s="54" t="s">
        <v>2</v>
      </c>
      <c r="X5997" s="54" t="s">
        <v>2</v>
      </c>
      <c r="Y5997" s="54" t="s">
        <v>2</v>
      </c>
      <c r="Z5997" s="54" t="s">
        <v>2</v>
      </c>
      <c r="AA5997" s="54" t="s">
        <v>2</v>
      </c>
      <c r="AB5997" s="54" t="s">
        <v>2</v>
      </c>
      <c r="AC5997" s="54" t="s">
        <v>2</v>
      </c>
      <c r="AD5997" s="54" t="s">
        <v>2</v>
      </c>
      <c r="AE5997" s="54" t="s">
        <v>2</v>
      </c>
      <c r="AF5997" s="54" t="s">
        <v>2</v>
      </c>
      <c r="AG5997" s="54" t="s">
        <v>2</v>
      </c>
    </row>
    <row r="5998" ht="15.75" customHeight="1">
      <c r="B5998" s="56"/>
      <c r="U5998" s="46" t="str">
        <f t="array" ref="U5998">IF($D5998="","",IFERROR(_xlfn.XLOOKUP($D5998,'TIR店舗一覧'!$D:$D,'TIR店舗一覧'!$E:$E,""),""))</f>
        <v/>
      </c>
      <c r="V5998" s="54" t="s">
        <v>2</v>
      </c>
      <c r="W5998" s="54" t="s">
        <v>2</v>
      </c>
      <c r="X5998" s="54" t="s">
        <v>2</v>
      </c>
      <c r="Y5998" s="54" t="s">
        <v>2</v>
      </c>
      <c r="Z5998" s="54" t="s">
        <v>2</v>
      </c>
      <c r="AA5998" s="54" t="s">
        <v>2</v>
      </c>
      <c r="AB5998" s="54" t="s">
        <v>2</v>
      </c>
      <c r="AC5998" s="54" t="s">
        <v>2</v>
      </c>
      <c r="AD5998" s="54" t="s">
        <v>2</v>
      </c>
      <c r="AE5998" s="54" t="s">
        <v>2</v>
      </c>
      <c r="AF5998" s="54" t="s">
        <v>2</v>
      </c>
      <c r="AG5998" s="54" t="s">
        <v>2</v>
      </c>
    </row>
    <row r="5999" ht="15.75" customHeight="1">
      <c r="B5999" s="56"/>
      <c r="U5999" s="46" t="str">
        <f t="array" ref="U5999">IF($D5999="","",IFERROR(_xlfn.XLOOKUP($D5999,'TIR店舗一覧'!$D:$D,'TIR店舗一覧'!$E:$E,""),""))</f>
        <v/>
      </c>
      <c r="V5999" s="54" t="s">
        <v>2</v>
      </c>
      <c r="W5999" s="54" t="s">
        <v>2</v>
      </c>
      <c r="X5999" s="54" t="s">
        <v>2</v>
      </c>
      <c r="Y5999" s="54" t="s">
        <v>2</v>
      </c>
      <c r="Z5999" s="54" t="s">
        <v>2</v>
      </c>
      <c r="AA5999" s="54" t="s">
        <v>2</v>
      </c>
      <c r="AB5999" s="54" t="s">
        <v>2</v>
      </c>
      <c r="AC5999" s="54" t="s">
        <v>2</v>
      </c>
      <c r="AD5999" s="54" t="s">
        <v>2</v>
      </c>
      <c r="AE5999" s="54" t="s">
        <v>2</v>
      </c>
      <c r="AF5999" s="54" t="s">
        <v>2</v>
      </c>
      <c r="AG5999" s="54" t="s">
        <v>2</v>
      </c>
    </row>
    <row r="6000" ht="15.75" customHeight="1">
      <c r="B6000" s="56"/>
      <c r="U6000" s="46" t="str">
        <f t="array" ref="U6000">IF($D6000="","",IFERROR(_xlfn.XLOOKUP($D6000,'TIR店舗一覧'!$D:$D,'TIR店舗一覧'!$E:$E,""),""))</f>
        <v/>
      </c>
      <c r="V6000" s="54" t="s">
        <v>2</v>
      </c>
      <c r="W6000" s="54" t="s">
        <v>2</v>
      </c>
      <c r="X6000" s="54" t="s">
        <v>2</v>
      </c>
      <c r="Y6000" s="54" t="s">
        <v>2</v>
      </c>
      <c r="Z6000" s="54" t="s">
        <v>2</v>
      </c>
      <c r="AA6000" s="54" t="s">
        <v>2</v>
      </c>
      <c r="AB6000" s="54" t="s">
        <v>2</v>
      </c>
      <c r="AC6000" s="54" t="s">
        <v>2</v>
      </c>
      <c r="AD6000" s="54" t="s">
        <v>2</v>
      </c>
      <c r="AE6000" s="54" t="s">
        <v>2</v>
      </c>
      <c r="AF6000" s="54" t="s">
        <v>2</v>
      </c>
      <c r="AG6000" s="54" t="s">
        <v>2</v>
      </c>
    </row>
  </sheetData>
  <mergeCells count="3">
    <mergeCell ref="G2:L2"/>
    <mergeCell ref="M2:R2"/>
    <mergeCell ref="V2:AG2"/>
  </mergeCells>
  <conditionalFormatting sqref="B4:T6000">
    <cfRule type="expression" dxfId="1" priority="1">
      <formula>$D4&lt;&gt;""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 outlineLevelCol="1"/>
  <cols>
    <col customWidth="1" min="1" max="1" width="3.71"/>
    <col customWidth="1" min="2" max="2" width="19.43"/>
    <col customWidth="1" min="3" max="3" width="31.57"/>
    <col customWidth="1" min="4" max="8" width="10.86"/>
    <col customWidth="1" min="26" max="26" width="37.29"/>
  </cols>
  <sheetData>
    <row r="1">
      <c r="B1" s="62" t="s">
        <v>73</v>
      </c>
      <c r="Z1" s="63" t="s">
        <v>74</v>
      </c>
    </row>
    <row r="2">
      <c r="Z2" s="38" t="str">
        <f>IFERROR(__xludf.DUMMYFUNCTION("IFERROR(SORT(UNIQUE(IF(OR($C$3=""ALL"",$C$3=""""), FILTER('TIR店舗一覧'!$F$2:$F1001, 'TIR店舗一覧'!$A$2:$A1001=""CES"", 'TIR店舗一覧'!$F$2:$F1001&lt;&gt;""""), FILTER('TIR店舗一覧'!$F$2:$F1001, 'TIR店舗一覧'!$A$2:$A1001=""CES"", 'TIR店舗一覧'!$B$2:$B1001=$C$3, 'TIR店舗一覧'!$F$2:$F1001&lt;&gt;"&amp;""""")))), """")"),"Tecc LIFE SELECT 松本本店")</f>
        <v>Tecc LIFE SELECT 松本本店</v>
      </c>
    </row>
    <row r="3">
      <c r="B3" s="64" t="s">
        <v>8</v>
      </c>
      <c r="C3" s="65" t="s">
        <v>37</v>
      </c>
      <c r="D3" s="66" t="s">
        <v>75</v>
      </c>
      <c r="Z3" s="63" t="str">
        <f>IFERROR(__xludf.DUMMYFUNCTION("""COMPUTED_VALUE"""),"Tecc LIFE SELECT 須坂店")</f>
        <v>Tecc LIFE SELECT 須坂店</v>
      </c>
    </row>
    <row r="4">
      <c r="B4" s="67" t="s">
        <v>76</v>
      </c>
      <c r="C4" s="68">
        <f t="array" ref="C4">IF($C$5="","",IFERROR(_xlfn.XLOOKUP($C$5,'TIR店舗一覧'!$F:$F,'TIR店舗一覧'!$D:$D,"該当なし"),""))</f>
        <v>7822</v>
      </c>
      <c r="Z4" s="38" t="str">
        <f>IFERROR(__xludf.DUMMYFUNCTION("""COMPUTED_VALUE"""),"Tecc LIFE SELECT 長野SBC通り店")</f>
        <v>Tecc LIFE SELECT 長野SBC通り店</v>
      </c>
    </row>
    <row r="5">
      <c r="B5" s="67" t="s">
        <v>77</v>
      </c>
      <c r="C5" s="65" t="s">
        <v>78</v>
      </c>
      <c r="Z5" s="38" t="str">
        <f>IFERROR(__xludf.DUMMYFUNCTION("""COMPUTED_VALUE"""),"YAMADA web.com 長岡店")</f>
        <v>YAMADA web.com 長岡店</v>
      </c>
    </row>
    <row r="6" hidden="1">
      <c r="B6" s="63" t="s">
        <v>79</v>
      </c>
      <c r="C6" s="38" t="str">
        <f>IF($C$4="",$C$3&amp;" 全店舗合計",$C$4&amp;" "&amp;$C$5&amp;IF(COUNTIFS('データ_全エリア'!$D$4:$D$6000,$C$4,'データ_全エリア'!$C$4:$C$6000,IF($C$3="ALL","*",$C$3))=0," ※選択エリアに、この店舗のデータがありません",""))</f>
        <v>7822 Tecc LIFE SELECT 長野SBC通り店</v>
      </c>
      <c r="Z6" s="38" t="str">
        <f>IFERROR(__xludf.DUMMYFUNCTION("""COMPUTED_VALUE"""),"エディオン 塩尻店")</f>
        <v>エディオン 塩尻店</v>
      </c>
    </row>
    <row r="7">
      <c r="B7" s="69"/>
      <c r="Z7" s="38" t="str">
        <f>IFERROR(__xludf.DUMMYFUNCTION("""COMPUTED_VALUE"""),"ケーズデンキ 女池インター本店")</f>
        <v>ケーズデンキ 女池インター本店</v>
      </c>
    </row>
    <row r="8">
      <c r="B8" s="69" t="s">
        <v>22</v>
      </c>
      <c r="Z8" s="38" t="str">
        <f>IFERROR(__xludf.DUMMYFUNCTION("""COMPUTED_VALUE"""),"ケーズデンキ 上越インター店")</f>
        <v>ケーズデンキ 上越インター店</v>
      </c>
    </row>
    <row r="9">
      <c r="B9" s="70" t="s">
        <v>15</v>
      </c>
      <c r="C9" s="71" t="s">
        <v>29</v>
      </c>
      <c r="D9" s="72" t="s">
        <v>31</v>
      </c>
      <c r="E9" s="73" t="s">
        <v>32</v>
      </c>
      <c r="F9" s="74" t="s">
        <v>33</v>
      </c>
      <c r="G9" s="75" t="s">
        <v>36</v>
      </c>
      <c r="H9" s="76" t="s">
        <v>38</v>
      </c>
      <c r="Z9" s="38" t="str">
        <f>IFERROR(__xludf.DUMMYFUNCTION("""COMPUTED_VALUE"""),"ジョーシン 燕三条店")</f>
        <v>ジョーシン 燕三条店</v>
      </c>
    </row>
    <row r="10">
      <c r="B10" s="77">
        <f>IFERROR(__xludf.DUMMYFUNCTION("IFERROR(LET(m,SORT(UNIQUE(FILTER('データ_全エリア'!$B$4:$B$6000,'データ_全エリア'!$B$4:$B$6000&lt;&gt;""""))),n,ROWS(m),CHOOSEROWS(m,SEQUENCE(MIN(n,12),1,MAX(1,n-11)))),"""")"),46296.0)</f>
        <v>46296</v>
      </c>
      <c r="C10" s="78">
        <f>IF($B10="","",IF($C$4="",IFERROR(SUMIFS('データ_全エリア'!V$4:V$6000,'データ_全エリア'!$B$4:$B$6000,$B10,'データ_全エリア'!$C$4:$C$6000,IF($C$3="ALL","*",$C$3))/SUMIFS('データ_全エリア'!$S$4:$S$6000,'データ_全エリア'!$B$4:$B$6000,$B10,'データ_全エリア'!$C$4:$C$6000,IF($C$3="ALL","*",$C$3)),0),SUMIFS('データ_全エリア'!G$4:G$6000,'データ_全エリア'!$D$4:$D$6000,$C$4,'データ_全エリア'!$B$4:$B$6000,$B10,'データ_全エリア'!$C$4:$C$6000,IF($C$3="ALL","*",$C$3))))</f>
        <v>0.217270195</v>
      </c>
      <c r="D10" s="78">
        <f>IF($B10="","",IF($C$4="",IFERROR(SUMIFS('データ_全エリア'!W$4:W$6000,'データ_全エリア'!$B$4:$B$6000,$B10,'データ_全エリア'!$C$4:$C$6000,IF($C$3="ALL","*",$C$3))/SUMIFS('データ_全エリア'!$S$4:$S$6000,'データ_全エリア'!$B$4:$B$6000,$B10,'データ_全エリア'!$C$4:$C$6000,IF($C$3="ALL","*",$C$3)),0),SUMIFS('データ_全エリア'!H$4:H$6000,'データ_全エリア'!$D$4:$D$6000,$C$4,'データ_全エリア'!$B$4:$B$6000,$B10,'データ_全エリア'!$C$4:$C$6000,IF($C$3="ALL","*",$C$3))))</f>
        <v>0.1058495822</v>
      </c>
      <c r="E10" s="78">
        <f>IF($B10="","",IF($C$4="",IFERROR(SUMIFS('データ_全エリア'!X$4:X$6000,'データ_全エリア'!$B$4:$B$6000,$B10,'データ_全エリア'!$C$4:$C$6000,IF($C$3="ALL","*",$C$3))/SUMIFS('データ_全エリア'!$S$4:$S$6000,'データ_全エリア'!$B$4:$B$6000,$B10,'データ_全エリア'!$C$4:$C$6000,IF($C$3="ALL","*",$C$3)),0),SUMIFS('データ_全エリア'!I$4:I$6000,'データ_全エリア'!$D$4:$D$6000,$C$4,'データ_全エリア'!$B$4:$B$6000,$B10,'データ_全エリア'!$C$4:$C$6000,IF($C$3="ALL","*",$C$3))))</f>
        <v>0.2618384401</v>
      </c>
      <c r="F10" s="78">
        <f>IF($B10="","",IF($C$4="",IFERROR(SUMIFS('データ_全エリア'!Y$4:Y$6000,'データ_全エリア'!$B$4:$B$6000,$B10,'データ_全エリア'!$C$4:$C$6000,IF($C$3="ALL","*",$C$3))/SUMIFS('データ_全エリア'!$S$4:$S$6000,'データ_全エリア'!$B$4:$B$6000,$B10,'データ_全エリア'!$C$4:$C$6000,IF($C$3="ALL","*",$C$3)),0),SUMIFS('データ_全エリア'!J$4:J$6000,'データ_全エリア'!$D$4:$D$6000,$C$4,'データ_全エリア'!$B$4:$B$6000,$B10,'データ_全エリア'!$C$4:$C$6000,IF($C$3="ALL","*",$C$3))))</f>
        <v>0.1197771588</v>
      </c>
      <c r="G10" s="78">
        <f>IF($B10="","",IF($C$4="",IFERROR(SUMIFS('データ_全エリア'!Z$4:Z$6000,'データ_全エリア'!$B$4:$B$6000,$B10,'データ_全エリア'!$C$4:$C$6000,IF($C$3="ALL","*",$C$3))/SUMIFS('データ_全エリア'!$S$4:$S$6000,'データ_全エリア'!$B$4:$B$6000,$B10,'データ_全エリア'!$C$4:$C$6000,IF($C$3="ALL","*",$C$3)),0),SUMIFS('データ_全エリア'!K$4:K$6000,'データ_全エリア'!$D$4:$D$6000,$C$4,'データ_全エリア'!$B$4:$B$6000,$B10,'データ_全エリア'!$C$4:$C$6000,IF($C$3="ALL","*",$C$3))))</f>
        <v>0.2200557103</v>
      </c>
      <c r="H10" s="78">
        <f>IF($B10="","",IF($C$4="",IFERROR(SUMIFS('データ_全エリア'!AA$4:AA$6000,'データ_全エリア'!$B$4:$B$6000,$B10,'データ_全エリア'!$C$4:$C$6000,IF($C$3="ALL","*",$C$3))/SUMIFS('データ_全エリア'!$S$4:$S$6000,'データ_全エリア'!$B$4:$B$6000,$B10,'データ_全エリア'!$C$4:$C$6000,IF($C$3="ALL","*",$C$3)),0),SUMIFS('データ_全エリア'!L$4:L$6000,'データ_全エリア'!$D$4:$D$6000,$C$4,'データ_全エリア'!$B$4:$B$6000,$B10,'データ_全エリア'!$C$4:$C$6000,IF($C$3="ALL","*",$C$3))))</f>
        <v>0.07520891365</v>
      </c>
      <c r="Z10" s="38" t="str">
        <f>IFERROR(__xludf.DUMMYFUNCTION("""COMPUTED_VALUE"""),"ジョーシン 亀貝店")</f>
        <v>ジョーシン 亀貝店</v>
      </c>
    </row>
    <row r="11">
      <c r="B11" s="77">
        <f>IFERROR(__xludf.DUMMYFUNCTION("""COMPUTED_VALUE"""),46327.0)</f>
        <v>46327</v>
      </c>
      <c r="C11" s="78">
        <f>IF($B11="","",IF($C$4="",IFERROR(SUMIFS('データ_全エリア'!V$4:V$6000,'データ_全エリア'!$B$4:$B$6000,$B11,'データ_全エリア'!$C$4:$C$6000,IF($C$3="ALL","*",$C$3))/SUMIFS('データ_全エリア'!$S$4:$S$6000,'データ_全エリア'!$B$4:$B$6000,$B11,'データ_全エリア'!$C$4:$C$6000,IF($C$3="ALL","*",$C$3)),0),SUMIFS('データ_全エリア'!G$4:G$6000,'データ_全エリア'!$D$4:$D$6000,$C$4,'データ_全エリア'!$B$4:$B$6000,$B11,'データ_全エリア'!$C$4:$C$6000,IF($C$3="ALL","*",$C$3))))</f>
        <v>0</v>
      </c>
      <c r="D11" s="78">
        <f>IF($B11="","",IF($C$4="",IFERROR(SUMIFS('データ_全エリア'!W$4:W$6000,'データ_全エリア'!$B$4:$B$6000,$B11,'データ_全エリア'!$C$4:$C$6000,IF($C$3="ALL","*",$C$3))/SUMIFS('データ_全エリア'!$S$4:$S$6000,'データ_全エリア'!$B$4:$B$6000,$B11,'データ_全エリア'!$C$4:$C$6000,IF($C$3="ALL","*",$C$3)),0),SUMIFS('データ_全エリア'!H$4:H$6000,'データ_全エリア'!$D$4:$D$6000,$C$4,'データ_全エリア'!$B$4:$B$6000,$B11,'データ_全エリア'!$C$4:$C$6000,IF($C$3="ALL","*",$C$3))))</f>
        <v>0</v>
      </c>
      <c r="E11" s="78">
        <f>IF($B11="","",IF($C$4="",IFERROR(SUMIFS('データ_全エリア'!X$4:X$6000,'データ_全エリア'!$B$4:$B$6000,$B11,'データ_全エリア'!$C$4:$C$6000,IF($C$3="ALL","*",$C$3))/SUMIFS('データ_全エリア'!$S$4:$S$6000,'データ_全エリア'!$B$4:$B$6000,$B11,'データ_全エリア'!$C$4:$C$6000,IF($C$3="ALL","*",$C$3)),0),SUMIFS('データ_全エリア'!I$4:I$6000,'データ_全エリア'!$D$4:$D$6000,$C$4,'データ_全エリア'!$B$4:$B$6000,$B11,'データ_全エリア'!$C$4:$C$6000,IF($C$3="ALL","*",$C$3))))</f>
        <v>0</v>
      </c>
      <c r="F11" s="78">
        <f>IF($B11="","",IF($C$4="",IFERROR(SUMIFS('データ_全エリア'!Y$4:Y$6000,'データ_全エリア'!$B$4:$B$6000,$B11,'データ_全エリア'!$C$4:$C$6000,IF($C$3="ALL","*",$C$3))/SUMIFS('データ_全エリア'!$S$4:$S$6000,'データ_全エリア'!$B$4:$B$6000,$B11,'データ_全エリア'!$C$4:$C$6000,IF($C$3="ALL","*",$C$3)),0),SUMIFS('データ_全エリア'!J$4:J$6000,'データ_全エリア'!$D$4:$D$6000,$C$4,'データ_全エリア'!$B$4:$B$6000,$B11,'データ_全エリア'!$C$4:$C$6000,IF($C$3="ALL","*",$C$3))))</f>
        <v>0</v>
      </c>
      <c r="G11" s="78">
        <f>IF($B11="","",IF($C$4="",IFERROR(SUMIFS('データ_全エリア'!Z$4:Z$6000,'データ_全エリア'!$B$4:$B$6000,$B11,'データ_全エリア'!$C$4:$C$6000,IF($C$3="ALL","*",$C$3))/SUMIFS('データ_全エリア'!$S$4:$S$6000,'データ_全エリア'!$B$4:$B$6000,$B11,'データ_全エリア'!$C$4:$C$6000,IF($C$3="ALL","*",$C$3)),0),SUMIFS('データ_全エリア'!K$4:K$6000,'データ_全エリア'!$D$4:$D$6000,$C$4,'データ_全エリア'!$B$4:$B$6000,$B11,'データ_全エリア'!$C$4:$C$6000,IF($C$3="ALL","*",$C$3))))</f>
        <v>0</v>
      </c>
      <c r="H11" s="78">
        <f>IF($B11="","",IF($C$4="",IFERROR(SUMIFS('データ_全エリア'!AA$4:AA$6000,'データ_全エリア'!$B$4:$B$6000,$B11,'データ_全エリア'!$C$4:$C$6000,IF($C$3="ALL","*",$C$3))/SUMIFS('データ_全エリア'!$S$4:$S$6000,'データ_全エリア'!$B$4:$B$6000,$B11,'データ_全エリア'!$C$4:$C$6000,IF($C$3="ALL","*",$C$3)),0),SUMIFS('データ_全エリア'!L$4:L$6000,'データ_全エリア'!$D$4:$D$6000,$C$4,'データ_全エリア'!$B$4:$B$6000,$B11,'データ_全エリア'!$C$4:$C$6000,IF($C$3="ALL","*",$C$3))))</f>
        <v>0</v>
      </c>
      <c r="Z11" s="38" t="str">
        <f>IFERROR(__xludf.DUMMYFUNCTION("""COMPUTED_VALUE"""),"ジョーシン 上越店")</f>
        <v>ジョーシン 上越店</v>
      </c>
    </row>
    <row r="12">
      <c r="B12" s="77"/>
      <c r="C12" s="78" t="str">
        <f>IF($B12="","",IF($C$4="",IFERROR(SUMIFS('データ_全エリア'!V$4:V$6000,'データ_全エリア'!$B$4:$B$6000,$B12,'データ_全エリア'!$C$4:$C$6000,IF($C$3="ALL","*",$C$3))/SUMIFS('データ_全エリア'!$S$4:$S$6000,'データ_全エリア'!$B$4:$B$6000,$B12,'データ_全エリア'!$C$4:$C$6000,IF($C$3="ALL","*",$C$3)),0),SUMIFS('データ_全エリア'!G$4:G$6000,'データ_全エリア'!$D$4:$D$6000,$C$4,'データ_全エリア'!$B$4:$B$6000,$B12,'データ_全エリア'!$C$4:$C$6000,IF($C$3="ALL","*",$C$3))))</f>
        <v/>
      </c>
      <c r="D12" s="78" t="str">
        <f>IF($B12="","",IF($C$4="",IFERROR(SUMIFS('データ_全エリア'!W$4:W$6000,'データ_全エリア'!$B$4:$B$6000,$B12,'データ_全エリア'!$C$4:$C$6000,IF($C$3="ALL","*",$C$3))/SUMIFS('データ_全エリア'!$S$4:$S$6000,'データ_全エリア'!$B$4:$B$6000,$B12,'データ_全エリア'!$C$4:$C$6000,IF($C$3="ALL","*",$C$3)),0),SUMIFS('データ_全エリア'!H$4:H$6000,'データ_全エリア'!$D$4:$D$6000,$C$4,'データ_全エリア'!$B$4:$B$6000,$B12,'データ_全エリア'!$C$4:$C$6000,IF($C$3="ALL","*",$C$3))))</f>
        <v/>
      </c>
      <c r="E12" s="78" t="str">
        <f>IF($B12="","",IF($C$4="",IFERROR(SUMIFS('データ_全エリア'!X$4:X$6000,'データ_全エリア'!$B$4:$B$6000,$B12,'データ_全エリア'!$C$4:$C$6000,IF($C$3="ALL","*",$C$3))/SUMIFS('データ_全エリア'!$S$4:$S$6000,'データ_全エリア'!$B$4:$B$6000,$B12,'データ_全エリア'!$C$4:$C$6000,IF($C$3="ALL","*",$C$3)),0),SUMIFS('データ_全エリア'!I$4:I$6000,'データ_全エリア'!$D$4:$D$6000,$C$4,'データ_全エリア'!$B$4:$B$6000,$B12,'データ_全エリア'!$C$4:$C$6000,IF($C$3="ALL","*",$C$3))))</f>
        <v/>
      </c>
      <c r="F12" s="78" t="str">
        <f>IF($B12="","",IF($C$4="",IFERROR(SUMIFS('データ_全エリア'!Y$4:Y$6000,'データ_全エリア'!$B$4:$B$6000,$B12,'データ_全エリア'!$C$4:$C$6000,IF($C$3="ALL","*",$C$3))/SUMIFS('データ_全エリア'!$S$4:$S$6000,'データ_全エリア'!$B$4:$B$6000,$B12,'データ_全エリア'!$C$4:$C$6000,IF($C$3="ALL","*",$C$3)),0),SUMIFS('データ_全エリア'!J$4:J$6000,'データ_全エリア'!$D$4:$D$6000,$C$4,'データ_全エリア'!$B$4:$B$6000,$B12,'データ_全エリア'!$C$4:$C$6000,IF($C$3="ALL","*",$C$3))))</f>
        <v/>
      </c>
      <c r="G12" s="78" t="str">
        <f>IF($B12="","",IF($C$4="",IFERROR(SUMIFS('データ_全エリア'!Z$4:Z$6000,'データ_全エリア'!$B$4:$B$6000,$B12,'データ_全エリア'!$C$4:$C$6000,IF($C$3="ALL","*",$C$3))/SUMIFS('データ_全エリア'!$S$4:$S$6000,'データ_全エリア'!$B$4:$B$6000,$B12,'データ_全エリア'!$C$4:$C$6000,IF($C$3="ALL","*",$C$3)),0),SUMIFS('データ_全エリア'!K$4:K$6000,'データ_全エリア'!$D$4:$D$6000,$C$4,'データ_全エリア'!$B$4:$B$6000,$B12,'データ_全エリア'!$C$4:$C$6000,IF($C$3="ALL","*",$C$3))))</f>
        <v/>
      </c>
      <c r="H12" s="78" t="str">
        <f>IF($B12="","",IF($C$4="",IFERROR(SUMIFS('データ_全エリア'!AA$4:AA$6000,'データ_全エリア'!$B$4:$B$6000,$B12,'データ_全エリア'!$C$4:$C$6000,IF($C$3="ALL","*",$C$3))/SUMIFS('データ_全エリア'!$S$4:$S$6000,'データ_全エリア'!$B$4:$B$6000,$B12,'データ_全エリア'!$C$4:$C$6000,IF($C$3="ALL","*",$C$3)),0),SUMIFS('データ_全エリア'!L$4:L$6000,'データ_全エリア'!$D$4:$D$6000,$C$4,'データ_全エリア'!$B$4:$B$6000,$B12,'データ_全エリア'!$C$4:$C$6000,IF($C$3="ALL","*",$C$3))))</f>
        <v/>
      </c>
      <c r="Z12" s="38" t="str">
        <f>IFERROR(__xludf.DUMMYFUNCTION("""COMPUTED_VALUE"""),"ジョーシン 長岡愛宕店")</f>
        <v>ジョーシン 長岡愛宕店</v>
      </c>
    </row>
    <row r="13">
      <c r="B13" s="77"/>
      <c r="C13" s="78" t="str">
        <f>IF($B13="","",IF($C$4="",IFERROR(SUMIFS('データ_全エリア'!V$4:V$6000,'データ_全エリア'!$B$4:$B$6000,$B13,'データ_全エリア'!$C$4:$C$6000,IF($C$3="ALL","*",$C$3))/SUMIFS('データ_全エリア'!$S$4:$S$6000,'データ_全エリア'!$B$4:$B$6000,$B13,'データ_全エリア'!$C$4:$C$6000,IF($C$3="ALL","*",$C$3)),0),SUMIFS('データ_全エリア'!G$4:G$6000,'データ_全エリア'!$D$4:$D$6000,$C$4,'データ_全エリア'!$B$4:$B$6000,$B13,'データ_全エリア'!$C$4:$C$6000,IF($C$3="ALL","*",$C$3))))</f>
        <v/>
      </c>
      <c r="D13" s="78" t="str">
        <f>IF($B13="","",IF($C$4="",IFERROR(SUMIFS('データ_全エリア'!W$4:W$6000,'データ_全エリア'!$B$4:$B$6000,$B13,'データ_全エリア'!$C$4:$C$6000,IF($C$3="ALL","*",$C$3))/SUMIFS('データ_全エリア'!$S$4:$S$6000,'データ_全エリア'!$B$4:$B$6000,$B13,'データ_全エリア'!$C$4:$C$6000,IF($C$3="ALL","*",$C$3)),0),SUMIFS('データ_全エリア'!H$4:H$6000,'データ_全エリア'!$D$4:$D$6000,$C$4,'データ_全エリア'!$B$4:$B$6000,$B13,'データ_全エリア'!$C$4:$C$6000,IF($C$3="ALL","*",$C$3))))</f>
        <v/>
      </c>
      <c r="E13" s="78" t="str">
        <f>IF($B13="","",IF($C$4="",IFERROR(SUMIFS('データ_全エリア'!X$4:X$6000,'データ_全エリア'!$B$4:$B$6000,$B13,'データ_全エリア'!$C$4:$C$6000,IF($C$3="ALL","*",$C$3))/SUMIFS('データ_全エリア'!$S$4:$S$6000,'データ_全エリア'!$B$4:$B$6000,$B13,'データ_全エリア'!$C$4:$C$6000,IF($C$3="ALL","*",$C$3)),0),SUMIFS('データ_全エリア'!I$4:I$6000,'データ_全エリア'!$D$4:$D$6000,$C$4,'データ_全エリア'!$B$4:$B$6000,$B13,'データ_全エリア'!$C$4:$C$6000,IF($C$3="ALL","*",$C$3))))</f>
        <v/>
      </c>
      <c r="F13" s="78" t="str">
        <f>IF($B13="","",IF($C$4="",IFERROR(SUMIFS('データ_全エリア'!Y$4:Y$6000,'データ_全エリア'!$B$4:$B$6000,$B13,'データ_全エリア'!$C$4:$C$6000,IF($C$3="ALL","*",$C$3))/SUMIFS('データ_全エリア'!$S$4:$S$6000,'データ_全エリア'!$B$4:$B$6000,$B13,'データ_全エリア'!$C$4:$C$6000,IF($C$3="ALL","*",$C$3)),0),SUMIFS('データ_全エリア'!J$4:J$6000,'データ_全エリア'!$D$4:$D$6000,$C$4,'データ_全エリア'!$B$4:$B$6000,$B13,'データ_全エリア'!$C$4:$C$6000,IF($C$3="ALL","*",$C$3))))</f>
        <v/>
      </c>
      <c r="G13" s="78" t="str">
        <f>IF($B13="","",IF($C$4="",IFERROR(SUMIFS('データ_全エリア'!Z$4:Z$6000,'データ_全エリア'!$B$4:$B$6000,$B13,'データ_全エリア'!$C$4:$C$6000,IF($C$3="ALL","*",$C$3))/SUMIFS('データ_全エリア'!$S$4:$S$6000,'データ_全エリア'!$B$4:$B$6000,$B13,'データ_全エリア'!$C$4:$C$6000,IF($C$3="ALL","*",$C$3)),0),SUMIFS('データ_全エリア'!K$4:K$6000,'データ_全エリア'!$D$4:$D$6000,$C$4,'データ_全エリア'!$B$4:$B$6000,$B13,'データ_全エリア'!$C$4:$C$6000,IF($C$3="ALL","*",$C$3))))</f>
        <v/>
      </c>
      <c r="H13" s="78" t="str">
        <f>IF($B13="","",IF($C$4="",IFERROR(SUMIFS('データ_全エリア'!AA$4:AA$6000,'データ_全エリア'!$B$4:$B$6000,$B13,'データ_全エリア'!$C$4:$C$6000,IF($C$3="ALL","*",$C$3))/SUMIFS('データ_全エリア'!$S$4:$S$6000,'データ_全エリア'!$B$4:$B$6000,$B13,'データ_全エリア'!$C$4:$C$6000,IF($C$3="ALL","*",$C$3)),0),SUMIFS('データ_全エリア'!L$4:L$6000,'データ_全エリア'!$D$4:$D$6000,$C$4,'データ_全エリア'!$B$4:$B$6000,$B13,'データ_全エリア'!$C$4:$C$6000,IF($C$3="ALL","*",$C$3))))</f>
        <v/>
      </c>
      <c r="Z13" s="38" t="str">
        <f>IFERROR(__xludf.DUMMYFUNCTION("""COMPUTED_VALUE"""),"テックランド そよら三条須頃店")</f>
        <v>テックランド そよら三条須頃店</v>
      </c>
    </row>
    <row r="14">
      <c r="B14" s="77"/>
      <c r="C14" s="78" t="str">
        <f>IF($B14="","",IF($C$4="",IFERROR(SUMIFS('データ_全エリア'!V$4:V$6000,'データ_全エリア'!$B$4:$B$6000,$B14,'データ_全エリア'!$C$4:$C$6000,IF($C$3="ALL","*",$C$3))/SUMIFS('データ_全エリア'!$S$4:$S$6000,'データ_全エリア'!$B$4:$B$6000,$B14,'データ_全エリア'!$C$4:$C$6000,IF($C$3="ALL","*",$C$3)),0),SUMIFS('データ_全エリア'!G$4:G$6000,'データ_全エリア'!$D$4:$D$6000,$C$4,'データ_全エリア'!$B$4:$B$6000,$B14,'データ_全エリア'!$C$4:$C$6000,IF($C$3="ALL","*",$C$3))))</f>
        <v/>
      </c>
      <c r="D14" s="78" t="str">
        <f>IF($B14="","",IF($C$4="",IFERROR(SUMIFS('データ_全エリア'!W$4:W$6000,'データ_全エリア'!$B$4:$B$6000,$B14,'データ_全エリア'!$C$4:$C$6000,IF($C$3="ALL","*",$C$3))/SUMIFS('データ_全エリア'!$S$4:$S$6000,'データ_全エリア'!$B$4:$B$6000,$B14,'データ_全エリア'!$C$4:$C$6000,IF($C$3="ALL","*",$C$3)),0),SUMIFS('データ_全エリア'!H$4:H$6000,'データ_全エリア'!$D$4:$D$6000,$C$4,'データ_全エリア'!$B$4:$B$6000,$B14,'データ_全エリア'!$C$4:$C$6000,IF($C$3="ALL","*",$C$3))))</f>
        <v/>
      </c>
      <c r="E14" s="78" t="str">
        <f>IF($B14="","",IF($C$4="",IFERROR(SUMIFS('データ_全エリア'!X$4:X$6000,'データ_全エリア'!$B$4:$B$6000,$B14,'データ_全エリア'!$C$4:$C$6000,IF($C$3="ALL","*",$C$3))/SUMIFS('データ_全エリア'!$S$4:$S$6000,'データ_全エリア'!$B$4:$B$6000,$B14,'データ_全エリア'!$C$4:$C$6000,IF($C$3="ALL","*",$C$3)),0),SUMIFS('データ_全エリア'!I$4:I$6000,'データ_全エリア'!$D$4:$D$6000,$C$4,'データ_全エリア'!$B$4:$B$6000,$B14,'データ_全エリア'!$C$4:$C$6000,IF($C$3="ALL","*",$C$3))))</f>
        <v/>
      </c>
      <c r="F14" s="78" t="str">
        <f>IF($B14="","",IF($C$4="",IFERROR(SUMIFS('データ_全エリア'!Y$4:Y$6000,'データ_全エリア'!$B$4:$B$6000,$B14,'データ_全エリア'!$C$4:$C$6000,IF($C$3="ALL","*",$C$3))/SUMIFS('データ_全エリア'!$S$4:$S$6000,'データ_全エリア'!$B$4:$B$6000,$B14,'データ_全エリア'!$C$4:$C$6000,IF($C$3="ALL","*",$C$3)),0),SUMIFS('データ_全エリア'!J$4:J$6000,'データ_全エリア'!$D$4:$D$6000,$C$4,'データ_全エリア'!$B$4:$B$6000,$B14,'データ_全エリア'!$C$4:$C$6000,IF($C$3="ALL","*",$C$3))))</f>
        <v/>
      </c>
      <c r="G14" s="78" t="str">
        <f>IF($B14="","",IF($C$4="",IFERROR(SUMIFS('データ_全エリア'!Z$4:Z$6000,'データ_全エリア'!$B$4:$B$6000,$B14,'データ_全エリア'!$C$4:$C$6000,IF($C$3="ALL","*",$C$3))/SUMIFS('データ_全エリア'!$S$4:$S$6000,'データ_全エリア'!$B$4:$B$6000,$B14,'データ_全エリア'!$C$4:$C$6000,IF($C$3="ALL","*",$C$3)),0),SUMIFS('データ_全エリア'!K$4:K$6000,'データ_全エリア'!$D$4:$D$6000,$C$4,'データ_全エリア'!$B$4:$B$6000,$B14,'データ_全エリア'!$C$4:$C$6000,IF($C$3="ALL","*",$C$3))))</f>
        <v/>
      </c>
      <c r="H14" s="78" t="str">
        <f>IF($B14="","",IF($C$4="",IFERROR(SUMIFS('データ_全エリア'!AA$4:AA$6000,'データ_全エリア'!$B$4:$B$6000,$B14,'データ_全エリア'!$C$4:$C$6000,IF($C$3="ALL","*",$C$3))/SUMIFS('データ_全エリア'!$S$4:$S$6000,'データ_全エリア'!$B$4:$B$6000,$B14,'データ_全エリア'!$C$4:$C$6000,IF($C$3="ALL","*",$C$3)),0),SUMIFS('データ_全エリア'!L$4:L$6000,'データ_全エリア'!$D$4:$D$6000,$C$4,'データ_全エリア'!$B$4:$B$6000,$B14,'データ_全エリア'!$C$4:$C$6000,IF($C$3="ALL","*",$C$3))))</f>
        <v/>
      </c>
      <c r="Z14" s="38" t="str">
        <f>IFERROR(__xludf.DUMMYFUNCTION("""COMPUTED_VALUE"""),"テックランド 亀田店")</f>
        <v>テックランド 亀田店</v>
      </c>
    </row>
    <row r="15">
      <c r="B15" s="77"/>
      <c r="C15" s="78" t="str">
        <f>IF($B15="","",IF($C$4="",IFERROR(SUMIFS('データ_全エリア'!V$4:V$6000,'データ_全エリア'!$B$4:$B$6000,$B15,'データ_全エリア'!$C$4:$C$6000,IF($C$3="ALL","*",$C$3))/SUMIFS('データ_全エリア'!$S$4:$S$6000,'データ_全エリア'!$B$4:$B$6000,$B15,'データ_全エリア'!$C$4:$C$6000,IF($C$3="ALL","*",$C$3)),0),SUMIFS('データ_全エリア'!G$4:G$6000,'データ_全エリア'!$D$4:$D$6000,$C$4,'データ_全エリア'!$B$4:$B$6000,$B15,'データ_全エリア'!$C$4:$C$6000,IF($C$3="ALL","*",$C$3))))</f>
        <v/>
      </c>
      <c r="D15" s="78" t="str">
        <f>IF($B15="","",IF($C$4="",IFERROR(SUMIFS('データ_全エリア'!W$4:W$6000,'データ_全エリア'!$B$4:$B$6000,$B15,'データ_全エリア'!$C$4:$C$6000,IF($C$3="ALL","*",$C$3))/SUMIFS('データ_全エリア'!$S$4:$S$6000,'データ_全エリア'!$B$4:$B$6000,$B15,'データ_全エリア'!$C$4:$C$6000,IF($C$3="ALL","*",$C$3)),0),SUMIFS('データ_全エリア'!H$4:H$6000,'データ_全エリア'!$D$4:$D$6000,$C$4,'データ_全エリア'!$B$4:$B$6000,$B15,'データ_全エリア'!$C$4:$C$6000,IF($C$3="ALL","*",$C$3))))</f>
        <v/>
      </c>
      <c r="E15" s="78" t="str">
        <f>IF($B15="","",IF($C$4="",IFERROR(SUMIFS('データ_全エリア'!X$4:X$6000,'データ_全エリア'!$B$4:$B$6000,$B15,'データ_全エリア'!$C$4:$C$6000,IF($C$3="ALL","*",$C$3))/SUMIFS('データ_全エリア'!$S$4:$S$6000,'データ_全エリア'!$B$4:$B$6000,$B15,'データ_全エリア'!$C$4:$C$6000,IF($C$3="ALL","*",$C$3)),0),SUMIFS('データ_全エリア'!I$4:I$6000,'データ_全エリア'!$D$4:$D$6000,$C$4,'データ_全エリア'!$B$4:$B$6000,$B15,'データ_全エリア'!$C$4:$C$6000,IF($C$3="ALL","*",$C$3))))</f>
        <v/>
      </c>
      <c r="F15" s="78" t="str">
        <f>IF($B15="","",IF($C$4="",IFERROR(SUMIFS('データ_全エリア'!Y$4:Y$6000,'データ_全エリア'!$B$4:$B$6000,$B15,'データ_全エリア'!$C$4:$C$6000,IF($C$3="ALL","*",$C$3))/SUMIFS('データ_全エリア'!$S$4:$S$6000,'データ_全エリア'!$B$4:$B$6000,$B15,'データ_全エリア'!$C$4:$C$6000,IF($C$3="ALL","*",$C$3)),0),SUMIFS('データ_全エリア'!J$4:J$6000,'データ_全エリア'!$D$4:$D$6000,$C$4,'データ_全エリア'!$B$4:$B$6000,$B15,'データ_全エリア'!$C$4:$C$6000,IF($C$3="ALL","*",$C$3))))</f>
        <v/>
      </c>
      <c r="G15" s="78" t="str">
        <f>IF($B15="","",IF($C$4="",IFERROR(SUMIFS('データ_全エリア'!Z$4:Z$6000,'データ_全エリア'!$B$4:$B$6000,$B15,'データ_全エリア'!$C$4:$C$6000,IF($C$3="ALL","*",$C$3))/SUMIFS('データ_全エリア'!$S$4:$S$6000,'データ_全エリア'!$B$4:$B$6000,$B15,'データ_全エリア'!$C$4:$C$6000,IF($C$3="ALL","*",$C$3)),0),SUMIFS('データ_全エリア'!K$4:K$6000,'データ_全エリア'!$D$4:$D$6000,$C$4,'データ_全エリア'!$B$4:$B$6000,$B15,'データ_全エリア'!$C$4:$C$6000,IF($C$3="ALL","*",$C$3))))</f>
        <v/>
      </c>
      <c r="H15" s="78" t="str">
        <f>IF($B15="","",IF($C$4="",IFERROR(SUMIFS('データ_全エリア'!AA$4:AA$6000,'データ_全エリア'!$B$4:$B$6000,$B15,'データ_全エリア'!$C$4:$C$6000,IF($C$3="ALL","*",$C$3))/SUMIFS('データ_全エリア'!$S$4:$S$6000,'データ_全エリア'!$B$4:$B$6000,$B15,'データ_全エリア'!$C$4:$C$6000,IF($C$3="ALL","*",$C$3)),0),SUMIFS('データ_全エリア'!L$4:L$6000,'データ_全エリア'!$D$4:$D$6000,$C$4,'データ_全エリア'!$B$4:$B$6000,$B15,'データ_全エリア'!$C$4:$C$6000,IF($C$3="ALL","*",$C$3))))</f>
        <v/>
      </c>
      <c r="Z15" s="38" t="str">
        <f>IFERROR(__xludf.DUMMYFUNCTION("""COMPUTED_VALUE"""),"テックランド 新潟錦町本店")</f>
        <v>テックランド 新潟錦町本店</v>
      </c>
    </row>
    <row r="16">
      <c r="B16" s="77"/>
      <c r="C16" s="78" t="str">
        <f>IF($B16="","",IF($C$4="",IFERROR(SUMIFS('データ_全エリア'!V$4:V$6000,'データ_全エリア'!$B$4:$B$6000,$B16,'データ_全エリア'!$C$4:$C$6000,IF($C$3="ALL","*",$C$3))/SUMIFS('データ_全エリア'!$S$4:$S$6000,'データ_全エリア'!$B$4:$B$6000,$B16,'データ_全エリア'!$C$4:$C$6000,IF($C$3="ALL","*",$C$3)),0),SUMIFS('データ_全エリア'!G$4:G$6000,'データ_全エリア'!$D$4:$D$6000,$C$4,'データ_全エリア'!$B$4:$B$6000,$B16,'データ_全エリア'!$C$4:$C$6000,IF($C$3="ALL","*",$C$3))))</f>
        <v/>
      </c>
      <c r="D16" s="78" t="str">
        <f>IF($B16="","",IF($C$4="",IFERROR(SUMIFS('データ_全エリア'!W$4:W$6000,'データ_全エリア'!$B$4:$B$6000,$B16,'データ_全エリア'!$C$4:$C$6000,IF($C$3="ALL","*",$C$3))/SUMIFS('データ_全エリア'!$S$4:$S$6000,'データ_全エリア'!$B$4:$B$6000,$B16,'データ_全エリア'!$C$4:$C$6000,IF($C$3="ALL","*",$C$3)),0),SUMIFS('データ_全エリア'!H$4:H$6000,'データ_全エリア'!$D$4:$D$6000,$C$4,'データ_全エリア'!$B$4:$B$6000,$B16,'データ_全エリア'!$C$4:$C$6000,IF($C$3="ALL","*",$C$3))))</f>
        <v/>
      </c>
      <c r="E16" s="78" t="str">
        <f>IF($B16="","",IF($C$4="",IFERROR(SUMIFS('データ_全エリア'!X$4:X$6000,'データ_全エリア'!$B$4:$B$6000,$B16,'データ_全エリア'!$C$4:$C$6000,IF($C$3="ALL","*",$C$3))/SUMIFS('データ_全エリア'!$S$4:$S$6000,'データ_全エリア'!$B$4:$B$6000,$B16,'データ_全エリア'!$C$4:$C$6000,IF($C$3="ALL","*",$C$3)),0),SUMIFS('データ_全エリア'!I$4:I$6000,'データ_全エリア'!$D$4:$D$6000,$C$4,'データ_全エリア'!$B$4:$B$6000,$B16,'データ_全エリア'!$C$4:$C$6000,IF($C$3="ALL","*",$C$3))))</f>
        <v/>
      </c>
      <c r="F16" s="78" t="str">
        <f>IF($B16="","",IF($C$4="",IFERROR(SUMIFS('データ_全エリア'!Y$4:Y$6000,'データ_全エリア'!$B$4:$B$6000,$B16,'データ_全エリア'!$C$4:$C$6000,IF($C$3="ALL","*",$C$3))/SUMIFS('データ_全エリア'!$S$4:$S$6000,'データ_全エリア'!$B$4:$B$6000,$B16,'データ_全エリア'!$C$4:$C$6000,IF($C$3="ALL","*",$C$3)),0),SUMIFS('データ_全エリア'!J$4:J$6000,'データ_全エリア'!$D$4:$D$6000,$C$4,'データ_全エリア'!$B$4:$B$6000,$B16,'データ_全エリア'!$C$4:$C$6000,IF($C$3="ALL","*",$C$3))))</f>
        <v/>
      </c>
      <c r="G16" s="78" t="str">
        <f>IF($B16="","",IF($C$4="",IFERROR(SUMIFS('データ_全エリア'!Z$4:Z$6000,'データ_全エリア'!$B$4:$B$6000,$B16,'データ_全エリア'!$C$4:$C$6000,IF($C$3="ALL","*",$C$3))/SUMIFS('データ_全エリア'!$S$4:$S$6000,'データ_全エリア'!$B$4:$B$6000,$B16,'データ_全エリア'!$C$4:$C$6000,IF($C$3="ALL","*",$C$3)),0),SUMIFS('データ_全エリア'!K$4:K$6000,'データ_全エリア'!$D$4:$D$6000,$C$4,'データ_全エリア'!$B$4:$B$6000,$B16,'データ_全エリア'!$C$4:$C$6000,IF($C$3="ALL","*",$C$3))))</f>
        <v/>
      </c>
      <c r="H16" s="78" t="str">
        <f>IF($B16="","",IF($C$4="",IFERROR(SUMIFS('データ_全エリア'!AA$4:AA$6000,'データ_全エリア'!$B$4:$B$6000,$B16,'データ_全エリア'!$C$4:$C$6000,IF($C$3="ALL","*",$C$3))/SUMIFS('データ_全エリア'!$S$4:$S$6000,'データ_全エリア'!$B$4:$B$6000,$B16,'データ_全エリア'!$C$4:$C$6000,IF($C$3="ALL","*",$C$3)),0),SUMIFS('データ_全エリア'!L$4:L$6000,'データ_全エリア'!$D$4:$D$6000,$C$4,'データ_全エリア'!$B$4:$B$6000,$B16,'データ_全エリア'!$C$4:$C$6000,IF($C$3="ALL","*",$C$3))))</f>
        <v/>
      </c>
    </row>
    <row r="17">
      <c r="B17" s="77"/>
      <c r="C17" s="78" t="str">
        <f>IF($B17="","",IF($C$4="",IFERROR(SUMIFS('データ_全エリア'!V$4:V$6000,'データ_全エリア'!$B$4:$B$6000,$B17,'データ_全エリア'!$C$4:$C$6000,IF($C$3="ALL","*",$C$3))/SUMIFS('データ_全エリア'!$S$4:$S$6000,'データ_全エリア'!$B$4:$B$6000,$B17,'データ_全エリア'!$C$4:$C$6000,IF($C$3="ALL","*",$C$3)),0),SUMIFS('データ_全エリア'!G$4:G$6000,'データ_全エリア'!$D$4:$D$6000,$C$4,'データ_全エリア'!$B$4:$B$6000,$B17,'データ_全エリア'!$C$4:$C$6000,IF($C$3="ALL","*",$C$3))))</f>
        <v/>
      </c>
      <c r="D17" s="78" t="str">
        <f>IF($B17="","",IF($C$4="",IFERROR(SUMIFS('データ_全エリア'!W$4:W$6000,'データ_全エリア'!$B$4:$B$6000,$B17,'データ_全エリア'!$C$4:$C$6000,IF($C$3="ALL","*",$C$3))/SUMIFS('データ_全エリア'!$S$4:$S$6000,'データ_全エリア'!$B$4:$B$6000,$B17,'データ_全エリア'!$C$4:$C$6000,IF($C$3="ALL","*",$C$3)),0),SUMIFS('データ_全エリア'!H$4:H$6000,'データ_全エリア'!$D$4:$D$6000,$C$4,'データ_全エリア'!$B$4:$B$6000,$B17,'データ_全エリア'!$C$4:$C$6000,IF($C$3="ALL","*",$C$3))))</f>
        <v/>
      </c>
      <c r="E17" s="78" t="str">
        <f>IF($B17="","",IF($C$4="",IFERROR(SUMIFS('データ_全エリア'!X$4:X$6000,'データ_全エリア'!$B$4:$B$6000,$B17,'データ_全エリア'!$C$4:$C$6000,IF($C$3="ALL","*",$C$3))/SUMIFS('データ_全エリア'!$S$4:$S$6000,'データ_全エリア'!$B$4:$B$6000,$B17,'データ_全エリア'!$C$4:$C$6000,IF($C$3="ALL","*",$C$3)),0),SUMIFS('データ_全エリア'!I$4:I$6000,'データ_全エリア'!$D$4:$D$6000,$C$4,'データ_全エリア'!$B$4:$B$6000,$B17,'データ_全エリア'!$C$4:$C$6000,IF($C$3="ALL","*",$C$3))))</f>
        <v/>
      </c>
      <c r="F17" s="78" t="str">
        <f>IF($B17="","",IF($C$4="",IFERROR(SUMIFS('データ_全エリア'!Y$4:Y$6000,'データ_全エリア'!$B$4:$B$6000,$B17,'データ_全エリア'!$C$4:$C$6000,IF($C$3="ALL","*",$C$3))/SUMIFS('データ_全エリア'!$S$4:$S$6000,'データ_全エリア'!$B$4:$B$6000,$B17,'データ_全エリア'!$C$4:$C$6000,IF($C$3="ALL","*",$C$3)),0),SUMIFS('データ_全エリア'!J$4:J$6000,'データ_全エリア'!$D$4:$D$6000,$C$4,'データ_全エリア'!$B$4:$B$6000,$B17,'データ_全エリア'!$C$4:$C$6000,IF($C$3="ALL","*",$C$3))))</f>
        <v/>
      </c>
      <c r="G17" s="78" t="str">
        <f>IF($B17="","",IF($C$4="",IFERROR(SUMIFS('データ_全エリア'!Z$4:Z$6000,'データ_全エリア'!$B$4:$B$6000,$B17,'データ_全エリア'!$C$4:$C$6000,IF($C$3="ALL","*",$C$3))/SUMIFS('データ_全エリア'!$S$4:$S$6000,'データ_全エリア'!$B$4:$B$6000,$B17,'データ_全エリア'!$C$4:$C$6000,IF($C$3="ALL","*",$C$3)),0),SUMIFS('データ_全エリア'!K$4:K$6000,'データ_全エリア'!$D$4:$D$6000,$C$4,'データ_全エリア'!$B$4:$B$6000,$B17,'データ_全エリア'!$C$4:$C$6000,IF($C$3="ALL","*",$C$3))))</f>
        <v/>
      </c>
      <c r="H17" s="78" t="str">
        <f>IF($B17="","",IF($C$4="",IFERROR(SUMIFS('データ_全エリア'!AA$4:AA$6000,'データ_全エリア'!$B$4:$B$6000,$B17,'データ_全エリア'!$C$4:$C$6000,IF($C$3="ALL","*",$C$3))/SUMIFS('データ_全エリア'!$S$4:$S$6000,'データ_全エリア'!$B$4:$B$6000,$B17,'データ_全エリア'!$C$4:$C$6000,IF($C$3="ALL","*",$C$3)),0),SUMIFS('データ_全エリア'!L$4:L$6000,'データ_全エリア'!$D$4:$D$6000,$C$4,'データ_全エリア'!$B$4:$B$6000,$B17,'データ_全エリア'!$C$4:$C$6000,IF($C$3="ALL","*",$C$3))))</f>
        <v/>
      </c>
    </row>
    <row r="18">
      <c r="B18" s="77"/>
      <c r="C18" s="78" t="str">
        <f>IF($B18="","",IF($C$4="",IFERROR(SUMIFS('データ_全エリア'!V$4:V$6000,'データ_全エリア'!$B$4:$B$6000,$B18,'データ_全エリア'!$C$4:$C$6000,IF($C$3="ALL","*",$C$3))/SUMIFS('データ_全エリア'!$S$4:$S$6000,'データ_全エリア'!$B$4:$B$6000,$B18,'データ_全エリア'!$C$4:$C$6000,IF($C$3="ALL","*",$C$3)),0),SUMIFS('データ_全エリア'!G$4:G$6000,'データ_全エリア'!$D$4:$D$6000,$C$4,'データ_全エリア'!$B$4:$B$6000,$B18,'データ_全エリア'!$C$4:$C$6000,IF($C$3="ALL","*",$C$3))))</f>
        <v/>
      </c>
      <c r="D18" s="78" t="str">
        <f>IF($B18="","",IF($C$4="",IFERROR(SUMIFS('データ_全エリア'!W$4:W$6000,'データ_全エリア'!$B$4:$B$6000,$B18,'データ_全エリア'!$C$4:$C$6000,IF($C$3="ALL","*",$C$3))/SUMIFS('データ_全エリア'!$S$4:$S$6000,'データ_全エリア'!$B$4:$B$6000,$B18,'データ_全エリア'!$C$4:$C$6000,IF($C$3="ALL","*",$C$3)),0),SUMIFS('データ_全エリア'!H$4:H$6000,'データ_全エリア'!$D$4:$D$6000,$C$4,'データ_全エリア'!$B$4:$B$6000,$B18,'データ_全エリア'!$C$4:$C$6000,IF($C$3="ALL","*",$C$3))))</f>
        <v/>
      </c>
      <c r="E18" s="78" t="str">
        <f>IF($B18="","",IF($C$4="",IFERROR(SUMIFS('データ_全エリア'!X$4:X$6000,'データ_全エリア'!$B$4:$B$6000,$B18,'データ_全エリア'!$C$4:$C$6000,IF($C$3="ALL","*",$C$3))/SUMIFS('データ_全エリア'!$S$4:$S$6000,'データ_全エリア'!$B$4:$B$6000,$B18,'データ_全エリア'!$C$4:$C$6000,IF($C$3="ALL","*",$C$3)),0),SUMIFS('データ_全エリア'!I$4:I$6000,'データ_全エリア'!$D$4:$D$6000,$C$4,'データ_全エリア'!$B$4:$B$6000,$B18,'データ_全エリア'!$C$4:$C$6000,IF($C$3="ALL","*",$C$3))))</f>
        <v/>
      </c>
      <c r="F18" s="78" t="str">
        <f>IF($B18="","",IF($C$4="",IFERROR(SUMIFS('データ_全エリア'!Y$4:Y$6000,'データ_全エリア'!$B$4:$B$6000,$B18,'データ_全エリア'!$C$4:$C$6000,IF($C$3="ALL","*",$C$3))/SUMIFS('データ_全エリア'!$S$4:$S$6000,'データ_全エリア'!$B$4:$B$6000,$B18,'データ_全エリア'!$C$4:$C$6000,IF($C$3="ALL","*",$C$3)),0),SUMIFS('データ_全エリア'!J$4:J$6000,'データ_全エリア'!$D$4:$D$6000,$C$4,'データ_全エリア'!$B$4:$B$6000,$B18,'データ_全エリア'!$C$4:$C$6000,IF($C$3="ALL","*",$C$3))))</f>
        <v/>
      </c>
      <c r="G18" s="78" t="str">
        <f>IF($B18="","",IF($C$4="",IFERROR(SUMIFS('データ_全エリア'!Z$4:Z$6000,'データ_全エリア'!$B$4:$B$6000,$B18,'データ_全エリア'!$C$4:$C$6000,IF($C$3="ALL","*",$C$3))/SUMIFS('データ_全エリア'!$S$4:$S$6000,'データ_全エリア'!$B$4:$B$6000,$B18,'データ_全エリア'!$C$4:$C$6000,IF($C$3="ALL","*",$C$3)),0),SUMIFS('データ_全エリア'!K$4:K$6000,'データ_全エリア'!$D$4:$D$6000,$C$4,'データ_全エリア'!$B$4:$B$6000,$B18,'データ_全エリア'!$C$4:$C$6000,IF($C$3="ALL","*",$C$3))))</f>
        <v/>
      </c>
      <c r="H18" s="78" t="str">
        <f>IF($B18="","",IF($C$4="",IFERROR(SUMIFS('データ_全エリア'!AA$4:AA$6000,'データ_全エリア'!$B$4:$B$6000,$B18,'データ_全エリア'!$C$4:$C$6000,IF($C$3="ALL","*",$C$3))/SUMIFS('データ_全エリア'!$S$4:$S$6000,'データ_全エリア'!$B$4:$B$6000,$B18,'データ_全エリア'!$C$4:$C$6000,IF($C$3="ALL","*",$C$3)),0),SUMIFS('データ_全エリア'!L$4:L$6000,'データ_全エリア'!$D$4:$D$6000,$C$4,'データ_全エリア'!$B$4:$B$6000,$B18,'データ_全エリア'!$C$4:$C$6000,IF($C$3="ALL","*",$C$3))))</f>
        <v/>
      </c>
    </row>
    <row r="19">
      <c r="B19" s="77"/>
      <c r="C19" s="78" t="str">
        <f>IF($B19="","",IF($C$4="",IFERROR(SUMIFS('データ_全エリア'!V$4:V$6000,'データ_全エリア'!$B$4:$B$6000,$B19,'データ_全エリア'!$C$4:$C$6000,IF($C$3="ALL","*",$C$3))/SUMIFS('データ_全エリア'!$S$4:$S$6000,'データ_全エリア'!$B$4:$B$6000,$B19,'データ_全エリア'!$C$4:$C$6000,IF($C$3="ALL","*",$C$3)),0),SUMIFS('データ_全エリア'!G$4:G$6000,'データ_全エリア'!$D$4:$D$6000,$C$4,'データ_全エリア'!$B$4:$B$6000,$B19,'データ_全エリア'!$C$4:$C$6000,IF($C$3="ALL","*",$C$3))))</f>
        <v/>
      </c>
      <c r="D19" s="78" t="str">
        <f>IF($B19="","",IF($C$4="",IFERROR(SUMIFS('データ_全エリア'!W$4:W$6000,'データ_全エリア'!$B$4:$B$6000,$B19,'データ_全エリア'!$C$4:$C$6000,IF($C$3="ALL","*",$C$3))/SUMIFS('データ_全エリア'!$S$4:$S$6000,'データ_全エリア'!$B$4:$B$6000,$B19,'データ_全エリア'!$C$4:$C$6000,IF($C$3="ALL","*",$C$3)),0),SUMIFS('データ_全エリア'!H$4:H$6000,'データ_全エリア'!$D$4:$D$6000,$C$4,'データ_全エリア'!$B$4:$B$6000,$B19,'データ_全エリア'!$C$4:$C$6000,IF($C$3="ALL","*",$C$3))))</f>
        <v/>
      </c>
      <c r="E19" s="78" t="str">
        <f>IF($B19="","",IF($C$4="",IFERROR(SUMIFS('データ_全エリア'!X$4:X$6000,'データ_全エリア'!$B$4:$B$6000,$B19,'データ_全エリア'!$C$4:$C$6000,IF($C$3="ALL","*",$C$3))/SUMIFS('データ_全エリア'!$S$4:$S$6000,'データ_全エリア'!$B$4:$B$6000,$B19,'データ_全エリア'!$C$4:$C$6000,IF($C$3="ALL","*",$C$3)),0),SUMIFS('データ_全エリア'!I$4:I$6000,'データ_全エリア'!$D$4:$D$6000,$C$4,'データ_全エリア'!$B$4:$B$6000,$B19,'データ_全エリア'!$C$4:$C$6000,IF($C$3="ALL","*",$C$3))))</f>
        <v/>
      </c>
      <c r="F19" s="78" t="str">
        <f>IF($B19="","",IF($C$4="",IFERROR(SUMIFS('データ_全エリア'!Y$4:Y$6000,'データ_全エリア'!$B$4:$B$6000,$B19,'データ_全エリア'!$C$4:$C$6000,IF($C$3="ALL","*",$C$3))/SUMIFS('データ_全エリア'!$S$4:$S$6000,'データ_全エリア'!$B$4:$B$6000,$B19,'データ_全エリア'!$C$4:$C$6000,IF($C$3="ALL","*",$C$3)),0),SUMIFS('データ_全エリア'!J$4:J$6000,'データ_全エリア'!$D$4:$D$6000,$C$4,'データ_全エリア'!$B$4:$B$6000,$B19,'データ_全エリア'!$C$4:$C$6000,IF($C$3="ALL","*",$C$3))))</f>
        <v/>
      </c>
      <c r="G19" s="78" t="str">
        <f>IF($B19="","",IF($C$4="",IFERROR(SUMIFS('データ_全エリア'!Z$4:Z$6000,'データ_全エリア'!$B$4:$B$6000,$B19,'データ_全エリア'!$C$4:$C$6000,IF($C$3="ALL","*",$C$3))/SUMIFS('データ_全エリア'!$S$4:$S$6000,'データ_全エリア'!$B$4:$B$6000,$B19,'データ_全エリア'!$C$4:$C$6000,IF($C$3="ALL","*",$C$3)),0),SUMIFS('データ_全エリア'!K$4:K$6000,'データ_全エリア'!$D$4:$D$6000,$C$4,'データ_全エリア'!$B$4:$B$6000,$B19,'データ_全エリア'!$C$4:$C$6000,IF($C$3="ALL","*",$C$3))))</f>
        <v/>
      </c>
      <c r="H19" s="78" t="str">
        <f>IF($B19="","",IF($C$4="",IFERROR(SUMIFS('データ_全エリア'!AA$4:AA$6000,'データ_全エリア'!$B$4:$B$6000,$B19,'データ_全エリア'!$C$4:$C$6000,IF($C$3="ALL","*",$C$3))/SUMIFS('データ_全エリア'!$S$4:$S$6000,'データ_全エリア'!$B$4:$B$6000,$B19,'データ_全エリア'!$C$4:$C$6000,IF($C$3="ALL","*",$C$3)),0),SUMIFS('データ_全エリア'!L$4:L$6000,'データ_全エリア'!$D$4:$D$6000,$C$4,'データ_全エリア'!$B$4:$B$6000,$B19,'データ_全エリア'!$C$4:$C$6000,IF($C$3="ALL","*",$C$3))))</f>
        <v/>
      </c>
    </row>
    <row r="20">
      <c r="B20" s="77"/>
      <c r="C20" s="78" t="str">
        <f>IF($B20="","",IF($C$4="",IFERROR(SUMIFS('データ_全エリア'!V$4:V$6000,'データ_全エリア'!$B$4:$B$6000,$B20,'データ_全エリア'!$C$4:$C$6000,IF($C$3="ALL","*",$C$3))/SUMIFS('データ_全エリア'!$S$4:$S$6000,'データ_全エリア'!$B$4:$B$6000,$B20,'データ_全エリア'!$C$4:$C$6000,IF($C$3="ALL","*",$C$3)),0),SUMIFS('データ_全エリア'!G$4:G$6000,'データ_全エリア'!$D$4:$D$6000,$C$4,'データ_全エリア'!$B$4:$B$6000,$B20,'データ_全エリア'!$C$4:$C$6000,IF($C$3="ALL","*",$C$3))))</f>
        <v/>
      </c>
      <c r="D20" s="78" t="str">
        <f>IF($B20="","",IF($C$4="",IFERROR(SUMIFS('データ_全エリア'!W$4:W$6000,'データ_全エリア'!$B$4:$B$6000,$B20,'データ_全エリア'!$C$4:$C$6000,IF($C$3="ALL","*",$C$3))/SUMIFS('データ_全エリア'!$S$4:$S$6000,'データ_全エリア'!$B$4:$B$6000,$B20,'データ_全エリア'!$C$4:$C$6000,IF($C$3="ALL","*",$C$3)),0),SUMIFS('データ_全エリア'!H$4:H$6000,'データ_全エリア'!$D$4:$D$6000,$C$4,'データ_全エリア'!$B$4:$B$6000,$B20,'データ_全エリア'!$C$4:$C$6000,IF($C$3="ALL","*",$C$3))))</f>
        <v/>
      </c>
      <c r="E20" s="78" t="str">
        <f>IF($B20="","",IF($C$4="",IFERROR(SUMIFS('データ_全エリア'!X$4:X$6000,'データ_全エリア'!$B$4:$B$6000,$B20,'データ_全エリア'!$C$4:$C$6000,IF($C$3="ALL","*",$C$3))/SUMIFS('データ_全エリア'!$S$4:$S$6000,'データ_全エリア'!$B$4:$B$6000,$B20,'データ_全エリア'!$C$4:$C$6000,IF($C$3="ALL","*",$C$3)),0),SUMIFS('データ_全エリア'!I$4:I$6000,'データ_全エリア'!$D$4:$D$6000,$C$4,'データ_全エリア'!$B$4:$B$6000,$B20,'データ_全エリア'!$C$4:$C$6000,IF($C$3="ALL","*",$C$3))))</f>
        <v/>
      </c>
      <c r="F20" s="78" t="str">
        <f>IF($B20="","",IF($C$4="",IFERROR(SUMIFS('データ_全エリア'!Y$4:Y$6000,'データ_全エリア'!$B$4:$B$6000,$B20,'データ_全エリア'!$C$4:$C$6000,IF($C$3="ALL","*",$C$3))/SUMIFS('データ_全エリア'!$S$4:$S$6000,'データ_全エリア'!$B$4:$B$6000,$B20,'データ_全エリア'!$C$4:$C$6000,IF($C$3="ALL","*",$C$3)),0),SUMIFS('データ_全エリア'!J$4:J$6000,'データ_全エリア'!$D$4:$D$6000,$C$4,'データ_全エリア'!$B$4:$B$6000,$B20,'データ_全エリア'!$C$4:$C$6000,IF($C$3="ALL","*",$C$3))))</f>
        <v/>
      </c>
      <c r="G20" s="78" t="str">
        <f>IF($B20="","",IF($C$4="",IFERROR(SUMIFS('データ_全エリア'!Z$4:Z$6000,'データ_全エリア'!$B$4:$B$6000,$B20,'データ_全エリア'!$C$4:$C$6000,IF($C$3="ALL","*",$C$3))/SUMIFS('データ_全エリア'!$S$4:$S$6000,'データ_全エリア'!$B$4:$B$6000,$B20,'データ_全エリア'!$C$4:$C$6000,IF($C$3="ALL","*",$C$3)),0),SUMIFS('データ_全エリア'!K$4:K$6000,'データ_全エリア'!$D$4:$D$6000,$C$4,'データ_全エリア'!$B$4:$B$6000,$B20,'データ_全エリア'!$C$4:$C$6000,IF($C$3="ALL","*",$C$3))))</f>
        <v/>
      </c>
      <c r="H20" s="78" t="str">
        <f>IF($B20="","",IF($C$4="",IFERROR(SUMIFS('データ_全エリア'!AA$4:AA$6000,'データ_全エリア'!$B$4:$B$6000,$B20,'データ_全エリア'!$C$4:$C$6000,IF($C$3="ALL","*",$C$3))/SUMIFS('データ_全エリア'!$S$4:$S$6000,'データ_全エリア'!$B$4:$B$6000,$B20,'データ_全エリア'!$C$4:$C$6000,IF($C$3="ALL","*",$C$3)),0),SUMIFS('データ_全エリア'!L$4:L$6000,'データ_全エリア'!$D$4:$D$6000,$C$4,'データ_全エリア'!$B$4:$B$6000,$B20,'データ_全エリア'!$C$4:$C$6000,IF($C$3="ALL","*",$C$3))))</f>
        <v/>
      </c>
    </row>
    <row r="21">
      <c r="B21" s="77"/>
      <c r="C21" s="78" t="str">
        <f>IF($B21="","",IF($C$4="",IFERROR(SUMIFS('データ_全エリア'!V$4:V$6000,'データ_全エリア'!$B$4:$B$6000,$B21,'データ_全エリア'!$C$4:$C$6000,IF($C$3="ALL","*",$C$3))/SUMIFS('データ_全エリア'!$S$4:$S$6000,'データ_全エリア'!$B$4:$B$6000,$B21,'データ_全エリア'!$C$4:$C$6000,IF($C$3="ALL","*",$C$3)),0),SUMIFS('データ_全エリア'!G$4:G$6000,'データ_全エリア'!$D$4:$D$6000,$C$4,'データ_全エリア'!$B$4:$B$6000,$B21,'データ_全エリア'!$C$4:$C$6000,IF($C$3="ALL","*",$C$3))))</f>
        <v/>
      </c>
      <c r="D21" s="78" t="str">
        <f>IF($B21="","",IF($C$4="",IFERROR(SUMIFS('データ_全エリア'!W$4:W$6000,'データ_全エリア'!$B$4:$B$6000,$B21,'データ_全エリア'!$C$4:$C$6000,IF($C$3="ALL","*",$C$3))/SUMIFS('データ_全エリア'!$S$4:$S$6000,'データ_全エリア'!$B$4:$B$6000,$B21,'データ_全エリア'!$C$4:$C$6000,IF($C$3="ALL","*",$C$3)),0),SUMIFS('データ_全エリア'!H$4:H$6000,'データ_全エリア'!$D$4:$D$6000,$C$4,'データ_全エリア'!$B$4:$B$6000,$B21,'データ_全エリア'!$C$4:$C$6000,IF($C$3="ALL","*",$C$3))))</f>
        <v/>
      </c>
      <c r="E21" s="78" t="str">
        <f>IF($B21="","",IF($C$4="",IFERROR(SUMIFS('データ_全エリア'!X$4:X$6000,'データ_全エリア'!$B$4:$B$6000,$B21,'データ_全エリア'!$C$4:$C$6000,IF($C$3="ALL","*",$C$3))/SUMIFS('データ_全エリア'!$S$4:$S$6000,'データ_全エリア'!$B$4:$B$6000,$B21,'データ_全エリア'!$C$4:$C$6000,IF($C$3="ALL","*",$C$3)),0),SUMIFS('データ_全エリア'!I$4:I$6000,'データ_全エリア'!$D$4:$D$6000,$C$4,'データ_全エリア'!$B$4:$B$6000,$B21,'データ_全エリア'!$C$4:$C$6000,IF($C$3="ALL","*",$C$3))))</f>
        <v/>
      </c>
      <c r="F21" s="78" t="str">
        <f>IF($B21="","",IF($C$4="",IFERROR(SUMIFS('データ_全エリア'!Y$4:Y$6000,'データ_全エリア'!$B$4:$B$6000,$B21,'データ_全エリア'!$C$4:$C$6000,IF($C$3="ALL","*",$C$3))/SUMIFS('データ_全エリア'!$S$4:$S$6000,'データ_全エリア'!$B$4:$B$6000,$B21,'データ_全エリア'!$C$4:$C$6000,IF($C$3="ALL","*",$C$3)),0),SUMIFS('データ_全エリア'!J$4:J$6000,'データ_全エリア'!$D$4:$D$6000,$C$4,'データ_全エリア'!$B$4:$B$6000,$B21,'データ_全エリア'!$C$4:$C$6000,IF($C$3="ALL","*",$C$3))))</f>
        <v/>
      </c>
      <c r="G21" s="78" t="str">
        <f>IF($B21="","",IF($C$4="",IFERROR(SUMIFS('データ_全エリア'!Z$4:Z$6000,'データ_全エリア'!$B$4:$B$6000,$B21,'データ_全エリア'!$C$4:$C$6000,IF($C$3="ALL","*",$C$3))/SUMIFS('データ_全エリア'!$S$4:$S$6000,'データ_全エリア'!$B$4:$B$6000,$B21,'データ_全エリア'!$C$4:$C$6000,IF($C$3="ALL","*",$C$3)),0),SUMIFS('データ_全エリア'!K$4:K$6000,'データ_全エリア'!$D$4:$D$6000,$C$4,'データ_全エリア'!$B$4:$B$6000,$B21,'データ_全エリア'!$C$4:$C$6000,IF($C$3="ALL","*",$C$3))))</f>
        <v/>
      </c>
      <c r="H21" s="78" t="str">
        <f>IF($B21="","",IF($C$4="",IFERROR(SUMIFS('データ_全エリア'!AA$4:AA$6000,'データ_全エリア'!$B$4:$B$6000,$B21,'データ_全エリア'!$C$4:$C$6000,IF($C$3="ALL","*",$C$3))/SUMIFS('データ_全エリア'!$S$4:$S$6000,'データ_全エリア'!$B$4:$B$6000,$B21,'データ_全エリア'!$C$4:$C$6000,IF($C$3="ALL","*",$C$3)),0),SUMIFS('データ_全エリア'!L$4:L$6000,'データ_全エリア'!$D$4:$D$6000,$C$4,'データ_全エリア'!$B$4:$B$6000,$B21,'データ_全エリア'!$C$4:$C$6000,IF($C$3="ALL","*",$C$3))))</f>
        <v/>
      </c>
    </row>
    <row r="24">
      <c r="B24" s="69" t="s">
        <v>24</v>
      </c>
    </row>
    <row r="25">
      <c r="B25" s="70" t="s">
        <v>15</v>
      </c>
      <c r="C25" s="71" t="s">
        <v>29</v>
      </c>
      <c r="D25" s="72" t="s">
        <v>31</v>
      </c>
      <c r="E25" s="73" t="s">
        <v>32</v>
      </c>
      <c r="F25" s="74" t="s">
        <v>33</v>
      </c>
      <c r="G25" s="75" t="s">
        <v>36</v>
      </c>
      <c r="H25" s="76" t="s">
        <v>38</v>
      </c>
    </row>
    <row r="26">
      <c r="B26" s="77">
        <f>IFERROR(__xludf.DUMMYFUNCTION("IFERROR(LET(m,SORT(UNIQUE(FILTER('データ_全エリア'!$B$4:$B$6000,'データ_全エリア'!$B$4:$B$6000&lt;&gt;""""))),n,ROWS(m),CHOOSEROWS(m,SEQUENCE(MIN(n,12),1,MAX(1,n-11)))),"""")"),46296.0)</f>
        <v>46296</v>
      </c>
      <c r="C26" s="78">
        <f>IF($B26="","",IF($C$4="",IFERROR(SUMIFS('データ_全エリア'!AB$4:AB$6000,'データ_全エリア'!$B$4:$B$6000,$B26,'データ_全エリア'!$C$4:$C$6000,IF($C$3="ALL","*",$C$3))/SUMIFS('データ_全エリア'!$T$4:$T$6000,'データ_全エリア'!$B$4:$B$6000,$B26,'データ_全エリア'!$C$4:$C$6000,IF($C$3="ALL","*",$C$3)),0),SUMIFS('データ_全エリア'!M$4:M$6000,'データ_全エリア'!$D$4:$D$6000,$C$4,'データ_全エリア'!$B$4:$B$6000,$B26,'データ_全エリア'!$C$4:$C$6000,IF($C$3="ALL","*",$C$3))))</f>
        <v>0.1784615385</v>
      </c>
      <c r="D26" s="78">
        <f>IF($B26="","",IF($C$4="",IFERROR(SUMIFS('データ_全エリア'!AC$4:AC$6000,'データ_全エリア'!$B$4:$B$6000,$B26,'データ_全エリア'!$C$4:$C$6000,IF($C$3="ALL","*",$C$3))/SUMIFS('データ_全エリア'!$T$4:$T$6000,'データ_全エリア'!$B$4:$B$6000,$B26,'データ_全エリア'!$C$4:$C$6000,IF($C$3="ALL","*",$C$3)),0),SUMIFS('データ_全エリア'!N$4:N$6000,'データ_全エリア'!$D$4:$D$6000,$C$4,'データ_全エリア'!$B$4:$B$6000,$B26,'データ_全エリア'!$C$4:$C$6000,IF($C$3="ALL","*",$C$3))))</f>
        <v>0.1138461538</v>
      </c>
      <c r="E26" s="78">
        <f>IF($B26="","",IF($C$4="",IFERROR(SUMIFS('データ_全エリア'!AD$4:AD$6000,'データ_全エリア'!$B$4:$B$6000,$B26,'データ_全エリア'!$C$4:$C$6000,IF($C$3="ALL","*",$C$3))/SUMIFS('データ_全エリア'!$T$4:$T$6000,'データ_全エリア'!$B$4:$B$6000,$B26,'データ_全エリア'!$C$4:$C$6000,IF($C$3="ALL","*",$C$3)),0),SUMIFS('データ_全エリア'!O$4:O$6000,'データ_全エリア'!$D$4:$D$6000,$C$4,'データ_全エリア'!$B$4:$B$6000,$B26,'データ_全エリア'!$C$4:$C$6000,IF($C$3="ALL","*",$C$3))))</f>
        <v>0.2492307692</v>
      </c>
      <c r="F26" s="78">
        <f>IF($B26="","",IF($C$4="",IFERROR(SUMIFS('データ_全エリア'!AE$4:AE$6000,'データ_全エリア'!$B$4:$B$6000,$B26,'データ_全エリア'!$C$4:$C$6000,IF($C$3="ALL","*",$C$3))/SUMIFS('データ_全エリア'!$T$4:$T$6000,'データ_全エリア'!$B$4:$B$6000,$B26,'データ_全エリア'!$C$4:$C$6000,IF($C$3="ALL","*",$C$3)),0),SUMIFS('データ_全エリア'!P$4:P$6000,'データ_全エリア'!$D$4:$D$6000,$C$4,'データ_全エリア'!$B$4:$B$6000,$B26,'データ_全エリア'!$C$4:$C$6000,IF($C$3="ALL","*",$C$3))))</f>
        <v>0.1323076923</v>
      </c>
      <c r="G26" s="78">
        <f>IF($B26="","",IF($C$4="",IFERROR(SUMIFS('データ_全エリア'!AF$4:AF$6000,'データ_全エリア'!$B$4:$B$6000,$B26,'データ_全エリア'!$C$4:$C$6000,IF($C$3="ALL","*",$C$3))/SUMIFS('データ_全エリア'!$T$4:$T$6000,'データ_全エリア'!$B$4:$B$6000,$B26,'データ_全エリア'!$C$4:$C$6000,IF($C$3="ALL","*",$C$3)),0),SUMIFS('データ_全エリア'!Q$4:Q$6000,'データ_全エリア'!$D$4:$D$6000,$C$4,'データ_全エリア'!$B$4:$B$6000,$B26,'データ_全エリア'!$C$4:$C$6000,IF($C$3="ALL","*",$C$3))))</f>
        <v>0.2430769231</v>
      </c>
      <c r="H26" s="78">
        <f>IF($B26="","",IF($C$4="",IFERROR(SUMIFS('データ_全エリア'!AG$4:AG$6000,'データ_全エリア'!$B$4:$B$6000,$B26,'データ_全エリア'!$C$4:$C$6000,IF($C$3="ALL","*",$C$3))/SUMIFS('データ_全エリア'!$T$4:$T$6000,'データ_全エリア'!$B$4:$B$6000,$B26,'データ_全エリア'!$C$4:$C$6000,IF($C$3="ALL","*",$C$3)),0),SUMIFS('データ_全エリア'!R$4:R$6000,'データ_全エリア'!$D$4:$D$6000,$C$4,'データ_全エリア'!$B$4:$B$6000,$B26,'データ_全エリア'!$C$4:$C$6000,IF($C$3="ALL","*",$C$3))))</f>
        <v>0.08307692308</v>
      </c>
    </row>
    <row r="27">
      <c r="B27" s="77">
        <f>IFERROR(__xludf.DUMMYFUNCTION("""COMPUTED_VALUE"""),46327.0)</f>
        <v>46327</v>
      </c>
      <c r="C27" s="78">
        <f>IF($B27="","",IF($C$4="",IFERROR(SUMIFS('データ_全エリア'!AB$4:AB$6000,'データ_全エリア'!$B$4:$B$6000,$B27,'データ_全エリア'!$C$4:$C$6000,IF($C$3="ALL","*",$C$3))/SUMIFS('データ_全エリア'!$T$4:$T$6000,'データ_全エリア'!$B$4:$B$6000,$B27,'データ_全エリア'!$C$4:$C$6000,IF($C$3="ALL","*",$C$3)),0),SUMIFS('データ_全エリア'!M$4:M$6000,'データ_全エリア'!$D$4:$D$6000,$C$4,'データ_全エリア'!$B$4:$B$6000,$B27,'データ_全エリア'!$C$4:$C$6000,IF($C$3="ALL","*",$C$3))))</f>
        <v>0</v>
      </c>
      <c r="D27" s="78">
        <f>IF($B27="","",IF($C$4="",IFERROR(SUMIFS('データ_全エリア'!AC$4:AC$6000,'データ_全エリア'!$B$4:$B$6000,$B27,'データ_全エリア'!$C$4:$C$6000,IF($C$3="ALL","*",$C$3))/SUMIFS('データ_全エリア'!$T$4:$T$6000,'データ_全エリア'!$B$4:$B$6000,$B27,'データ_全エリア'!$C$4:$C$6000,IF($C$3="ALL","*",$C$3)),0),SUMIFS('データ_全エリア'!N$4:N$6000,'データ_全エリア'!$D$4:$D$6000,$C$4,'データ_全エリア'!$B$4:$B$6000,$B27,'データ_全エリア'!$C$4:$C$6000,IF($C$3="ALL","*",$C$3))))</f>
        <v>0</v>
      </c>
      <c r="E27" s="78">
        <f>IF($B27="","",IF($C$4="",IFERROR(SUMIFS('データ_全エリア'!AD$4:AD$6000,'データ_全エリア'!$B$4:$B$6000,$B27,'データ_全エリア'!$C$4:$C$6000,IF($C$3="ALL","*",$C$3))/SUMIFS('データ_全エリア'!$T$4:$T$6000,'データ_全エリア'!$B$4:$B$6000,$B27,'データ_全エリア'!$C$4:$C$6000,IF($C$3="ALL","*",$C$3)),0),SUMIFS('データ_全エリア'!O$4:O$6000,'データ_全エリア'!$D$4:$D$6000,$C$4,'データ_全エリア'!$B$4:$B$6000,$B27,'データ_全エリア'!$C$4:$C$6000,IF($C$3="ALL","*",$C$3))))</f>
        <v>0</v>
      </c>
      <c r="F27" s="78">
        <f>IF($B27="","",IF($C$4="",IFERROR(SUMIFS('データ_全エリア'!AE$4:AE$6000,'データ_全エリア'!$B$4:$B$6000,$B27,'データ_全エリア'!$C$4:$C$6000,IF($C$3="ALL","*",$C$3))/SUMIFS('データ_全エリア'!$T$4:$T$6000,'データ_全エリア'!$B$4:$B$6000,$B27,'データ_全エリア'!$C$4:$C$6000,IF($C$3="ALL","*",$C$3)),0),SUMIFS('データ_全エリア'!P$4:P$6000,'データ_全エリア'!$D$4:$D$6000,$C$4,'データ_全エリア'!$B$4:$B$6000,$B27,'データ_全エリア'!$C$4:$C$6000,IF($C$3="ALL","*",$C$3))))</f>
        <v>0</v>
      </c>
      <c r="G27" s="78">
        <f>IF($B27="","",IF($C$4="",IFERROR(SUMIFS('データ_全エリア'!AF$4:AF$6000,'データ_全エリア'!$B$4:$B$6000,$B27,'データ_全エリア'!$C$4:$C$6000,IF($C$3="ALL","*",$C$3))/SUMIFS('データ_全エリア'!$T$4:$T$6000,'データ_全エリア'!$B$4:$B$6000,$B27,'データ_全エリア'!$C$4:$C$6000,IF($C$3="ALL","*",$C$3)),0),SUMIFS('データ_全エリア'!Q$4:Q$6000,'データ_全エリア'!$D$4:$D$6000,$C$4,'データ_全エリア'!$B$4:$B$6000,$B27,'データ_全エリア'!$C$4:$C$6000,IF($C$3="ALL","*",$C$3))))</f>
        <v>0</v>
      </c>
      <c r="H27" s="78">
        <f>IF($B27="","",IF($C$4="",IFERROR(SUMIFS('データ_全エリア'!AG$4:AG$6000,'データ_全エリア'!$B$4:$B$6000,$B27,'データ_全エリア'!$C$4:$C$6000,IF($C$3="ALL","*",$C$3))/SUMIFS('データ_全エリア'!$T$4:$T$6000,'データ_全エリア'!$B$4:$B$6000,$B27,'データ_全エリア'!$C$4:$C$6000,IF($C$3="ALL","*",$C$3)),0),SUMIFS('データ_全エリア'!R$4:R$6000,'データ_全エリア'!$D$4:$D$6000,$C$4,'データ_全エリア'!$B$4:$B$6000,$B27,'データ_全エリア'!$C$4:$C$6000,IF($C$3="ALL","*",$C$3))))</f>
        <v>0</v>
      </c>
    </row>
    <row r="28">
      <c r="B28" s="77"/>
      <c r="C28" s="78" t="str">
        <f>IF($B28="","",IF($C$4="",IFERROR(SUMIFS('データ_全エリア'!AB$4:AB$6000,'データ_全エリア'!$B$4:$B$6000,$B28,'データ_全エリア'!$C$4:$C$6000,IF($C$3="ALL","*",$C$3))/SUMIFS('データ_全エリア'!$T$4:$T$6000,'データ_全エリア'!$B$4:$B$6000,$B28,'データ_全エリア'!$C$4:$C$6000,IF($C$3="ALL","*",$C$3)),0),SUMIFS('データ_全エリア'!M$4:M$6000,'データ_全エリア'!$D$4:$D$6000,$C$4,'データ_全エリア'!$B$4:$B$6000,$B28,'データ_全エリア'!$C$4:$C$6000,IF($C$3="ALL","*",$C$3))))</f>
        <v/>
      </c>
      <c r="D28" s="78" t="str">
        <f>IF($B28="","",IF($C$4="",IFERROR(SUMIFS('データ_全エリア'!AC$4:AC$6000,'データ_全エリア'!$B$4:$B$6000,$B28,'データ_全エリア'!$C$4:$C$6000,IF($C$3="ALL","*",$C$3))/SUMIFS('データ_全エリア'!$T$4:$T$6000,'データ_全エリア'!$B$4:$B$6000,$B28,'データ_全エリア'!$C$4:$C$6000,IF($C$3="ALL","*",$C$3)),0),SUMIFS('データ_全エリア'!N$4:N$6000,'データ_全エリア'!$D$4:$D$6000,$C$4,'データ_全エリア'!$B$4:$B$6000,$B28,'データ_全エリア'!$C$4:$C$6000,IF($C$3="ALL","*",$C$3))))</f>
        <v/>
      </c>
      <c r="E28" s="78" t="str">
        <f>IF($B28="","",IF($C$4="",IFERROR(SUMIFS('データ_全エリア'!AD$4:AD$6000,'データ_全エリア'!$B$4:$B$6000,$B28,'データ_全エリア'!$C$4:$C$6000,IF($C$3="ALL","*",$C$3))/SUMIFS('データ_全エリア'!$T$4:$T$6000,'データ_全エリア'!$B$4:$B$6000,$B28,'データ_全エリア'!$C$4:$C$6000,IF($C$3="ALL","*",$C$3)),0),SUMIFS('データ_全エリア'!O$4:O$6000,'データ_全エリア'!$D$4:$D$6000,$C$4,'データ_全エリア'!$B$4:$B$6000,$B28,'データ_全エリア'!$C$4:$C$6000,IF($C$3="ALL","*",$C$3))))</f>
        <v/>
      </c>
      <c r="F28" s="78" t="str">
        <f>IF($B28="","",IF($C$4="",IFERROR(SUMIFS('データ_全エリア'!AE$4:AE$6000,'データ_全エリア'!$B$4:$B$6000,$B28,'データ_全エリア'!$C$4:$C$6000,IF($C$3="ALL","*",$C$3))/SUMIFS('データ_全エリア'!$T$4:$T$6000,'データ_全エリア'!$B$4:$B$6000,$B28,'データ_全エリア'!$C$4:$C$6000,IF($C$3="ALL","*",$C$3)),0),SUMIFS('データ_全エリア'!P$4:P$6000,'データ_全エリア'!$D$4:$D$6000,$C$4,'データ_全エリア'!$B$4:$B$6000,$B28,'データ_全エリア'!$C$4:$C$6000,IF($C$3="ALL","*",$C$3))))</f>
        <v/>
      </c>
      <c r="G28" s="78" t="str">
        <f>IF($B28="","",IF($C$4="",IFERROR(SUMIFS('データ_全エリア'!AF$4:AF$6000,'データ_全エリア'!$B$4:$B$6000,$B28,'データ_全エリア'!$C$4:$C$6000,IF($C$3="ALL","*",$C$3))/SUMIFS('データ_全エリア'!$T$4:$T$6000,'データ_全エリア'!$B$4:$B$6000,$B28,'データ_全エリア'!$C$4:$C$6000,IF($C$3="ALL","*",$C$3)),0),SUMIFS('データ_全エリア'!Q$4:Q$6000,'データ_全エリア'!$D$4:$D$6000,$C$4,'データ_全エリア'!$B$4:$B$6000,$B28,'データ_全エリア'!$C$4:$C$6000,IF($C$3="ALL","*",$C$3))))</f>
        <v/>
      </c>
      <c r="H28" s="78" t="str">
        <f>IF($B28="","",IF($C$4="",IFERROR(SUMIFS('データ_全エリア'!AG$4:AG$6000,'データ_全エリア'!$B$4:$B$6000,$B28,'データ_全エリア'!$C$4:$C$6000,IF($C$3="ALL","*",$C$3))/SUMIFS('データ_全エリア'!$T$4:$T$6000,'データ_全エリア'!$B$4:$B$6000,$B28,'データ_全エリア'!$C$4:$C$6000,IF($C$3="ALL","*",$C$3)),0),SUMIFS('データ_全エリア'!R$4:R$6000,'データ_全エリア'!$D$4:$D$6000,$C$4,'データ_全エリア'!$B$4:$B$6000,$B28,'データ_全エリア'!$C$4:$C$6000,IF($C$3="ALL","*",$C$3))))</f>
        <v/>
      </c>
    </row>
    <row r="29">
      <c r="B29" s="77"/>
      <c r="C29" s="78" t="str">
        <f>IF($B29="","",IF($C$4="",IFERROR(SUMIFS('データ_全エリア'!AB$4:AB$6000,'データ_全エリア'!$B$4:$B$6000,$B29,'データ_全エリア'!$C$4:$C$6000,IF($C$3="ALL","*",$C$3))/SUMIFS('データ_全エリア'!$T$4:$T$6000,'データ_全エリア'!$B$4:$B$6000,$B29,'データ_全エリア'!$C$4:$C$6000,IF($C$3="ALL","*",$C$3)),0),SUMIFS('データ_全エリア'!M$4:M$6000,'データ_全エリア'!$D$4:$D$6000,$C$4,'データ_全エリア'!$B$4:$B$6000,$B29,'データ_全エリア'!$C$4:$C$6000,IF($C$3="ALL","*",$C$3))))</f>
        <v/>
      </c>
      <c r="D29" s="78" t="str">
        <f>IF($B29="","",IF($C$4="",IFERROR(SUMIFS('データ_全エリア'!AC$4:AC$6000,'データ_全エリア'!$B$4:$B$6000,$B29,'データ_全エリア'!$C$4:$C$6000,IF($C$3="ALL","*",$C$3))/SUMIFS('データ_全エリア'!$T$4:$T$6000,'データ_全エリア'!$B$4:$B$6000,$B29,'データ_全エリア'!$C$4:$C$6000,IF($C$3="ALL","*",$C$3)),0),SUMIFS('データ_全エリア'!N$4:N$6000,'データ_全エリア'!$D$4:$D$6000,$C$4,'データ_全エリア'!$B$4:$B$6000,$B29,'データ_全エリア'!$C$4:$C$6000,IF($C$3="ALL","*",$C$3))))</f>
        <v/>
      </c>
      <c r="E29" s="78" t="str">
        <f>IF($B29="","",IF($C$4="",IFERROR(SUMIFS('データ_全エリア'!AD$4:AD$6000,'データ_全エリア'!$B$4:$B$6000,$B29,'データ_全エリア'!$C$4:$C$6000,IF($C$3="ALL","*",$C$3))/SUMIFS('データ_全エリア'!$T$4:$T$6000,'データ_全エリア'!$B$4:$B$6000,$B29,'データ_全エリア'!$C$4:$C$6000,IF($C$3="ALL","*",$C$3)),0),SUMIFS('データ_全エリア'!O$4:O$6000,'データ_全エリア'!$D$4:$D$6000,$C$4,'データ_全エリア'!$B$4:$B$6000,$B29,'データ_全エリア'!$C$4:$C$6000,IF($C$3="ALL","*",$C$3))))</f>
        <v/>
      </c>
      <c r="F29" s="78" t="str">
        <f>IF($B29="","",IF($C$4="",IFERROR(SUMIFS('データ_全エリア'!AE$4:AE$6000,'データ_全エリア'!$B$4:$B$6000,$B29,'データ_全エリア'!$C$4:$C$6000,IF($C$3="ALL","*",$C$3))/SUMIFS('データ_全エリア'!$T$4:$T$6000,'データ_全エリア'!$B$4:$B$6000,$B29,'データ_全エリア'!$C$4:$C$6000,IF($C$3="ALL","*",$C$3)),0),SUMIFS('データ_全エリア'!P$4:P$6000,'データ_全エリア'!$D$4:$D$6000,$C$4,'データ_全エリア'!$B$4:$B$6000,$B29,'データ_全エリア'!$C$4:$C$6000,IF($C$3="ALL","*",$C$3))))</f>
        <v/>
      </c>
      <c r="G29" s="78" t="str">
        <f>IF($B29="","",IF($C$4="",IFERROR(SUMIFS('データ_全エリア'!AF$4:AF$6000,'データ_全エリア'!$B$4:$B$6000,$B29,'データ_全エリア'!$C$4:$C$6000,IF($C$3="ALL","*",$C$3))/SUMIFS('データ_全エリア'!$T$4:$T$6000,'データ_全エリア'!$B$4:$B$6000,$B29,'データ_全エリア'!$C$4:$C$6000,IF($C$3="ALL","*",$C$3)),0),SUMIFS('データ_全エリア'!Q$4:Q$6000,'データ_全エリア'!$D$4:$D$6000,$C$4,'データ_全エリア'!$B$4:$B$6000,$B29,'データ_全エリア'!$C$4:$C$6000,IF($C$3="ALL","*",$C$3))))</f>
        <v/>
      </c>
      <c r="H29" s="78" t="str">
        <f>IF($B29="","",IF($C$4="",IFERROR(SUMIFS('データ_全エリア'!AG$4:AG$6000,'データ_全エリア'!$B$4:$B$6000,$B29,'データ_全エリア'!$C$4:$C$6000,IF($C$3="ALL","*",$C$3))/SUMIFS('データ_全エリア'!$T$4:$T$6000,'データ_全エリア'!$B$4:$B$6000,$B29,'データ_全エリア'!$C$4:$C$6000,IF($C$3="ALL","*",$C$3)),0),SUMIFS('データ_全エリア'!R$4:R$6000,'データ_全エリア'!$D$4:$D$6000,$C$4,'データ_全エリア'!$B$4:$B$6000,$B29,'データ_全エリア'!$C$4:$C$6000,IF($C$3="ALL","*",$C$3))))</f>
        <v/>
      </c>
    </row>
    <row r="30">
      <c r="B30" s="77"/>
      <c r="C30" s="78" t="str">
        <f>IF($B30="","",IF($C$4="",IFERROR(SUMIFS('データ_全エリア'!AB$4:AB$6000,'データ_全エリア'!$B$4:$B$6000,$B30,'データ_全エリア'!$C$4:$C$6000,IF($C$3="ALL","*",$C$3))/SUMIFS('データ_全エリア'!$T$4:$T$6000,'データ_全エリア'!$B$4:$B$6000,$B30,'データ_全エリア'!$C$4:$C$6000,IF($C$3="ALL","*",$C$3)),0),SUMIFS('データ_全エリア'!M$4:M$6000,'データ_全エリア'!$D$4:$D$6000,$C$4,'データ_全エリア'!$B$4:$B$6000,$B30,'データ_全エリア'!$C$4:$C$6000,IF($C$3="ALL","*",$C$3))))</f>
        <v/>
      </c>
      <c r="D30" s="78" t="str">
        <f>IF($B30="","",IF($C$4="",IFERROR(SUMIFS('データ_全エリア'!AC$4:AC$6000,'データ_全エリア'!$B$4:$B$6000,$B30,'データ_全エリア'!$C$4:$C$6000,IF($C$3="ALL","*",$C$3))/SUMIFS('データ_全エリア'!$T$4:$T$6000,'データ_全エリア'!$B$4:$B$6000,$B30,'データ_全エリア'!$C$4:$C$6000,IF($C$3="ALL","*",$C$3)),0),SUMIFS('データ_全エリア'!N$4:N$6000,'データ_全エリア'!$D$4:$D$6000,$C$4,'データ_全エリア'!$B$4:$B$6000,$B30,'データ_全エリア'!$C$4:$C$6000,IF($C$3="ALL","*",$C$3))))</f>
        <v/>
      </c>
      <c r="E30" s="78" t="str">
        <f>IF($B30="","",IF($C$4="",IFERROR(SUMIFS('データ_全エリア'!AD$4:AD$6000,'データ_全エリア'!$B$4:$B$6000,$B30,'データ_全エリア'!$C$4:$C$6000,IF($C$3="ALL","*",$C$3))/SUMIFS('データ_全エリア'!$T$4:$T$6000,'データ_全エリア'!$B$4:$B$6000,$B30,'データ_全エリア'!$C$4:$C$6000,IF($C$3="ALL","*",$C$3)),0),SUMIFS('データ_全エリア'!O$4:O$6000,'データ_全エリア'!$D$4:$D$6000,$C$4,'データ_全エリア'!$B$4:$B$6000,$B30,'データ_全エリア'!$C$4:$C$6000,IF($C$3="ALL","*",$C$3))))</f>
        <v/>
      </c>
      <c r="F30" s="78" t="str">
        <f>IF($B30="","",IF($C$4="",IFERROR(SUMIFS('データ_全エリア'!AE$4:AE$6000,'データ_全エリア'!$B$4:$B$6000,$B30,'データ_全エリア'!$C$4:$C$6000,IF($C$3="ALL","*",$C$3))/SUMIFS('データ_全エリア'!$T$4:$T$6000,'データ_全エリア'!$B$4:$B$6000,$B30,'データ_全エリア'!$C$4:$C$6000,IF($C$3="ALL","*",$C$3)),0),SUMIFS('データ_全エリア'!P$4:P$6000,'データ_全エリア'!$D$4:$D$6000,$C$4,'データ_全エリア'!$B$4:$B$6000,$B30,'データ_全エリア'!$C$4:$C$6000,IF($C$3="ALL","*",$C$3))))</f>
        <v/>
      </c>
      <c r="G30" s="78" t="str">
        <f>IF($B30="","",IF($C$4="",IFERROR(SUMIFS('データ_全エリア'!AF$4:AF$6000,'データ_全エリア'!$B$4:$B$6000,$B30,'データ_全エリア'!$C$4:$C$6000,IF($C$3="ALL","*",$C$3))/SUMIFS('データ_全エリア'!$T$4:$T$6000,'データ_全エリア'!$B$4:$B$6000,$B30,'データ_全エリア'!$C$4:$C$6000,IF($C$3="ALL","*",$C$3)),0),SUMIFS('データ_全エリア'!Q$4:Q$6000,'データ_全エリア'!$D$4:$D$6000,$C$4,'データ_全エリア'!$B$4:$B$6000,$B30,'データ_全エリア'!$C$4:$C$6000,IF($C$3="ALL","*",$C$3))))</f>
        <v/>
      </c>
      <c r="H30" s="78" t="str">
        <f>IF($B30="","",IF($C$4="",IFERROR(SUMIFS('データ_全エリア'!AG$4:AG$6000,'データ_全エリア'!$B$4:$B$6000,$B30,'データ_全エリア'!$C$4:$C$6000,IF($C$3="ALL","*",$C$3))/SUMIFS('データ_全エリア'!$T$4:$T$6000,'データ_全エリア'!$B$4:$B$6000,$B30,'データ_全エリア'!$C$4:$C$6000,IF($C$3="ALL","*",$C$3)),0),SUMIFS('データ_全エリア'!R$4:R$6000,'データ_全エリア'!$D$4:$D$6000,$C$4,'データ_全エリア'!$B$4:$B$6000,$B30,'データ_全エリア'!$C$4:$C$6000,IF($C$3="ALL","*",$C$3))))</f>
        <v/>
      </c>
    </row>
    <row r="31">
      <c r="B31" s="77"/>
      <c r="C31" s="78" t="str">
        <f>IF($B31="","",IF($C$4="",IFERROR(SUMIFS('データ_全エリア'!AB$4:AB$6000,'データ_全エリア'!$B$4:$B$6000,$B31,'データ_全エリア'!$C$4:$C$6000,IF($C$3="ALL","*",$C$3))/SUMIFS('データ_全エリア'!$T$4:$T$6000,'データ_全エリア'!$B$4:$B$6000,$B31,'データ_全エリア'!$C$4:$C$6000,IF($C$3="ALL","*",$C$3)),0),SUMIFS('データ_全エリア'!M$4:M$6000,'データ_全エリア'!$D$4:$D$6000,$C$4,'データ_全エリア'!$B$4:$B$6000,$B31,'データ_全エリア'!$C$4:$C$6000,IF($C$3="ALL","*",$C$3))))</f>
        <v/>
      </c>
      <c r="D31" s="78" t="str">
        <f>IF($B31="","",IF($C$4="",IFERROR(SUMIFS('データ_全エリア'!AC$4:AC$6000,'データ_全エリア'!$B$4:$B$6000,$B31,'データ_全エリア'!$C$4:$C$6000,IF($C$3="ALL","*",$C$3))/SUMIFS('データ_全エリア'!$T$4:$T$6000,'データ_全エリア'!$B$4:$B$6000,$B31,'データ_全エリア'!$C$4:$C$6000,IF($C$3="ALL","*",$C$3)),0),SUMIFS('データ_全エリア'!N$4:N$6000,'データ_全エリア'!$D$4:$D$6000,$C$4,'データ_全エリア'!$B$4:$B$6000,$B31,'データ_全エリア'!$C$4:$C$6000,IF($C$3="ALL","*",$C$3))))</f>
        <v/>
      </c>
      <c r="E31" s="78" t="str">
        <f>IF($B31="","",IF($C$4="",IFERROR(SUMIFS('データ_全エリア'!AD$4:AD$6000,'データ_全エリア'!$B$4:$B$6000,$B31,'データ_全エリア'!$C$4:$C$6000,IF($C$3="ALL","*",$C$3))/SUMIFS('データ_全エリア'!$T$4:$T$6000,'データ_全エリア'!$B$4:$B$6000,$B31,'データ_全エリア'!$C$4:$C$6000,IF($C$3="ALL","*",$C$3)),0),SUMIFS('データ_全エリア'!O$4:O$6000,'データ_全エリア'!$D$4:$D$6000,$C$4,'データ_全エリア'!$B$4:$B$6000,$B31,'データ_全エリア'!$C$4:$C$6000,IF($C$3="ALL","*",$C$3))))</f>
        <v/>
      </c>
      <c r="F31" s="78" t="str">
        <f>IF($B31="","",IF($C$4="",IFERROR(SUMIFS('データ_全エリア'!AE$4:AE$6000,'データ_全エリア'!$B$4:$B$6000,$B31,'データ_全エリア'!$C$4:$C$6000,IF($C$3="ALL","*",$C$3))/SUMIFS('データ_全エリア'!$T$4:$T$6000,'データ_全エリア'!$B$4:$B$6000,$B31,'データ_全エリア'!$C$4:$C$6000,IF($C$3="ALL","*",$C$3)),0),SUMIFS('データ_全エリア'!P$4:P$6000,'データ_全エリア'!$D$4:$D$6000,$C$4,'データ_全エリア'!$B$4:$B$6000,$B31,'データ_全エリア'!$C$4:$C$6000,IF($C$3="ALL","*",$C$3))))</f>
        <v/>
      </c>
      <c r="G31" s="78" t="str">
        <f>IF($B31="","",IF($C$4="",IFERROR(SUMIFS('データ_全エリア'!AF$4:AF$6000,'データ_全エリア'!$B$4:$B$6000,$B31,'データ_全エリア'!$C$4:$C$6000,IF($C$3="ALL","*",$C$3))/SUMIFS('データ_全エリア'!$T$4:$T$6000,'データ_全エリア'!$B$4:$B$6000,$B31,'データ_全エリア'!$C$4:$C$6000,IF($C$3="ALL","*",$C$3)),0),SUMIFS('データ_全エリア'!Q$4:Q$6000,'データ_全エリア'!$D$4:$D$6000,$C$4,'データ_全エリア'!$B$4:$B$6000,$B31,'データ_全エリア'!$C$4:$C$6000,IF($C$3="ALL","*",$C$3))))</f>
        <v/>
      </c>
      <c r="H31" s="78" t="str">
        <f>IF($B31="","",IF($C$4="",IFERROR(SUMIFS('データ_全エリア'!AG$4:AG$6000,'データ_全エリア'!$B$4:$B$6000,$B31,'データ_全エリア'!$C$4:$C$6000,IF($C$3="ALL","*",$C$3))/SUMIFS('データ_全エリア'!$T$4:$T$6000,'データ_全エリア'!$B$4:$B$6000,$B31,'データ_全エリア'!$C$4:$C$6000,IF($C$3="ALL","*",$C$3)),0),SUMIFS('データ_全エリア'!R$4:R$6000,'データ_全エリア'!$D$4:$D$6000,$C$4,'データ_全エリア'!$B$4:$B$6000,$B31,'データ_全エリア'!$C$4:$C$6000,IF($C$3="ALL","*",$C$3))))</f>
        <v/>
      </c>
    </row>
    <row r="32">
      <c r="B32" s="77"/>
      <c r="C32" s="78" t="str">
        <f>IF($B32="","",IF($C$4="",IFERROR(SUMIFS('データ_全エリア'!AB$4:AB$6000,'データ_全エリア'!$B$4:$B$6000,$B32,'データ_全エリア'!$C$4:$C$6000,IF($C$3="ALL","*",$C$3))/SUMIFS('データ_全エリア'!$T$4:$T$6000,'データ_全エリア'!$B$4:$B$6000,$B32,'データ_全エリア'!$C$4:$C$6000,IF($C$3="ALL","*",$C$3)),0),SUMIFS('データ_全エリア'!M$4:M$6000,'データ_全エリア'!$D$4:$D$6000,$C$4,'データ_全エリア'!$B$4:$B$6000,$B32,'データ_全エリア'!$C$4:$C$6000,IF($C$3="ALL","*",$C$3))))</f>
        <v/>
      </c>
      <c r="D32" s="78" t="str">
        <f>IF($B32="","",IF($C$4="",IFERROR(SUMIFS('データ_全エリア'!AC$4:AC$6000,'データ_全エリア'!$B$4:$B$6000,$B32,'データ_全エリア'!$C$4:$C$6000,IF($C$3="ALL","*",$C$3))/SUMIFS('データ_全エリア'!$T$4:$T$6000,'データ_全エリア'!$B$4:$B$6000,$B32,'データ_全エリア'!$C$4:$C$6000,IF($C$3="ALL","*",$C$3)),0),SUMIFS('データ_全エリア'!N$4:N$6000,'データ_全エリア'!$D$4:$D$6000,$C$4,'データ_全エリア'!$B$4:$B$6000,$B32,'データ_全エリア'!$C$4:$C$6000,IF($C$3="ALL","*",$C$3))))</f>
        <v/>
      </c>
      <c r="E32" s="78" t="str">
        <f>IF($B32="","",IF($C$4="",IFERROR(SUMIFS('データ_全エリア'!AD$4:AD$6000,'データ_全エリア'!$B$4:$B$6000,$B32,'データ_全エリア'!$C$4:$C$6000,IF($C$3="ALL","*",$C$3))/SUMIFS('データ_全エリア'!$T$4:$T$6000,'データ_全エリア'!$B$4:$B$6000,$B32,'データ_全エリア'!$C$4:$C$6000,IF($C$3="ALL","*",$C$3)),0),SUMIFS('データ_全エリア'!O$4:O$6000,'データ_全エリア'!$D$4:$D$6000,$C$4,'データ_全エリア'!$B$4:$B$6000,$B32,'データ_全エリア'!$C$4:$C$6000,IF($C$3="ALL","*",$C$3))))</f>
        <v/>
      </c>
      <c r="F32" s="78" t="str">
        <f>IF($B32="","",IF($C$4="",IFERROR(SUMIFS('データ_全エリア'!AE$4:AE$6000,'データ_全エリア'!$B$4:$B$6000,$B32,'データ_全エリア'!$C$4:$C$6000,IF($C$3="ALL","*",$C$3))/SUMIFS('データ_全エリア'!$T$4:$T$6000,'データ_全エリア'!$B$4:$B$6000,$B32,'データ_全エリア'!$C$4:$C$6000,IF($C$3="ALL","*",$C$3)),0),SUMIFS('データ_全エリア'!P$4:P$6000,'データ_全エリア'!$D$4:$D$6000,$C$4,'データ_全エリア'!$B$4:$B$6000,$B32,'データ_全エリア'!$C$4:$C$6000,IF($C$3="ALL","*",$C$3))))</f>
        <v/>
      </c>
      <c r="G32" s="78" t="str">
        <f>IF($B32="","",IF($C$4="",IFERROR(SUMIFS('データ_全エリア'!AF$4:AF$6000,'データ_全エリア'!$B$4:$B$6000,$B32,'データ_全エリア'!$C$4:$C$6000,IF($C$3="ALL","*",$C$3))/SUMIFS('データ_全エリア'!$T$4:$T$6000,'データ_全エリア'!$B$4:$B$6000,$B32,'データ_全エリア'!$C$4:$C$6000,IF($C$3="ALL","*",$C$3)),0),SUMIFS('データ_全エリア'!Q$4:Q$6000,'データ_全エリア'!$D$4:$D$6000,$C$4,'データ_全エリア'!$B$4:$B$6000,$B32,'データ_全エリア'!$C$4:$C$6000,IF($C$3="ALL","*",$C$3))))</f>
        <v/>
      </c>
      <c r="H32" s="78" t="str">
        <f>IF($B32="","",IF($C$4="",IFERROR(SUMIFS('データ_全エリア'!AG$4:AG$6000,'データ_全エリア'!$B$4:$B$6000,$B32,'データ_全エリア'!$C$4:$C$6000,IF($C$3="ALL","*",$C$3))/SUMIFS('データ_全エリア'!$T$4:$T$6000,'データ_全エリア'!$B$4:$B$6000,$B32,'データ_全エリア'!$C$4:$C$6000,IF($C$3="ALL","*",$C$3)),0),SUMIFS('データ_全エリア'!R$4:R$6000,'データ_全エリア'!$D$4:$D$6000,$C$4,'データ_全エリア'!$B$4:$B$6000,$B32,'データ_全エリア'!$C$4:$C$6000,IF($C$3="ALL","*",$C$3))))</f>
        <v/>
      </c>
    </row>
    <row r="33">
      <c r="B33" s="77"/>
      <c r="C33" s="78" t="str">
        <f>IF($B33="","",IF($C$4="",IFERROR(SUMIFS('データ_全エリア'!AB$4:AB$6000,'データ_全エリア'!$B$4:$B$6000,$B33,'データ_全エリア'!$C$4:$C$6000,IF($C$3="ALL","*",$C$3))/SUMIFS('データ_全エリア'!$T$4:$T$6000,'データ_全エリア'!$B$4:$B$6000,$B33,'データ_全エリア'!$C$4:$C$6000,IF($C$3="ALL","*",$C$3)),0),SUMIFS('データ_全エリア'!M$4:M$6000,'データ_全エリア'!$D$4:$D$6000,$C$4,'データ_全エリア'!$B$4:$B$6000,$B33,'データ_全エリア'!$C$4:$C$6000,IF($C$3="ALL","*",$C$3))))</f>
        <v/>
      </c>
      <c r="D33" s="78" t="str">
        <f>IF($B33="","",IF($C$4="",IFERROR(SUMIFS('データ_全エリア'!AC$4:AC$6000,'データ_全エリア'!$B$4:$B$6000,$B33,'データ_全エリア'!$C$4:$C$6000,IF($C$3="ALL","*",$C$3))/SUMIFS('データ_全エリア'!$T$4:$T$6000,'データ_全エリア'!$B$4:$B$6000,$B33,'データ_全エリア'!$C$4:$C$6000,IF($C$3="ALL","*",$C$3)),0),SUMIFS('データ_全エリア'!N$4:N$6000,'データ_全エリア'!$D$4:$D$6000,$C$4,'データ_全エリア'!$B$4:$B$6000,$B33,'データ_全エリア'!$C$4:$C$6000,IF($C$3="ALL","*",$C$3))))</f>
        <v/>
      </c>
      <c r="E33" s="78" t="str">
        <f>IF($B33="","",IF($C$4="",IFERROR(SUMIFS('データ_全エリア'!AD$4:AD$6000,'データ_全エリア'!$B$4:$B$6000,$B33,'データ_全エリア'!$C$4:$C$6000,IF($C$3="ALL","*",$C$3))/SUMIFS('データ_全エリア'!$T$4:$T$6000,'データ_全エリア'!$B$4:$B$6000,$B33,'データ_全エリア'!$C$4:$C$6000,IF($C$3="ALL","*",$C$3)),0),SUMIFS('データ_全エリア'!O$4:O$6000,'データ_全エリア'!$D$4:$D$6000,$C$4,'データ_全エリア'!$B$4:$B$6000,$B33,'データ_全エリア'!$C$4:$C$6000,IF($C$3="ALL","*",$C$3))))</f>
        <v/>
      </c>
      <c r="F33" s="78" t="str">
        <f>IF($B33="","",IF($C$4="",IFERROR(SUMIFS('データ_全エリア'!AE$4:AE$6000,'データ_全エリア'!$B$4:$B$6000,$B33,'データ_全エリア'!$C$4:$C$6000,IF($C$3="ALL","*",$C$3))/SUMIFS('データ_全エリア'!$T$4:$T$6000,'データ_全エリア'!$B$4:$B$6000,$B33,'データ_全エリア'!$C$4:$C$6000,IF($C$3="ALL","*",$C$3)),0),SUMIFS('データ_全エリア'!P$4:P$6000,'データ_全エリア'!$D$4:$D$6000,$C$4,'データ_全エリア'!$B$4:$B$6000,$B33,'データ_全エリア'!$C$4:$C$6000,IF($C$3="ALL","*",$C$3))))</f>
        <v/>
      </c>
      <c r="G33" s="78" t="str">
        <f>IF($B33="","",IF($C$4="",IFERROR(SUMIFS('データ_全エリア'!AF$4:AF$6000,'データ_全エリア'!$B$4:$B$6000,$B33,'データ_全エリア'!$C$4:$C$6000,IF($C$3="ALL","*",$C$3))/SUMIFS('データ_全エリア'!$T$4:$T$6000,'データ_全エリア'!$B$4:$B$6000,$B33,'データ_全エリア'!$C$4:$C$6000,IF($C$3="ALL","*",$C$3)),0),SUMIFS('データ_全エリア'!Q$4:Q$6000,'データ_全エリア'!$D$4:$D$6000,$C$4,'データ_全エリア'!$B$4:$B$6000,$B33,'データ_全エリア'!$C$4:$C$6000,IF($C$3="ALL","*",$C$3))))</f>
        <v/>
      </c>
      <c r="H33" s="78" t="str">
        <f>IF($B33="","",IF($C$4="",IFERROR(SUMIFS('データ_全エリア'!AG$4:AG$6000,'データ_全エリア'!$B$4:$B$6000,$B33,'データ_全エリア'!$C$4:$C$6000,IF($C$3="ALL","*",$C$3))/SUMIFS('データ_全エリア'!$T$4:$T$6000,'データ_全エリア'!$B$4:$B$6000,$B33,'データ_全エリア'!$C$4:$C$6000,IF($C$3="ALL","*",$C$3)),0),SUMIFS('データ_全エリア'!R$4:R$6000,'データ_全エリア'!$D$4:$D$6000,$C$4,'データ_全エリア'!$B$4:$B$6000,$B33,'データ_全エリア'!$C$4:$C$6000,IF($C$3="ALL","*",$C$3))))</f>
        <v/>
      </c>
    </row>
    <row r="34">
      <c r="B34" s="77"/>
      <c r="C34" s="78" t="str">
        <f>IF($B34="","",IF($C$4="",IFERROR(SUMIFS('データ_全エリア'!AB$4:AB$6000,'データ_全エリア'!$B$4:$B$6000,$B34,'データ_全エリア'!$C$4:$C$6000,IF($C$3="ALL","*",$C$3))/SUMIFS('データ_全エリア'!$T$4:$T$6000,'データ_全エリア'!$B$4:$B$6000,$B34,'データ_全エリア'!$C$4:$C$6000,IF($C$3="ALL","*",$C$3)),0),SUMIFS('データ_全エリア'!M$4:M$6000,'データ_全エリア'!$D$4:$D$6000,$C$4,'データ_全エリア'!$B$4:$B$6000,$B34,'データ_全エリア'!$C$4:$C$6000,IF($C$3="ALL","*",$C$3))))</f>
        <v/>
      </c>
      <c r="D34" s="78" t="str">
        <f>IF($B34="","",IF($C$4="",IFERROR(SUMIFS('データ_全エリア'!AC$4:AC$6000,'データ_全エリア'!$B$4:$B$6000,$B34,'データ_全エリア'!$C$4:$C$6000,IF($C$3="ALL","*",$C$3))/SUMIFS('データ_全エリア'!$T$4:$T$6000,'データ_全エリア'!$B$4:$B$6000,$B34,'データ_全エリア'!$C$4:$C$6000,IF($C$3="ALL","*",$C$3)),0),SUMIFS('データ_全エリア'!N$4:N$6000,'データ_全エリア'!$D$4:$D$6000,$C$4,'データ_全エリア'!$B$4:$B$6000,$B34,'データ_全エリア'!$C$4:$C$6000,IF($C$3="ALL","*",$C$3))))</f>
        <v/>
      </c>
      <c r="E34" s="78" t="str">
        <f>IF($B34="","",IF($C$4="",IFERROR(SUMIFS('データ_全エリア'!AD$4:AD$6000,'データ_全エリア'!$B$4:$B$6000,$B34,'データ_全エリア'!$C$4:$C$6000,IF($C$3="ALL","*",$C$3))/SUMIFS('データ_全エリア'!$T$4:$T$6000,'データ_全エリア'!$B$4:$B$6000,$B34,'データ_全エリア'!$C$4:$C$6000,IF($C$3="ALL","*",$C$3)),0),SUMIFS('データ_全エリア'!O$4:O$6000,'データ_全エリア'!$D$4:$D$6000,$C$4,'データ_全エリア'!$B$4:$B$6000,$B34,'データ_全エリア'!$C$4:$C$6000,IF($C$3="ALL","*",$C$3))))</f>
        <v/>
      </c>
      <c r="F34" s="78" t="str">
        <f>IF($B34="","",IF($C$4="",IFERROR(SUMIFS('データ_全エリア'!AE$4:AE$6000,'データ_全エリア'!$B$4:$B$6000,$B34,'データ_全エリア'!$C$4:$C$6000,IF($C$3="ALL","*",$C$3))/SUMIFS('データ_全エリア'!$T$4:$T$6000,'データ_全エリア'!$B$4:$B$6000,$B34,'データ_全エリア'!$C$4:$C$6000,IF($C$3="ALL","*",$C$3)),0),SUMIFS('データ_全エリア'!P$4:P$6000,'データ_全エリア'!$D$4:$D$6000,$C$4,'データ_全エリア'!$B$4:$B$6000,$B34,'データ_全エリア'!$C$4:$C$6000,IF($C$3="ALL","*",$C$3))))</f>
        <v/>
      </c>
      <c r="G34" s="78" t="str">
        <f>IF($B34="","",IF($C$4="",IFERROR(SUMIFS('データ_全エリア'!AF$4:AF$6000,'データ_全エリア'!$B$4:$B$6000,$B34,'データ_全エリア'!$C$4:$C$6000,IF($C$3="ALL","*",$C$3))/SUMIFS('データ_全エリア'!$T$4:$T$6000,'データ_全エリア'!$B$4:$B$6000,$B34,'データ_全エリア'!$C$4:$C$6000,IF($C$3="ALL","*",$C$3)),0),SUMIFS('データ_全エリア'!Q$4:Q$6000,'データ_全エリア'!$D$4:$D$6000,$C$4,'データ_全エリア'!$B$4:$B$6000,$B34,'データ_全エリア'!$C$4:$C$6000,IF($C$3="ALL","*",$C$3))))</f>
        <v/>
      </c>
      <c r="H34" s="78" t="str">
        <f>IF($B34="","",IF($C$4="",IFERROR(SUMIFS('データ_全エリア'!AG$4:AG$6000,'データ_全エリア'!$B$4:$B$6000,$B34,'データ_全エリア'!$C$4:$C$6000,IF($C$3="ALL","*",$C$3))/SUMIFS('データ_全エリア'!$T$4:$T$6000,'データ_全エリア'!$B$4:$B$6000,$B34,'データ_全エリア'!$C$4:$C$6000,IF($C$3="ALL","*",$C$3)),0),SUMIFS('データ_全エリア'!R$4:R$6000,'データ_全エリア'!$D$4:$D$6000,$C$4,'データ_全エリア'!$B$4:$B$6000,$B34,'データ_全エリア'!$C$4:$C$6000,IF($C$3="ALL","*",$C$3))))</f>
        <v/>
      </c>
    </row>
    <row r="35">
      <c r="B35" s="77"/>
      <c r="C35" s="78" t="str">
        <f>IF($B35="","",IF($C$4="",IFERROR(SUMIFS('データ_全エリア'!AB$4:AB$6000,'データ_全エリア'!$B$4:$B$6000,$B35,'データ_全エリア'!$C$4:$C$6000,IF($C$3="ALL","*",$C$3))/SUMIFS('データ_全エリア'!$T$4:$T$6000,'データ_全エリア'!$B$4:$B$6000,$B35,'データ_全エリア'!$C$4:$C$6000,IF($C$3="ALL","*",$C$3)),0),SUMIFS('データ_全エリア'!M$4:M$6000,'データ_全エリア'!$D$4:$D$6000,$C$4,'データ_全エリア'!$B$4:$B$6000,$B35,'データ_全エリア'!$C$4:$C$6000,IF($C$3="ALL","*",$C$3))))</f>
        <v/>
      </c>
      <c r="D35" s="78" t="str">
        <f>IF($B35="","",IF($C$4="",IFERROR(SUMIFS('データ_全エリア'!AC$4:AC$6000,'データ_全エリア'!$B$4:$B$6000,$B35,'データ_全エリア'!$C$4:$C$6000,IF($C$3="ALL","*",$C$3))/SUMIFS('データ_全エリア'!$T$4:$T$6000,'データ_全エリア'!$B$4:$B$6000,$B35,'データ_全エリア'!$C$4:$C$6000,IF($C$3="ALL","*",$C$3)),0),SUMIFS('データ_全エリア'!N$4:N$6000,'データ_全エリア'!$D$4:$D$6000,$C$4,'データ_全エリア'!$B$4:$B$6000,$B35,'データ_全エリア'!$C$4:$C$6000,IF($C$3="ALL","*",$C$3))))</f>
        <v/>
      </c>
      <c r="E35" s="78" t="str">
        <f>IF($B35="","",IF($C$4="",IFERROR(SUMIFS('データ_全エリア'!AD$4:AD$6000,'データ_全エリア'!$B$4:$B$6000,$B35,'データ_全エリア'!$C$4:$C$6000,IF($C$3="ALL","*",$C$3))/SUMIFS('データ_全エリア'!$T$4:$T$6000,'データ_全エリア'!$B$4:$B$6000,$B35,'データ_全エリア'!$C$4:$C$6000,IF($C$3="ALL","*",$C$3)),0),SUMIFS('データ_全エリア'!O$4:O$6000,'データ_全エリア'!$D$4:$D$6000,$C$4,'データ_全エリア'!$B$4:$B$6000,$B35,'データ_全エリア'!$C$4:$C$6000,IF($C$3="ALL","*",$C$3))))</f>
        <v/>
      </c>
      <c r="F35" s="78" t="str">
        <f>IF($B35="","",IF($C$4="",IFERROR(SUMIFS('データ_全エリア'!AE$4:AE$6000,'データ_全エリア'!$B$4:$B$6000,$B35,'データ_全エリア'!$C$4:$C$6000,IF($C$3="ALL","*",$C$3))/SUMIFS('データ_全エリア'!$T$4:$T$6000,'データ_全エリア'!$B$4:$B$6000,$B35,'データ_全エリア'!$C$4:$C$6000,IF($C$3="ALL","*",$C$3)),0),SUMIFS('データ_全エリア'!P$4:P$6000,'データ_全エリア'!$D$4:$D$6000,$C$4,'データ_全エリア'!$B$4:$B$6000,$B35,'データ_全エリア'!$C$4:$C$6000,IF($C$3="ALL","*",$C$3))))</f>
        <v/>
      </c>
      <c r="G35" s="78" t="str">
        <f>IF($B35="","",IF($C$4="",IFERROR(SUMIFS('データ_全エリア'!AF$4:AF$6000,'データ_全エリア'!$B$4:$B$6000,$B35,'データ_全エリア'!$C$4:$C$6000,IF($C$3="ALL","*",$C$3))/SUMIFS('データ_全エリア'!$T$4:$T$6000,'データ_全エリア'!$B$4:$B$6000,$B35,'データ_全エリア'!$C$4:$C$6000,IF($C$3="ALL","*",$C$3)),0),SUMIFS('データ_全エリア'!Q$4:Q$6000,'データ_全エリア'!$D$4:$D$6000,$C$4,'データ_全エリア'!$B$4:$B$6000,$B35,'データ_全エリア'!$C$4:$C$6000,IF($C$3="ALL","*",$C$3))))</f>
        <v/>
      </c>
      <c r="H35" s="78" t="str">
        <f>IF($B35="","",IF($C$4="",IFERROR(SUMIFS('データ_全エリア'!AG$4:AG$6000,'データ_全エリア'!$B$4:$B$6000,$B35,'データ_全エリア'!$C$4:$C$6000,IF($C$3="ALL","*",$C$3))/SUMIFS('データ_全エリア'!$T$4:$T$6000,'データ_全エリア'!$B$4:$B$6000,$B35,'データ_全エリア'!$C$4:$C$6000,IF($C$3="ALL","*",$C$3)),0),SUMIFS('データ_全エリア'!R$4:R$6000,'データ_全エリア'!$D$4:$D$6000,$C$4,'データ_全エリア'!$B$4:$B$6000,$B35,'データ_全エリア'!$C$4:$C$6000,IF($C$3="ALL","*",$C$3))))</f>
        <v/>
      </c>
    </row>
    <row r="36">
      <c r="B36" s="77"/>
      <c r="C36" s="78" t="str">
        <f>IF($B36="","",IF($C$4="",IFERROR(SUMIFS('データ_全エリア'!AB$4:AB$6000,'データ_全エリア'!$B$4:$B$6000,$B36,'データ_全エリア'!$C$4:$C$6000,IF($C$3="ALL","*",$C$3))/SUMIFS('データ_全エリア'!$T$4:$T$6000,'データ_全エリア'!$B$4:$B$6000,$B36,'データ_全エリア'!$C$4:$C$6000,IF($C$3="ALL","*",$C$3)),0),SUMIFS('データ_全エリア'!M$4:M$6000,'データ_全エリア'!$D$4:$D$6000,$C$4,'データ_全エリア'!$B$4:$B$6000,$B36,'データ_全エリア'!$C$4:$C$6000,IF($C$3="ALL","*",$C$3))))</f>
        <v/>
      </c>
      <c r="D36" s="78" t="str">
        <f>IF($B36="","",IF($C$4="",IFERROR(SUMIFS('データ_全エリア'!AC$4:AC$6000,'データ_全エリア'!$B$4:$B$6000,$B36,'データ_全エリア'!$C$4:$C$6000,IF($C$3="ALL","*",$C$3))/SUMIFS('データ_全エリア'!$T$4:$T$6000,'データ_全エリア'!$B$4:$B$6000,$B36,'データ_全エリア'!$C$4:$C$6000,IF($C$3="ALL","*",$C$3)),0),SUMIFS('データ_全エリア'!N$4:N$6000,'データ_全エリア'!$D$4:$D$6000,$C$4,'データ_全エリア'!$B$4:$B$6000,$B36,'データ_全エリア'!$C$4:$C$6000,IF($C$3="ALL","*",$C$3))))</f>
        <v/>
      </c>
      <c r="E36" s="78" t="str">
        <f>IF($B36="","",IF($C$4="",IFERROR(SUMIFS('データ_全エリア'!AD$4:AD$6000,'データ_全エリア'!$B$4:$B$6000,$B36,'データ_全エリア'!$C$4:$C$6000,IF($C$3="ALL","*",$C$3))/SUMIFS('データ_全エリア'!$T$4:$T$6000,'データ_全エリア'!$B$4:$B$6000,$B36,'データ_全エリア'!$C$4:$C$6000,IF($C$3="ALL","*",$C$3)),0),SUMIFS('データ_全エリア'!O$4:O$6000,'データ_全エリア'!$D$4:$D$6000,$C$4,'データ_全エリア'!$B$4:$B$6000,$B36,'データ_全エリア'!$C$4:$C$6000,IF($C$3="ALL","*",$C$3))))</f>
        <v/>
      </c>
      <c r="F36" s="78" t="str">
        <f>IF($B36="","",IF($C$4="",IFERROR(SUMIFS('データ_全エリア'!AE$4:AE$6000,'データ_全エリア'!$B$4:$B$6000,$B36,'データ_全エリア'!$C$4:$C$6000,IF($C$3="ALL","*",$C$3))/SUMIFS('データ_全エリア'!$T$4:$T$6000,'データ_全エリア'!$B$4:$B$6000,$B36,'データ_全エリア'!$C$4:$C$6000,IF($C$3="ALL","*",$C$3)),0),SUMIFS('データ_全エリア'!P$4:P$6000,'データ_全エリア'!$D$4:$D$6000,$C$4,'データ_全エリア'!$B$4:$B$6000,$B36,'データ_全エリア'!$C$4:$C$6000,IF($C$3="ALL","*",$C$3))))</f>
        <v/>
      </c>
      <c r="G36" s="78" t="str">
        <f>IF($B36="","",IF($C$4="",IFERROR(SUMIFS('データ_全エリア'!AF$4:AF$6000,'データ_全エリア'!$B$4:$B$6000,$B36,'データ_全エリア'!$C$4:$C$6000,IF($C$3="ALL","*",$C$3))/SUMIFS('データ_全エリア'!$T$4:$T$6000,'データ_全エリア'!$B$4:$B$6000,$B36,'データ_全エリア'!$C$4:$C$6000,IF($C$3="ALL","*",$C$3)),0),SUMIFS('データ_全エリア'!Q$4:Q$6000,'データ_全エリア'!$D$4:$D$6000,$C$4,'データ_全エリア'!$B$4:$B$6000,$B36,'データ_全エリア'!$C$4:$C$6000,IF($C$3="ALL","*",$C$3))))</f>
        <v/>
      </c>
      <c r="H36" s="78" t="str">
        <f>IF($B36="","",IF($C$4="",IFERROR(SUMIFS('データ_全エリア'!AG$4:AG$6000,'データ_全エリア'!$B$4:$B$6000,$B36,'データ_全エリア'!$C$4:$C$6000,IF($C$3="ALL","*",$C$3))/SUMIFS('データ_全エリア'!$T$4:$T$6000,'データ_全エリア'!$B$4:$B$6000,$B36,'データ_全エリア'!$C$4:$C$6000,IF($C$3="ALL","*",$C$3)),0),SUMIFS('データ_全エリア'!R$4:R$6000,'データ_全エリア'!$D$4:$D$6000,$C$4,'データ_全エリア'!$B$4:$B$6000,$B36,'データ_全エリア'!$C$4:$C$6000,IF($C$3="ALL","*",$C$3))))</f>
        <v/>
      </c>
    </row>
    <row r="37">
      <c r="B37" s="77"/>
      <c r="C37" s="78" t="str">
        <f>IF($B37="","",IF($C$4="",IFERROR(SUMIFS('データ_全エリア'!AB$4:AB$6000,'データ_全エリア'!$B$4:$B$6000,$B37,'データ_全エリア'!$C$4:$C$6000,IF($C$3="ALL","*",$C$3))/SUMIFS('データ_全エリア'!$T$4:$T$6000,'データ_全エリア'!$B$4:$B$6000,$B37,'データ_全エリア'!$C$4:$C$6000,IF($C$3="ALL","*",$C$3)),0),SUMIFS('データ_全エリア'!M$4:M$6000,'データ_全エリア'!$D$4:$D$6000,$C$4,'データ_全エリア'!$B$4:$B$6000,$B37,'データ_全エリア'!$C$4:$C$6000,IF($C$3="ALL","*",$C$3))))</f>
        <v/>
      </c>
      <c r="D37" s="78" t="str">
        <f>IF($B37="","",IF($C$4="",IFERROR(SUMIFS('データ_全エリア'!AC$4:AC$6000,'データ_全エリア'!$B$4:$B$6000,$B37,'データ_全エリア'!$C$4:$C$6000,IF($C$3="ALL","*",$C$3))/SUMIFS('データ_全エリア'!$T$4:$T$6000,'データ_全エリア'!$B$4:$B$6000,$B37,'データ_全エリア'!$C$4:$C$6000,IF($C$3="ALL","*",$C$3)),0),SUMIFS('データ_全エリア'!N$4:N$6000,'データ_全エリア'!$D$4:$D$6000,$C$4,'データ_全エリア'!$B$4:$B$6000,$B37,'データ_全エリア'!$C$4:$C$6000,IF($C$3="ALL","*",$C$3))))</f>
        <v/>
      </c>
      <c r="E37" s="78" t="str">
        <f>IF($B37="","",IF($C$4="",IFERROR(SUMIFS('データ_全エリア'!AD$4:AD$6000,'データ_全エリア'!$B$4:$B$6000,$B37,'データ_全エリア'!$C$4:$C$6000,IF($C$3="ALL","*",$C$3))/SUMIFS('データ_全エリア'!$T$4:$T$6000,'データ_全エリア'!$B$4:$B$6000,$B37,'データ_全エリア'!$C$4:$C$6000,IF($C$3="ALL","*",$C$3)),0),SUMIFS('データ_全エリア'!O$4:O$6000,'データ_全エリア'!$D$4:$D$6000,$C$4,'データ_全エリア'!$B$4:$B$6000,$B37,'データ_全エリア'!$C$4:$C$6000,IF($C$3="ALL","*",$C$3))))</f>
        <v/>
      </c>
      <c r="F37" s="78" t="str">
        <f>IF($B37="","",IF($C$4="",IFERROR(SUMIFS('データ_全エリア'!AE$4:AE$6000,'データ_全エリア'!$B$4:$B$6000,$B37,'データ_全エリア'!$C$4:$C$6000,IF($C$3="ALL","*",$C$3))/SUMIFS('データ_全エリア'!$T$4:$T$6000,'データ_全エリア'!$B$4:$B$6000,$B37,'データ_全エリア'!$C$4:$C$6000,IF($C$3="ALL","*",$C$3)),0),SUMIFS('データ_全エリア'!P$4:P$6000,'データ_全エリア'!$D$4:$D$6000,$C$4,'データ_全エリア'!$B$4:$B$6000,$B37,'データ_全エリア'!$C$4:$C$6000,IF($C$3="ALL","*",$C$3))))</f>
        <v/>
      </c>
      <c r="G37" s="78" t="str">
        <f>IF($B37="","",IF($C$4="",IFERROR(SUMIFS('データ_全エリア'!AF$4:AF$6000,'データ_全エリア'!$B$4:$B$6000,$B37,'データ_全エリア'!$C$4:$C$6000,IF($C$3="ALL","*",$C$3))/SUMIFS('データ_全エリア'!$T$4:$T$6000,'データ_全エリア'!$B$4:$B$6000,$B37,'データ_全エリア'!$C$4:$C$6000,IF($C$3="ALL","*",$C$3)),0),SUMIFS('データ_全エリア'!Q$4:Q$6000,'データ_全エリア'!$D$4:$D$6000,$C$4,'データ_全エリア'!$B$4:$B$6000,$B37,'データ_全エリア'!$C$4:$C$6000,IF($C$3="ALL","*",$C$3))))</f>
        <v/>
      </c>
      <c r="H37" s="78" t="str">
        <f>IF($B37="","",IF($C$4="",IFERROR(SUMIFS('データ_全エリア'!AG$4:AG$6000,'データ_全エリア'!$B$4:$B$6000,$B37,'データ_全エリア'!$C$4:$C$6000,IF($C$3="ALL","*",$C$3))/SUMIFS('データ_全エリア'!$T$4:$T$6000,'データ_全エリア'!$B$4:$B$6000,$B37,'データ_全エリア'!$C$4:$C$6000,IF($C$3="ALL","*",$C$3)),0),SUMIFS('データ_全エリア'!R$4:R$6000,'データ_全エリア'!$D$4:$D$6000,$C$4,'データ_全エリア'!$B$4:$B$6000,$B37,'データ_全エリア'!$C$4:$C$6000,IF($C$3="ALL","*",$C$3))))</f>
        <v/>
      </c>
    </row>
    <row r="39">
      <c r="B39" s="126" t="s">
        <v>116</v>
      </c>
    </row>
  </sheetData>
  <dataValidations>
    <dataValidation type="list" allowBlank="1" sqref="C5">
      <formula1>'集計_店舗別月次推移'!$Z$2:$Z1001</formula1>
    </dataValidation>
    <dataValidation type="list" allowBlank="1" sqref="C3">
      <formula1>"ALL,北海道,東北,関東,信越,中部,関西,中四国,九州・沖縄"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 outlineLevelCol="1"/>
  <cols>
    <col customWidth="1" min="1" max="1" width="2.0"/>
    <col customWidth="1" min="2" max="2" width="14.0"/>
    <col customWidth="1" min="3" max="18" width="11.0"/>
    <col customWidth="1" min="19" max="26" width="8.71"/>
  </cols>
  <sheetData>
    <row r="1" ht="17.25" customHeight="1">
      <c r="B1" s="2" t="s">
        <v>61</v>
      </c>
      <c r="F1" s="39"/>
    </row>
    <row r="3">
      <c r="B3" s="41" t="s">
        <v>62</v>
      </c>
      <c r="C3" s="44">
        <v>46296.0</v>
      </c>
    </row>
    <row r="4">
      <c r="G4" s="45" t="s">
        <v>22</v>
      </c>
      <c r="H4" s="15"/>
      <c r="I4" s="15"/>
      <c r="J4" s="15"/>
      <c r="K4" s="15"/>
      <c r="L4" s="17"/>
      <c r="M4" s="47" t="s">
        <v>24</v>
      </c>
      <c r="N4" s="15"/>
      <c r="O4" s="15"/>
      <c r="P4" s="15"/>
      <c r="Q4" s="15"/>
      <c r="R4" s="17"/>
    </row>
    <row r="5">
      <c r="B5" s="22" t="s">
        <v>8</v>
      </c>
      <c r="C5" s="48" t="s">
        <v>66</v>
      </c>
      <c r="D5" s="48" t="s">
        <v>28</v>
      </c>
      <c r="E5" s="49" t="s">
        <v>39</v>
      </c>
      <c r="F5" s="49" t="s">
        <v>41</v>
      </c>
      <c r="G5" s="50" t="s">
        <v>29</v>
      </c>
      <c r="H5" s="27" t="s">
        <v>31</v>
      </c>
      <c r="I5" s="28" t="s">
        <v>32</v>
      </c>
      <c r="J5" s="51" t="s">
        <v>33</v>
      </c>
      <c r="K5" s="52" t="s">
        <v>36</v>
      </c>
      <c r="L5" s="24" t="s">
        <v>38</v>
      </c>
      <c r="M5" s="50" t="s">
        <v>29</v>
      </c>
      <c r="N5" s="27" t="s">
        <v>31</v>
      </c>
      <c r="O5" s="28" t="s">
        <v>32</v>
      </c>
      <c r="P5" s="51" t="s">
        <v>33</v>
      </c>
      <c r="Q5" s="52" t="s">
        <v>36</v>
      </c>
      <c r="R5" s="24" t="s">
        <v>38</v>
      </c>
    </row>
    <row r="6">
      <c r="B6" s="53" t="s">
        <v>21</v>
      </c>
      <c r="C6" s="55">
        <f>COUNTIFS('データ_全エリア'!$C$4:$C$6000,$B6,'データ_全エリア'!$B$4:$B$6000,$C$3,'データ_全エリア'!$S$4:$S$6000,"&gt;=0")</f>
        <v>7</v>
      </c>
      <c r="D6" s="55">
        <f>SUMIFS('データ_全エリア'!$F$4:$F$6000,'データ_全エリア'!$C$4:$C$6000,$B6,'データ_全エリア'!$B$4:$B$6000,$C$3)</f>
        <v>223</v>
      </c>
      <c r="E6" s="55">
        <f>SUMIFS('データ_全エリア'!$S$4:$S$6000,'データ_全エリア'!$C$4:$C$6000,$B6,'データ_全エリア'!$B$4:$B$6000,$C$3)</f>
        <v>223</v>
      </c>
      <c r="F6" s="55">
        <f>SUMIFS('データ_全エリア'!$T$4:$T$6000,'データ_全エリア'!$C$4:$C$6000,$B6,'データ_全エリア'!$B$4:$B$6000,$C$3)</f>
        <v>223</v>
      </c>
      <c r="G6" s="57">
        <f>IFERROR(SUMIFS('データ_全エリア'!V$4:V$6000,'データ_全エリア'!$C$4:$C$6000,$B6,'データ_全エリア'!$B$4:$B$6000,$C$3)/$E6,"-")</f>
        <v>0</v>
      </c>
      <c r="H6" s="57">
        <f>IFERROR(SUMIFS('データ_全エリア'!W$4:W$6000,'データ_全エリア'!$C$4:$C$6000,$B6,'データ_全エリア'!$B$4:$B$6000,$C$3)/$E6,"-")</f>
        <v>0</v>
      </c>
      <c r="I6" s="57">
        <f>IFERROR(SUMIFS('データ_全エリア'!X$4:X$6000,'データ_全エリア'!$C$4:$C$6000,$B6,'データ_全エリア'!$B$4:$B$6000,$C$3)/$E6,"-")</f>
        <v>0</v>
      </c>
      <c r="J6" s="57">
        <f>IFERROR(SUMIFS('データ_全エリア'!Y$4:Y$6000,'データ_全エリア'!$C$4:$C$6000,$B6,'データ_全エリア'!$B$4:$B$6000,$C$3)/$E6,"-")</f>
        <v>0</v>
      </c>
      <c r="K6" s="57">
        <f>IFERROR(SUMIFS('データ_全エリア'!Z$4:Z$6000,'データ_全エリア'!$C$4:$C$6000,$B6,'データ_全エリア'!$B$4:$B$6000,$C$3)/$E6,"-")</f>
        <v>0</v>
      </c>
      <c r="L6" s="57">
        <f>IFERROR(SUMIFS('データ_全エリア'!AA$4:AA$6000,'データ_全エリア'!$C$4:$C$6000,$B6,'データ_全エリア'!$B$4:$B$6000,$C$3)/$E6,"-")</f>
        <v>1</v>
      </c>
      <c r="M6" s="57">
        <f>IFERROR(SUMIFS('データ_全エリア'!AB$4:AB$6000,'データ_全エリア'!$C$4:$C$6000,$B6,'データ_全エリア'!$B$4:$B$6000,$C$3)/$F6,"-")</f>
        <v>0</v>
      </c>
      <c r="N6" s="57">
        <f>IFERROR(SUMIFS('データ_全エリア'!AC$4:AC$6000,'データ_全エリア'!$C$4:$C$6000,$B6,'データ_全エリア'!$B$4:$B$6000,$C$3)/$F6,"-")</f>
        <v>0</v>
      </c>
      <c r="O6" s="57">
        <f>IFERROR(SUMIFS('データ_全エリア'!AD$4:AD$6000,'データ_全エリア'!$C$4:$C$6000,$B6,'データ_全エリア'!$B$4:$B$6000,$C$3)/$F6,"-")</f>
        <v>0</v>
      </c>
      <c r="P6" s="57">
        <f>IFERROR(SUMIFS('データ_全エリア'!AE$4:AE$6000,'データ_全エリア'!$C$4:$C$6000,$B6,'データ_全エリア'!$B$4:$B$6000,$C$3)/$F6,"-")</f>
        <v>0</v>
      </c>
      <c r="Q6" s="57">
        <f>IFERROR(SUMIFS('データ_全エリア'!AF$4:AF$6000,'データ_全エリア'!$C$4:$C$6000,$B6,'データ_全エリア'!$B$4:$B$6000,$C$3)/$F6,"-")</f>
        <v>0</v>
      </c>
      <c r="R6" s="57">
        <f>IFERROR(SUMIFS('データ_全エリア'!AG$4:AG$6000,'データ_全エリア'!$C$4:$C$6000,$B6,'データ_全エリア'!$B$4:$B$6000,$C$3)/$F6,"-")</f>
        <v>1</v>
      </c>
    </row>
    <row r="7">
      <c r="B7" s="53" t="s">
        <v>30</v>
      </c>
      <c r="C7" s="55">
        <f>COUNTIFS('データ_全エリア'!$C$4:$C$6000,$B7,'データ_全エリア'!$B$4:$B$6000,$C$3,'データ_全エリア'!$S$4:$S$6000,"&gt;=0")</f>
        <v>0</v>
      </c>
      <c r="D7" s="55">
        <f>SUMIFS('データ_全エリア'!$F$4:$F$6000,'データ_全エリア'!$C$4:$C$6000,$B7,'データ_全エリア'!$B$4:$B$6000,$C$3)</f>
        <v>0</v>
      </c>
      <c r="E7" s="55">
        <f>SUMIFS('データ_全エリア'!$S$4:$S$6000,'データ_全エリア'!$C$4:$C$6000,$B7,'データ_全エリア'!$B$4:$B$6000,$C$3)</f>
        <v>0</v>
      </c>
      <c r="F7" s="55">
        <f>SUMIFS('データ_全エリア'!$T$4:$T$6000,'データ_全エリア'!$C$4:$C$6000,$B7,'データ_全エリア'!$B$4:$B$6000,$C$3)</f>
        <v>0</v>
      </c>
      <c r="G7" s="57" t="str">
        <f>IFERROR(SUMIFS('データ_全エリア'!V$4:V$6000,'データ_全エリア'!$C$4:$C$6000,$B7,'データ_全エリア'!$B$4:$B$6000,$C$3)/$E7,"-")</f>
        <v>-</v>
      </c>
      <c r="H7" s="57" t="str">
        <f>IFERROR(SUMIFS('データ_全エリア'!W$4:W$6000,'データ_全エリア'!$C$4:$C$6000,$B7,'データ_全エリア'!$B$4:$B$6000,$C$3)/$E7,"-")</f>
        <v>-</v>
      </c>
      <c r="I7" s="57" t="str">
        <f>IFERROR(SUMIFS('データ_全エリア'!X$4:X$6000,'データ_全エリア'!$C$4:$C$6000,$B7,'データ_全エリア'!$B$4:$B$6000,$C$3)/$E7,"-")</f>
        <v>-</v>
      </c>
      <c r="J7" s="57" t="str">
        <f>IFERROR(SUMIFS('データ_全エリア'!Y$4:Y$6000,'データ_全エリア'!$C$4:$C$6000,$B7,'データ_全エリア'!$B$4:$B$6000,$C$3)/$E7,"-")</f>
        <v>-</v>
      </c>
      <c r="K7" s="57" t="str">
        <f>IFERROR(SUMIFS('データ_全エリア'!Z$4:Z$6000,'データ_全エリア'!$C$4:$C$6000,$B7,'データ_全エリア'!$B$4:$B$6000,$C$3)/$E7,"-")</f>
        <v>-</v>
      </c>
      <c r="L7" s="57" t="str">
        <f>IFERROR(SUMIFS('データ_全エリア'!AA$4:AA$6000,'データ_全エリア'!$C$4:$C$6000,$B7,'データ_全エリア'!$B$4:$B$6000,$C$3)/$E7,"-")</f>
        <v>-</v>
      </c>
      <c r="M7" s="57" t="str">
        <f>IFERROR(SUMIFS('データ_全エリア'!AB$4:AB$6000,'データ_全エリア'!$C$4:$C$6000,$B7,'データ_全エリア'!$B$4:$B$6000,$C$3)/$F7,"-")</f>
        <v>-</v>
      </c>
      <c r="N7" s="57" t="str">
        <f>IFERROR(SUMIFS('データ_全エリア'!AC$4:AC$6000,'データ_全エリア'!$C$4:$C$6000,$B7,'データ_全エリア'!$B$4:$B$6000,$C$3)/$F7,"-")</f>
        <v>-</v>
      </c>
      <c r="O7" s="57" t="str">
        <f>IFERROR(SUMIFS('データ_全エリア'!AD$4:AD$6000,'データ_全エリア'!$C$4:$C$6000,$B7,'データ_全エリア'!$B$4:$B$6000,$C$3)/$F7,"-")</f>
        <v>-</v>
      </c>
      <c r="P7" s="57" t="str">
        <f>IFERROR(SUMIFS('データ_全エリア'!AE$4:AE$6000,'データ_全エリア'!$C$4:$C$6000,$B7,'データ_全エリア'!$B$4:$B$6000,$C$3)/$F7,"-")</f>
        <v>-</v>
      </c>
      <c r="Q7" s="57" t="str">
        <f>IFERROR(SUMIFS('データ_全エリア'!AF$4:AF$6000,'データ_全エリア'!$C$4:$C$6000,$B7,'データ_全エリア'!$B$4:$B$6000,$C$3)/$F7,"-")</f>
        <v>-</v>
      </c>
      <c r="R7" s="57" t="str">
        <f>IFERROR(SUMIFS('データ_全エリア'!AG$4:AG$6000,'データ_全エリア'!$C$4:$C$6000,$B7,'データ_全エリア'!$B$4:$B$6000,$C$3)/$F7,"-")</f>
        <v>-</v>
      </c>
    </row>
    <row r="8">
      <c r="B8" s="53" t="s">
        <v>34</v>
      </c>
      <c r="C8" s="55">
        <f>COUNTIFS('データ_全エリア'!$C$4:$C$6000,$B8,'データ_全エリア'!$B$4:$B$6000,$C$3,'データ_全エリア'!$S$4:$S$6000,"&gt;=0")</f>
        <v>10</v>
      </c>
      <c r="D8" s="55">
        <f>SUMIFS('データ_全エリア'!$F$4:$F$6000,'データ_全エリア'!$C$4:$C$6000,$B8,'データ_全エリア'!$B$4:$B$6000,$C$3)</f>
        <v>142</v>
      </c>
      <c r="E8" s="55">
        <f>SUMIFS('データ_全エリア'!$S$4:$S$6000,'データ_全エリア'!$C$4:$C$6000,$B8,'データ_全エリア'!$B$4:$B$6000,$C$3)</f>
        <v>142</v>
      </c>
      <c r="F8" s="55">
        <f>SUMIFS('データ_全エリア'!$T$4:$T$6000,'データ_全エリア'!$C$4:$C$6000,$B8,'データ_全エリア'!$B$4:$B$6000,$C$3)</f>
        <v>142</v>
      </c>
      <c r="G8" s="57">
        <f>IFERROR(SUMIFS('データ_全エリア'!V$4:V$6000,'データ_全エリア'!$C$4:$C$6000,$B8,'データ_全エリア'!$B$4:$B$6000,$C$3)/$E8,"-")</f>
        <v>0</v>
      </c>
      <c r="H8" s="57">
        <f>IFERROR(SUMIFS('データ_全エリア'!W$4:W$6000,'データ_全エリア'!$C$4:$C$6000,$B8,'データ_全エリア'!$B$4:$B$6000,$C$3)/$E8,"-")</f>
        <v>0</v>
      </c>
      <c r="I8" s="57">
        <f>IFERROR(SUMIFS('データ_全エリア'!X$4:X$6000,'データ_全エリア'!$C$4:$C$6000,$B8,'データ_全エリア'!$B$4:$B$6000,$C$3)/$E8,"-")</f>
        <v>0</v>
      </c>
      <c r="J8" s="57">
        <f>IFERROR(SUMIFS('データ_全エリア'!Y$4:Y$6000,'データ_全エリア'!$C$4:$C$6000,$B8,'データ_全エリア'!$B$4:$B$6000,$C$3)/$E8,"-")</f>
        <v>0</v>
      </c>
      <c r="K8" s="57">
        <f>IFERROR(SUMIFS('データ_全エリア'!Z$4:Z$6000,'データ_全エリア'!$C$4:$C$6000,$B8,'データ_全エリア'!$B$4:$B$6000,$C$3)/$E8,"-")</f>
        <v>0</v>
      </c>
      <c r="L8" s="57">
        <f>IFERROR(SUMIFS('データ_全エリア'!AA$4:AA$6000,'データ_全エリア'!$C$4:$C$6000,$B8,'データ_全エリア'!$B$4:$B$6000,$C$3)/$E8,"-")</f>
        <v>1</v>
      </c>
      <c r="M8" s="57">
        <f>IFERROR(SUMIFS('データ_全エリア'!AB$4:AB$6000,'データ_全エリア'!$C$4:$C$6000,$B8,'データ_全エリア'!$B$4:$B$6000,$C$3)/$F8,"-")</f>
        <v>0</v>
      </c>
      <c r="N8" s="57">
        <f>IFERROR(SUMIFS('データ_全エリア'!AC$4:AC$6000,'データ_全エリア'!$C$4:$C$6000,$B8,'データ_全エリア'!$B$4:$B$6000,$C$3)/$F8,"-")</f>
        <v>0</v>
      </c>
      <c r="O8" s="57">
        <f>IFERROR(SUMIFS('データ_全エリア'!AD$4:AD$6000,'データ_全エリア'!$C$4:$C$6000,$B8,'データ_全エリア'!$B$4:$B$6000,$C$3)/$F8,"-")</f>
        <v>0</v>
      </c>
      <c r="P8" s="57">
        <f>IFERROR(SUMIFS('データ_全エリア'!AE$4:AE$6000,'データ_全エリア'!$C$4:$C$6000,$B8,'データ_全エリア'!$B$4:$B$6000,$C$3)/$F8,"-")</f>
        <v>0</v>
      </c>
      <c r="Q8" s="57">
        <f>IFERROR(SUMIFS('データ_全エリア'!AF$4:AF$6000,'データ_全エリア'!$C$4:$C$6000,$B8,'データ_全エリア'!$B$4:$B$6000,$C$3)/$F8,"-")</f>
        <v>0</v>
      </c>
      <c r="R8" s="57">
        <f>IFERROR(SUMIFS('データ_全エリア'!AG$4:AG$6000,'データ_全エリア'!$C$4:$C$6000,$B8,'データ_全エリア'!$B$4:$B$6000,$C$3)/$F8,"-")</f>
        <v>1</v>
      </c>
    </row>
    <row r="9">
      <c r="B9" s="53" t="s">
        <v>37</v>
      </c>
      <c r="C9" s="55">
        <f>COUNTIFS('データ_全エリア'!$C$4:$C$6000,$B9,'データ_全エリア'!$B$4:$B$6000,$C$3,'データ_全エリア'!$S$4:$S$6000,"&gt;=0")</f>
        <v>13</v>
      </c>
      <c r="D9" s="55">
        <f>SUMIFS('データ_全エリア'!$F$4:$F$6000,'データ_全エリア'!$C$4:$C$6000,$B9,'データ_全エリア'!$B$4:$B$6000,$C$3)</f>
        <v>284</v>
      </c>
      <c r="E9" s="55">
        <f>SUMIFS('データ_全エリア'!$S$4:$S$6000,'データ_全エリア'!$C$4:$C$6000,$B9,'データ_全エリア'!$B$4:$B$6000,$C$3)</f>
        <v>1789</v>
      </c>
      <c r="F9" s="55">
        <f>SUMIFS('データ_全エリア'!$T$4:$T$6000,'データ_全エリア'!$C$4:$C$6000,$B9,'データ_全エリア'!$B$4:$B$6000,$C$3)</f>
        <v>1486</v>
      </c>
      <c r="G9" s="57">
        <f>IFERROR(SUMIFS('データ_全エリア'!V$4:V$6000,'データ_全エリア'!$C$4:$C$6000,$B9,'データ_全エリア'!$B$4:$B$6000,$C$3)/$E9,"-")</f>
        <v>0.335941867</v>
      </c>
      <c r="H9" s="57">
        <f>IFERROR(SUMIFS('データ_全エリア'!W$4:W$6000,'データ_全エリア'!$C$4:$C$6000,$B9,'データ_全エリア'!$B$4:$B$6000,$C$3)/$E9,"-")</f>
        <v>0.09111235327</v>
      </c>
      <c r="I9" s="57">
        <f>IFERROR(SUMIFS('データ_全エリア'!X$4:X$6000,'データ_全エリア'!$C$4:$C$6000,$B9,'データ_全エリア'!$B$4:$B$6000,$C$3)/$E9,"-")</f>
        <v>0.1095584125</v>
      </c>
      <c r="J9" s="57">
        <f>IFERROR(SUMIFS('データ_全エリア'!Y$4:Y$6000,'データ_全エリア'!$C$4:$C$6000,$B9,'データ_全エリア'!$B$4:$B$6000,$C$3)/$E9,"-")</f>
        <v>0.1341531582</v>
      </c>
      <c r="K9" s="57">
        <f>IFERROR(SUMIFS('データ_全エリア'!Z$4:Z$6000,'データ_全エリア'!$C$4:$C$6000,$B9,'データ_全エリア'!$B$4:$B$6000,$C$3)/$E9,"-")</f>
        <v>0.1704863052</v>
      </c>
      <c r="L9" s="57">
        <f>IFERROR(SUMIFS('データ_全エリア'!AA$4:AA$6000,'データ_全エリア'!$C$4:$C$6000,$B9,'データ_全エリア'!$B$4:$B$6000,$C$3)/$E9,"-")</f>
        <v>0.1587479039</v>
      </c>
      <c r="M9" s="57">
        <f>IFERROR(SUMIFS('データ_全エリア'!AB$4:AB$6000,'データ_全エリア'!$C$4:$C$6000,$B9,'データ_全エリア'!$B$4:$B$6000,$C$3)/$F9,"-")</f>
        <v>0.2631224764</v>
      </c>
      <c r="N9" s="57">
        <f>IFERROR(SUMIFS('データ_全エリア'!AC$4:AC$6000,'データ_全エリア'!$C$4:$C$6000,$B9,'データ_全エリア'!$B$4:$B$6000,$C$3)/$F9,"-")</f>
        <v>0.08479138627</v>
      </c>
      <c r="O9" s="57">
        <f>IFERROR(SUMIFS('データ_全エリア'!AD$4:AD$6000,'データ_全エリア'!$C$4:$C$6000,$B9,'データ_全エリア'!$B$4:$B$6000,$C$3)/$F9,"-")</f>
        <v>0.1096904441</v>
      </c>
      <c r="P9" s="57">
        <f>IFERROR(SUMIFS('データ_全エリア'!AE$4:AE$6000,'データ_全エリア'!$C$4:$C$6000,$B9,'データ_全エリア'!$B$4:$B$6000,$C$3)/$F9,"-")</f>
        <v>0.1567967699</v>
      </c>
      <c r="Q9" s="57">
        <f>IFERROR(SUMIFS('データ_全エリア'!AF$4:AF$6000,'データ_全エリア'!$C$4:$C$6000,$B9,'データ_全エリア'!$B$4:$B$6000,$C$3)/$F9,"-")</f>
        <v>0.1944818304</v>
      </c>
      <c r="R9" s="57">
        <f>IFERROR(SUMIFS('データ_全エリア'!AG$4:AG$6000,'データ_全エリア'!$C$4:$C$6000,$B9,'データ_全エリア'!$B$4:$B$6000,$C$3)/$F9,"-")</f>
        <v>0.1911170929</v>
      </c>
    </row>
    <row r="10">
      <c r="B10" s="53" t="s">
        <v>40</v>
      </c>
      <c r="C10" s="55">
        <f>COUNTIFS('データ_全エリア'!$C$4:$C$6000,$B10,'データ_全エリア'!$B$4:$B$6000,$C$3,'データ_全エリア'!$S$4:$S$6000,"&gt;=0")</f>
        <v>0</v>
      </c>
      <c r="D10" s="55">
        <f>SUMIFS('データ_全エリア'!$F$4:$F$6000,'データ_全エリア'!$C$4:$C$6000,$B10,'データ_全エリア'!$B$4:$B$6000,$C$3)</f>
        <v>0</v>
      </c>
      <c r="E10" s="55">
        <f>SUMIFS('データ_全エリア'!$S$4:$S$6000,'データ_全エリア'!$C$4:$C$6000,$B10,'データ_全エリア'!$B$4:$B$6000,$C$3)</f>
        <v>0</v>
      </c>
      <c r="F10" s="55">
        <f>SUMIFS('データ_全エリア'!$T$4:$T$6000,'データ_全エリア'!$C$4:$C$6000,$B10,'データ_全エリア'!$B$4:$B$6000,$C$3)</f>
        <v>0</v>
      </c>
      <c r="G10" s="57" t="str">
        <f>IFERROR(SUMIFS('データ_全エリア'!V$4:V$6000,'データ_全エリア'!$C$4:$C$6000,$B10,'データ_全エリア'!$B$4:$B$6000,$C$3)/$E10,"-")</f>
        <v>-</v>
      </c>
      <c r="H10" s="57" t="str">
        <f>IFERROR(SUMIFS('データ_全エリア'!W$4:W$6000,'データ_全エリア'!$C$4:$C$6000,$B10,'データ_全エリア'!$B$4:$B$6000,$C$3)/$E10,"-")</f>
        <v>-</v>
      </c>
      <c r="I10" s="57" t="str">
        <f>IFERROR(SUMIFS('データ_全エリア'!X$4:X$6000,'データ_全エリア'!$C$4:$C$6000,$B10,'データ_全エリア'!$B$4:$B$6000,$C$3)/$E10,"-")</f>
        <v>-</v>
      </c>
      <c r="J10" s="57" t="str">
        <f>IFERROR(SUMIFS('データ_全エリア'!Y$4:Y$6000,'データ_全エリア'!$C$4:$C$6000,$B10,'データ_全エリア'!$B$4:$B$6000,$C$3)/$E10,"-")</f>
        <v>-</v>
      </c>
      <c r="K10" s="57" t="str">
        <f>IFERROR(SUMIFS('データ_全エリア'!Z$4:Z$6000,'データ_全エリア'!$C$4:$C$6000,$B10,'データ_全エリア'!$B$4:$B$6000,$C$3)/$E10,"-")</f>
        <v>-</v>
      </c>
      <c r="L10" s="57" t="str">
        <f>IFERROR(SUMIFS('データ_全エリア'!AA$4:AA$6000,'データ_全エリア'!$C$4:$C$6000,$B10,'データ_全エリア'!$B$4:$B$6000,$C$3)/$E10,"-")</f>
        <v>-</v>
      </c>
      <c r="M10" s="57" t="str">
        <f>IFERROR(SUMIFS('データ_全エリア'!AB$4:AB$6000,'データ_全エリア'!$C$4:$C$6000,$B10,'データ_全エリア'!$B$4:$B$6000,$C$3)/$F10,"-")</f>
        <v>-</v>
      </c>
      <c r="N10" s="57" t="str">
        <f>IFERROR(SUMIFS('データ_全エリア'!AC$4:AC$6000,'データ_全エリア'!$C$4:$C$6000,$B10,'データ_全エリア'!$B$4:$B$6000,$C$3)/$F10,"-")</f>
        <v>-</v>
      </c>
      <c r="O10" s="57" t="str">
        <f>IFERROR(SUMIFS('データ_全エリア'!AD$4:AD$6000,'データ_全エリア'!$C$4:$C$6000,$B10,'データ_全エリア'!$B$4:$B$6000,$C$3)/$F10,"-")</f>
        <v>-</v>
      </c>
      <c r="P10" s="57" t="str">
        <f>IFERROR(SUMIFS('データ_全エリア'!AE$4:AE$6000,'データ_全エリア'!$C$4:$C$6000,$B10,'データ_全エリア'!$B$4:$B$6000,$C$3)/$F10,"-")</f>
        <v>-</v>
      </c>
      <c r="Q10" s="57" t="str">
        <f>IFERROR(SUMIFS('データ_全エリア'!AF$4:AF$6000,'データ_全エリア'!$C$4:$C$6000,$B10,'データ_全エリア'!$B$4:$B$6000,$C$3)/$F10,"-")</f>
        <v>-</v>
      </c>
      <c r="R10" s="57" t="str">
        <f>IFERROR(SUMIFS('データ_全エリア'!AG$4:AG$6000,'データ_全エリア'!$C$4:$C$6000,$B10,'データ_全エリア'!$B$4:$B$6000,$C$3)/$F10,"-")</f>
        <v>-</v>
      </c>
    </row>
    <row r="11">
      <c r="B11" s="53" t="s">
        <v>43</v>
      </c>
      <c r="C11" s="55">
        <f>COUNTIFS('データ_全エリア'!$C$4:$C$6000,$B11,'データ_全エリア'!$B$4:$B$6000,$C$3,'データ_全エリア'!$S$4:$S$6000,"&gt;=0")</f>
        <v>0</v>
      </c>
      <c r="D11" s="55">
        <f>SUMIFS('データ_全エリア'!$F$4:$F$6000,'データ_全エリア'!$C$4:$C$6000,$B11,'データ_全エリア'!$B$4:$B$6000,$C$3)</f>
        <v>0</v>
      </c>
      <c r="E11" s="55">
        <f>SUMIFS('データ_全エリア'!$S$4:$S$6000,'データ_全エリア'!$C$4:$C$6000,$B11,'データ_全エリア'!$B$4:$B$6000,$C$3)</f>
        <v>0</v>
      </c>
      <c r="F11" s="55">
        <f>SUMIFS('データ_全エリア'!$T$4:$T$6000,'データ_全エリア'!$C$4:$C$6000,$B11,'データ_全エリア'!$B$4:$B$6000,$C$3)</f>
        <v>0</v>
      </c>
      <c r="G11" s="57" t="str">
        <f>IFERROR(SUMIFS('データ_全エリア'!V$4:V$6000,'データ_全エリア'!$C$4:$C$6000,$B11,'データ_全エリア'!$B$4:$B$6000,$C$3)/$E11,"-")</f>
        <v>-</v>
      </c>
      <c r="H11" s="57" t="str">
        <f>IFERROR(SUMIFS('データ_全エリア'!W$4:W$6000,'データ_全エリア'!$C$4:$C$6000,$B11,'データ_全エリア'!$B$4:$B$6000,$C$3)/$E11,"-")</f>
        <v>-</v>
      </c>
      <c r="I11" s="57" t="str">
        <f>IFERROR(SUMIFS('データ_全エリア'!X$4:X$6000,'データ_全エリア'!$C$4:$C$6000,$B11,'データ_全エリア'!$B$4:$B$6000,$C$3)/$E11,"-")</f>
        <v>-</v>
      </c>
      <c r="J11" s="57" t="str">
        <f>IFERROR(SUMIFS('データ_全エリア'!Y$4:Y$6000,'データ_全エリア'!$C$4:$C$6000,$B11,'データ_全エリア'!$B$4:$B$6000,$C$3)/$E11,"-")</f>
        <v>-</v>
      </c>
      <c r="K11" s="57" t="str">
        <f>IFERROR(SUMIFS('データ_全エリア'!Z$4:Z$6000,'データ_全エリア'!$C$4:$C$6000,$B11,'データ_全エリア'!$B$4:$B$6000,$C$3)/$E11,"-")</f>
        <v>-</v>
      </c>
      <c r="L11" s="57" t="str">
        <f>IFERROR(SUMIFS('データ_全エリア'!AA$4:AA$6000,'データ_全エリア'!$C$4:$C$6000,$B11,'データ_全エリア'!$B$4:$B$6000,$C$3)/$E11,"-")</f>
        <v>-</v>
      </c>
      <c r="M11" s="57" t="str">
        <f>IFERROR(SUMIFS('データ_全エリア'!AB$4:AB$6000,'データ_全エリア'!$C$4:$C$6000,$B11,'データ_全エリア'!$B$4:$B$6000,$C$3)/$F11,"-")</f>
        <v>-</v>
      </c>
      <c r="N11" s="57" t="str">
        <f>IFERROR(SUMIFS('データ_全エリア'!AC$4:AC$6000,'データ_全エリア'!$C$4:$C$6000,$B11,'データ_全エリア'!$B$4:$B$6000,$C$3)/$F11,"-")</f>
        <v>-</v>
      </c>
      <c r="O11" s="57" t="str">
        <f>IFERROR(SUMIFS('データ_全エリア'!AD$4:AD$6000,'データ_全エリア'!$C$4:$C$6000,$B11,'データ_全エリア'!$B$4:$B$6000,$C$3)/$F11,"-")</f>
        <v>-</v>
      </c>
      <c r="P11" s="57" t="str">
        <f>IFERROR(SUMIFS('データ_全エリア'!AE$4:AE$6000,'データ_全エリア'!$C$4:$C$6000,$B11,'データ_全エリア'!$B$4:$B$6000,$C$3)/$F11,"-")</f>
        <v>-</v>
      </c>
      <c r="Q11" s="57" t="str">
        <f>IFERROR(SUMIFS('データ_全エリア'!AF$4:AF$6000,'データ_全エリア'!$C$4:$C$6000,$B11,'データ_全エリア'!$B$4:$B$6000,$C$3)/$F11,"-")</f>
        <v>-</v>
      </c>
      <c r="R11" s="57" t="str">
        <f>IFERROR(SUMIFS('データ_全エリア'!AG$4:AG$6000,'データ_全エリア'!$C$4:$C$6000,$B11,'データ_全エリア'!$B$4:$B$6000,$C$3)/$F11,"-")</f>
        <v>-</v>
      </c>
    </row>
    <row r="12">
      <c r="B12" s="53" t="s">
        <v>49</v>
      </c>
      <c r="C12" s="55">
        <f>COUNTIFS('データ_全エリア'!$C$4:$C$6000,$B12,'データ_全エリア'!$B$4:$B$6000,$C$3,'データ_全エリア'!$S$4:$S$6000,"&gt;=0")</f>
        <v>0</v>
      </c>
      <c r="D12" s="55">
        <f>SUMIFS('データ_全エリア'!$F$4:$F$6000,'データ_全エリア'!$C$4:$C$6000,$B12,'データ_全エリア'!$B$4:$B$6000,$C$3)</f>
        <v>0</v>
      </c>
      <c r="E12" s="55">
        <f>SUMIFS('データ_全エリア'!$S$4:$S$6000,'データ_全エリア'!$C$4:$C$6000,$B12,'データ_全エリア'!$B$4:$B$6000,$C$3)</f>
        <v>0</v>
      </c>
      <c r="F12" s="55">
        <f>SUMIFS('データ_全エリア'!$T$4:$T$6000,'データ_全エリア'!$C$4:$C$6000,$B12,'データ_全エリア'!$B$4:$B$6000,$C$3)</f>
        <v>0</v>
      </c>
      <c r="G12" s="57" t="str">
        <f>IFERROR(SUMIFS('データ_全エリア'!V$4:V$6000,'データ_全エリア'!$C$4:$C$6000,$B12,'データ_全エリア'!$B$4:$B$6000,$C$3)/$E12,"-")</f>
        <v>-</v>
      </c>
      <c r="H12" s="57" t="str">
        <f>IFERROR(SUMIFS('データ_全エリア'!W$4:W$6000,'データ_全エリア'!$C$4:$C$6000,$B12,'データ_全エリア'!$B$4:$B$6000,$C$3)/$E12,"-")</f>
        <v>-</v>
      </c>
      <c r="I12" s="57" t="str">
        <f>IFERROR(SUMIFS('データ_全エリア'!X$4:X$6000,'データ_全エリア'!$C$4:$C$6000,$B12,'データ_全エリア'!$B$4:$B$6000,$C$3)/$E12,"-")</f>
        <v>-</v>
      </c>
      <c r="J12" s="57" t="str">
        <f>IFERROR(SUMIFS('データ_全エリア'!Y$4:Y$6000,'データ_全エリア'!$C$4:$C$6000,$B12,'データ_全エリア'!$B$4:$B$6000,$C$3)/$E12,"-")</f>
        <v>-</v>
      </c>
      <c r="K12" s="57" t="str">
        <f>IFERROR(SUMIFS('データ_全エリア'!Z$4:Z$6000,'データ_全エリア'!$C$4:$C$6000,$B12,'データ_全エリア'!$B$4:$B$6000,$C$3)/$E12,"-")</f>
        <v>-</v>
      </c>
      <c r="L12" s="57" t="str">
        <f>IFERROR(SUMIFS('データ_全エリア'!AA$4:AA$6000,'データ_全エリア'!$C$4:$C$6000,$B12,'データ_全エリア'!$B$4:$B$6000,$C$3)/$E12,"-")</f>
        <v>-</v>
      </c>
      <c r="M12" s="57" t="str">
        <f>IFERROR(SUMIFS('データ_全エリア'!AB$4:AB$6000,'データ_全エリア'!$C$4:$C$6000,$B12,'データ_全エリア'!$B$4:$B$6000,$C$3)/$F12,"-")</f>
        <v>-</v>
      </c>
      <c r="N12" s="57" t="str">
        <f>IFERROR(SUMIFS('データ_全エリア'!AC$4:AC$6000,'データ_全エリア'!$C$4:$C$6000,$B12,'データ_全エリア'!$B$4:$B$6000,$C$3)/$F12,"-")</f>
        <v>-</v>
      </c>
      <c r="O12" s="57" t="str">
        <f>IFERROR(SUMIFS('データ_全エリア'!AD$4:AD$6000,'データ_全エリア'!$C$4:$C$6000,$B12,'データ_全エリア'!$B$4:$B$6000,$C$3)/$F12,"-")</f>
        <v>-</v>
      </c>
      <c r="P12" s="57" t="str">
        <f>IFERROR(SUMIFS('データ_全エリア'!AE$4:AE$6000,'データ_全エリア'!$C$4:$C$6000,$B12,'データ_全エリア'!$B$4:$B$6000,$C$3)/$F12,"-")</f>
        <v>-</v>
      </c>
      <c r="Q12" s="57" t="str">
        <f>IFERROR(SUMIFS('データ_全エリア'!AF$4:AF$6000,'データ_全エリア'!$C$4:$C$6000,$B12,'データ_全エリア'!$B$4:$B$6000,$C$3)/$F12,"-")</f>
        <v>-</v>
      </c>
      <c r="R12" s="57" t="str">
        <f>IFERROR(SUMIFS('データ_全エリア'!AG$4:AG$6000,'データ_全エリア'!$C$4:$C$6000,$B12,'データ_全エリア'!$B$4:$B$6000,$C$3)/$F12,"-")</f>
        <v>-</v>
      </c>
    </row>
    <row r="13">
      <c r="B13" s="53" t="s">
        <v>57</v>
      </c>
      <c r="C13" s="55">
        <f>COUNTIFS('データ_全エリア'!$C$4:$C$6000,$B13,'データ_全エリア'!$B$4:$B$6000,$C$3,'データ_全エリア'!$S$4:$S$6000,"&gt;=0")</f>
        <v>0</v>
      </c>
      <c r="D13" s="55">
        <f>SUMIFS('データ_全エリア'!$F$4:$F$6000,'データ_全エリア'!$C$4:$C$6000,$B13,'データ_全エリア'!$B$4:$B$6000,$C$3)</f>
        <v>0</v>
      </c>
      <c r="E13" s="55">
        <f>SUMIFS('データ_全エリア'!$S$4:$S$6000,'データ_全エリア'!$C$4:$C$6000,$B13,'データ_全エリア'!$B$4:$B$6000,$C$3)</f>
        <v>0</v>
      </c>
      <c r="F13" s="55">
        <f>SUMIFS('データ_全エリア'!$T$4:$T$6000,'データ_全エリア'!$C$4:$C$6000,$B13,'データ_全エリア'!$B$4:$B$6000,$C$3)</f>
        <v>0</v>
      </c>
      <c r="G13" s="57" t="str">
        <f>IFERROR(SUMIFS('データ_全エリア'!V$4:V$6000,'データ_全エリア'!$C$4:$C$6000,$B13,'データ_全エリア'!$B$4:$B$6000,$C$3)/$E13,"-")</f>
        <v>-</v>
      </c>
      <c r="H13" s="57" t="str">
        <f>IFERROR(SUMIFS('データ_全エリア'!W$4:W$6000,'データ_全エリア'!$C$4:$C$6000,$B13,'データ_全エリア'!$B$4:$B$6000,$C$3)/$E13,"-")</f>
        <v>-</v>
      </c>
      <c r="I13" s="57" t="str">
        <f>IFERROR(SUMIFS('データ_全エリア'!X$4:X$6000,'データ_全エリア'!$C$4:$C$6000,$B13,'データ_全エリア'!$B$4:$B$6000,$C$3)/$E13,"-")</f>
        <v>-</v>
      </c>
      <c r="J13" s="57" t="str">
        <f>IFERROR(SUMIFS('データ_全エリア'!Y$4:Y$6000,'データ_全エリア'!$C$4:$C$6000,$B13,'データ_全エリア'!$B$4:$B$6000,$C$3)/$E13,"-")</f>
        <v>-</v>
      </c>
      <c r="K13" s="57" t="str">
        <f>IFERROR(SUMIFS('データ_全エリア'!Z$4:Z$6000,'データ_全エリア'!$C$4:$C$6000,$B13,'データ_全エリア'!$B$4:$B$6000,$C$3)/$E13,"-")</f>
        <v>-</v>
      </c>
      <c r="L13" s="57" t="str">
        <f>IFERROR(SUMIFS('データ_全エリア'!AA$4:AA$6000,'データ_全エリア'!$C$4:$C$6000,$B13,'データ_全エリア'!$B$4:$B$6000,$C$3)/$E13,"-")</f>
        <v>-</v>
      </c>
      <c r="M13" s="57" t="str">
        <f>IFERROR(SUMIFS('データ_全エリア'!AB$4:AB$6000,'データ_全エリア'!$C$4:$C$6000,$B13,'データ_全エリア'!$B$4:$B$6000,$C$3)/$F13,"-")</f>
        <v>-</v>
      </c>
      <c r="N13" s="57" t="str">
        <f>IFERROR(SUMIFS('データ_全エリア'!AC$4:AC$6000,'データ_全エリア'!$C$4:$C$6000,$B13,'データ_全エリア'!$B$4:$B$6000,$C$3)/$F13,"-")</f>
        <v>-</v>
      </c>
      <c r="O13" s="57" t="str">
        <f>IFERROR(SUMIFS('データ_全エリア'!AD$4:AD$6000,'データ_全エリア'!$C$4:$C$6000,$B13,'データ_全エリア'!$B$4:$B$6000,$C$3)/$F13,"-")</f>
        <v>-</v>
      </c>
      <c r="P13" s="57" t="str">
        <f>IFERROR(SUMIFS('データ_全エリア'!AE$4:AE$6000,'データ_全エリア'!$C$4:$C$6000,$B13,'データ_全エリア'!$B$4:$B$6000,$C$3)/$F13,"-")</f>
        <v>-</v>
      </c>
      <c r="Q13" s="57" t="str">
        <f>IFERROR(SUMIFS('データ_全エリア'!AF$4:AF$6000,'データ_全エリア'!$C$4:$C$6000,$B13,'データ_全エリア'!$B$4:$B$6000,$C$3)/$F13,"-")</f>
        <v>-</v>
      </c>
      <c r="R13" s="57" t="str">
        <f>IFERROR(SUMIFS('データ_全エリア'!AG$4:AG$6000,'データ_全エリア'!$C$4:$C$6000,$B13,'データ_全エリア'!$B$4:$B$6000,$C$3)/$F13,"-")</f>
        <v>-</v>
      </c>
    </row>
    <row r="14">
      <c r="B14" s="97" t="s">
        <v>104</v>
      </c>
      <c r="C14" s="98">
        <f>COUNTIFS('データ_全エリア'!$B$4:$B$6000,$C$3,'データ_全エリア'!$S$4:$S$6000,"&gt;=0")</f>
        <v>30</v>
      </c>
      <c r="D14" s="98">
        <f>SUMIFS('データ_全エリア'!$F$4:$F$6000,'データ_全エリア'!$B$4:$B$6000,$C$3)</f>
        <v>649</v>
      </c>
      <c r="E14" s="98">
        <f>SUMIFS('データ_全エリア'!$S$4:$S$6000,'データ_全エリア'!$B$4:$B$6000,$C$3)</f>
        <v>2154</v>
      </c>
      <c r="F14" s="98">
        <f>SUMIFS('データ_全エリア'!$T$4:$T$6000,'データ_全エリア'!$B$4:$B$6000,$C$3)</f>
        <v>1851</v>
      </c>
      <c r="G14" s="99">
        <f>IFERROR(SUMIFS('データ_全エリア'!V$4:V$6000,'データ_全エリア'!$B$4:$B$6000,$C$3)/$E14,"-")</f>
        <v>0.2790157846</v>
      </c>
      <c r="H14" s="99">
        <f>IFERROR(SUMIFS('データ_全エリア'!W$4:W$6000,'データ_全エリア'!$B$4:$B$6000,$C$3)/$E14,"-")</f>
        <v>0.0756731662</v>
      </c>
      <c r="I14" s="99">
        <f>IFERROR(SUMIFS('データ_全エリア'!X$4:X$6000,'データ_全エリア'!$B$4:$B$6000,$C$3)/$E14,"-")</f>
        <v>0.09099350046</v>
      </c>
      <c r="J14" s="99">
        <f>IFERROR(SUMIFS('データ_全エリア'!Y$4:Y$6000,'データ_全エリア'!$B$4:$B$6000,$C$3)/$E14,"-")</f>
        <v>0.1114206128</v>
      </c>
      <c r="K14" s="99">
        <f>IFERROR(SUMIFS('データ_全エリア'!Z$4:Z$6000,'データ_全エリア'!$B$4:$B$6000,$C$3)/$E14,"-")</f>
        <v>0.1415970288</v>
      </c>
      <c r="L14" s="99">
        <f>IFERROR(SUMIFS('データ_全エリア'!AA$4:AA$6000,'データ_全エリア'!$B$4:$B$6000,$C$3)/$E14,"-")</f>
        <v>0.3012999071</v>
      </c>
      <c r="M14" s="99">
        <f>IFERROR(SUMIFS('データ_全エリア'!AB$4:AB$6000,'データ_全エリア'!$B$4:$B$6000,$C$3)/$F14,"-")</f>
        <v>0.2112371691</v>
      </c>
      <c r="N14" s="99">
        <f>IFERROR(SUMIFS('データ_全エリア'!AC$4:AC$6000,'データ_全エリア'!$B$4:$B$6000,$C$3)/$F14,"-")</f>
        <v>0.0680713128</v>
      </c>
      <c r="O14" s="99">
        <f>IFERROR(SUMIFS('データ_全エリア'!AD$4:AD$6000,'データ_全エリア'!$B$4:$B$6000,$C$3)/$F14,"-")</f>
        <v>0.08806050783</v>
      </c>
      <c r="P14" s="99">
        <f>IFERROR(SUMIFS('データ_全エリア'!AE$4:AE$6000,'データ_全エリア'!$B$4:$B$6000,$C$3)/$F14,"-")</f>
        <v>0.1258779038</v>
      </c>
      <c r="Q14" s="99">
        <f>IFERROR(SUMIFS('データ_全エリア'!AF$4:AF$6000,'データ_全エリア'!$B$4:$B$6000,$C$3)/$F14,"-")</f>
        <v>0.1561318206</v>
      </c>
      <c r="R14" s="99">
        <f>IFERROR(SUMIFS('データ_全エリア'!AG$4:AG$6000,'データ_全エリア'!$B$4:$B$6000,$C$3)/$F14,"-")</f>
        <v>0.3506212858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G4:L4"/>
    <mergeCell ref="M4:R4"/>
  </mergeCells>
  <dataValidations>
    <dataValidation type="list" allowBlank="1" sqref="C3">
      <formula1>'各エリア_マスタURL貼付'!$H$3:$H1001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2.0"/>
    <col customWidth="1" min="2" max="2" width="26.0"/>
    <col customWidth="1" min="3" max="3" width="150.0"/>
    <col customWidth="1" min="4" max="26" width="8.71"/>
  </cols>
  <sheetData>
    <row r="1">
      <c r="B1" s="79" t="s">
        <v>80</v>
      </c>
    </row>
    <row r="3">
      <c r="B3" s="80" t="s">
        <v>81</v>
      </c>
      <c r="C3" s="81" t="s">
        <v>82</v>
      </c>
    </row>
    <row r="4">
      <c r="B4" s="82" t="s">
        <v>83</v>
      </c>
      <c r="C4" s="81" t="s">
        <v>84</v>
      </c>
    </row>
    <row r="5">
      <c r="B5" s="80" t="s">
        <v>85</v>
      </c>
      <c r="C5" s="83" t="s">
        <v>86</v>
      </c>
    </row>
    <row r="6">
      <c r="B6" s="80" t="s">
        <v>87</v>
      </c>
      <c r="C6" s="83" t="s">
        <v>88</v>
      </c>
    </row>
    <row r="7">
      <c r="B7" s="80" t="s">
        <v>89</v>
      </c>
      <c r="C7" s="83" t="s">
        <v>90</v>
      </c>
    </row>
    <row r="9">
      <c r="B9" s="84" t="s">
        <v>91</v>
      </c>
    </row>
    <row r="10">
      <c r="B10" s="63" t="s">
        <v>92</v>
      </c>
      <c r="C10" s="85" t="s">
        <v>93</v>
      </c>
    </row>
    <row r="12">
      <c r="B12" s="86" t="s">
        <v>94</v>
      </c>
      <c r="C12" s="87" t="s">
        <v>95</v>
      </c>
    </row>
    <row r="13">
      <c r="B13" s="86" t="s">
        <v>96</v>
      </c>
      <c r="C13" s="87" t="s">
        <v>97</v>
      </c>
    </row>
    <row r="14">
      <c r="B14" s="86" t="s">
        <v>98</v>
      </c>
      <c r="C14" s="87" t="s">
        <v>99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 outlineLevelCol="1"/>
  <sheetData>
    <row r="1">
      <c r="A1" s="88" t="s">
        <v>100</v>
      </c>
      <c r="B1" s="89"/>
    </row>
    <row r="3">
      <c r="A3" s="41" t="s">
        <v>62</v>
      </c>
      <c r="B3" s="90">
        <v>46296.0</v>
      </c>
    </row>
    <row r="4">
      <c r="G4" s="91" t="s">
        <v>22</v>
      </c>
      <c r="H4" s="15"/>
      <c r="I4" s="15"/>
      <c r="J4" s="15"/>
      <c r="K4" s="15"/>
      <c r="L4" s="17"/>
      <c r="M4" s="91" t="s">
        <v>24</v>
      </c>
      <c r="N4" s="15"/>
      <c r="O4" s="15"/>
      <c r="P4" s="15"/>
      <c r="Q4" s="15"/>
      <c r="R4" s="17"/>
    </row>
    <row r="5">
      <c r="B5" s="92" t="s">
        <v>42</v>
      </c>
      <c r="C5" s="92" t="s">
        <v>66</v>
      </c>
      <c r="D5" s="92" t="s">
        <v>28</v>
      </c>
      <c r="E5" s="92" t="s">
        <v>101</v>
      </c>
      <c r="F5" s="92" t="s">
        <v>102</v>
      </c>
      <c r="G5" s="71" t="s">
        <v>29</v>
      </c>
      <c r="H5" s="72" t="s">
        <v>31</v>
      </c>
      <c r="I5" s="93" t="s">
        <v>32</v>
      </c>
      <c r="J5" s="94" t="s">
        <v>33</v>
      </c>
      <c r="K5" s="75" t="s">
        <v>36</v>
      </c>
      <c r="L5" s="76" t="s">
        <v>38</v>
      </c>
      <c r="M5" s="71" t="s">
        <v>29</v>
      </c>
      <c r="N5" s="72" t="s">
        <v>31</v>
      </c>
      <c r="O5" s="93" t="s">
        <v>32</v>
      </c>
      <c r="P5" s="94" t="s">
        <v>33</v>
      </c>
      <c r="Q5" s="75" t="s">
        <v>36</v>
      </c>
      <c r="R5" s="76" t="s">
        <v>38</v>
      </c>
    </row>
    <row r="6">
      <c r="B6" s="95" t="s">
        <v>103</v>
      </c>
      <c r="C6" s="96">
        <f>COUNTIFS('データ_全エリア'!$U$4:$U$6000,$B6,'データ_全エリア'!$B$4:$B$6000,$B$3,'データ_全エリア'!$S$4:$S$6000,"&gt;=0")</f>
        <v>15</v>
      </c>
      <c r="D6" s="96">
        <f>SUMIFS('データ_全エリア'!$F$4:$F$6000,'データ_全エリア'!$U$4:$U$6000,$B6,'データ_全エリア'!$B$4:$B$6000,$B$3)</f>
        <v>246</v>
      </c>
      <c r="E6" s="96">
        <f>SUMIFS('データ_全エリア'!$S$4:$S$6000,'データ_全エリア'!$U$4:$U$6000,$B6,'データ_全エリア'!$B$4:$B$6000,$B$3)</f>
        <v>1015</v>
      </c>
      <c r="F6" s="96">
        <f>SUMIFS('データ_全エリア'!$T$4:$T$6000,'データ_全エリア'!$U$4:$U$6000,$B6,'データ_全エリア'!$B$4:$B$6000,$B$3)</f>
        <v>925</v>
      </c>
      <c r="G6" s="78">
        <f>IFERROR(SUMIFS('データ_全エリア'!V$4:V$6000,'データ_全エリア'!$U$4:$U$6000,$B6,'データ_全エリア'!$B$4:$B$6000,$B$3)/$E6,"-")</f>
        <v>0.2413793103</v>
      </c>
      <c r="H6" s="78">
        <f>IFERROR(SUMIFS('データ_全エリア'!W$4:W$6000,'データ_全エリア'!$U$4:$U$6000,$B6,'データ_全エリア'!$B$4:$B$6000,$B$3)/$E6,"-")</f>
        <v>0.07980295567</v>
      </c>
      <c r="I6" s="78">
        <f>IFERROR(SUMIFS('データ_全エリア'!X$4:X$6000,'データ_全エリア'!$U$4:$U$6000,$B6,'データ_全エリア'!$B$4:$B$6000,$B$3)/$E6,"-")</f>
        <v>0.154679803</v>
      </c>
      <c r="J6" s="78">
        <f>IFERROR(SUMIFS('データ_全エリア'!Y$4:Y$6000,'データ_全エリア'!$U$4:$U$6000,$B6,'データ_全エリア'!$B$4:$B$6000,$B$3)/$E6,"-")</f>
        <v>0.1133004926</v>
      </c>
      <c r="K6" s="78">
        <f>IFERROR(SUMIFS('データ_全エリア'!Z$4:Z$6000,'データ_全エリア'!$U$4:$U$6000,$B6,'データ_全エリア'!$B$4:$B$6000,$B$3)/$E6,"-")</f>
        <v>0.1684729064</v>
      </c>
      <c r="L6" s="78">
        <f>IFERROR(SUMIFS('データ_全エリア'!AA$4:AA$6000,'データ_全エリア'!$U$4:$U$6000,$B6,'データ_全エリア'!$B$4:$B$6000,$B$3)/$E6,"-")</f>
        <v>0.242364532</v>
      </c>
      <c r="M6" s="78">
        <f>IFERROR(SUMIFS('データ_全エリア'!AB$4:AB$6000,'データ_全エリア'!$U$4:$U$6000,$B6,'データ_全エリア'!$B$4:$B$6000,$B$3)/$F6,"-")</f>
        <v>0.2108108108</v>
      </c>
      <c r="N6" s="78">
        <f>IFERROR(SUMIFS('データ_全エリア'!AC$4:AC$6000,'データ_全エリア'!$U$4:$U$6000,$B6,'データ_全エリア'!$B$4:$B$6000,$B$3)/$F6,"-")</f>
        <v>0.08108108108</v>
      </c>
      <c r="O6" s="78">
        <f>IFERROR(SUMIFS('データ_全エリア'!AD$4:AD$6000,'データ_全エリア'!$U$4:$U$6000,$B6,'データ_全エリア'!$B$4:$B$6000,$B$3)/$F6,"-")</f>
        <v>0.1394594595</v>
      </c>
      <c r="P6" s="78">
        <f>IFERROR(SUMIFS('データ_全エリア'!AE$4:AE$6000,'データ_全エリア'!$U$4:$U$6000,$B6,'データ_全エリア'!$B$4:$B$6000,$B$3)/$F6,"-")</f>
        <v>0.1221621622</v>
      </c>
      <c r="Q6" s="78">
        <f>IFERROR(SUMIFS('データ_全エリア'!AF$4:AF$6000,'データ_全エリア'!$U$4:$U$6000,$B6,'データ_全エリア'!$B$4:$B$6000,$B$3)/$F6,"-")</f>
        <v>0.1805405405</v>
      </c>
      <c r="R6" s="78">
        <f>IFERROR(SUMIFS('データ_全エリア'!AG$4:AG$6000,'データ_全エリア'!$U$4:$U$6000,$B6,'データ_全エリア'!$B$4:$B$6000,$B$3)/$F6,"-")</f>
        <v>0.2659459459</v>
      </c>
    </row>
    <row r="7">
      <c r="B7" s="95" t="s">
        <v>105</v>
      </c>
      <c r="C7" s="96">
        <f>COUNTIFS('データ_全エリア'!$U$4:$U$6000,$B7,'データ_全エリア'!$B$4:$B$6000,$B$3,'データ_全エリア'!$S$4:$S$6000,"&gt;=0")</f>
        <v>9</v>
      </c>
      <c r="D7" s="96">
        <f>SUMIFS('データ_全エリア'!$F$4:$F$6000,'データ_全エリア'!$U$4:$U$6000,$B7,'データ_全エリア'!$B$4:$B$6000,$B$3)</f>
        <v>258</v>
      </c>
      <c r="E7" s="96">
        <f>SUMIFS('データ_全エリア'!$S$4:$S$6000,'データ_全エリア'!$U$4:$U$6000,$B7,'データ_全エリア'!$B$4:$B$6000,$B$3)</f>
        <v>258</v>
      </c>
      <c r="F7" s="96">
        <f>SUMIFS('データ_全エリア'!$T$4:$T$6000,'データ_全エリア'!$U$4:$U$6000,$B7,'データ_全エリア'!$B$4:$B$6000,$B$3)</f>
        <v>258</v>
      </c>
      <c r="G7" s="78">
        <f>IFERROR(SUMIFS('データ_全エリア'!V$4:V$6000,'データ_全エリア'!$U$4:$U$6000,$B7,'データ_全エリア'!$B$4:$B$6000,$B$3)/$E7,"-")</f>
        <v>0</v>
      </c>
      <c r="H7" s="78">
        <f>IFERROR(SUMIFS('データ_全エリア'!W$4:W$6000,'データ_全エリア'!$U$4:$U$6000,$B7,'データ_全エリア'!$B$4:$B$6000,$B$3)/$E7,"-")</f>
        <v>0</v>
      </c>
      <c r="I7" s="78">
        <f>IFERROR(SUMIFS('データ_全エリア'!X$4:X$6000,'データ_全エリア'!$U$4:$U$6000,$B7,'データ_全エリア'!$B$4:$B$6000,$B$3)/$E7,"-")</f>
        <v>0</v>
      </c>
      <c r="J7" s="78">
        <f>IFERROR(SUMIFS('データ_全エリア'!Y$4:Y$6000,'データ_全エリア'!$U$4:$U$6000,$B7,'データ_全エリア'!$B$4:$B$6000,$B$3)/$E7,"-")</f>
        <v>0</v>
      </c>
      <c r="K7" s="78">
        <f>IFERROR(SUMIFS('データ_全エリア'!Z$4:Z$6000,'データ_全エリア'!$U$4:$U$6000,$B7,'データ_全エリア'!$B$4:$B$6000,$B$3)/$E7,"-")</f>
        <v>0</v>
      </c>
      <c r="L7" s="78">
        <f>IFERROR(SUMIFS('データ_全エリア'!AA$4:AA$6000,'データ_全エリア'!$U$4:$U$6000,$B7,'データ_全エリア'!$B$4:$B$6000,$B$3)/$E7,"-")</f>
        <v>1</v>
      </c>
      <c r="M7" s="78">
        <f>IFERROR(SUMIFS('データ_全エリア'!AB$4:AB$6000,'データ_全エリア'!$U$4:$U$6000,$B7,'データ_全エリア'!$B$4:$B$6000,$B$3)/$F7,"-")</f>
        <v>0</v>
      </c>
      <c r="N7" s="78">
        <f>IFERROR(SUMIFS('データ_全エリア'!AC$4:AC$6000,'データ_全エリア'!$U$4:$U$6000,$B7,'データ_全エリア'!$B$4:$B$6000,$B$3)/$F7,"-")</f>
        <v>0</v>
      </c>
      <c r="O7" s="78">
        <f>IFERROR(SUMIFS('データ_全エリア'!AD$4:AD$6000,'データ_全エリア'!$U$4:$U$6000,$B7,'データ_全エリア'!$B$4:$B$6000,$B$3)/$F7,"-")</f>
        <v>0</v>
      </c>
      <c r="P7" s="78">
        <f>IFERROR(SUMIFS('データ_全エリア'!AE$4:AE$6000,'データ_全エリア'!$U$4:$U$6000,$B7,'データ_全エリア'!$B$4:$B$6000,$B$3)/$F7,"-")</f>
        <v>0</v>
      </c>
      <c r="Q7" s="78">
        <f>IFERROR(SUMIFS('データ_全エリア'!AF$4:AF$6000,'データ_全エリア'!$U$4:$U$6000,$B7,'データ_全エリア'!$B$4:$B$6000,$B$3)/$F7,"-")</f>
        <v>0</v>
      </c>
      <c r="R7" s="78">
        <f>IFERROR(SUMIFS('データ_全エリア'!AG$4:AG$6000,'データ_全エリア'!$U$4:$U$6000,$B7,'データ_全エリア'!$B$4:$B$6000,$B$3)/$F7,"-")</f>
        <v>1</v>
      </c>
    </row>
    <row r="8">
      <c r="B8" s="95" t="s">
        <v>106</v>
      </c>
      <c r="C8" s="96">
        <f>COUNTIFS('データ_全エリア'!$U$4:$U$6000,$B8,'データ_全エリア'!$B$4:$B$6000,$B$3,'データ_全エリア'!$S$4:$S$6000,"&gt;=0")</f>
        <v>2</v>
      </c>
      <c r="D8" s="96">
        <f>SUMIFS('データ_全エリア'!$F$4:$F$6000,'データ_全エリア'!$U$4:$U$6000,$B8,'データ_全エリア'!$B$4:$B$6000,$B$3)</f>
        <v>47</v>
      </c>
      <c r="E8" s="96">
        <f>SUMIFS('データ_全エリア'!$S$4:$S$6000,'データ_全エリア'!$U$4:$U$6000,$B8,'データ_全エリア'!$B$4:$B$6000,$B$3)</f>
        <v>47</v>
      </c>
      <c r="F8" s="96">
        <f>SUMIFS('データ_全エリア'!$T$4:$T$6000,'データ_全エリア'!$U$4:$U$6000,$B8,'データ_全エリア'!$B$4:$B$6000,$B$3)</f>
        <v>47</v>
      </c>
      <c r="G8" s="78">
        <f>IFERROR(SUMIFS('データ_全エリア'!V$4:V$6000,'データ_全エリア'!$U$4:$U$6000,$B8,'データ_全エリア'!$B$4:$B$6000,$B$3)/$E8,"-")</f>
        <v>0</v>
      </c>
      <c r="H8" s="78">
        <f>IFERROR(SUMIFS('データ_全エリア'!W$4:W$6000,'データ_全エリア'!$U$4:$U$6000,$B8,'データ_全エリア'!$B$4:$B$6000,$B$3)/$E8,"-")</f>
        <v>0</v>
      </c>
      <c r="I8" s="78">
        <f>IFERROR(SUMIFS('データ_全エリア'!X$4:X$6000,'データ_全エリア'!$U$4:$U$6000,$B8,'データ_全エリア'!$B$4:$B$6000,$B$3)/$E8,"-")</f>
        <v>0</v>
      </c>
      <c r="J8" s="78">
        <f>IFERROR(SUMIFS('データ_全エリア'!Y$4:Y$6000,'データ_全エリア'!$U$4:$U$6000,$B8,'データ_全エリア'!$B$4:$B$6000,$B$3)/$E8,"-")</f>
        <v>0</v>
      </c>
      <c r="K8" s="78">
        <f>IFERROR(SUMIFS('データ_全エリア'!Z$4:Z$6000,'データ_全エリア'!$U$4:$U$6000,$B8,'データ_全エリア'!$B$4:$B$6000,$B$3)/$E8,"-")</f>
        <v>0</v>
      </c>
      <c r="L8" s="78">
        <f>IFERROR(SUMIFS('データ_全エリア'!AA$4:AA$6000,'データ_全エリア'!$U$4:$U$6000,$B8,'データ_全エリア'!$B$4:$B$6000,$B$3)/$E8,"-")</f>
        <v>1</v>
      </c>
      <c r="M8" s="78">
        <f>IFERROR(SUMIFS('データ_全エリア'!AB$4:AB$6000,'データ_全エリア'!$U$4:$U$6000,$B8,'データ_全エリア'!$B$4:$B$6000,$B$3)/$F8,"-")</f>
        <v>0</v>
      </c>
      <c r="N8" s="78">
        <f>IFERROR(SUMIFS('データ_全エリア'!AC$4:AC$6000,'データ_全エリア'!$U$4:$U$6000,$B8,'データ_全エリア'!$B$4:$B$6000,$B$3)/$F8,"-")</f>
        <v>0</v>
      </c>
      <c r="O8" s="78">
        <f>IFERROR(SUMIFS('データ_全エリア'!AD$4:AD$6000,'データ_全エリア'!$U$4:$U$6000,$B8,'データ_全エリア'!$B$4:$B$6000,$B$3)/$F8,"-")</f>
        <v>0</v>
      </c>
      <c r="P8" s="78">
        <f>IFERROR(SUMIFS('データ_全エリア'!AE$4:AE$6000,'データ_全エリア'!$U$4:$U$6000,$B8,'データ_全エリア'!$B$4:$B$6000,$B$3)/$F8,"-")</f>
        <v>0</v>
      </c>
      <c r="Q8" s="78">
        <f>IFERROR(SUMIFS('データ_全エリア'!AF$4:AF$6000,'データ_全エリア'!$U$4:$U$6000,$B8,'データ_全エリア'!$B$4:$B$6000,$B$3)/$F8,"-")</f>
        <v>0</v>
      </c>
      <c r="R8" s="78">
        <f>IFERROR(SUMIFS('データ_全エリア'!AG$4:AG$6000,'データ_全エリア'!$U$4:$U$6000,$B8,'データ_全エリア'!$B$4:$B$6000,$B$3)/$F8,"-")</f>
        <v>1</v>
      </c>
    </row>
    <row r="9">
      <c r="B9" s="95" t="s">
        <v>107</v>
      </c>
      <c r="C9" s="96">
        <f>COUNTIFS('データ_全エリア'!$U$4:$U$6000,$B9,'データ_全エリア'!$B$4:$B$6000,$B$3,'データ_全エリア'!$S$4:$S$6000,"&gt;=0")</f>
        <v>4</v>
      </c>
      <c r="D9" s="96">
        <f>SUMIFS('データ_全エリア'!$F$4:$F$6000,'データ_全エリア'!$U$4:$U$6000,$B9,'データ_全エリア'!$B$4:$B$6000,$B$3)</f>
        <v>98</v>
      </c>
      <c r="E9" s="96">
        <f>SUMIFS('データ_全エリア'!$S$4:$S$6000,'データ_全エリア'!$U$4:$U$6000,$B9,'データ_全エリア'!$B$4:$B$6000,$B$3)</f>
        <v>834</v>
      </c>
      <c r="F9" s="96">
        <f>SUMIFS('データ_全エリア'!$T$4:$T$6000,'データ_全エリア'!$U$4:$U$6000,$B9,'データ_全エリア'!$B$4:$B$6000,$B$3)</f>
        <v>621</v>
      </c>
      <c r="G9" s="78">
        <f>IFERROR(SUMIFS('データ_全エリア'!V$4:V$6000,'データ_全エリア'!$U$4:$U$6000,$B9,'データ_全エリア'!$B$4:$B$6000,$B$3)/$E9,"-")</f>
        <v>0.4268585132</v>
      </c>
      <c r="H9" s="78">
        <f>IFERROR(SUMIFS('データ_全エリア'!W$4:W$6000,'データ_全エリア'!$U$4:$U$6000,$B9,'データ_全エリア'!$B$4:$B$6000,$B$3)/$E9,"-")</f>
        <v>0.09832134293</v>
      </c>
      <c r="I9" s="78">
        <f>IFERROR(SUMIFS('データ_全エリア'!X$4:X$6000,'データ_全エリア'!$U$4:$U$6000,$B9,'データ_全エリア'!$B$4:$B$6000,$B$3)/$E9,"-")</f>
        <v>0.04676258993</v>
      </c>
      <c r="J9" s="78">
        <f>IFERROR(SUMIFS('データ_全エリア'!Y$4:Y$6000,'データ_全エリア'!$U$4:$U$6000,$B9,'データ_全エリア'!$B$4:$B$6000,$B$3)/$E9,"-")</f>
        <v>0.1498800959</v>
      </c>
      <c r="K9" s="78">
        <f>IFERROR(SUMIFS('データ_全エリア'!Z$4:Z$6000,'データ_全エリア'!$U$4:$U$6000,$B9,'データ_全エリア'!$B$4:$B$6000,$B$3)/$E9,"-")</f>
        <v>0.1606714628</v>
      </c>
      <c r="L9" s="78">
        <f>IFERROR(SUMIFS('データ_全エリア'!AA$4:AA$6000,'データ_全エリア'!$U$4:$U$6000,$B9,'データ_全エリア'!$B$4:$B$6000,$B$3)/$E9,"-")</f>
        <v>0.1175059952</v>
      </c>
      <c r="M9" s="78">
        <f>IFERROR(SUMIFS('データ_全エリア'!AB$4:AB$6000,'データ_全エリア'!$U$4:$U$6000,$B9,'データ_全エリア'!$B$4:$B$6000,$B$3)/$F9,"-")</f>
        <v>0.3156199678</v>
      </c>
      <c r="N9" s="78">
        <f>IFERROR(SUMIFS('データ_全エリア'!AC$4:AC$6000,'データ_全エリア'!$U$4:$U$6000,$B9,'データ_全エリア'!$B$4:$B$6000,$B$3)/$F9,"-")</f>
        <v>0.08212560386</v>
      </c>
      <c r="O9" s="78">
        <f>IFERROR(SUMIFS('データ_全エリア'!AD$4:AD$6000,'データ_全エリア'!$U$4:$U$6000,$B9,'データ_全エリア'!$B$4:$B$6000,$B$3)/$F9,"-")</f>
        <v>0.05475040258</v>
      </c>
      <c r="P9" s="78">
        <f>IFERROR(SUMIFS('データ_全エリア'!AE$4:AE$6000,'データ_全エリア'!$U$4:$U$6000,$B9,'データ_全エリア'!$B$4:$B$6000,$B$3)/$F9,"-")</f>
        <v>0.193236715</v>
      </c>
      <c r="Q9" s="78">
        <f>IFERROR(SUMIFS('データ_全エリア'!AF$4:AF$6000,'データ_全エリア'!$U$4:$U$6000,$B9,'データ_全エリア'!$B$4:$B$6000,$B$3)/$F9,"-")</f>
        <v>0.1964573269</v>
      </c>
      <c r="R9" s="78">
        <f>IFERROR(SUMIFS('データ_全エリア'!AG$4:AG$6000,'データ_全エリア'!$U$4:$U$6000,$B9,'データ_全エリア'!$B$4:$B$6000,$B$3)/$F9,"-")</f>
        <v>0.1578099839</v>
      </c>
    </row>
    <row r="10">
      <c r="B10" s="100" t="s">
        <v>108</v>
      </c>
      <c r="C10" s="101">
        <f>COUNTIFS('データ_全エリア'!$B$4:$B$6000,$B$3,'データ_全エリア'!$S$4:$S$6000,"&gt;=0")</f>
        <v>30</v>
      </c>
      <c r="D10" s="101">
        <f>SUMIFS('データ_全エリア'!$F$4:$F$6000,'データ_全エリア'!$B$4:$B$6000,$B$3)</f>
        <v>649</v>
      </c>
      <c r="E10" s="101">
        <f>SUMIFS('データ_全エリア'!$S$4:$S$6000,'データ_全エリア'!$B$4:$B$6000,$B$3)</f>
        <v>2154</v>
      </c>
      <c r="F10" s="101">
        <f>SUMIFS('データ_全エリア'!$T$4:$T$6000,'データ_全エリア'!$B$4:$B$6000,$B$3)</f>
        <v>1851</v>
      </c>
      <c r="G10" s="102">
        <f>IFERROR(SUMIFS('データ_全エリア'!V$4:V$6000,'データ_全エリア'!$B$4:$B$6000,$B$3)/$E10,"-")</f>
        <v>0.2790157846</v>
      </c>
      <c r="H10" s="102">
        <f>IFERROR(SUMIFS('データ_全エリア'!W$4:W$6000,'データ_全エリア'!$B$4:$B$6000,$B$3)/$E10,"-")</f>
        <v>0.0756731662</v>
      </c>
      <c r="I10" s="102">
        <f>IFERROR(SUMIFS('データ_全エリア'!X$4:X$6000,'データ_全エリア'!$B$4:$B$6000,$B$3)/$E10,"-")</f>
        <v>0.09099350046</v>
      </c>
      <c r="J10" s="102">
        <f>IFERROR(SUMIFS('データ_全エリア'!Y$4:Y$6000,'データ_全エリア'!$B$4:$B$6000,$B$3)/$E10,"-")</f>
        <v>0.1114206128</v>
      </c>
      <c r="K10" s="102">
        <f>IFERROR(SUMIFS('データ_全エリア'!Z$4:Z$6000,'データ_全エリア'!$B$4:$B$6000,$B$3)/$E10,"-")</f>
        <v>0.1415970288</v>
      </c>
      <c r="L10" s="102">
        <f>IFERROR(SUMIFS('データ_全エリア'!AA$4:AA$6000,'データ_全エリア'!$B$4:$B$6000,$B$3)/$E10,"-")</f>
        <v>0.3012999071</v>
      </c>
      <c r="M10" s="102">
        <f>IFERROR(SUMIFS('データ_全エリア'!AB$4:AB$6000,'データ_全エリア'!$B$4:$B$6000,$B$3)/$F10,"-")</f>
        <v>0.2112371691</v>
      </c>
      <c r="N10" s="102">
        <f>IFERROR(SUMIFS('データ_全エリア'!AC$4:AC$6000,'データ_全エリア'!$B$4:$B$6000,$B$3)/$F10,"-")</f>
        <v>0.0680713128</v>
      </c>
      <c r="O10" s="102">
        <f>IFERROR(SUMIFS('データ_全エリア'!AD$4:AD$6000,'データ_全エリア'!$B$4:$B$6000,$B$3)/$F10,"-")</f>
        <v>0.08806050783</v>
      </c>
      <c r="P10" s="102">
        <f>IFERROR(SUMIFS('データ_全エリア'!AE$4:AE$6000,'データ_全エリア'!$B$4:$B$6000,$B$3)/$F10,"-")</f>
        <v>0.1258779038</v>
      </c>
      <c r="Q10" s="102">
        <f>IFERROR(SUMIFS('データ_全エリア'!AF$4:AF$6000,'データ_全エリア'!$B$4:$B$6000,$B$3)/$F10,"-")</f>
        <v>0.1561318206</v>
      </c>
      <c r="R10" s="102">
        <f>IFERROR(SUMIFS('データ_全エリア'!AG$4:AG$6000,'データ_全エリア'!$B$4:$B$6000,$B$3)/$F10,"-")</f>
        <v>0.3506212858</v>
      </c>
    </row>
  </sheetData>
  <mergeCells count="2">
    <mergeCell ref="G4:L4"/>
    <mergeCell ref="M4:R4"/>
  </mergeCells>
  <dataValidations>
    <dataValidation type="list" allowBlank="1" sqref="B3">
      <formula1>'各エリア_マスタURL貼付'!$H$3:$H1001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 outlineLevelCol="1"/>
  <cols>
    <col customWidth="1" min="2" max="2" width="39.29"/>
  </cols>
  <sheetData>
    <row r="1">
      <c r="A1" s="88" t="s">
        <v>23</v>
      </c>
    </row>
    <row r="2" ht="21.75" customHeight="1"/>
    <row r="3" ht="21.75" customHeight="1">
      <c r="A3" s="41" t="s">
        <v>8</v>
      </c>
      <c r="B3" s="103" t="s">
        <v>37</v>
      </c>
      <c r="C3" s="104"/>
      <c r="D3" s="105"/>
    </row>
    <row r="4" ht="21.75" customHeight="1">
      <c r="A4" s="41" t="s">
        <v>62</v>
      </c>
      <c r="B4" s="90">
        <v>46296.0</v>
      </c>
      <c r="C4" s="104"/>
      <c r="D4" s="105"/>
    </row>
    <row r="5">
      <c r="D5" s="106" t="s">
        <v>22</v>
      </c>
      <c r="E5" s="107"/>
      <c r="F5" s="107"/>
      <c r="G5" s="107"/>
      <c r="H5" s="107"/>
      <c r="I5" s="108"/>
      <c r="J5" s="91" t="s">
        <v>24</v>
      </c>
      <c r="K5" s="15"/>
      <c r="L5" s="15"/>
      <c r="M5" s="15"/>
      <c r="N5" s="15"/>
      <c r="O5" s="17"/>
    </row>
    <row r="6">
      <c r="B6" s="109" t="s">
        <v>27</v>
      </c>
      <c r="C6" s="110" t="s">
        <v>28</v>
      </c>
      <c r="D6" s="111" t="s">
        <v>29</v>
      </c>
      <c r="E6" s="112" t="s">
        <v>31</v>
      </c>
      <c r="F6" s="113" t="s">
        <v>32</v>
      </c>
      <c r="G6" s="114" t="s">
        <v>33</v>
      </c>
      <c r="H6" s="115" t="s">
        <v>36</v>
      </c>
      <c r="I6" s="116" t="s">
        <v>38</v>
      </c>
      <c r="J6" s="111" t="s">
        <v>29</v>
      </c>
      <c r="K6" s="112" t="s">
        <v>31</v>
      </c>
      <c r="L6" s="113" t="s">
        <v>32</v>
      </c>
      <c r="M6" s="114" t="s">
        <v>33</v>
      </c>
      <c r="N6" s="115" t="s">
        <v>36</v>
      </c>
      <c r="O6" s="116" t="s">
        <v>38</v>
      </c>
      <c r="P6" s="110" t="s">
        <v>8</v>
      </c>
    </row>
    <row r="7">
      <c r="B7" s="117" t="str">
        <f>IFERROR(__xludf.DUMMYFUNCTION("IFERROR(SORT(FILTER({'データ_全エリア'!$E$4:$E$6000,'データ_全エリア'!$F$4:$F$6000,'データ_全エリア'!$G$4:$R$6000,'データ_全エリア'!$C$4:$C$6000},'データ_全エリア'!$D$4:$D$6000&lt;&gt;"""",'データ_全エリア'!$B$4:$B$6000=$B$4,(('データ_全エリア'!$C$4:$C$6000=$B$3)+($B$3="""")+($B$3=""ALL""))&gt;0),8,FALSE),"""")"),"Tecc LIFE SELECT 須坂店")</f>
        <v>Tecc LIFE SELECT 須坂店</v>
      </c>
      <c r="C7" s="118" t="str">
        <f>IFERROR(__xludf.DUMMYFUNCTION("""COMPUTED_VALUE"""),"-")</f>
        <v>-</v>
      </c>
      <c r="D7" s="119" t="str">
        <f>IFERROR(__xludf.DUMMYFUNCTION("""COMPUTED_VALUE"""),"-")</f>
        <v>-</v>
      </c>
      <c r="E7" s="119" t="str">
        <f>IFERROR(__xludf.DUMMYFUNCTION("""COMPUTED_VALUE"""),"-")</f>
        <v>-</v>
      </c>
      <c r="F7" s="119" t="str">
        <f>IFERROR(__xludf.DUMMYFUNCTION("""COMPUTED_VALUE"""),"-")</f>
        <v>-</v>
      </c>
      <c r="G7" s="119" t="str">
        <f>IFERROR(__xludf.DUMMYFUNCTION("""COMPUTED_VALUE"""),"-")</f>
        <v>-</v>
      </c>
      <c r="H7" s="119" t="str">
        <f>IFERROR(__xludf.DUMMYFUNCTION("""COMPUTED_VALUE"""),"-")</f>
        <v>-</v>
      </c>
      <c r="I7" s="119" t="str">
        <f>IFERROR(__xludf.DUMMYFUNCTION("""COMPUTED_VALUE"""),"-")</f>
        <v>-</v>
      </c>
      <c r="J7" s="119" t="str">
        <f>IFERROR(__xludf.DUMMYFUNCTION("""COMPUTED_VALUE"""),"-")</f>
        <v>-</v>
      </c>
      <c r="K7" s="119" t="str">
        <f>IFERROR(__xludf.DUMMYFUNCTION("""COMPUTED_VALUE"""),"-")</f>
        <v>-</v>
      </c>
      <c r="L7" s="119" t="str">
        <f>IFERROR(__xludf.DUMMYFUNCTION("""COMPUTED_VALUE"""),"-")</f>
        <v>-</v>
      </c>
      <c r="M7" s="119" t="str">
        <f>IFERROR(__xludf.DUMMYFUNCTION("""COMPUTED_VALUE"""),"-")</f>
        <v>-</v>
      </c>
      <c r="N7" s="119" t="str">
        <f>IFERROR(__xludf.DUMMYFUNCTION("""COMPUTED_VALUE"""),"-")</f>
        <v>-</v>
      </c>
      <c r="O7" s="119" t="str">
        <f>IFERROR(__xludf.DUMMYFUNCTION("""COMPUTED_VALUE"""),"-")</f>
        <v>-</v>
      </c>
      <c r="P7" s="120" t="str">
        <f>IFERROR(__xludf.DUMMYFUNCTION("""COMPUTED_VALUE"""),"信越")</f>
        <v>信越</v>
      </c>
    </row>
    <row r="8">
      <c r="B8" s="117" t="str">
        <f>IFERROR(__xludf.DUMMYFUNCTION("""COMPUTED_VALUE"""),"Tecc LIFE SELECT 松本本店")</f>
        <v>Tecc LIFE SELECT 松本本店</v>
      </c>
      <c r="C8" s="118">
        <f>IFERROR(__xludf.DUMMYFUNCTION("""COMPUTED_VALUE"""),0.0)</f>
        <v>0</v>
      </c>
      <c r="D8" s="119" t="str">
        <f>IFERROR(__xludf.DUMMYFUNCTION("""COMPUTED_VALUE"""),"-")</f>
        <v>-</v>
      </c>
      <c r="E8" s="119" t="str">
        <f>IFERROR(__xludf.DUMMYFUNCTION("""COMPUTED_VALUE"""),"-")</f>
        <v>-</v>
      </c>
      <c r="F8" s="119" t="str">
        <f>IFERROR(__xludf.DUMMYFUNCTION("""COMPUTED_VALUE"""),"-")</f>
        <v>-</v>
      </c>
      <c r="G8" s="119" t="str">
        <f>IFERROR(__xludf.DUMMYFUNCTION("""COMPUTED_VALUE"""),"-")</f>
        <v>-</v>
      </c>
      <c r="H8" s="119" t="str">
        <f>IFERROR(__xludf.DUMMYFUNCTION("""COMPUTED_VALUE"""),"-")</f>
        <v>-</v>
      </c>
      <c r="I8" s="119" t="str">
        <f>IFERROR(__xludf.DUMMYFUNCTION("""COMPUTED_VALUE"""),"-")</f>
        <v>-</v>
      </c>
      <c r="J8" s="119" t="str">
        <f>IFERROR(__xludf.DUMMYFUNCTION("""COMPUTED_VALUE"""),"-")</f>
        <v>-</v>
      </c>
      <c r="K8" s="119" t="str">
        <f>IFERROR(__xludf.DUMMYFUNCTION("""COMPUTED_VALUE"""),"-")</f>
        <v>-</v>
      </c>
      <c r="L8" s="119" t="str">
        <f>IFERROR(__xludf.DUMMYFUNCTION("""COMPUTED_VALUE"""),"-")</f>
        <v>-</v>
      </c>
      <c r="M8" s="119" t="str">
        <f>IFERROR(__xludf.DUMMYFUNCTION("""COMPUTED_VALUE"""),"-")</f>
        <v>-</v>
      </c>
      <c r="N8" s="119" t="str">
        <f>IFERROR(__xludf.DUMMYFUNCTION("""COMPUTED_VALUE"""),"-")</f>
        <v>-</v>
      </c>
      <c r="O8" s="119" t="str">
        <f>IFERROR(__xludf.DUMMYFUNCTION("""COMPUTED_VALUE"""),"-")</f>
        <v>-</v>
      </c>
      <c r="P8" s="120" t="str">
        <f>IFERROR(__xludf.DUMMYFUNCTION("""COMPUTED_VALUE"""),"信越")</f>
        <v>信越</v>
      </c>
    </row>
    <row r="9">
      <c r="B9" s="117" t="str">
        <f>IFERROR(__xludf.DUMMYFUNCTION("""COMPUTED_VALUE"""),"テックランド 新潟錦町本店")</f>
        <v>テックランド 新潟錦町本店</v>
      </c>
      <c r="C9" s="118">
        <f>IFERROR(__xludf.DUMMYFUNCTION("""COMPUTED_VALUE"""),14.0)</f>
        <v>14</v>
      </c>
      <c r="D9" s="119">
        <f>IFERROR(__xludf.DUMMYFUNCTION("""COMPUTED_VALUE"""),0.0)</f>
        <v>0</v>
      </c>
      <c r="E9" s="119">
        <f>IFERROR(__xludf.DUMMYFUNCTION("""COMPUTED_VALUE"""),0.0)</f>
        <v>0</v>
      </c>
      <c r="F9" s="119">
        <f>IFERROR(__xludf.DUMMYFUNCTION("""COMPUTED_VALUE"""),0.0)</f>
        <v>0</v>
      </c>
      <c r="G9" s="119">
        <f>IFERROR(__xludf.DUMMYFUNCTION("""COMPUTED_VALUE"""),0.0)</f>
        <v>0</v>
      </c>
      <c r="H9" s="119">
        <f>IFERROR(__xludf.DUMMYFUNCTION("""COMPUTED_VALUE"""),0.0)</f>
        <v>0</v>
      </c>
      <c r="I9" s="119">
        <f>IFERROR(__xludf.DUMMYFUNCTION("""COMPUTED_VALUE"""),1.0)</f>
        <v>1</v>
      </c>
      <c r="J9" s="119">
        <f>IFERROR(__xludf.DUMMYFUNCTION("""COMPUTED_VALUE"""),0.0)</f>
        <v>0</v>
      </c>
      <c r="K9" s="119">
        <f>IFERROR(__xludf.DUMMYFUNCTION("""COMPUTED_VALUE"""),0.0)</f>
        <v>0</v>
      </c>
      <c r="L9" s="119">
        <f>IFERROR(__xludf.DUMMYFUNCTION("""COMPUTED_VALUE"""),0.0)</f>
        <v>0</v>
      </c>
      <c r="M9" s="119">
        <f>IFERROR(__xludf.DUMMYFUNCTION("""COMPUTED_VALUE"""),0.0)</f>
        <v>0</v>
      </c>
      <c r="N9" s="119">
        <f>IFERROR(__xludf.DUMMYFUNCTION("""COMPUTED_VALUE"""),0.0)</f>
        <v>0</v>
      </c>
      <c r="O9" s="119">
        <f>IFERROR(__xludf.DUMMYFUNCTION("""COMPUTED_VALUE"""),1.0)</f>
        <v>1</v>
      </c>
      <c r="P9" s="120" t="str">
        <f>IFERROR(__xludf.DUMMYFUNCTION("""COMPUTED_VALUE"""),"信越")</f>
        <v>信越</v>
      </c>
    </row>
    <row r="10">
      <c r="B10" s="117" t="str">
        <f>IFERROR(__xludf.DUMMYFUNCTION("""COMPUTED_VALUE"""),"テックランド 亀田店")</f>
        <v>テックランド 亀田店</v>
      </c>
      <c r="C10" s="118">
        <f>IFERROR(__xludf.DUMMYFUNCTION("""COMPUTED_VALUE"""),23.0)</f>
        <v>23</v>
      </c>
      <c r="D10" s="119">
        <f>IFERROR(__xludf.DUMMYFUNCTION("""COMPUTED_VALUE"""),0.0)</f>
        <v>0</v>
      </c>
      <c r="E10" s="119">
        <f>IFERROR(__xludf.DUMMYFUNCTION("""COMPUTED_VALUE"""),0.0)</f>
        <v>0</v>
      </c>
      <c r="F10" s="119">
        <f>IFERROR(__xludf.DUMMYFUNCTION("""COMPUTED_VALUE"""),0.0)</f>
        <v>0</v>
      </c>
      <c r="G10" s="119">
        <f>IFERROR(__xludf.DUMMYFUNCTION("""COMPUTED_VALUE"""),0.0)</f>
        <v>0</v>
      </c>
      <c r="H10" s="119">
        <f>IFERROR(__xludf.DUMMYFUNCTION("""COMPUTED_VALUE"""),0.0)</f>
        <v>0</v>
      </c>
      <c r="I10" s="119">
        <f>IFERROR(__xludf.DUMMYFUNCTION("""COMPUTED_VALUE"""),1.0)</f>
        <v>1</v>
      </c>
      <c r="J10" s="119">
        <f>IFERROR(__xludf.DUMMYFUNCTION("""COMPUTED_VALUE"""),0.0)</f>
        <v>0</v>
      </c>
      <c r="K10" s="119">
        <f>IFERROR(__xludf.DUMMYFUNCTION("""COMPUTED_VALUE"""),0.0)</f>
        <v>0</v>
      </c>
      <c r="L10" s="119">
        <f>IFERROR(__xludf.DUMMYFUNCTION("""COMPUTED_VALUE"""),0.0)</f>
        <v>0</v>
      </c>
      <c r="M10" s="119">
        <f>IFERROR(__xludf.DUMMYFUNCTION("""COMPUTED_VALUE"""),0.0)</f>
        <v>0</v>
      </c>
      <c r="N10" s="119">
        <f>IFERROR(__xludf.DUMMYFUNCTION("""COMPUTED_VALUE"""),0.0)</f>
        <v>0</v>
      </c>
      <c r="O10" s="119">
        <f>IFERROR(__xludf.DUMMYFUNCTION("""COMPUTED_VALUE"""),1.0)</f>
        <v>1</v>
      </c>
      <c r="P10" s="120" t="str">
        <f>IFERROR(__xludf.DUMMYFUNCTION("""COMPUTED_VALUE"""),"信越")</f>
        <v>信越</v>
      </c>
    </row>
    <row r="11">
      <c r="B11" s="117" t="str">
        <f>IFERROR(__xludf.DUMMYFUNCTION("""COMPUTED_VALUE"""),"ケーズデンキ 上越インター店")</f>
        <v>ケーズデンキ 上越インター店</v>
      </c>
      <c r="C11" s="118">
        <f>IFERROR(__xludf.DUMMYFUNCTION("""COMPUTED_VALUE"""),20.0)</f>
        <v>20</v>
      </c>
      <c r="D11" s="119">
        <f>IFERROR(__xludf.DUMMYFUNCTION("""COMPUTED_VALUE"""),0.0)</f>
        <v>0</v>
      </c>
      <c r="E11" s="119">
        <f>IFERROR(__xludf.DUMMYFUNCTION("""COMPUTED_VALUE"""),0.0)</f>
        <v>0</v>
      </c>
      <c r="F11" s="119">
        <f>IFERROR(__xludf.DUMMYFUNCTION("""COMPUTED_VALUE"""),0.0)</f>
        <v>0</v>
      </c>
      <c r="G11" s="119">
        <f>IFERROR(__xludf.DUMMYFUNCTION("""COMPUTED_VALUE"""),0.0)</f>
        <v>0</v>
      </c>
      <c r="H11" s="119">
        <f>IFERROR(__xludf.DUMMYFUNCTION("""COMPUTED_VALUE"""),0.0)</f>
        <v>0</v>
      </c>
      <c r="I11" s="119">
        <f>IFERROR(__xludf.DUMMYFUNCTION("""COMPUTED_VALUE"""),1.0)</f>
        <v>1</v>
      </c>
      <c r="J11" s="119">
        <f>IFERROR(__xludf.DUMMYFUNCTION("""COMPUTED_VALUE"""),0.0)</f>
        <v>0</v>
      </c>
      <c r="K11" s="119">
        <f>IFERROR(__xludf.DUMMYFUNCTION("""COMPUTED_VALUE"""),0.0)</f>
        <v>0</v>
      </c>
      <c r="L11" s="119">
        <f>IFERROR(__xludf.DUMMYFUNCTION("""COMPUTED_VALUE"""),0.0)</f>
        <v>0</v>
      </c>
      <c r="M11" s="119">
        <f>IFERROR(__xludf.DUMMYFUNCTION("""COMPUTED_VALUE"""),0.0)</f>
        <v>0</v>
      </c>
      <c r="N11" s="119">
        <f>IFERROR(__xludf.DUMMYFUNCTION("""COMPUTED_VALUE"""),0.0)</f>
        <v>0</v>
      </c>
      <c r="O11" s="119">
        <f>IFERROR(__xludf.DUMMYFUNCTION("""COMPUTED_VALUE"""),1.0)</f>
        <v>1</v>
      </c>
      <c r="P11" s="120" t="str">
        <f>IFERROR(__xludf.DUMMYFUNCTION("""COMPUTED_VALUE"""),"信越")</f>
        <v>信越</v>
      </c>
    </row>
    <row r="12">
      <c r="B12" s="117" t="str">
        <f>IFERROR(__xludf.DUMMYFUNCTION("""COMPUTED_VALUE"""),"ケーズデンキ 女池インター本店")</f>
        <v>ケーズデンキ 女池インター本店</v>
      </c>
      <c r="C12" s="118">
        <f>IFERROR(__xludf.DUMMYFUNCTION("""COMPUTED_VALUE"""),32.0)</f>
        <v>32</v>
      </c>
      <c r="D12" s="119">
        <f>IFERROR(__xludf.DUMMYFUNCTION("""COMPUTED_VALUE"""),0.0)</f>
        <v>0</v>
      </c>
      <c r="E12" s="119">
        <f>IFERROR(__xludf.DUMMYFUNCTION("""COMPUTED_VALUE"""),0.0)</f>
        <v>0</v>
      </c>
      <c r="F12" s="119">
        <f>IFERROR(__xludf.DUMMYFUNCTION("""COMPUTED_VALUE"""),0.0)</f>
        <v>0</v>
      </c>
      <c r="G12" s="119">
        <f>IFERROR(__xludf.DUMMYFUNCTION("""COMPUTED_VALUE"""),0.0)</f>
        <v>0</v>
      </c>
      <c r="H12" s="119">
        <f>IFERROR(__xludf.DUMMYFUNCTION("""COMPUTED_VALUE"""),0.0)</f>
        <v>0</v>
      </c>
      <c r="I12" s="119">
        <f>IFERROR(__xludf.DUMMYFUNCTION("""COMPUTED_VALUE"""),1.0)</f>
        <v>1</v>
      </c>
      <c r="J12" s="119">
        <f>IFERROR(__xludf.DUMMYFUNCTION("""COMPUTED_VALUE"""),0.0)</f>
        <v>0</v>
      </c>
      <c r="K12" s="119">
        <f>IFERROR(__xludf.DUMMYFUNCTION("""COMPUTED_VALUE"""),0.0)</f>
        <v>0</v>
      </c>
      <c r="L12" s="119">
        <f>IFERROR(__xludf.DUMMYFUNCTION("""COMPUTED_VALUE"""),0.0)</f>
        <v>0</v>
      </c>
      <c r="M12" s="119">
        <f>IFERROR(__xludf.DUMMYFUNCTION("""COMPUTED_VALUE"""),0.0)</f>
        <v>0</v>
      </c>
      <c r="N12" s="119">
        <f>IFERROR(__xludf.DUMMYFUNCTION("""COMPUTED_VALUE"""),0.0)</f>
        <v>0</v>
      </c>
      <c r="O12" s="119">
        <f>IFERROR(__xludf.DUMMYFUNCTION("""COMPUTED_VALUE"""),1.0)</f>
        <v>1</v>
      </c>
      <c r="P12" s="120" t="str">
        <f>IFERROR(__xludf.DUMMYFUNCTION("""COMPUTED_VALUE"""),"信越")</f>
        <v>信越</v>
      </c>
    </row>
    <row r="13">
      <c r="B13" s="117" t="str">
        <f>IFERROR(__xludf.DUMMYFUNCTION("""COMPUTED_VALUE"""),"エディオン 塩尻店")</f>
        <v>エディオン 塩尻店</v>
      </c>
      <c r="C13" s="118">
        <f>IFERROR(__xludf.DUMMYFUNCTION("""COMPUTED_VALUE"""),24.0)</f>
        <v>24</v>
      </c>
      <c r="D13" s="119">
        <f>IFERROR(__xludf.DUMMYFUNCTION("""COMPUTED_VALUE"""),0.0)</f>
        <v>0</v>
      </c>
      <c r="E13" s="119">
        <f>IFERROR(__xludf.DUMMYFUNCTION("""COMPUTED_VALUE"""),0.0)</f>
        <v>0</v>
      </c>
      <c r="F13" s="119">
        <f>IFERROR(__xludf.DUMMYFUNCTION("""COMPUTED_VALUE"""),0.0)</f>
        <v>0</v>
      </c>
      <c r="G13" s="119">
        <f>IFERROR(__xludf.DUMMYFUNCTION("""COMPUTED_VALUE"""),0.0)</f>
        <v>0</v>
      </c>
      <c r="H13" s="119">
        <f>IFERROR(__xludf.DUMMYFUNCTION("""COMPUTED_VALUE"""),0.0)</f>
        <v>0</v>
      </c>
      <c r="I13" s="119">
        <f>IFERROR(__xludf.DUMMYFUNCTION("""COMPUTED_VALUE"""),1.0)</f>
        <v>1</v>
      </c>
      <c r="J13" s="119">
        <f>IFERROR(__xludf.DUMMYFUNCTION("""COMPUTED_VALUE"""),0.0)</f>
        <v>0</v>
      </c>
      <c r="K13" s="119">
        <f>IFERROR(__xludf.DUMMYFUNCTION("""COMPUTED_VALUE"""),0.0)</f>
        <v>0</v>
      </c>
      <c r="L13" s="119">
        <f>IFERROR(__xludf.DUMMYFUNCTION("""COMPUTED_VALUE"""),0.0)</f>
        <v>0</v>
      </c>
      <c r="M13" s="119">
        <f>IFERROR(__xludf.DUMMYFUNCTION("""COMPUTED_VALUE"""),0.0)</f>
        <v>0</v>
      </c>
      <c r="N13" s="119">
        <f>IFERROR(__xludf.DUMMYFUNCTION("""COMPUTED_VALUE"""),0.0)</f>
        <v>0</v>
      </c>
      <c r="O13" s="119">
        <f>IFERROR(__xludf.DUMMYFUNCTION("""COMPUTED_VALUE"""),1.0)</f>
        <v>1</v>
      </c>
      <c r="P13" s="120" t="str">
        <f>IFERROR(__xludf.DUMMYFUNCTION("""COMPUTED_VALUE"""),"信越")</f>
        <v>信越</v>
      </c>
    </row>
    <row r="14">
      <c r="B14" s="117" t="str">
        <f>IFERROR(__xludf.DUMMYFUNCTION("""COMPUTED_VALUE"""),"ジョーシン 燕三条店")</f>
        <v>ジョーシン 燕三条店</v>
      </c>
      <c r="C14" s="118">
        <f>IFERROR(__xludf.DUMMYFUNCTION("""COMPUTED_VALUE"""),20.0)</f>
        <v>20</v>
      </c>
      <c r="D14" s="119">
        <f>IFERROR(__xludf.DUMMYFUNCTION("""COMPUTED_VALUE"""),0.4578313253012048)</f>
        <v>0.4578313253</v>
      </c>
      <c r="E14" s="119">
        <f>IFERROR(__xludf.DUMMYFUNCTION("""COMPUTED_VALUE"""),0.03614457831325301)</f>
        <v>0.03614457831</v>
      </c>
      <c r="F14" s="119">
        <f>IFERROR(__xludf.DUMMYFUNCTION("""COMPUTED_VALUE"""),0.0)</f>
        <v>0</v>
      </c>
      <c r="G14" s="119">
        <f>IFERROR(__xludf.DUMMYFUNCTION("""COMPUTED_VALUE"""),0.08433734939759036)</f>
        <v>0.0843373494</v>
      </c>
      <c r="H14" s="119">
        <f>IFERROR(__xludf.DUMMYFUNCTION("""COMPUTED_VALUE"""),0.18072289156626506)</f>
        <v>0.1807228916</v>
      </c>
      <c r="I14" s="119">
        <f>IFERROR(__xludf.DUMMYFUNCTION("""COMPUTED_VALUE"""),0.24096385542168675)</f>
        <v>0.2409638554</v>
      </c>
      <c r="J14" s="119">
        <f>IFERROR(__xludf.DUMMYFUNCTION("""COMPUTED_VALUE"""),0.36363636363636365)</f>
        <v>0.3636363636</v>
      </c>
      <c r="K14" s="119">
        <f>IFERROR(__xludf.DUMMYFUNCTION("""COMPUTED_VALUE"""),0.045454545454545456)</f>
        <v>0.04545454545</v>
      </c>
      <c r="L14" s="119">
        <f>IFERROR(__xludf.DUMMYFUNCTION("""COMPUTED_VALUE"""),0.0)</f>
        <v>0</v>
      </c>
      <c r="M14" s="119">
        <f>IFERROR(__xludf.DUMMYFUNCTION("""COMPUTED_VALUE"""),0.10606060606060606)</f>
        <v>0.1060606061</v>
      </c>
      <c r="N14" s="119">
        <f>IFERROR(__xludf.DUMMYFUNCTION("""COMPUTED_VALUE"""),0.18181818181818182)</f>
        <v>0.1818181818</v>
      </c>
      <c r="O14" s="119">
        <f>IFERROR(__xludf.DUMMYFUNCTION("""COMPUTED_VALUE"""),0.30303030303030304)</f>
        <v>0.303030303</v>
      </c>
      <c r="P14" s="120" t="str">
        <f>IFERROR(__xludf.DUMMYFUNCTION("""COMPUTED_VALUE"""),"信越")</f>
        <v>信越</v>
      </c>
    </row>
    <row r="15">
      <c r="B15" s="117" t="str">
        <f>IFERROR(__xludf.DUMMYFUNCTION("""COMPUTED_VALUE"""),"YAMADA web.com 長岡店")</f>
        <v>YAMADA web.com 長岡店</v>
      </c>
      <c r="C15" s="118">
        <f>IFERROR(__xludf.DUMMYFUNCTION("""COMPUTED_VALUE"""),31.0)</f>
        <v>31</v>
      </c>
      <c r="D15" s="119">
        <f>IFERROR(__xludf.DUMMYFUNCTION("""COMPUTED_VALUE"""),0.2623762376237624)</f>
        <v>0.2623762376</v>
      </c>
      <c r="E15" s="119">
        <f>IFERROR(__xludf.DUMMYFUNCTION("""COMPUTED_VALUE"""),0.0594059405940594)</f>
        <v>0.05940594059</v>
      </c>
      <c r="F15" s="119">
        <f>IFERROR(__xludf.DUMMYFUNCTION("""COMPUTED_VALUE"""),0.12871287128712872)</f>
        <v>0.1287128713</v>
      </c>
      <c r="G15" s="119">
        <f>IFERROR(__xludf.DUMMYFUNCTION("""COMPUTED_VALUE"""),0.1188118811881188)</f>
        <v>0.1188118812</v>
      </c>
      <c r="H15" s="119">
        <f>IFERROR(__xludf.DUMMYFUNCTION("""COMPUTED_VALUE"""),0.27722772277227725)</f>
        <v>0.2772277228</v>
      </c>
      <c r="I15" s="119">
        <f>IFERROR(__xludf.DUMMYFUNCTION("""COMPUTED_VALUE"""),0.15346534653465346)</f>
        <v>0.1534653465</v>
      </c>
      <c r="J15" s="119">
        <f>IFERROR(__xludf.DUMMYFUNCTION("""COMPUTED_VALUE"""),0.2303370786516854)</f>
        <v>0.2303370787</v>
      </c>
      <c r="K15" s="119">
        <f>IFERROR(__xludf.DUMMYFUNCTION("""COMPUTED_VALUE"""),0.06179775280898876)</f>
        <v>0.06179775281</v>
      </c>
      <c r="L15" s="119">
        <f>IFERROR(__xludf.DUMMYFUNCTION("""COMPUTED_VALUE"""),0.10674157303370786)</f>
        <v>0.106741573</v>
      </c>
      <c r="M15" s="119">
        <f>IFERROR(__xludf.DUMMYFUNCTION("""COMPUTED_VALUE"""),0.12359550561797752)</f>
        <v>0.1235955056</v>
      </c>
      <c r="N15" s="119">
        <f>IFERROR(__xludf.DUMMYFUNCTION("""COMPUTED_VALUE"""),0.30337078651685395)</f>
        <v>0.3033707865</v>
      </c>
      <c r="O15" s="119">
        <f>IFERROR(__xludf.DUMMYFUNCTION("""COMPUTED_VALUE"""),0.17415730337078653)</f>
        <v>0.1741573034</v>
      </c>
      <c r="P15" s="120" t="str">
        <f>IFERROR(__xludf.DUMMYFUNCTION("""COMPUTED_VALUE"""),"信越")</f>
        <v>信越</v>
      </c>
    </row>
    <row r="16">
      <c r="B16" s="117" t="str">
        <f>IFERROR(__xludf.DUMMYFUNCTION("""COMPUTED_VALUE"""),"ジョーシン 上越店")</f>
        <v>ジョーシン 上越店</v>
      </c>
      <c r="C16" s="118">
        <f>IFERROR(__xludf.DUMMYFUNCTION("""COMPUTED_VALUE"""),23.0)</f>
        <v>23</v>
      </c>
      <c r="D16" s="119">
        <f>IFERROR(__xludf.DUMMYFUNCTION("""COMPUTED_VALUE"""),0.47023809523809523)</f>
        <v>0.4702380952</v>
      </c>
      <c r="E16" s="119">
        <f>IFERROR(__xludf.DUMMYFUNCTION("""COMPUTED_VALUE"""),0.08928571428571429)</f>
        <v>0.08928571429</v>
      </c>
      <c r="F16" s="119">
        <f>IFERROR(__xludf.DUMMYFUNCTION("""COMPUTED_VALUE"""),0.041666666666666664)</f>
        <v>0.04166666667</v>
      </c>
      <c r="G16" s="119">
        <f>IFERROR(__xludf.DUMMYFUNCTION("""COMPUTED_VALUE"""),0.13690476190476192)</f>
        <v>0.1369047619</v>
      </c>
      <c r="H16" s="119">
        <f>IFERROR(__xludf.DUMMYFUNCTION("""COMPUTED_VALUE"""),0.125)</f>
        <v>0.125</v>
      </c>
      <c r="I16" s="119">
        <f>IFERROR(__xludf.DUMMYFUNCTION("""COMPUTED_VALUE"""),0.13690476190476192)</f>
        <v>0.1369047619</v>
      </c>
      <c r="J16" s="119">
        <f>IFERROR(__xludf.DUMMYFUNCTION("""COMPUTED_VALUE"""),0.2916666666666667)</f>
        <v>0.2916666667</v>
      </c>
      <c r="K16" s="119">
        <f>IFERROR(__xludf.DUMMYFUNCTION("""COMPUTED_VALUE"""),0.09166666666666666)</f>
        <v>0.09166666667</v>
      </c>
      <c r="L16" s="119">
        <f>IFERROR(__xludf.DUMMYFUNCTION("""COMPUTED_VALUE"""),0.058333333333333334)</f>
        <v>0.05833333333</v>
      </c>
      <c r="M16" s="119">
        <f>IFERROR(__xludf.DUMMYFUNCTION("""COMPUTED_VALUE"""),0.19166666666666668)</f>
        <v>0.1916666667</v>
      </c>
      <c r="N16" s="119">
        <f>IFERROR(__xludf.DUMMYFUNCTION("""COMPUTED_VALUE"""),0.175)</f>
        <v>0.175</v>
      </c>
      <c r="O16" s="119">
        <f>IFERROR(__xludf.DUMMYFUNCTION("""COMPUTED_VALUE"""),0.19166666666666668)</f>
        <v>0.1916666667</v>
      </c>
      <c r="P16" s="120" t="str">
        <f>IFERROR(__xludf.DUMMYFUNCTION("""COMPUTED_VALUE"""),"信越")</f>
        <v>信越</v>
      </c>
    </row>
    <row r="17">
      <c r="B17" s="117" t="str">
        <f>IFERROR(__xludf.DUMMYFUNCTION("""COMPUTED_VALUE"""),"ジョーシン 長岡愛宕店")</f>
        <v>ジョーシン 長岡愛宕店</v>
      </c>
      <c r="C17" s="118">
        <f>IFERROR(__xludf.DUMMYFUNCTION("""COMPUTED_VALUE"""),19.0)</f>
        <v>19</v>
      </c>
      <c r="D17" s="119">
        <f>IFERROR(__xludf.DUMMYFUNCTION("""COMPUTED_VALUE"""),0.4576271186440678)</f>
        <v>0.4576271186</v>
      </c>
      <c r="E17" s="119">
        <f>IFERROR(__xludf.DUMMYFUNCTION("""COMPUTED_VALUE"""),0.14124293785310735)</f>
        <v>0.1412429379</v>
      </c>
      <c r="F17" s="119">
        <f>IFERROR(__xludf.DUMMYFUNCTION("""COMPUTED_VALUE"""),0.04519774011299435)</f>
        <v>0.04519774011</v>
      </c>
      <c r="G17" s="119">
        <f>IFERROR(__xludf.DUMMYFUNCTION("""COMPUTED_VALUE"""),0.1638418079096045)</f>
        <v>0.1638418079</v>
      </c>
      <c r="H17" s="119">
        <f>IFERROR(__xludf.DUMMYFUNCTION("""COMPUTED_VALUE"""),0.0847457627118644)</f>
        <v>0.08474576271</v>
      </c>
      <c r="I17" s="119">
        <f>IFERROR(__xludf.DUMMYFUNCTION("""COMPUTED_VALUE"""),0.10734463276836158)</f>
        <v>0.1073446328</v>
      </c>
      <c r="J17" s="119">
        <f>IFERROR(__xludf.DUMMYFUNCTION("""COMPUTED_VALUE"""),0.28703703703703703)</f>
        <v>0.287037037</v>
      </c>
      <c r="K17" s="119">
        <f>IFERROR(__xludf.DUMMYFUNCTION("""COMPUTED_VALUE"""),0.12037037037037036)</f>
        <v>0.1203703704</v>
      </c>
      <c r="L17" s="119">
        <f>IFERROR(__xludf.DUMMYFUNCTION("""COMPUTED_VALUE"""),0.05555555555555555)</f>
        <v>0.05555555556</v>
      </c>
      <c r="M17" s="119">
        <f>IFERROR(__xludf.DUMMYFUNCTION("""COMPUTED_VALUE"""),0.23148148148148148)</f>
        <v>0.2314814815</v>
      </c>
      <c r="N17" s="119">
        <f>IFERROR(__xludf.DUMMYFUNCTION("""COMPUTED_VALUE"""),0.12962962962962962)</f>
        <v>0.1296296296</v>
      </c>
      <c r="O17" s="119">
        <f>IFERROR(__xludf.DUMMYFUNCTION("""COMPUTED_VALUE"""),0.17592592592592593)</f>
        <v>0.1759259259</v>
      </c>
      <c r="P17" s="120" t="str">
        <f>IFERROR(__xludf.DUMMYFUNCTION("""COMPUTED_VALUE"""),"信越")</f>
        <v>信越</v>
      </c>
    </row>
    <row r="18">
      <c r="B18" s="117" t="str">
        <f>IFERROR(__xludf.DUMMYFUNCTION("""COMPUTED_VALUE"""),"ジョーシン 亀貝店")</f>
        <v>ジョーシン 亀貝店</v>
      </c>
      <c r="C18" s="118">
        <f>IFERROR(__xludf.DUMMYFUNCTION("""COMPUTED_VALUE"""),36.0)</f>
        <v>36</v>
      </c>
      <c r="D18" s="119">
        <f>IFERROR(__xludf.DUMMYFUNCTION("""COMPUTED_VALUE"""),0.3891625615763547)</f>
        <v>0.3891625616</v>
      </c>
      <c r="E18" s="119">
        <f>IFERROR(__xludf.DUMMYFUNCTION("""COMPUTED_VALUE"""),0.0960591133004926)</f>
        <v>0.0960591133</v>
      </c>
      <c r="F18" s="119">
        <f>IFERROR(__xludf.DUMMYFUNCTION("""COMPUTED_VALUE"""),0.059113300492610835)</f>
        <v>0.05911330049</v>
      </c>
      <c r="G18" s="119">
        <f>IFERROR(__xludf.DUMMYFUNCTION("""COMPUTED_VALUE"""),0.1625615763546798)</f>
        <v>0.1625615764</v>
      </c>
      <c r="H18" s="119">
        <f>IFERROR(__xludf.DUMMYFUNCTION("""COMPUTED_VALUE"""),0.2044334975369458)</f>
        <v>0.2044334975</v>
      </c>
      <c r="I18" s="119">
        <f>IFERROR(__xludf.DUMMYFUNCTION("""COMPUTED_VALUE"""),0.08866995073891626)</f>
        <v>0.08866995074</v>
      </c>
      <c r="J18" s="119">
        <f>IFERROR(__xludf.DUMMYFUNCTION("""COMPUTED_VALUE"""),0.3241590214067278)</f>
        <v>0.3241590214</v>
      </c>
      <c r="K18" s="119">
        <f>IFERROR(__xludf.DUMMYFUNCTION("""COMPUTED_VALUE"""),0.07339449541284404)</f>
        <v>0.07339449541</v>
      </c>
      <c r="L18" s="119">
        <f>IFERROR(__xludf.DUMMYFUNCTION("""COMPUTED_VALUE"""),0.06422018348623854)</f>
        <v>0.06422018349</v>
      </c>
      <c r="M18" s="119">
        <f>IFERROR(__xludf.DUMMYFUNCTION("""COMPUTED_VALUE"""),0.19877675840978593)</f>
        <v>0.1987767584</v>
      </c>
      <c r="N18" s="119">
        <f>IFERROR(__xludf.DUMMYFUNCTION("""COMPUTED_VALUE"""),0.22935779816513763)</f>
        <v>0.2293577982</v>
      </c>
      <c r="O18" s="119">
        <f>IFERROR(__xludf.DUMMYFUNCTION("""COMPUTED_VALUE"""),0.11009174311926606)</f>
        <v>0.1100917431</v>
      </c>
      <c r="P18" s="120" t="str">
        <f>IFERROR(__xludf.DUMMYFUNCTION("""COMPUTED_VALUE"""),"信越")</f>
        <v>信越</v>
      </c>
    </row>
    <row r="19">
      <c r="B19" s="117" t="str">
        <f>IFERROR(__xludf.DUMMYFUNCTION("""COMPUTED_VALUE"""),"Tecc LIFE SELECT 長野SBC通り店")</f>
        <v>Tecc LIFE SELECT 長野SBC通り店</v>
      </c>
      <c r="C19" s="118">
        <f>IFERROR(__xludf.DUMMYFUNCTION("""COMPUTED_VALUE"""),27.0)</f>
        <v>27</v>
      </c>
      <c r="D19" s="119">
        <f>IFERROR(__xludf.DUMMYFUNCTION("""COMPUTED_VALUE"""),0.21727019498607242)</f>
        <v>0.217270195</v>
      </c>
      <c r="E19" s="119">
        <f>IFERROR(__xludf.DUMMYFUNCTION("""COMPUTED_VALUE"""),0.10584958217270195)</f>
        <v>0.1058495822</v>
      </c>
      <c r="F19" s="119">
        <f>IFERROR(__xludf.DUMMYFUNCTION("""COMPUTED_VALUE"""),0.2618384401114206)</f>
        <v>0.2618384401</v>
      </c>
      <c r="G19" s="119">
        <f>IFERROR(__xludf.DUMMYFUNCTION("""COMPUTED_VALUE"""),0.11977715877437325)</f>
        <v>0.1197771588</v>
      </c>
      <c r="H19" s="119">
        <f>IFERROR(__xludf.DUMMYFUNCTION("""COMPUTED_VALUE"""),0.2200557103064067)</f>
        <v>0.2200557103</v>
      </c>
      <c r="I19" s="119">
        <f>IFERROR(__xludf.DUMMYFUNCTION("""COMPUTED_VALUE"""),0.07520891364902507)</f>
        <v>0.07520891365</v>
      </c>
      <c r="J19" s="119">
        <f>IFERROR(__xludf.DUMMYFUNCTION("""COMPUTED_VALUE"""),0.17846153846153845)</f>
        <v>0.1784615385</v>
      </c>
      <c r="K19" s="119">
        <f>IFERROR(__xludf.DUMMYFUNCTION("""COMPUTED_VALUE"""),0.11384615384615385)</f>
        <v>0.1138461538</v>
      </c>
      <c r="L19" s="119">
        <f>IFERROR(__xludf.DUMMYFUNCTION("""COMPUTED_VALUE"""),0.24923076923076923)</f>
        <v>0.2492307692</v>
      </c>
      <c r="M19" s="119">
        <f>IFERROR(__xludf.DUMMYFUNCTION("""COMPUTED_VALUE"""),0.13230769230769232)</f>
        <v>0.1323076923</v>
      </c>
      <c r="N19" s="119">
        <f>IFERROR(__xludf.DUMMYFUNCTION("""COMPUTED_VALUE"""),0.24307692307692308)</f>
        <v>0.2430769231</v>
      </c>
      <c r="O19" s="119">
        <f>IFERROR(__xludf.DUMMYFUNCTION("""COMPUTED_VALUE"""),0.08307692307692308)</f>
        <v>0.08307692308</v>
      </c>
      <c r="P19" s="120" t="str">
        <f>IFERROR(__xludf.DUMMYFUNCTION("""COMPUTED_VALUE"""),"信越")</f>
        <v>信越</v>
      </c>
    </row>
    <row r="20">
      <c r="B20" s="117" t="str">
        <f>IFERROR(__xludf.DUMMYFUNCTION("""COMPUTED_VALUE"""),"テックランド そよら三条須頃店")</f>
        <v>テックランド そよら三条須頃店</v>
      </c>
      <c r="C20" s="118">
        <f>IFERROR(__xludf.DUMMYFUNCTION("""COMPUTED_VALUE"""),15.0)</f>
        <v>15</v>
      </c>
      <c r="D20" s="119">
        <f>IFERROR(__xludf.DUMMYFUNCTION("""COMPUTED_VALUE"""),0.40569395017793597)</f>
        <v>0.4056939502</v>
      </c>
      <c r="E20" s="119">
        <f>IFERROR(__xludf.DUMMYFUNCTION("""COMPUTED_VALUE"""),0.1103202846975089)</f>
        <v>0.1103202847</v>
      </c>
      <c r="F20" s="119">
        <f>IFERROR(__xludf.DUMMYFUNCTION("""COMPUTED_VALUE"""),0.13167259786476868)</f>
        <v>0.1316725979</v>
      </c>
      <c r="G20" s="119">
        <f>IFERROR(__xludf.DUMMYFUNCTION("""COMPUTED_VALUE"""),0.1708185053380783)</f>
        <v>0.1708185053</v>
      </c>
      <c r="H20" s="119">
        <f>IFERROR(__xludf.DUMMYFUNCTION("""COMPUTED_VALUE"""),0.12811387900355872)</f>
        <v>0.128113879</v>
      </c>
      <c r="I20" s="119">
        <f>IFERROR(__xludf.DUMMYFUNCTION("""COMPUTED_VALUE"""),0.05338078291814947)</f>
        <v>0.05338078292</v>
      </c>
      <c r="J20" s="119">
        <f>IFERROR(__xludf.DUMMYFUNCTION("""COMPUTED_VALUE"""),0.3855421686746988)</f>
        <v>0.3855421687</v>
      </c>
      <c r="K20" s="119">
        <f>IFERROR(__xludf.DUMMYFUNCTION("""COMPUTED_VALUE"""),0.10843373493975904)</f>
        <v>0.1084337349</v>
      </c>
      <c r="L20" s="119">
        <f>IFERROR(__xludf.DUMMYFUNCTION("""COMPUTED_VALUE"""),0.11646586345381527)</f>
        <v>0.1164658635</v>
      </c>
      <c r="M20" s="119">
        <f>IFERROR(__xludf.DUMMYFUNCTION("""COMPUTED_VALUE"""),0.1927710843373494)</f>
        <v>0.1927710843</v>
      </c>
      <c r="N20" s="119">
        <f>IFERROR(__xludf.DUMMYFUNCTION("""COMPUTED_VALUE"""),0.13654618473895583)</f>
        <v>0.1365461847</v>
      </c>
      <c r="O20" s="119">
        <f>IFERROR(__xludf.DUMMYFUNCTION("""COMPUTED_VALUE"""),0.060240963855421686)</f>
        <v>0.06024096386</v>
      </c>
      <c r="P20" s="120" t="str">
        <f>IFERROR(__xludf.DUMMYFUNCTION("""COMPUTED_VALUE"""),"信越")</f>
        <v>信越</v>
      </c>
    </row>
    <row r="21">
      <c r="B21" s="117"/>
      <c r="C21" s="118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20"/>
    </row>
    <row r="22">
      <c r="B22" s="117"/>
      <c r="C22" s="118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20"/>
    </row>
    <row r="23">
      <c r="B23" s="117"/>
      <c r="C23" s="118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20"/>
    </row>
    <row r="24">
      <c r="B24" s="117"/>
      <c r="C24" s="118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20"/>
    </row>
    <row r="25">
      <c r="B25" s="117"/>
      <c r="C25" s="118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20"/>
    </row>
    <row r="26">
      <c r="B26" s="117"/>
      <c r="C26" s="118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20"/>
    </row>
    <row r="27">
      <c r="B27" s="117"/>
      <c r="C27" s="118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20"/>
    </row>
    <row r="28">
      <c r="B28" s="117"/>
      <c r="C28" s="118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20"/>
    </row>
    <row r="29">
      <c r="B29" s="117"/>
      <c r="C29" s="118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20"/>
    </row>
    <row r="30">
      <c r="B30" s="117"/>
      <c r="C30" s="118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20"/>
    </row>
    <row r="31">
      <c r="B31" s="117"/>
      <c r="C31" s="118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20"/>
    </row>
    <row r="32">
      <c r="B32" s="117"/>
      <c r="C32" s="118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20"/>
    </row>
    <row r="33">
      <c r="B33" s="117"/>
      <c r="C33" s="118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20"/>
    </row>
    <row r="34">
      <c r="B34" s="117"/>
      <c r="C34" s="118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20"/>
    </row>
    <row r="35">
      <c r="B35" s="117"/>
      <c r="C35" s="118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20"/>
    </row>
    <row r="36">
      <c r="B36" s="117"/>
      <c r="C36" s="118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20"/>
    </row>
    <row r="37">
      <c r="B37" s="117"/>
      <c r="C37" s="118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20"/>
    </row>
    <row r="38">
      <c r="B38" s="117"/>
      <c r="C38" s="118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20"/>
    </row>
    <row r="39">
      <c r="B39" s="117"/>
      <c r="C39" s="118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20"/>
    </row>
    <row r="40">
      <c r="B40" s="117"/>
      <c r="C40" s="118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20"/>
    </row>
    <row r="41">
      <c r="B41" s="117"/>
      <c r="C41" s="118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20"/>
    </row>
    <row r="42">
      <c r="B42" s="117"/>
      <c r="C42" s="118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20"/>
    </row>
    <row r="43">
      <c r="B43" s="117"/>
      <c r="C43" s="118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20"/>
    </row>
    <row r="44">
      <c r="B44" s="117"/>
      <c r="C44" s="118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20"/>
    </row>
    <row r="45">
      <c r="B45" s="117"/>
      <c r="C45" s="118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20"/>
    </row>
    <row r="46">
      <c r="B46" s="117"/>
      <c r="C46" s="118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20"/>
    </row>
    <row r="47">
      <c r="B47" s="117"/>
      <c r="C47" s="118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20"/>
    </row>
    <row r="48">
      <c r="B48" s="117"/>
      <c r="C48" s="118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20"/>
    </row>
    <row r="49">
      <c r="B49" s="117"/>
      <c r="C49" s="118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20"/>
    </row>
    <row r="50">
      <c r="B50" s="117"/>
      <c r="C50" s="118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20"/>
    </row>
    <row r="51">
      <c r="B51" s="117"/>
      <c r="C51" s="118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20"/>
    </row>
    <row r="52">
      <c r="B52" s="117"/>
      <c r="C52" s="118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20"/>
    </row>
    <row r="53">
      <c r="B53" s="117"/>
      <c r="C53" s="118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20"/>
    </row>
    <row r="54">
      <c r="B54" s="117"/>
      <c r="C54" s="118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20"/>
    </row>
    <row r="55">
      <c r="B55" s="117"/>
      <c r="C55" s="118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20"/>
    </row>
    <row r="56">
      <c r="B56" s="117"/>
      <c r="C56" s="118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20"/>
    </row>
    <row r="57">
      <c r="B57" s="117"/>
      <c r="C57" s="118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20"/>
    </row>
    <row r="58">
      <c r="B58" s="117"/>
      <c r="C58" s="118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20"/>
    </row>
    <row r="59">
      <c r="B59" s="117"/>
      <c r="C59" s="118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20"/>
    </row>
    <row r="60">
      <c r="B60" s="117"/>
      <c r="C60" s="118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20"/>
    </row>
    <row r="61">
      <c r="B61" s="117"/>
      <c r="C61" s="118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20"/>
    </row>
    <row r="62">
      <c r="B62" s="117"/>
      <c r="C62" s="118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20"/>
    </row>
  </sheetData>
  <mergeCells count="2">
    <mergeCell ref="D5:I5"/>
    <mergeCell ref="J5:O5"/>
  </mergeCells>
  <dataValidations>
    <dataValidation type="list" allowBlank="1" sqref="B4">
      <formula1>'各エリア_マスタURL貼付'!$H$3:$H1002</formula1>
    </dataValidation>
    <dataValidation type="list" allowBlank="1" sqref="B3">
      <formula1>"ALL,北海道,東北,関東,信越,中部,関西,中四国,九州・沖縄"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 outlineLevelCol="1"/>
  <cols>
    <col customWidth="1" min="1" max="1" width="3.14"/>
  </cols>
  <sheetData>
    <row r="1">
      <c r="A1" s="88" t="s">
        <v>109</v>
      </c>
    </row>
    <row r="3">
      <c r="B3" s="121" t="s">
        <v>62</v>
      </c>
      <c r="C3" s="122">
        <v>46296.0</v>
      </c>
    </row>
    <row r="4">
      <c r="I4" s="91" t="s">
        <v>22</v>
      </c>
      <c r="J4" s="15"/>
      <c r="K4" s="15"/>
      <c r="L4" s="15"/>
      <c r="M4" s="15"/>
      <c r="N4" s="17"/>
      <c r="O4" s="91" t="s">
        <v>24</v>
      </c>
      <c r="P4" s="15"/>
      <c r="Q4" s="15"/>
      <c r="R4" s="15"/>
      <c r="S4" s="15"/>
      <c r="T4" s="17"/>
    </row>
    <row r="5">
      <c r="B5" s="92" t="s">
        <v>42</v>
      </c>
      <c r="C5" s="92" t="s">
        <v>8</v>
      </c>
      <c r="D5" s="92" t="s">
        <v>110</v>
      </c>
      <c r="E5" s="92" t="s">
        <v>66</v>
      </c>
      <c r="F5" s="92" t="s">
        <v>28</v>
      </c>
      <c r="G5" s="92" t="s">
        <v>101</v>
      </c>
      <c r="H5" s="92" t="s">
        <v>102</v>
      </c>
      <c r="I5" s="71" t="s">
        <v>29</v>
      </c>
      <c r="J5" s="72" t="s">
        <v>31</v>
      </c>
      <c r="K5" s="93" t="s">
        <v>32</v>
      </c>
      <c r="L5" s="94" t="s">
        <v>33</v>
      </c>
      <c r="M5" s="75" t="s">
        <v>36</v>
      </c>
      <c r="N5" s="76" t="s">
        <v>38</v>
      </c>
      <c r="O5" s="71" t="s">
        <v>29</v>
      </c>
      <c r="P5" s="72" t="s">
        <v>31</v>
      </c>
      <c r="Q5" s="93" t="s">
        <v>32</v>
      </c>
      <c r="R5" s="94" t="s">
        <v>33</v>
      </c>
      <c r="S5" s="75" t="s">
        <v>36</v>
      </c>
      <c r="T5" s="76" t="s">
        <v>38</v>
      </c>
      <c r="V5" s="92" t="s">
        <v>110</v>
      </c>
      <c r="W5" s="71" t="s">
        <v>29</v>
      </c>
      <c r="X5" s="72" t="s">
        <v>31</v>
      </c>
      <c r="Y5" s="93" t="s">
        <v>32</v>
      </c>
      <c r="Z5" s="94" t="s">
        <v>33</v>
      </c>
      <c r="AA5" s="75" t="s">
        <v>36</v>
      </c>
      <c r="AB5" s="76" t="s">
        <v>38</v>
      </c>
    </row>
    <row r="6">
      <c r="B6" s="95" t="s">
        <v>103</v>
      </c>
      <c r="C6" s="95" t="s">
        <v>21</v>
      </c>
      <c r="D6" s="123" t="str">
        <f t="shared" ref="D6:D37" si="1">B6&amp;C6</f>
        <v>YD北海道</v>
      </c>
      <c r="E6" s="96">
        <f>COUNTIFS('データ_全エリア'!$U$4:$U$6000,$B6,'データ_全エリア'!$C$4:$C$6000,$C6,'データ_全エリア'!$B$4:$B$6000,$C$3,'データ_全エリア'!$S$4:$S$6000,"&gt;=0")</f>
        <v>0</v>
      </c>
      <c r="F6" s="96">
        <f>SUMIFS('データ_全エリア'!$F$4:$F$6000,'データ_全エリア'!$U$4:$U$6000,$B6,'データ_全エリア'!$C$4:$C$6000,$C6,'データ_全エリア'!$B$4:$B$6000,$C$3)</f>
        <v>0</v>
      </c>
      <c r="G6" s="96">
        <f>SUMIFS('データ_全エリア'!$S$4:$S$6000,'データ_全エリア'!$U$4:$U$6000,$B6,'データ_全エリア'!$C$4:$C$6000,$C6,'データ_全エリア'!$B$4:$B$6000,$C$3)</f>
        <v>0</v>
      </c>
      <c r="H6" s="96">
        <f>SUMIFS('データ_全エリア'!$T$4:$T$6000,'データ_全エリア'!$U$4:$U$6000,$B6,'データ_全エリア'!$C$4:$C$6000,$C6,'データ_全エリア'!$B$4:$B$6000,$C$3)</f>
        <v>0</v>
      </c>
      <c r="I6" s="78" t="str">
        <f>IFERROR(SUMIFS('データ_全エリア'!V$4:V$6000,'データ_全エリア'!$U$4:$U$6000,$B6,'データ_全エリア'!$C$4:$C$6000,$C6,'データ_全エリア'!$B$4:$B$6000,$C$3)/$G6,"-")</f>
        <v>-</v>
      </c>
      <c r="J6" s="78" t="str">
        <f>IFERROR(SUMIFS('データ_全エリア'!W$4:W$6000,'データ_全エリア'!$U$4:$U$6000,$B6,'データ_全エリア'!$C$4:$C$6000,$C6,'データ_全エリア'!$B$4:$B$6000,$C$3)/$G6,"-")</f>
        <v>-</v>
      </c>
      <c r="K6" s="78" t="str">
        <f>IFERROR(SUMIFS('データ_全エリア'!X$4:X$6000,'データ_全エリア'!$U$4:$U$6000,$B6,'データ_全エリア'!$C$4:$C$6000,$C6,'データ_全エリア'!$B$4:$B$6000,$C$3)/$G6,"-")</f>
        <v>-</v>
      </c>
      <c r="L6" s="78" t="str">
        <f>IFERROR(SUMIFS('データ_全エリア'!Y$4:Y$6000,'データ_全エリア'!$U$4:$U$6000,$B6,'データ_全エリア'!$C$4:$C$6000,$C6,'データ_全エリア'!$B$4:$B$6000,$C$3)/$G6,"-")</f>
        <v>-</v>
      </c>
      <c r="M6" s="78" t="str">
        <f>IFERROR(SUMIFS('データ_全エリア'!Z$4:Z$6000,'データ_全エリア'!$U$4:$U$6000,$B6,'データ_全エリア'!$C$4:$C$6000,$C6,'データ_全エリア'!$B$4:$B$6000,$C$3)/$G6,"-")</f>
        <v>-</v>
      </c>
      <c r="N6" s="78" t="str">
        <f>IFERROR(SUMIFS('データ_全エリア'!AA$4:AA$6000,'データ_全エリア'!$U$4:$U$6000,$B6,'データ_全エリア'!$C$4:$C$6000,$C6,'データ_全エリア'!$B$4:$B$6000,$C$3)/$G6,"-")</f>
        <v>-</v>
      </c>
      <c r="O6" s="78" t="str">
        <f>IFERROR(SUMIFS('データ_全エリア'!AB$4:AB$6000,'データ_全エリア'!$U$4:$U$6000,$B6,'データ_全エリア'!$C$4:$C$6000,$C6,'データ_全エリア'!$B$4:$B$6000,$C$3)/$H6,"-")</f>
        <v>-</v>
      </c>
      <c r="P6" s="78" t="str">
        <f>IFERROR(SUMIFS('データ_全エリア'!AC$4:AC$6000,'データ_全エリア'!$U$4:$U$6000,$B6,'データ_全エリア'!$C$4:$C$6000,$C6,'データ_全エリア'!$B$4:$B$6000,$C$3)/$H6,"-")</f>
        <v>-</v>
      </c>
      <c r="Q6" s="78" t="str">
        <f>IFERROR(SUMIFS('データ_全エリア'!AD$4:AD$6000,'データ_全エリア'!$U$4:$U$6000,$B6,'データ_全エリア'!$C$4:$C$6000,$C6,'データ_全エリア'!$B$4:$B$6000,$C$3)/$H6,"-")</f>
        <v>-</v>
      </c>
      <c r="R6" s="78" t="str">
        <f>IFERROR(SUMIFS('データ_全エリア'!AE$4:AE$6000,'データ_全エリア'!$U$4:$U$6000,$B6,'データ_全エリア'!$C$4:$C$6000,$C6,'データ_全エリア'!$B$4:$B$6000,$C$3)/$H6,"-")</f>
        <v>-</v>
      </c>
      <c r="S6" s="78" t="str">
        <f>IFERROR(SUMIFS('データ_全エリア'!AF$4:AF$6000,'データ_全エリア'!$U$4:$U$6000,$B6,'データ_全エリア'!$C$4:$C$6000,$C6,'データ_全エリア'!$B$4:$B$6000,$C$3)/$H6,"-")</f>
        <v>-</v>
      </c>
      <c r="T6" s="78" t="str">
        <f>IFERROR(SUMIFS('データ_全エリア'!AG$4:AG$6000,'データ_全エリア'!$U$4:$U$6000,$B6,'データ_全エリア'!$C$4:$C$6000,$C6,'データ_全エリア'!$B$4:$B$6000,$C$3)/$H6,"-")</f>
        <v>-</v>
      </c>
      <c r="V6" s="123" t="str">
        <f>IFERROR(__xludf.DUMMYFUNCTION("IFERROR(FILTER({$D$6:$D$37,$I$6:$N$37},$E$6:$E$37&gt;0),"""")"),"YD関東")</f>
        <v>YD関東</v>
      </c>
      <c r="W6" s="78">
        <f>IFERROR(__xludf.DUMMYFUNCTION("""COMPUTED_VALUE"""),0.0)</f>
        <v>0</v>
      </c>
      <c r="X6" s="78">
        <f>IFERROR(__xludf.DUMMYFUNCTION("""COMPUTED_VALUE"""),0.0)</f>
        <v>0</v>
      </c>
      <c r="Y6" s="78">
        <f>IFERROR(__xludf.DUMMYFUNCTION("""COMPUTED_VALUE"""),0.0)</f>
        <v>0</v>
      </c>
      <c r="Z6" s="78">
        <f>IFERROR(__xludf.DUMMYFUNCTION("""COMPUTED_VALUE"""),0.0)</f>
        <v>0</v>
      </c>
      <c r="AA6" s="78">
        <f>IFERROR(__xludf.DUMMYFUNCTION("""COMPUTED_VALUE"""),0.0)</f>
        <v>0</v>
      </c>
      <c r="AB6" s="78">
        <f>IFERROR(__xludf.DUMMYFUNCTION("""COMPUTED_VALUE"""),1.0)</f>
        <v>1</v>
      </c>
    </row>
    <row r="7">
      <c r="B7" s="95" t="s">
        <v>103</v>
      </c>
      <c r="C7" s="95" t="s">
        <v>30</v>
      </c>
      <c r="D7" s="123" t="str">
        <f t="shared" si="1"/>
        <v>YD東北</v>
      </c>
      <c r="E7" s="96">
        <f>COUNTIFS('データ_全エリア'!$U$4:$U$6000,$B7,'データ_全エリア'!$C$4:$C$6000,$C7,'データ_全エリア'!$B$4:$B$6000,$C$3,'データ_全エリア'!$S$4:$S$6000,"&gt;=0")</f>
        <v>0</v>
      </c>
      <c r="F7" s="96">
        <f>SUMIFS('データ_全エリア'!$F$4:$F$6000,'データ_全エリア'!$U$4:$U$6000,$B7,'データ_全エリア'!$C$4:$C$6000,$C7,'データ_全エリア'!$B$4:$B$6000,$C$3)</f>
        <v>0</v>
      </c>
      <c r="G7" s="96">
        <f>SUMIFS('データ_全エリア'!$S$4:$S$6000,'データ_全エリア'!$U$4:$U$6000,$B7,'データ_全エリア'!$C$4:$C$6000,$C7,'データ_全エリア'!$B$4:$B$6000,$C$3)</f>
        <v>0</v>
      </c>
      <c r="H7" s="96">
        <f>SUMIFS('データ_全エリア'!$T$4:$T$6000,'データ_全エリア'!$U$4:$U$6000,$B7,'データ_全エリア'!$C$4:$C$6000,$C7,'データ_全エリア'!$B$4:$B$6000,$C$3)</f>
        <v>0</v>
      </c>
      <c r="I7" s="78" t="str">
        <f>IFERROR(SUMIFS('データ_全エリア'!V$4:V$6000,'データ_全エリア'!$U$4:$U$6000,$B7,'データ_全エリア'!$C$4:$C$6000,$C7,'データ_全エリア'!$B$4:$B$6000,$C$3)/$G7,"-")</f>
        <v>-</v>
      </c>
      <c r="J7" s="78" t="str">
        <f>IFERROR(SUMIFS('データ_全エリア'!W$4:W$6000,'データ_全エリア'!$U$4:$U$6000,$B7,'データ_全エリア'!$C$4:$C$6000,$C7,'データ_全エリア'!$B$4:$B$6000,$C$3)/$G7,"-")</f>
        <v>-</v>
      </c>
      <c r="K7" s="78" t="str">
        <f>IFERROR(SUMIFS('データ_全エリア'!X$4:X$6000,'データ_全エリア'!$U$4:$U$6000,$B7,'データ_全エリア'!$C$4:$C$6000,$C7,'データ_全エリア'!$B$4:$B$6000,$C$3)/$G7,"-")</f>
        <v>-</v>
      </c>
      <c r="L7" s="78" t="str">
        <f>IFERROR(SUMIFS('データ_全エリア'!Y$4:Y$6000,'データ_全エリア'!$U$4:$U$6000,$B7,'データ_全エリア'!$C$4:$C$6000,$C7,'データ_全エリア'!$B$4:$B$6000,$C$3)/$G7,"-")</f>
        <v>-</v>
      </c>
      <c r="M7" s="78" t="str">
        <f>IFERROR(SUMIFS('データ_全エリア'!Z$4:Z$6000,'データ_全エリア'!$U$4:$U$6000,$B7,'データ_全エリア'!$C$4:$C$6000,$C7,'データ_全エリア'!$B$4:$B$6000,$C$3)/$G7,"-")</f>
        <v>-</v>
      </c>
      <c r="N7" s="78" t="str">
        <f>IFERROR(SUMIFS('データ_全エリア'!AA$4:AA$6000,'データ_全エリア'!$U$4:$U$6000,$B7,'データ_全エリア'!$C$4:$C$6000,$C7,'データ_全エリア'!$B$4:$B$6000,$C$3)/$G7,"-")</f>
        <v>-</v>
      </c>
      <c r="O7" s="78" t="str">
        <f>IFERROR(SUMIFS('データ_全エリア'!AB$4:AB$6000,'データ_全エリア'!$U$4:$U$6000,$B7,'データ_全エリア'!$C$4:$C$6000,$C7,'データ_全エリア'!$B$4:$B$6000,$C$3)/$H7,"-")</f>
        <v>-</v>
      </c>
      <c r="P7" s="78" t="str">
        <f>IFERROR(SUMIFS('データ_全エリア'!AC$4:AC$6000,'データ_全エリア'!$U$4:$U$6000,$B7,'データ_全エリア'!$C$4:$C$6000,$C7,'データ_全エリア'!$B$4:$B$6000,$C$3)/$H7,"-")</f>
        <v>-</v>
      </c>
      <c r="Q7" s="78" t="str">
        <f>IFERROR(SUMIFS('データ_全エリア'!AD$4:AD$6000,'データ_全エリア'!$U$4:$U$6000,$B7,'データ_全エリア'!$C$4:$C$6000,$C7,'データ_全エリア'!$B$4:$B$6000,$C$3)/$H7,"-")</f>
        <v>-</v>
      </c>
      <c r="R7" s="78" t="str">
        <f>IFERROR(SUMIFS('データ_全エリア'!AE$4:AE$6000,'データ_全エリア'!$U$4:$U$6000,$B7,'データ_全エリア'!$C$4:$C$6000,$C7,'データ_全エリア'!$B$4:$B$6000,$C$3)/$H7,"-")</f>
        <v>-</v>
      </c>
      <c r="S7" s="78" t="str">
        <f>IFERROR(SUMIFS('データ_全エリア'!AF$4:AF$6000,'データ_全エリア'!$U$4:$U$6000,$B7,'データ_全エリア'!$C$4:$C$6000,$C7,'データ_全エリア'!$B$4:$B$6000,$C$3)/$H7,"-")</f>
        <v>-</v>
      </c>
      <c r="T7" s="78" t="str">
        <f>IFERROR(SUMIFS('データ_全エリア'!AG$4:AG$6000,'データ_全エリア'!$U$4:$U$6000,$B7,'データ_全エリア'!$C$4:$C$6000,$C7,'データ_全エリア'!$B$4:$B$6000,$C$3)/$H7,"-")</f>
        <v>-</v>
      </c>
      <c r="V7" s="123" t="str">
        <f>IFERROR(__xludf.DUMMYFUNCTION("""COMPUTED_VALUE"""),"YD信越")</f>
        <v>YD信越</v>
      </c>
      <c r="W7" s="78">
        <f>IFERROR(__xludf.DUMMYFUNCTION("""COMPUTED_VALUE"""),0.2787258248009101)</f>
        <v>0.2787258248</v>
      </c>
      <c r="X7" s="78">
        <f>IFERROR(__xludf.DUMMYFUNCTION("""COMPUTED_VALUE"""),0.09215017064846416)</f>
        <v>0.09215017065</v>
      </c>
      <c r="Y7" s="78">
        <f>IFERROR(__xludf.DUMMYFUNCTION("""COMPUTED_VALUE"""),0.17861205915813425)</f>
        <v>0.1786120592</v>
      </c>
      <c r="Z7" s="78">
        <f>IFERROR(__xludf.DUMMYFUNCTION("""COMPUTED_VALUE"""),0.13083048919226395)</f>
        <v>0.1308304892</v>
      </c>
      <c r="AA7" s="78">
        <f>IFERROR(__xludf.DUMMYFUNCTION("""COMPUTED_VALUE"""),0.1945392491467577)</f>
        <v>0.1945392491</v>
      </c>
      <c r="AB7" s="78">
        <f>IFERROR(__xludf.DUMMYFUNCTION("""COMPUTED_VALUE"""),0.12514220705346984)</f>
        <v>0.1251422071</v>
      </c>
    </row>
    <row r="8">
      <c r="B8" s="95" t="s">
        <v>103</v>
      </c>
      <c r="C8" s="95" t="s">
        <v>34</v>
      </c>
      <c r="D8" s="123" t="str">
        <f t="shared" si="1"/>
        <v>YD関東</v>
      </c>
      <c r="E8" s="96">
        <f>COUNTIFS('データ_全エリア'!$U$4:$U$6000,$B8,'データ_全エリア'!$C$4:$C$6000,$C8,'データ_全エリア'!$B$4:$B$6000,$C$3,'データ_全エリア'!$S$4:$S$6000,"&gt;=0")</f>
        <v>9</v>
      </c>
      <c r="F8" s="96">
        <f>SUMIFS('データ_全エリア'!$F$4:$F$6000,'データ_全エリア'!$U$4:$U$6000,$B8,'データ_全エリア'!$C$4:$C$6000,$C8,'データ_全エリア'!$B$4:$B$6000,$C$3)</f>
        <v>136</v>
      </c>
      <c r="G8" s="96">
        <f>SUMIFS('データ_全エリア'!$S$4:$S$6000,'データ_全エリア'!$U$4:$U$6000,$B8,'データ_全エリア'!$C$4:$C$6000,$C8,'データ_全エリア'!$B$4:$B$6000,$C$3)</f>
        <v>136</v>
      </c>
      <c r="H8" s="96">
        <f>SUMIFS('データ_全エリア'!$T$4:$T$6000,'データ_全エリア'!$U$4:$U$6000,$B8,'データ_全エリア'!$C$4:$C$6000,$C8,'データ_全エリア'!$B$4:$B$6000,$C$3)</f>
        <v>136</v>
      </c>
      <c r="I8" s="78">
        <f>IFERROR(SUMIFS('データ_全エリア'!V$4:V$6000,'データ_全エリア'!$U$4:$U$6000,$B8,'データ_全エリア'!$C$4:$C$6000,$C8,'データ_全エリア'!$B$4:$B$6000,$C$3)/$G8,"-")</f>
        <v>0</v>
      </c>
      <c r="J8" s="78">
        <f>IFERROR(SUMIFS('データ_全エリア'!W$4:W$6000,'データ_全エリア'!$U$4:$U$6000,$B8,'データ_全エリア'!$C$4:$C$6000,$C8,'データ_全エリア'!$B$4:$B$6000,$C$3)/$G8,"-")</f>
        <v>0</v>
      </c>
      <c r="K8" s="78">
        <f>IFERROR(SUMIFS('データ_全エリア'!X$4:X$6000,'データ_全エリア'!$U$4:$U$6000,$B8,'データ_全エリア'!$C$4:$C$6000,$C8,'データ_全エリア'!$B$4:$B$6000,$C$3)/$G8,"-")</f>
        <v>0</v>
      </c>
      <c r="L8" s="78">
        <f>IFERROR(SUMIFS('データ_全エリア'!Y$4:Y$6000,'データ_全エリア'!$U$4:$U$6000,$B8,'データ_全エリア'!$C$4:$C$6000,$C8,'データ_全エリア'!$B$4:$B$6000,$C$3)/$G8,"-")</f>
        <v>0</v>
      </c>
      <c r="M8" s="78">
        <f>IFERROR(SUMIFS('データ_全エリア'!Z$4:Z$6000,'データ_全エリア'!$U$4:$U$6000,$B8,'データ_全エリア'!$C$4:$C$6000,$C8,'データ_全エリア'!$B$4:$B$6000,$C$3)/$G8,"-")</f>
        <v>0</v>
      </c>
      <c r="N8" s="78">
        <f>IFERROR(SUMIFS('データ_全エリア'!AA$4:AA$6000,'データ_全エリア'!$U$4:$U$6000,$B8,'データ_全エリア'!$C$4:$C$6000,$C8,'データ_全エリア'!$B$4:$B$6000,$C$3)/$G8,"-")</f>
        <v>1</v>
      </c>
      <c r="O8" s="78">
        <f>IFERROR(SUMIFS('データ_全エリア'!AB$4:AB$6000,'データ_全エリア'!$U$4:$U$6000,$B8,'データ_全エリア'!$C$4:$C$6000,$C8,'データ_全エリア'!$B$4:$B$6000,$C$3)/$H8,"-")</f>
        <v>0</v>
      </c>
      <c r="P8" s="78">
        <f>IFERROR(SUMIFS('データ_全エリア'!AC$4:AC$6000,'データ_全エリア'!$U$4:$U$6000,$B8,'データ_全エリア'!$C$4:$C$6000,$C8,'データ_全エリア'!$B$4:$B$6000,$C$3)/$H8,"-")</f>
        <v>0</v>
      </c>
      <c r="Q8" s="78">
        <f>IFERROR(SUMIFS('データ_全エリア'!AD$4:AD$6000,'データ_全エリア'!$U$4:$U$6000,$B8,'データ_全エリア'!$C$4:$C$6000,$C8,'データ_全エリア'!$B$4:$B$6000,$C$3)/$H8,"-")</f>
        <v>0</v>
      </c>
      <c r="R8" s="78">
        <f>IFERROR(SUMIFS('データ_全エリア'!AE$4:AE$6000,'データ_全エリア'!$U$4:$U$6000,$B8,'データ_全エリア'!$C$4:$C$6000,$C8,'データ_全エリア'!$B$4:$B$6000,$C$3)/$H8,"-")</f>
        <v>0</v>
      </c>
      <c r="S8" s="78">
        <f>IFERROR(SUMIFS('データ_全エリア'!AF$4:AF$6000,'データ_全エリア'!$U$4:$U$6000,$B8,'データ_全エリア'!$C$4:$C$6000,$C8,'データ_全エリア'!$B$4:$B$6000,$C$3)/$H8,"-")</f>
        <v>0</v>
      </c>
      <c r="T8" s="78">
        <f>IFERROR(SUMIFS('データ_全エリア'!AG$4:AG$6000,'データ_全エリア'!$U$4:$U$6000,$B8,'データ_全エリア'!$C$4:$C$6000,$C8,'データ_全エリア'!$B$4:$B$6000,$C$3)/$H8,"-")</f>
        <v>1</v>
      </c>
      <c r="V8" s="123" t="str">
        <f>IFERROR(__xludf.DUMMYFUNCTION("""COMPUTED_VALUE"""),"KS北海道")</f>
        <v>KS北海道</v>
      </c>
      <c r="W8" s="78">
        <f>IFERROR(__xludf.DUMMYFUNCTION("""COMPUTED_VALUE"""),0.0)</f>
        <v>0</v>
      </c>
      <c r="X8" s="78">
        <f>IFERROR(__xludf.DUMMYFUNCTION("""COMPUTED_VALUE"""),0.0)</f>
        <v>0</v>
      </c>
      <c r="Y8" s="78">
        <f>IFERROR(__xludf.DUMMYFUNCTION("""COMPUTED_VALUE"""),0.0)</f>
        <v>0</v>
      </c>
      <c r="Z8" s="78">
        <f>IFERROR(__xludf.DUMMYFUNCTION("""COMPUTED_VALUE"""),0.0)</f>
        <v>0</v>
      </c>
      <c r="AA8" s="78">
        <f>IFERROR(__xludf.DUMMYFUNCTION("""COMPUTED_VALUE"""),0.0)</f>
        <v>0</v>
      </c>
      <c r="AB8" s="78">
        <f>IFERROR(__xludf.DUMMYFUNCTION("""COMPUTED_VALUE"""),1.0)</f>
        <v>1</v>
      </c>
    </row>
    <row r="9">
      <c r="B9" s="95" t="s">
        <v>103</v>
      </c>
      <c r="C9" s="95" t="s">
        <v>37</v>
      </c>
      <c r="D9" s="123" t="str">
        <f t="shared" si="1"/>
        <v>YD信越</v>
      </c>
      <c r="E9" s="96">
        <f>COUNTIFS('データ_全エリア'!$U$4:$U$6000,$B9,'データ_全エリア'!$C$4:$C$6000,$C9,'データ_全エリア'!$B$4:$B$6000,$C$3,'データ_全エリア'!$S$4:$S$6000,"&gt;=0")</f>
        <v>6</v>
      </c>
      <c r="F9" s="96">
        <f>SUMIFS('データ_全エリア'!$F$4:$F$6000,'データ_全エリア'!$U$4:$U$6000,$B9,'データ_全エリア'!$C$4:$C$6000,$C9,'データ_全エリア'!$B$4:$B$6000,$C$3)</f>
        <v>110</v>
      </c>
      <c r="G9" s="96">
        <f>SUMIFS('データ_全エリア'!$S$4:$S$6000,'データ_全エリア'!$U$4:$U$6000,$B9,'データ_全エリア'!$C$4:$C$6000,$C9,'データ_全エリア'!$B$4:$B$6000,$C$3)</f>
        <v>879</v>
      </c>
      <c r="H9" s="96">
        <f>SUMIFS('データ_全エリア'!$T$4:$T$6000,'データ_全エリア'!$U$4:$U$6000,$B9,'データ_全エリア'!$C$4:$C$6000,$C9,'データ_全エリア'!$B$4:$B$6000,$C$3)</f>
        <v>789</v>
      </c>
      <c r="I9" s="78">
        <f>IFERROR(SUMIFS('データ_全エリア'!V$4:V$6000,'データ_全エリア'!$U$4:$U$6000,$B9,'データ_全エリア'!$C$4:$C$6000,$C9,'データ_全エリア'!$B$4:$B$6000,$C$3)/$G9,"-")</f>
        <v>0.2787258248</v>
      </c>
      <c r="J9" s="78">
        <f>IFERROR(SUMIFS('データ_全エリア'!W$4:W$6000,'データ_全エリア'!$U$4:$U$6000,$B9,'データ_全エリア'!$C$4:$C$6000,$C9,'データ_全エリア'!$B$4:$B$6000,$C$3)/$G9,"-")</f>
        <v>0.09215017065</v>
      </c>
      <c r="K9" s="78">
        <f>IFERROR(SUMIFS('データ_全エリア'!X$4:X$6000,'データ_全エリア'!$U$4:$U$6000,$B9,'データ_全エリア'!$C$4:$C$6000,$C9,'データ_全エリア'!$B$4:$B$6000,$C$3)/$G9,"-")</f>
        <v>0.1786120592</v>
      </c>
      <c r="L9" s="78">
        <f>IFERROR(SUMIFS('データ_全エリア'!Y$4:Y$6000,'データ_全エリア'!$U$4:$U$6000,$B9,'データ_全エリア'!$C$4:$C$6000,$C9,'データ_全エリア'!$B$4:$B$6000,$C$3)/$G9,"-")</f>
        <v>0.1308304892</v>
      </c>
      <c r="M9" s="78">
        <f>IFERROR(SUMIFS('データ_全エリア'!Z$4:Z$6000,'データ_全エリア'!$U$4:$U$6000,$B9,'データ_全エリア'!$C$4:$C$6000,$C9,'データ_全エリア'!$B$4:$B$6000,$C$3)/$G9,"-")</f>
        <v>0.1945392491</v>
      </c>
      <c r="N9" s="78">
        <f>IFERROR(SUMIFS('データ_全エリア'!AA$4:AA$6000,'データ_全エリア'!$U$4:$U$6000,$B9,'データ_全エリア'!$C$4:$C$6000,$C9,'データ_全エリア'!$B$4:$B$6000,$C$3)/$G9,"-")</f>
        <v>0.1251422071</v>
      </c>
      <c r="O9" s="78">
        <f>IFERROR(SUMIFS('データ_全エリア'!AB$4:AB$6000,'データ_全エリア'!$U$4:$U$6000,$B9,'データ_全エリア'!$C$4:$C$6000,$C9,'データ_全エリア'!$B$4:$B$6000,$C$3)/$H9,"-")</f>
        <v>0.247148289</v>
      </c>
      <c r="P9" s="78">
        <f>IFERROR(SUMIFS('データ_全エリア'!AC$4:AC$6000,'データ_全エリア'!$U$4:$U$6000,$B9,'データ_全エリア'!$C$4:$C$6000,$C9,'データ_全エリア'!$B$4:$B$6000,$C$3)/$H9,"-")</f>
        <v>0.09505703422</v>
      </c>
      <c r="Q9" s="78">
        <f>IFERROR(SUMIFS('データ_全エリア'!AD$4:AD$6000,'データ_全エリア'!$U$4:$U$6000,$B9,'データ_全エリア'!$C$4:$C$6000,$C9,'データ_全エリア'!$B$4:$B$6000,$C$3)/$H9,"-")</f>
        <v>0.1634980989</v>
      </c>
      <c r="R9" s="78">
        <f>IFERROR(SUMIFS('データ_全エリア'!AE$4:AE$6000,'データ_全エリア'!$U$4:$U$6000,$B9,'データ_全エリア'!$C$4:$C$6000,$C9,'データ_全エリア'!$B$4:$B$6000,$C$3)/$H9,"-")</f>
        <v>0.1432192649</v>
      </c>
      <c r="S9" s="78">
        <f>IFERROR(SUMIFS('データ_全エリア'!AF$4:AF$6000,'データ_全エリア'!$U$4:$U$6000,$B9,'データ_全エリア'!$C$4:$C$6000,$C9,'データ_全エリア'!$B$4:$B$6000,$C$3)/$H9,"-")</f>
        <v>0.2116603295</v>
      </c>
      <c r="T9" s="78">
        <f>IFERROR(SUMIFS('データ_全エリア'!AG$4:AG$6000,'データ_全エリア'!$U$4:$U$6000,$B9,'データ_全エリア'!$C$4:$C$6000,$C9,'データ_全エリア'!$B$4:$B$6000,$C$3)/$H9,"-")</f>
        <v>0.1394169835</v>
      </c>
      <c r="V9" s="123" t="str">
        <f>IFERROR(__xludf.DUMMYFUNCTION("""COMPUTED_VALUE"""),"KS関東")</f>
        <v>KS関東</v>
      </c>
      <c r="W9" s="78">
        <f>IFERROR(__xludf.DUMMYFUNCTION("""COMPUTED_VALUE"""),0.0)</f>
        <v>0</v>
      </c>
      <c r="X9" s="78">
        <f>IFERROR(__xludf.DUMMYFUNCTION("""COMPUTED_VALUE"""),0.0)</f>
        <v>0</v>
      </c>
      <c r="Y9" s="78">
        <f>IFERROR(__xludf.DUMMYFUNCTION("""COMPUTED_VALUE"""),0.0)</f>
        <v>0</v>
      </c>
      <c r="Z9" s="78">
        <f>IFERROR(__xludf.DUMMYFUNCTION("""COMPUTED_VALUE"""),0.0)</f>
        <v>0</v>
      </c>
      <c r="AA9" s="78">
        <f>IFERROR(__xludf.DUMMYFUNCTION("""COMPUTED_VALUE"""),0.0)</f>
        <v>0</v>
      </c>
      <c r="AB9" s="78">
        <f>IFERROR(__xludf.DUMMYFUNCTION("""COMPUTED_VALUE"""),1.0)</f>
        <v>1</v>
      </c>
    </row>
    <row r="10">
      <c r="B10" s="95" t="s">
        <v>103</v>
      </c>
      <c r="C10" s="95" t="s">
        <v>40</v>
      </c>
      <c r="D10" s="123" t="str">
        <f t="shared" si="1"/>
        <v>YD中部</v>
      </c>
      <c r="E10" s="96">
        <f>COUNTIFS('データ_全エリア'!$U$4:$U$6000,$B10,'データ_全エリア'!$C$4:$C$6000,$C10,'データ_全エリア'!$B$4:$B$6000,$C$3,'データ_全エリア'!$S$4:$S$6000,"&gt;=0")</f>
        <v>0</v>
      </c>
      <c r="F10" s="96">
        <f>SUMIFS('データ_全エリア'!$F$4:$F$6000,'データ_全エリア'!$U$4:$U$6000,$B10,'データ_全エリア'!$C$4:$C$6000,$C10,'データ_全エリア'!$B$4:$B$6000,$C$3)</f>
        <v>0</v>
      </c>
      <c r="G10" s="96">
        <f>SUMIFS('データ_全エリア'!$S$4:$S$6000,'データ_全エリア'!$U$4:$U$6000,$B10,'データ_全エリア'!$C$4:$C$6000,$C10,'データ_全エリア'!$B$4:$B$6000,$C$3)</f>
        <v>0</v>
      </c>
      <c r="H10" s="96">
        <f>SUMIFS('データ_全エリア'!$T$4:$T$6000,'データ_全エリア'!$U$4:$U$6000,$B10,'データ_全エリア'!$C$4:$C$6000,$C10,'データ_全エリア'!$B$4:$B$6000,$C$3)</f>
        <v>0</v>
      </c>
      <c r="I10" s="78" t="str">
        <f>IFERROR(SUMIFS('データ_全エリア'!V$4:V$6000,'データ_全エリア'!$U$4:$U$6000,$B10,'データ_全エリア'!$C$4:$C$6000,$C10,'データ_全エリア'!$B$4:$B$6000,$C$3)/$G10,"-")</f>
        <v>-</v>
      </c>
      <c r="J10" s="78" t="str">
        <f>IFERROR(SUMIFS('データ_全エリア'!W$4:W$6000,'データ_全エリア'!$U$4:$U$6000,$B10,'データ_全エリア'!$C$4:$C$6000,$C10,'データ_全エリア'!$B$4:$B$6000,$C$3)/$G10,"-")</f>
        <v>-</v>
      </c>
      <c r="K10" s="78" t="str">
        <f>IFERROR(SUMIFS('データ_全エリア'!X$4:X$6000,'データ_全エリア'!$U$4:$U$6000,$B10,'データ_全エリア'!$C$4:$C$6000,$C10,'データ_全エリア'!$B$4:$B$6000,$C$3)/$G10,"-")</f>
        <v>-</v>
      </c>
      <c r="L10" s="78" t="str">
        <f>IFERROR(SUMIFS('データ_全エリア'!Y$4:Y$6000,'データ_全エリア'!$U$4:$U$6000,$B10,'データ_全エリア'!$C$4:$C$6000,$C10,'データ_全エリア'!$B$4:$B$6000,$C$3)/$G10,"-")</f>
        <v>-</v>
      </c>
      <c r="M10" s="78" t="str">
        <f>IFERROR(SUMIFS('データ_全エリア'!Z$4:Z$6000,'データ_全エリア'!$U$4:$U$6000,$B10,'データ_全エリア'!$C$4:$C$6000,$C10,'データ_全エリア'!$B$4:$B$6000,$C$3)/$G10,"-")</f>
        <v>-</v>
      </c>
      <c r="N10" s="78" t="str">
        <f>IFERROR(SUMIFS('データ_全エリア'!AA$4:AA$6000,'データ_全エリア'!$U$4:$U$6000,$B10,'データ_全エリア'!$C$4:$C$6000,$C10,'データ_全エリア'!$B$4:$B$6000,$C$3)/$G10,"-")</f>
        <v>-</v>
      </c>
      <c r="O10" s="78" t="str">
        <f>IFERROR(SUMIFS('データ_全エリア'!AB$4:AB$6000,'データ_全エリア'!$U$4:$U$6000,$B10,'データ_全エリア'!$C$4:$C$6000,$C10,'データ_全エリア'!$B$4:$B$6000,$C$3)/$H10,"-")</f>
        <v>-</v>
      </c>
      <c r="P10" s="78" t="str">
        <f>IFERROR(SUMIFS('データ_全エリア'!AC$4:AC$6000,'データ_全エリア'!$U$4:$U$6000,$B10,'データ_全エリア'!$C$4:$C$6000,$C10,'データ_全エリア'!$B$4:$B$6000,$C$3)/$H10,"-")</f>
        <v>-</v>
      </c>
      <c r="Q10" s="78" t="str">
        <f>IFERROR(SUMIFS('データ_全エリア'!AD$4:AD$6000,'データ_全エリア'!$U$4:$U$6000,$B10,'データ_全エリア'!$C$4:$C$6000,$C10,'データ_全エリア'!$B$4:$B$6000,$C$3)/$H10,"-")</f>
        <v>-</v>
      </c>
      <c r="R10" s="78" t="str">
        <f>IFERROR(SUMIFS('データ_全エリア'!AE$4:AE$6000,'データ_全エリア'!$U$4:$U$6000,$B10,'データ_全エリア'!$C$4:$C$6000,$C10,'データ_全エリア'!$B$4:$B$6000,$C$3)/$H10,"-")</f>
        <v>-</v>
      </c>
      <c r="S10" s="78" t="str">
        <f>IFERROR(SUMIFS('データ_全エリア'!AF$4:AF$6000,'データ_全エリア'!$U$4:$U$6000,$B10,'データ_全エリア'!$C$4:$C$6000,$C10,'データ_全エリア'!$B$4:$B$6000,$C$3)/$H10,"-")</f>
        <v>-</v>
      </c>
      <c r="T10" s="78" t="str">
        <f>IFERROR(SUMIFS('データ_全エリア'!AG$4:AG$6000,'データ_全エリア'!$U$4:$U$6000,$B10,'データ_全エリア'!$C$4:$C$6000,$C10,'データ_全エリア'!$B$4:$B$6000,$C$3)/$H10,"-")</f>
        <v>-</v>
      </c>
      <c r="V10" s="123" t="str">
        <f>IFERROR(__xludf.DUMMYFUNCTION("""COMPUTED_VALUE"""),"KS信越")</f>
        <v>KS信越</v>
      </c>
      <c r="W10" s="78">
        <f>IFERROR(__xludf.DUMMYFUNCTION("""COMPUTED_VALUE"""),0.0)</f>
        <v>0</v>
      </c>
      <c r="X10" s="78">
        <f>IFERROR(__xludf.DUMMYFUNCTION("""COMPUTED_VALUE"""),0.0)</f>
        <v>0</v>
      </c>
      <c r="Y10" s="78">
        <f>IFERROR(__xludf.DUMMYFUNCTION("""COMPUTED_VALUE"""),0.0)</f>
        <v>0</v>
      </c>
      <c r="Z10" s="78">
        <f>IFERROR(__xludf.DUMMYFUNCTION("""COMPUTED_VALUE"""),0.0)</f>
        <v>0</v>
      </c>
      <c r="AA10" s="78">
        <f>IFERROR(__xludf.DUMMYFUNCTION("""COMPUTED_VALUE"""),0.0)</f>
        <v>0</v>
      </c>
      <c r="AB10" s="78">
        <f>IFERROR(__xludf.DUMMYFUNCTION("""COMPUTED_VALUE"""),1.0)</f>
        <v>1</v>
      </c>
    </row>
    <row r="11">
      <c r="B11" s="95" t="s">
        <v>103</v>
      </c>
      <c r="C11" s="95" t="s">
        <v>43</v>
      </c>
      <c r="D11" s="123" t="str">
        <f t="shared" si="1"/>
        <v>YD関西</v>
      </c>
      <c r="E11" s="96">
        <f>COUNTIFS('データ_全エリア'!$U$4:$U$6000,$B11,'データ_全エリア'!$C$4:$C$6000,$C11,'データ_全エリア'!$B$4:$B$6000,$C$3,'データ_全エリア'!$S$4:$S$6000,"&gt;=0")</f>
        <v>0</v>
      </c>
      <c r="F11" s="96">
        <f>SUMIFS('データ_全エリア'!$F$4:$F$6000,'データ_全エリア'!$U$4:$U$6000,$B11,'データ_全エリア'!$C$4:$C$6000,$C11,'データ_全エリア'!$B$4:$B$6000,$C$3)</f>
        <v>0</v>
      </c>
      <c r="G11" s="96">
        <f>SUMIFS('データ_全エリア'!$S$4:$S$6000,'データ_全エリア'!$U$4:$U$6000,$B11,'データ_全エリア'!$C$4:$C$6000,$C11,'データ_全エリア'!$B$4:$B$6000,$C$3)</f>
        <v>0</v>
      </c>
      <c r="H11" s="96">
        <f>SUMIFS('データ_全エリア'!$T$4:$T$6000,'データ_全エリア'!$U$4:$U$6000,$B11,'データ_全エリア'!$C$4:$C$6000,$C11,'データ_全エリア'!$B$4:$B$6000,$C$3)</f>
        <v>0</v>
      </c>
      <c r="I11" s="78" t="str">
        <f>IFERROR(SUMIFS('データ_全エリア'!V$4:V$6000,'データ_全エリア'!$U$4:$U$6000,$B11,'データ_全エリア'!$C$4:$C$6000,$C11,'データ_全エリア'!$B$4:$B$6000,$C$3)/$G11,"-")</f>
        <v>-</v>
      </c>
      <c r="J11" s="78" t="str">
        <f>IFERROR(SUMIFS('データ_全エリア'!W$4:W$6000,'データ_全エリア'!$U$4:$U$6000,$B11,'データ_全エリア'!$C$4:$C$6000,$C11,'データ_全エリア'!$B$4:$B$6000,$C$3)/$G11,"-")</f>
        <v>-</v>
      </c>
      <c r="K11" s="78" t="str">
        <f>IFERROR(SUMIFS('データ_全エリア'!X$4:X$6000,'データ_全エリア'!$U$4:$U$6000,$B11,'データ_全エリア'!$C$4:$C$6000,$C11,'データ_全エリア'!$B$4:$B$6000,$C$3)/$G11,"-")</f>
        <v>-</v>
      </c>
      <c r="L11" s="78" t="str">
        <f>IFERROR(SUMIFS('データ_全エリア'!Y$4:Y$6000,'データ_全エリア'!$U$4:$U$6000,$B11,'データ_全エリア'!$C$4:$C$6000,$C11,'データ_全エリア'!$B$4:$B$6000,$C$3)/$G11,"-")</f>
        <v>-</v>
      </c>
      <c r="M11" s="78" t="str">
        <f>IFERROR(SUMIFS('データ_全エリア'!Z$4:Z$6000,'データ_全エリア'!$U$4:$U$6000,$B11,'データ_全エリア'!$C$4:$C$6000,$C11,'データ_全エリア'!$B$4:$B$6000,$C$3)/$G11,"-")</f>
        <v>-</v>
      </c>
      <c r="N11" s="78" t="str">
        <f>IFERROR(SUMIFS('データ_全エリア'!AA$4:AA$6000,'データ_全エリア'!$U$4:$U$6000,$B11,'データ_全エリア'!$C$4:$C$6000,$C11,'データ_全エリア'!$B$4:$B$6000,$C$3)/$G11,"-")</f>
        <v>-</v>
      </c>
      <c r="O11" s="78" t="str">
        <f>IFERROR(SUMIFS('データ_全エリア'!AB$4:AB$6000,'データ_全エリア'!$U$4:$U$6000,$B11,'データ_全エリア'!$C$4:$C$6000,$C11,'データ_全エリア'!$B$4:$B$6000,$C$3)/$H11,"-")</f>
        <v>-</v>
      </c>
      <c r="P11" s="78" t="str">
        <f>IFERROR(SUMIFS('データ_全エリア'!AC$4:AC$6000,'データ_全エリア'!$U$4:$U$6000,$B11,'データ_全エリア'!$C$4:$C$6000,$C11,'データ_全エリア'!$B$4:$B$6000,$C$3)/$H11,"-")</f>
        <v>-</v>
      </c>
      <c r="Q11" s="78" t="str">
        <f>IFERROR(SUMIFS('データ_全エリア'!AD$4:AD$6000,'データ_全エリア'!$U$4:$U$6000,$B11,'データ_全エリア'!$C$4:$C$6000,$C11,'データ_全エリア'!$B$4:$B$6000,$C$3)/$H11,"-")</f>
        <v>-</v>
      </c>
      <c r="R11" s="78" t="str">
        <f>IFERROR(SUMIFS('データ_全エリア'!AE$4:AE$6000,'データ_全エリア'!$U$4:$U$6000,$B11,'データ_全エリア'!$C$4:$C$6000,$C11,'データ_全エリア'!$B$4:$B$6000,$C$3)/$H11,"-")</f>
        <v>-</v>
      </c>
      <c r="S11" s="78" t="str">
        <f>IFERROR(SUMIFS('データ_全エリア'!AF$4:AF$6000,'データ_全エリア'!$U$4:$U$6000,$B11,'データ_全エリア'!$C$4:$C$6000,$C11,'データ_全エリア'!$B$4:$B$6000,$C$3)/$H11,"-")</f>
        <v>-</v>
      </c>
      <c r="T11" s="78" t="str">
        <f>IFERROR(SUMIFS('データ_全エリア'!AG$4:AG$6000,'データ_全エリア'!$U$4:$U$6000,$B11,'データ_全エリア'!$C$4:$C$6000,$C11,'データ_全エリア'!$B$4:$B$6000,$C$3)/$H11,"-")</f>
        <v>-</v>
      </c>
      <c r="V11" s="123" t="str">
        <f>IFERROR(__xludf.DUMMYFUNCTION("""COMPUTED_VALUE"""),"ED北海道")</f>
        <v>ED北海道</v>
      </c>
      <c r="W11" s="78">
        <f>IFERROR(__xludf.DUMMYFUNCTION("""COMPUTED_VALUE"""),0.0)</f>
        <v>0</v>
      </c>
      <c r="X11" s="78">
        <f>IFERROR(__xludf.DUMMYFUNCTION("""COMPUTED_VALUE"""),0.0)</f>
        <v>0</v>
      </c>
      <c r="Y11" s="78">
        <f>IFERROR(__xludf.DUMMYFUNCTION("""COMPUTED_VALUE"""),0.0)</f>
        <v>0</v>
      </c>
      <c r="Z11" s="78">
        <f>IFERROR(__xludf.DUMMYFUNCTION("""COMPUTED_VALUE"""),0.0)</f>
        <v>0</v>
      </c>
      <c r="AA11" s="78">
        <f>IFERROR(__xludf.DUMMYFUNCTION("""COMPUTED_VALUE"""),0.0)</f>
        <v>0</v>
      </c>
      <c r="AB11" s="78">
        <f>IFERROR(__xludf.DUMMYFUNCTION("""COMPUTED_VALUE"""),1.0)</f>
        <v>1</v>
      </c>
    </row>
    <row r="12">
      <c r="B12" s="95" t="s">
        <v>103</v>
      </c>
      <c r="C12" s="95" t="s">
        <v>49</v>
      </c>
      <c r="D12" s="123" t="str">
        <f t="shared" si="1"/>
        <v>YD中四国</v>
      </c>
      <c r="E12" s="96">
        <f>COUNTIFS('データ_全エリア'!$U$4:$U$6000,$B12,'データ_全エリア'!$C$4:$C$6000,$C12,'データ_全エリア'!$B$4:$B$6000,$C$3,'データ_全エリア'!$S$4:$S$6000,"&gt;=0")</f>
        <v>0</v>
      </c>
      <c r="F12" s="96">
        <f>SUMIFS('データ_全エリア'!$F$4:$F$6000,'データ_全エリア'!$U$4:$U$6000,$B12,'データ_全エリア'!$C$4:$C$6000,$C12,'データ_全エリア'!$B$4:$B$6000,$C$3)</f>
        <v>0</v>
      </c>
      <c r="G12" s="96">
        <f>SUMIFS('データ_全エリア'!$S$4:$S$6000,'データ_全エリア'!$U$4:$U$6000,$B12,'データ_全エリア'!$C$4:$C$6000,$C12,'データ_全エリア'!$B$4:$B$6000,$C$3)</f>
        <v>0</v>
      </c>
      <c r="H12" s="96">
        <f>SUMIFS('データ_全エリア'!$T$4:$T$6000,'データ_全エリア'!$U$4:$U$6000,$B12,'データ_全エリア'!$C$4:$C$6000,$C12,'データ_全エリア'!$B$4:$B$6000,$C$3)</f>
        <v>0</v>
      </c>
      <c r="I12" s="78" t="str">
        <f>IFERROR(SUMIFS('データ_全エリア'!V$4:V$6000,'データ_全エリア'!$U$4:$U$6000,$B12,'データ_全エリア'!$C$4:$C$6000,$C12,'データ_全エリア'!$B$4:$B$6000,$C$3)/$G12,"-")</f>
        <v>-</v>
      </c>
      <c r="J12" s="78" t="str">
        <f>IFERROR(SUMIFS('データ_全エリア'!W$4:W$6000,'データ_全エリア'!$U$4:$U$6000,$B12,'データ_全エリア'!$C$4:$C$6000,$C12,'データ_全エリア'!$B$4:$B$6000,$C$3)/$G12,"-")</f>
        <v>-</v>
      </c>
      <c r="K12" s="78" t="str">
        <f>IFERROR(SUMIFS('データ_全エリア'!X$4:X$6000,'データ_全エリア'!$U$4:$U$6000,$B12,'データ_全エリア'!$C$4:$C$6000,$C12,'データ_全エリア'!$B$4:$B$6000,$C$3)/$G12,"-")</f>
        <v>-</v>
      </c>
      <c r="L12" s="78" t="str">
        <f>IFERROR(SUMIFS('データ_全エリア'!Y$4:Y$6000,'データ_全エリア'!$U$4:$U$6000,$B12,'データ_全エリア'!$C$4:$C$6000,$C12,'データ_全エリア'!$B$4:$B$6000,$C$3)/$G12,"-")</f>
        <v>-</v>
      </c>
      <c r="M12" s="78" t="str">
        <f>IFERROR(SUMIFS('データ_全エリア'!Z$4:Z$6000,'データ_全エリア'!$U$4:$U$6000,$B12,'データ_全エリア'!$C$4:$C$6000,$C12,'データ_全エリア'!$B$4:$B$6000,$C$3)/$G12,"-")</f>
        <v>-</v>
      </c>
      <c r="N12" s="78" t="str">
        <f>IFERROR(SUMIFS('データ_全エリア'!AA$4:AA$6000,'データ_全エリア'!$U$4:$U$6000,$B12,'データ_全エリア'!$C$4:$C$6000,$C12,'データ_全エリア'!$B$4:$B$6000,$C$3)/$G12,"-")</f>
        <v>-</v>
      </c>
      <c r="O12" s="78" t="str">
        <f>IFERROR(SUMIFS('データ_全エリア'!AB$4:AB$6000,'データ_全エリア'!$U$4:$U$6000,$B12,'データ_全エリア'!$C$4:$C$6000,$C12,'データ_全エリア'!$B$4:$B$6000,$C$3)/$H12,"-")</f>
        <v>-</v>
      </c>
      <c r="P12" s="78" t="str">
        <f>IFERROR(SUMIFS('データ_全エリア'!AC$4:AC$6000,'データ_全エリア'!$U$4:$U$6000,$B12,'データ_全エリア'!$C$4:$C$6000,$C12,'データ_全エリア'!$B$4:$B$6000,$C$3)/$H12,"-")</f>
        <v>-</v>
      </c>
      <c r="Q12" s="78" t="str">
        <f>IFERROR(SUMIFS('データ_全エリア'!AD$4:AD$6000,'データ_全エリア'!$U$4:$U$6000,$B12,'データ_全エリア'!$C$4:$C$6000,$C12,'データ_全エリア'!$B$4:$B$6000,$C$3)/$H12,"-")</f>
        <v>-</v>
      </c>
      <c r="R12" s="78" t="str">
        <f>IFERROR(SUMIFS('データ_全エリア'!AE$4:AE$6000,'データ_全エリア'!$U$4:$U$6000,$B12,'データ_全エリア'!$C$4:$C$6000,$C12,'データ_全エリア'!$B$4:$B$6000,$C$3)/$H12,"-")</f>
        <v>-</v>
      </c>
      <c r="S12" s="78" t="str">
        <f>IFERROR(SUMIFS('データ_全エリア'!AF$4:AF$6000,'データ_全エリア'!$U$4:$U$6000,$B12,'データ_全エリア'!$C$4:$C$6000,$C12,'データ_全エリア'!$B$4:$B$6000,$C$3)/$H12,"-")</f>
        <v>-</v>
      </c>
      <c r="T12" s="78" t="str">
        <f>IFERROR(SUMIFS('データ_全エリア'!AG$4:AG$6000,'データ_全エリア'!$U$4:$U$6000,$B12,'データ_全エリア'!$C$4:$C$6000,$C12,'データ_全エリア'!$B$4:$B$6000,$C$3)/$H12,"-")</f>
        <v>-</v>
      </c>
      <c r="V12" s="123" t="str">
        <f>IFERROR(__xludf.DUMMYFUNCTION("""COMPUTED_VALUE"""),"ED信越")</f>
        <v>ED信越</v>
      </c>
      <c r="W12" s="78">
        <f>IFERROR(__xludf.DUMMYFUNCTION("""COMPUTED_VALUE"""),0.0)</f>
        <v>0</v>
      </c>
      <c r="X12" s="78">
        <f>IFERROR(__xludf.DUMMYFUNCTION("""COMPUTED_VALUE"""),0.0)</f>
        <v>0</v>
      </c>
      <c r="Y12" s="78">
        <f>IFERROR(__xludf.DUMMYFUNCTION("""COMPUTED_VALUE"""),0.0)</f>
        <v>0</v>
      </c>
      <c r="Z12" s="78">
        <f>IFERROR(__xludf.DUMMYFUNCTION("""COMPUTED_VALUE"""),0.0)</f>
        <v>0</v>
      </c>
      <c r="AA12" s="78">
        <f>IFERROR(__xludf.DUMMYFUNCTION("""COMPUTED_VALUE"""),0.0)</f>
        <v>0</v>
      </c>
      <c r="AB12" s="78">
        <f>IFERROR(__xludf.DUMMYFUNCTION("""COMPUTED_VALUE"""),1.0)</f>
        <v>1</v>
      </c>
    </row>
    <row r="13">
      <c r="B13" s="95" t="s">
        <v>103</v>
      </c>
      <c r="C13" s="95" t="s">
        <v>57</v>
      </c>
      <c r="D13" s="123" t="str">
        <f t="shared" si="1"/>
        <v>YD九州・沖縄</v>
      </c>
      <c r="E13" s="96">
        <f>COUNTIFS('データ_全エリア'!$U$4:$U$6000,$B13,'データ_全エリア'!$C$4:$C$6000,$C13,'データ_全エリア'!$B$4:$B$6000,$C$3,'データ_全エリア'!$S$4:$S$6000,"&gt;=0")</f>
        <v>0</v>
      </c>
      <c r="F13" s="96">
        <f>SUMIFS('データ_全エリア'!$F$4:$F$6000,'データ_全エリア'!$U$4:$U$6000,$B13,'データ_全エリア'!$C$4:$C$6000,$C13,'データ_全エリア'!$B$4:$B$6000,$C$3)</f>
        <v>0</v>
      </c>
      <c r="G13" s="96">
        <f>SUMIFS('データ_全エリア'!$S$4:$S$6000,'データ_全エリア'!$U$4:$U$6000,$B13,'データ_全エリア'!$C$4:$C$6000,$C13,'データ_全エリア'!$B$4:$B$6000,$C$3)</f>
        <v>0</v>
      </c>
      <c r="H13" s="96">
        <f>SUMIFS('データ_全エリア'!$T$4:$T$6000,'データ_全エリア'!$U$4:$U$6000,$B13,'データ_全エリア'!$C$4:$C$6000,$C13,'データ_全エリア'!$B$4:$B$6000,$C$3)</f>
        <v>0</v>
      </c>
      <c r="I13" s="78" t="str">
        <f>IFERROR(SUMIFS('データ_全エリア'!V$4:V$6000,'データ_全エリア'!$U$4:$U$6000,$B13,'データ_全エリア'!$C$4:$C$6000,$C13,'データ_全エリア'!$B$4:$B$6000,$C$3)/$G13,"-")</f>
        <v>-</v>
      </c>
      <c r="J13" s="78" t="str">
        <f>IFERROR(SUMIFS('データ_全エリア'!W$4:W$6000,'データ_全エリア'!$U$4:$U$6000,$B13,'データ_全エリア'!$C$4:$C$6000,$C13,'データ_全エリア'!$B$4:$B$6000,$C$3)/$G13,"-")</f>
        <v>-</v>
      </c>
      <c r="K13" s="78" t="str">
        <f>IFERROR(SUMIFS('データ_全エリア'!X$4:X$6000,'データ_全エリア'!$U$4:$U$6000,$B13,'データ_全エリア'!$C$4:$C$6000,$C13,'データ_全エリア'!$B$4:$B$6000,$C$3)/$G13,"-")</f>
        <v>-</v>
      </c>
      <c r="L13" s="78" t="str">
        <f>IFERROR(SUMIFS('データ_全エリア'!Y$4:Y$6000,'データ_全エリア'!$U$4:$U$6000,$B13,'データ_全エリア'!$C$4:$C$6000,$C13,'データ_全エリア'!$B$4:$B$6000,$C$3)/$G13,"-")</f>
        <v>-</v>
      </c>
      <c r="M13" s="78" t="str">
        <f>IFERROR(SUMIFS('データ_全エリア'!Z$4:Z$6000,'データ_全エリア'!$U$4:$U$6000,$B13,'データ_全エリア'!$C$4:$C$6000,$C13,'データ_全エリア'!$B$4:$B$6000,$C$3)/$G13,"-")</f>
        <v>-</v>
      </c>
      <c r="N13" s="78" t="str">
        <f>IFERROR(SUMIFS('データ_全エリア'!AA$4:AA$6000,'データ_全エリア'!$U$4:$U$6000,$B13,'データ_全エリア'!$C$4:$C$6000,$C13,'データ_全エリア'!$B$4:$B$6000,$C$3)/$G13,"-")</f>
        <v>-</v>
      </c>
      <c r="O13" s="78" t="str">
        <f>IFERROR(SUMIFS('データ_全エリア'!AB$4:AB$6000,'データ_全エリア'!$U$4:$U$6000,$B13,'データ_全エリア'!$C$4:$C$6000,$C13,'データ_全エリア'!$B$4:$B$6000,$C$3)/$H13,"-")</f>
        <v>-</v>
      </c>
      <c r="P13" s="78" t="str">
        <f>IFERROR(SUMIFS('データ_全エリア'!AC$4:AC$6000,'データ_全エリア'!$U$4:$U$6000,$B13,'データ_全エリア'!$C$4:$C$6000,$C13,'データ_全エリア'!$B$4:$B$6000,$C$3)/$H13,"-")</f>
        <v>-</v>
      </c>
      <c r="Q13" s="78" t="str">
        <f>IFERROR(SUMIFS('データ_全エリア'!AD$4:AD$6000,'データ_全エリア'!$U$4:$U$6000,$B13,'データ_全エリア'!$C$4:$C$6000,$C13,'データ_全エリア'!$B$4:$B$6000,$C$3)/$H13,"-")</f>
        <v>-</v>
      </c>
      <c r="R13" s="78" t="str">
        <f>IFERROR(SUMIFS('データ_全エリア'!AE$4:AE$6000,'データ_全エリア'!$U$4:$U$6000,$B13,'データ_全エリア'!$C$4:$C$6000,$C13,'データ_全エリア'!$B$4:$B$6000,$C$3)/$H13,"-")</f>
        <v>-</v>
      </c>
      <c r="S13" s="78" t="str">
        <f>IFERROR(SUMIFS('データ_全エリア'!AF$4:AF$6000,'データ_全エリア'!$U$4:$U$6000,$B13,'データ_全エリア'!$C$4:$C$6000,$C13,'データ_全エリア'!$B$4:$B$6000,$C$3)/$H13,"-")</f>
        <v>-</v>
      </c>
      <c r="T13" s="78" t="str">
        <f>IFERROR(SUMIFS('データ_全エリア'!AG$4:AG$6000,'データ_全エリア'!$U$4:$U$6000,$B13,'データ_全エリア'!$C$4:$C$6000,$C13,'データ_全エリア'!$B$4:$B$6000,$C$3)/$H13,"-")</f>
        <v>-</v>
      </c>
      <c r="V13" s="123" t="str">
        <f>IFERROR(__xludf.DUMMYFUNCTION("""COMPUTED_VALUE"""),"JO信越")</f>
        <v>JO信越</v>
      </c>
      <c r="W13" s="78">
        <f>IFERROR(__xludf.DUMMYFUNCTION("""COMPUTED_VALUE"""),0.42685851318944845)</f>
        <v>0.4268585132</v>
      </c>
      <c r="X13" s="78">
        <f>IFERROR(__xludf.DUMMYFUNCTION("""COMPUTED_VALUE"""),0.09832134292565947)</f>
        <v>0.09832134293</v>
      </c>
      <c r="Y13" s="78">
        <f>IFERROR(__xludf.DUMMYFUNCTION("""COMPUTED_VALUE"""),0.046762589928057555)</f>
        <v>0.04676258993</v>
      </c>
      <c r="Z13" s="78">
        <f>IFERROR(__xludf.DUMMYFUNCTION("""COMPUTED_VALUE"""),0.1498800959232614)</f>
        <v>0.1498800959</v>
      </c>
      <c r="AA13" s="78">
        <f>IFERROR(__xludf.DUMMYFUNCTION("""COMPUTED_VALUE"""),0.1606714628297362)</f>
        <v>0.1606714628</v>
      </c>
      <c r="AB13" s="78">
        <f>IFERROR(__xludf.DUMMYFUNCTION("""COMPUTED_VALUE"""),0.11750599520383694)</f>
        <v>0.1175059952</v>
      </c>
    </row>
    <row r="14">
      <c r="B14" s="95" t="s">
        <v>105</v>
      </c>
      <c r="C14" s="95" t="s">
        <v>21</v>
      </c>
      <c r="D14" s="123" t="str">
        <f t="shared" si="1"/>
        <v>KS北海道</v>
      </c>
      <c r="E14" s="96">
        <f>COUNTIFS('データ_全エリア'!$U$4:$U$6000,$B14,'データ_全エリア'!$C$4:$C$6000,$C14,'データ_全エリア'!$B$4:$B$6000,$C$3,'データ_全エリア'!$S$4:$S$6000,"&gt;=0")</f>
        <v>6</v>
      </c>
      <c r="F14" s="96">
        <f>SUMIFS('データ_全エリア'!$F$4:$F$6000,'データ_全エリア'!$U$4:$U$6000,$B14,'データ_全エリア'!$C$4:$C$6000,$C14,'データ_全エリア'!$B$4:$B$6000,$C$3)</f>
        <v>200</v>
      </c>
      <c r="G14" s="96">
        <f>SUMIFS('データ_全エリア'!$S$4:$S$6000,'データ_全エリア'!$U$4:$U$6000,$B14,'データ_全エリア'!$C$4:$C$6000,$C14,'データ_全エリア'!$B$4:$B$6000,$C$3)</f>
        <v>200</v>
      </c>
      <c r="H14" s="96">
        <f>SUMIFS('データ_全エリア'!$T$4:$T$6000,'データ_全エリア'!$U$4:$U$6000,$B14,'データ_全エリア'!$C$4:$C$6000,$C14,'データ_全エリア'!$B$4:$B$6000,$C$3)</f>
        <v>200</v>
      </c>
      <c r="I14" s="78">
        <f>IFERROR(SUMIFS('データ_全エリア'!V$4:V$6000,'データ_全エリア'!$U$4:$U$6000,$B14,'データ_全エリア'!$C$4:$C$6000,$C14,'データ_全エリア'!$B$4:$B$6000,$C$3)/$G14,"-")</f>
        <v>0</v>
      </c>
      <c r="J14" s="78">
        <f>IFERROR(SUMIFS('データ_全エリア'!W$4:W$6000,'データ_全エリア'!$U$4:$U$6000,$B14,'データ_全エリア'!$C$4:$C$6000,$C14,'データ_全エリア'!$B$4:$B$6000,$C$3)/$G14,"-")</f>
        <v>0</v>
      </c>
      <c r="K14" s="78">
        <f>IFERROR(SUMIFS('データ_全エリア'!X$4:X$6000,'データ_全エリア'!$U$4:$U$6000,$B14,'データ_全エリア'!$C$4:$C$6000,$C14,'データ_全エリア'!$B$4:$B$6000,$C$3)/$G14,"-")</f>
        <v>0</v>
      </c>
      <c r="L14" s="78">
        <f>IFERROR(SUMIFS('データ_全エリア'!Y$4:Y$6000,'データ_全エリア'!$U$4:$U$6000,$B14,'データ_全エリア'!$C$4:$C$6000,$C14,'データ_全エリア'!$B$4:$B$6000,$C$3)/$G14,"-")</f>
        <v>0</v>
      </c>
      <c r="M14" s="78">
        <f>IFERROR(SUMIFS('データ_全エリア'!Z$4:Z$6000,'データ_全エリア'!$U$4:$U$6000,$B14,'データ_全エリア'!$C$4:$C$6000,$C14,'データ_全エリア'!$B$4:$B$6000,$C$3)/$G14,"-")</f>
        <v>0</v>
      </c>
      <c r="N14" s="78">
        <f>IFERROR(SUMIFS('データ_全エリア'!AA$4:AA$6000,'データ_全エリア'!$U$4:$U$6000,$B14,'データ_全エリア'!$C$4:$C$6000,$C14,'データ_全エリア'!$B$4:$B$6000,$C$3)/$G14,"-")</f>
        <v>1</v>
      </c>
      <c r="O14" s="78">
        <f>IFERROR(SUMIFS('データ_全エリア'!AB$4:AB$6000,'データ_全エリア'!$U$4:$U$6000,$B14,'データ_全エリア'!$C$4:$C$6000,$C14,'データ_全エリア'!$B$4:$B$6000,$C$3)/$H14,"-")</f>
        <v>0</v>
      </c>
      <c r="P14" s="78">
        <f>IFERROR(SUMIFS('データ_全エリア'!AC$4:AC$6000,'データ_全エリア'!$U$4:$U$6000,$B14,'データ_全エリア'!$C$4:$C$6000,$C14,'データ_全エリア'!$B$4:$B$6000,$C$3)/$H14,"-")</f>
        <v>0</v>
      </c>
      <c r="Q14" s="78">
        <f>IFERROR(SUMIFS('データ_全エリア'!AD$4:AD$6000,'データ_全エリア'!$U$4:$U$6000,$B14,'データ_全エリア'!$C$4:$C$6000,$C14,'データ_全エリア'!$B$4:$B$6000,$C$3)/$H14,"-")</f>
        <v>0</v>
      </c>
      <c r="R14" s="78">
        <f>IFERROR(SUMIFS('データ_全エリア'!AE$4:AE$6000,'データ_全エリア'!$U$4:$U$6000,$B14,'データ_全エリア'!$C$4:$C$6000,$C14,'データ_全エリア'!$B$4:$B$6000,$C$3)/$H14,"-")</f>
        <v>0</v>
      </c>
      <c r="S14" s="78">
        <f>IFERROR(SUMIFS('データ_全エリア'!AF$4:AF$6000,'データ_全エリア'!$U$4:$U$6000,$B14,'データ_全エリア'!$C$4:$C$6000,$C14,'データ_全エリア'!$B$4:$B$6000,$C$3)/$H14,"-")</f>
        <v>0</v>
      </c>
      <c r="T14" s="78">
        <f>IFERROR(SUMIFS('データ_全エリア'!AG$4:AG$6000,'データ_全エリア'!$U$4:$U$6000,$B14,'データ_全エリア'!$C$4:$C$6000,$C14,'データ_全エリア'!$B$4:$B$6000,$C$3)/$H14,"-")</f>
        <v>1</v>
      </c>
      <c r="V14" s="123"/>
      <c r="W14" s="78"/>
      <c r="X14" s="78"/>
      <c r="Y14" s="78"/>
      <c r="Z14" s="78"/>
      <c r="AA14" s="78"/>
      <c r="AB14" s="78"/>
    </row>
    <row r="15">
      <c r="B15" s="95" t="s">
        <v>105</v>
      </c>
      <c r="C15" s="95" t="s">
        <v>30</v>
      </c>
      <c r="D15" s="123" t="str">
        <f t="shared" si="1"/>
        <v>KS東北</v>
      </c>
      <c r="E15" s="96">
        <f>COUNTIFS('データ_全エリア'!$U$4:$U$6000,$B15,'データ_全エリア'!$C$4:$C$6000,$C15,'データ_全エリア'!$B$4:$B$6000,$C$3,'データ_全エリア'!$S$4:$S$6000,"&gt;=0")</f>
        <v>0</v>
      </c>
      <c r="F15" s="96">
        <f>SUMIFS('データ_全エリア'!$F$4:$F$6000,'データ_全エリア'!$U$4:$U$6000,$B15,'データ_全エリア'!$C$4:$C$6000,$C15,'データ_全エリア'!$B$4:$B$6000,$C$3)</f>
        <v>0</v>
      </c>
      <c r="G15" s="96">
        <f>SUMIFS('データ_全エリア'!$S$4:$S$6000,'データ_全エリア'!$U$4:$U$6000,$B15,'データ_全エリア'!$C$4:$C$6000,$C15,'データ_全エリア'!$B$4:$B$6000,$C$3)</f>
        <v>0</v>
      </c>
      <c r="H15" s="96">
        <f>SUMIFS('データ_全エリア'!$T$4:$T$6000,'データ_全エリア'!$U$4:$U$6000,$B15,'データ_全エリア'!$C$4:$C$6000,$C15,'データ_全エリア'!$B$4:$B$6000,$C$3)</f>
        <v>0</v>
      </c>
      <c r="I15" s="78" t="str">
        <f>IFERROR(SUMIFS('データ_全エリア'!V$4:V$6000,'データ_全エリア'!$U$4:$U$6000,$B15,'データ_全エリア'!$C$4:$C$6000,$C15,'データ_全エリア'!$B$4:$B$6000,$C$3)/$G15,"-")</f>
        <v>-</v>
      </c>
      <c r="J15" s="78" t="str">
        <f>IFERROR(SUMIFS('データ_全エリア'!W$4:W$6000,'データ_全エリア'!$U$4:$U$6000,$B15,'データ_全エリア'!$C$4:$C$6000,$C15,'データ_全エリア'!$B$4:$B$6000,$C$3)/$G15,"-")</f>
        <v>-</v>
      </c>
      <c r="K15" s="78" t="str">
        <f>IFERROR(SUMIFS('データ_全エリア'!X$4:X$6000,'データ_全エリア'!$U$4:$U$6000,$B15,'データ_全エリア'!$C$4:$C$6000,$C15,'データ_全エリア'!$B$4:$B$6000,$C$3)/$G15,"-")</f>
        <v>-</v>
      </c>
      <c r="L15" s="78" t="str">
        <f>IFERROR(SUMIFS('データ_全エリア'!Y$4:Y$6000,'データ_全エリア'!$U$4:$U$6000,$B15,'データ_全エリア'!$C$4:$C$6000,$C15,'データ_全エリア'!$B$4:$B$6000,$C$3)/$G15,"-")</f>
        <v>-</v>
      </c>
      <c r="M15" s="78" t="str">
        <f>IFERROR(SUMIFS('データ_全エリア'!Z$4:Z$6000,'データ_全エリア'!$U$4:$U$6000,$B15,'データ_全エリア'!$C$4:$C$6000,$C15,'データ_全エリア'!$B$4:$B$6000,$C$3)/$G15,"-")</f>
        <v>-</v>
      </c>
      <c r="N15" s="78" t="str">
        <f>IFERROR(SUMIFS('データ_全エリア'!AA$4:AA$6000,'データ_全エリア'!$U$4:$U$6000,$B15,'データ_全エリア'!$C$4:$C$6000,$C15,'データ_全エリア'!$B$4:$B$6000,$C$3)/$G15,"-")</f>
        <v>-</v>
      </c>
      <c r="O15" s="78" t="str">
        <f>IFERROR(SUMIFS('データ_全エリア'!AB$4:AB$6000,'データ_全エリア'!$U$4:$U$6000,$B15,'データ_全エリア'!$C$4:$C$6000,$C15,'データ_全エリア'!$B$4:$B$6000,$C$3)/$H15,"-")</f>
        <v>-</v>
      </c>
      <c r="P15" s="78" t="str">
        <f>IFERROR(SUMIFS('データ_全エリア'!AC$4:AC$6000,'データ_全エリア'!$U$4:$U$6000,$B15,'データ_全エリア'!$C$4:$C$6000,$C15,'データ_全エリア'!$B$4:$B$6000,$C$3)/$H15,"-")</f>
        <v>-</v>
      </c>
      <c r="Q15" s="78" t="str">
        <f>IFERROR(SUMIFS('データ_全エリア'!AD$4:AD$6000,'データ_全エリア'!$U$4:$U$6000,$B15,'データ_全エリア'!$C$4:$C$6000,$C15,'データ_全エリア'!$B$4:$B$6000,$C$3)/$H15,"-")</f>
        <v>-</v>
      </c>
      <c r="R15" s="78" t="str">
        <f>IFERROR(SUMIFS('データ_全エリア'!AE$4:AE$6000,'データ_全エリア'!$U$4:$U$6000,$B15,'データ_全エリア'!$C$4:$C$6000,$C15,'データ_全エリア'!$B$4:$B$6000,$C$3)/$H15,"-")</f>
        <v>-</v>
      </c>
      <c r="S15" s="78" t="str">
        <f>IFERROR(SUMIFS('データ_全エリア'!AF$4:AF$6000,'データ_全エリア'!$U$4:$U$6000,$B15,'データ_全エリア'!$C$4:$C$6000,$C15,'データ_全エリア'!$B$4:$B$6000,$C$3)/$H15,"-")</f>
        <v>-</v>
      </c>
      <c r="T15" s="78" t="str">
        <f>IFERROR(SUMIFS('データ_全エリア'!AG$4:AG$6000,'データ_全エリア'!$U$4:$U$6000,$B15,'データ_全エリア'!$C$4:$C$6000,$C15,'データ_全エリア'!$B$4:$B$6000,$C$3)/$H15,"-")</f>
        <v>-</v>
      </c>
      <c r="V15" s="123"/>
      <c r="W15" s="78"/>
      <c r="X15" s="78"/>
      <c r="Y15" s="78"/>
      <c r="Z15" s="78"/>
      <c r="AA15" s="78"/>
      <c r="AB15" s="78"/>
    </row>
    <row r="16">
      <c r="B16" s="95" t="s">
        <v>105</v>
      </c>
      <c r="C16" s="95" t="s">
        <v>34</v>
      </c>
      <c r="D16" s="123" t="str">
        <f t="shared" si="1"/>
        <v>KS関東</v>
      </c>
      <c r="E16" s="96">
        <f>COUNTIFS('データ_全エリア'!$U$4:$U$6000,$B16,'データ_全エリア'!$C$4:$C$6000,$C16,'データ_全エリア'!$B$4:$B$6000,$C$3,'データ_全エリア'!$S$4:$S$6000,"&gt;=0")</f>
        <v>1</v>
      </c>
      <c r="F16" s="96">
        <f>SUMIFS('データ_全エリア'!$F$4:$F$6000,'データ_全エリア'!$U$4:$U$6000,$B16,'データ_全エリア'!$C$4:$C$6000,$C16,'データ_全エリア'!$B$4:$B$6000,$C$3)</f>
        <v>6</v>
      </c>
      <c r="G16" s="96">
        <f>SUMIFS('データ_全エリア'!$S$4:$S$6000,'データ_全エリア'!$U$4:$U$6000,$B16,'データ_全エリア'!$C$4:$C$6000,$C16,'データ_全エリア'!$B$4:$B$6000,$C$3)</f>
        <v>6</v>
      </c>
      <c r="H16" s="96">
        <f>SUMIFS('データ_全エリア'!$T$4:$T$6000,'データ_全エリア'!$U$4:$U$6000,$B16,'データ_全エリア'!$C$4:$C$6000,$C16,'データ_全エリア'!$B$4:$B$6000,$C$3)</f>
        <v>6</v>
      </c>
      <c r="I16" s="78">
        <f>IFERROR(SUMIFS('データ_全エリア'!V$4:V$6000,'データ_全エリア'!$U$4:$U$6000,$B16,'データ_全エリア'!$C$4:$C$6000,$C16,'データ_全エリア'!$B$4:$B$6000,$C$3)/$G16,"-")</f>
        <v>0</v>
      </c>
      <c r="J16" s="78">
        <f>IFERROR(SUMIFS('データ_全エリア'!W$4:W$6000,'データ_全エリア'!$U$4:$U$6000,$B16,'データ_全エリア'!$C$4:$C$6000,$C16,'データ_全エリア'!$B$4:$B$6000,$C$3)/$G16,"-")</f>
        <v>0</v>
      </c>
      <c r="K16" s="78">
        <f>IFERROR(SUMIFS('データ_全エリア'!X$4:X$6000,'データ_全エリア'!$U$4:$U$6000,$B16,'データ_全エリア'!$C$4:$C$6000,$C16,'データ_全エリア'!$B$4:$B$6000,$C$3)/$G16,"-")</f>
        <v>0</v>
      </c>
      <c r="L16" s="78">
        <f>IFERROR(SUMIFS('データ_全エリア'!Y$4:Y$6000,'データ_全エリア'!$U$4:$U$6000,$B16,'データ_全エリア'!$C$4:$C$6000,$C16,'データ_全エリア'!$B$4:$B$6000,$C$3)/$G16,"-")</f>
        <v>0</v>
      </c>
      <c r="M16" s="78">
        <f>IFERROR(SUMIFS('データ_全エリア'!Z$4:Z$6000,'データ_全エリア'!$U$4:$U$6000,$B16,'データ_全エリア'!$C$4:$C$6000,$C16,'データ_全エリア'!$B$4:$B$6000,$C$3)/$G16,"-")</f>
        <v>0</v>
      </c>
      <c r="N16" s="78">
        <f>IFERROR(SUMIFS('データ_全エリア'!AA$4:AA$6000,'データ_全エリア'!$U$4:$U$6000,$B16,'データ_全エリア'!$C$4:$C$6000,$C16,'データ_全エリア'!$B$4:$B$6000,$C$3)/$G16,"-")</f>
        <v>1</v>
      </c>
      <c r="O16" s="78">
        <f>IFERROR(SUMIFS('データ_全エリア'!AB$4:AB$6000,'データ_全エリア'!$U$4:$U$6000,$B16,'データ_全エリア'!$C$4:$C$6000,$C16,'データ_全エリア'!$B$4:$B$6000,$C$3)/$H16,"-")</f>
        <v>0</v>
      </c>
      <c r="P16" s="78">
        <f>IFERROR(SUMIFS('データ_全エリア'!AC$4:AC$6000,'データ_全エリア'!$U$4:$U$6000,$B16,'データ_全エリア'!$C$4:$C$6000,$C16,'データ_全エリア'!$B$4:$B$6000,$C$3)/$H16,"-")</f>
        <v>0</v>
      </c>
      <c r="Q16" s="78">
        <f>IFERROR(SUMIFS('データ_全エリア'!AD$4:AD$6000,'データ_全エリア'!$U$4:$U$6000,$B16,'データ_全エリア'!$C$4:$C$6000,$C16,'データ_全エリア'!$B$4:$B$6000,$C$3)/$H16,"-")</f>
        <v>0</v>
      </c>
      <c r="R16" s="78">
        <f>IFERROR(SUMIFS('データ_全エリア'!AE$4:AE$6000,'データ_全エリア'!$U$4:$U$6000,$B16,'データ_全エリア'!$C$4:$C$6000,$C16,'データ_全エリア'!$B$4:$B$6000,$C$3)/$H16,"-")</f>
        <v>0</v>
      </c>
      <c r="S16" s="78">
        <f>IFERROR(SUMIFS('データ_全エリア'!AF$4:AF$6000,'データ_全エリア'!$U$4:$U$6000,$B16,'データ_全エリア'!$C$4:$C$6000,$C16,'データ_全エリア'!$B$4:$B$6000,$C$3)/$H16,"-")</f>
        <v>0</v>
      </c>
      <c r="T16" s="78">
        <f>IFERROR(SUMIFS('データ_全エリア'!AG$4:AG$6000,'データ_全エリア'!$U$4:$U$6000,$B16,'データ_全エリア'!$C$4:$C$6000,$C16,'データ_全エリア'!$B$4:$B$6000,$C$3)/$H16,"-")</f>
        <v>1</v>
      </c>
      <c r="V16" s="123"/>
      <c r="W16" s="78"/>
      <c r="X16" s="78"/>
      <c r="Y16" s="78"/>
      <c r="Z16" s="78"/>
      <c r="AA16" s="78"/>
      <c r="AB16" s="78"/>
    </row>
    <row r="17">
      <c r="B17" s="95" t="s">
        <v>105</v>
      </c>
      <c r="C17" s="95" t="s">
        <v>37</v>
      </c>
      <c r="D17" s="123" t="str">
        <f t="shared" si="1"/>
        <v>KS信越</v>
      </c>
      <c r="E17" s="96">
        <f>COUNTIFS('データ_全エリア'!$U$4:$U$6000,$B17,'データ_全エリア'!$C$4:$C$6000,$C17,'データ_全エリア'!$B$4:$B$6000,$C$3,'データ_全エリア'!$S$4:$S$6000,"&gt;=0")</f>
        <v>2</v>
      </c>
      <c r="F17" s="96">
        <f>SUMIFS('データ_全エリア'!$F$4:$F$6000,'データ_全エリア'!$U$4:$U$6000,$B17,'データ_全エリア'!$C$4:$C$6000,$C17,'データ_全エリア'!$B$4:$B$6000,$C$3)</f>
        <v>52</v>
      </c>
      <c r="G17" s="96">
        <f>SUMIFS('データ_全エリア'!$S$4:$S$6000,'データ_全エリア'!$U$4:$U$6000,$B17,'データ_全エリア'!$C$4:$C$6000,$C17,'データ_全エリア'!$B$4:$B$6000,$C$3)</f>
        <v>52</v>
      </c>
      <c r="H17" s="96">
        <f>SUMIFS('データ_全エリア'!$T$4:$T$6000,'データ_全エリア'!$U$4:$U$6000,$B17,'データ_全エリア'!$C$4:$C$6000,$C17,'データ_全エリア'!$B$4:$B$6000,$C$3)</f>
        <v>52</v>
      </c>
      <c r="I17" s="78">
        <f>IFERROR(SUMIFS('データ_全エリア'!V$4:V$6000,'データ_全エリア'!$U$4:$U$6000,$B17,'データ_全エリア'!$C$4:$C$6000,$C17,'データ_全エリア'!$B$4:$B$6000,$C$3)/$G17,"-")</f>
        <v>0</v>
      </c>
      <c r="J17" s="78">
        <f>IFERROR(SUMIFS('データ_全エリア'!W$4:W$6000,'データ_全エリア'!$U$4:$U$6000,$B17,'データ_全エリア'!$C$4:$C$6000,$C17,'データ_全エリア'!$B$4:$B$6000,$C$3)/$G17,"-")</f>
        <v>0</v>
      </c>
      <c r="K17" s="78">
        <f>IFERROR(SUMIFS('データ_全エリア'!X$4:X$6000,'データ_全エリア'!$U$4:$U$6000,$B17,'データ_全エリア'!$C$4:$C$6000,$C17,'データ_全エリア'!$B$4:$B$6000,$C$3)/$G17,"-")</f>
        <v>0</v>
      </c>
      <c r="L17" s="78">
        <f>IFERROR(SUMIFS('データ_全エリア'!Y$4:Y$6000,'データ_全エリア'!$U$4:$U$6000,$B17,'データ_全エリア'!$C$4:$C$6000,$C17,'データ_全エリア'!$B$4:$B$6000,$C$3)/$G17,"-")</f>
        <v>0</v>
      </c>
      <c r="M17" s="78">
        <f>IFERROR(SUMIFS('データ_全エリア'!Z$4:Z$6000,'データ_全エリア'!$U$4:$U$6000,$B17,'データ_全エリア'!$C$4:$C$6000,$C17,'データ_全エリア'!$B$4:$B$6000,$C$3)/$G17,"-")</f>
        <v>0</v>
      </c>
      <c r="N17" s="78">
        <f>IFERROR(SUMIFS('データ_全エリア'!AA$4:AA$6000,'データ_全エリア'!$U$4:$U$6000,$B17,'データ_全エリア'!$C$4:$C$6000,$C17,'データ_全エリア'!$B$4:$B$6000,$C$3)/$G17,"-")</f>
        <v>1</v>
      </c>
      <c r="O17" s="78">
        <f>IFERROR(SUMIFS('データ_全エリア'!AB$4:AB$6000,'データ_全エリア'!$U$4:$U$6000,$B17,'データ_全エリア'!$C$4:$C$6000,$C17,'データ_全エリア'!$B$4:$B$6000,$C$3)/$H17,"-")</f>
        <v>0</v>
      </c>
      <c r="P17" s="78">
        <f>IFERROR(SUMIFS('データ_全エリア'!AC$4:AC$6000,'データ_全エリア'!$U$4:$U$6000,$B17,'データ_全エリア'!$C$4:$C$6000,$C17,'データ_全エリア'!$B$4:$B$6000,$C$3)/$H17,"-")</f>
        <v>0</v>
      </c>
      <c r="Q17" s="78">
        <f>IFERROR(SUMIFS('データ_全エリア'!AD$4:AD$6000,'データ_全エリア'!$U$4:$U$6000,$B17,'データ_全エリア'!$C$4:$C$6000,$C17,'データ_全エリア'!$B$4:$B$6000,$C$3)/$H17,"-")</f>
        <v>0</v>
      </c>
      <c r="R17" s="78">
        <f>IFERROR(SUMIFS('データ_全エリア'!AE$4:AE$6000,'データ_全エリア'!$U$4:$U$6000,$B17,'データ_全エリア'!$C$4:$C$6000,$C17,'データ_全エリア'!$B$4:$B$6000,$C$3)/$H17,"-")</f>
        <v>0</v>
      </c>
      <c r="S17" s="78">
        <f>IFERROR(SUMIFS('データ_全エリア'!AF$4:AF$6000,'データ_全エリア'!$U$4:$U$6000,$B17,'データ_全エリア'!$C$4:$C$6000,$C17,'データ_全エリア'!$B$4:$B$6000,$C$3)/$H17,"-")</f>
        <v>0</v>
      </c>
      <c r="T17" s="78">
        <f>IFERROR(SUMIFS('データ_全エリア'!AG$4:AG$6000,'データ_全エリア'!$U$4:$U$6000,$B17,'データ_全エリア'!$C$4:$C$6000,$C17,'データ_全エリア'!$B$4:$B$6000,$C$3)/$H17,"-")</f>
        <v>1</v>
      </c>
      <c r="V17" s="123"/>
      <c r="W17" s="78"/>
      <c r="X17" s="78"/>
      <c r="Y17" s="78"/>
      <c r="Z17" s="78"/>
      <c r="AA17" s="78"/>
      <c r="AB17" s="78"/>
    </row>
    <row r="18">
      <c r="B18" s="95" t="s">
        <v>105</v>
      </c>
      <c r="C18" s="95" t="s">
        <v>40</v>
      </c>
      <c r="D18" s="123" t="str">
        <f t="shared" si="1"/>
        <v>KS中部</v>
      </c>
      <c r="E18" s="96">
        <f>COUNTIFS('データ_全エリア'!$U$4:$U$6000,$B18,'データ_全エリア'!$C$4:$C$6000,$C18,'データ_全エリア'!$B$4:$B$6000,$C$3,'データ_全エリア'!$S$4:$S$6000,"&gt;=0")</f>
        <v>0</v>
      </c>
      <c r="F18" s="96">
        <f>SUMIFS('データ_全エリア'!$F$4:$F$6000,'データ_全エリア'!$U$4:$U$6000,$B18,'データ_全エリア'!$C$4:$C$6000,$C18,'データ_全エリア'!$B$4:$B$6000,$C$3)</f>
        <v>0</v>
      </c>
      <c r="G18" s="96">
        <f>SUMIFS('データ_全エリア'!$S$4:$S$6000,'データ_全エリア'!$U$4:$U$6000,$B18,'データ_全エリア'!$C$4:$C$6000,$C18,'データ_全エリア'!$B$4:$B$6000,$C$3)</f>
        <v>0</v>
      </c>
      <c r="H18" s="96">
        <f>SUMIFS('データ_全エリア'!$T$4:$T$6000,'データ_全エリア'!$U$4:$U$6000,$B18,'データ_全エリア'!$C$4:$C$6000,$C18,'データ_全エリア'!$B$4:$B$6000,$C$3)</f>
        <v>0</v>
      </c>
      <c r="I18" s="78" t="str">
        <f>IFERROR(SUMIFS('データ_全エリア'!V$4:V$6000,'データ_全エリア'!$U$4:$U$6000,$B18,'データ_全エリア'!$C$4:$C$6000,$C18,'データ_全エリア'!$B$4:$B$6000,$C$3)/$G18,"-")</f>
        <v>-</v>
      </c>
      <c r="J18" s="78" t="str">
        <f>IFERROR(SUMIFS('データ_全エリア'!W$4:W$6000,'データ_全エリア'!$U$4:$U$6000,$B18,'データ_全エリア'!$C$4:$C$6000,$C18,'データ_全エリア'!$B$4:$B$6000,$C$3)/$G18,"-")</f>
        <v>-</v>
      </c>
      <c r="K18" s="78" t="str">
        <f>IFERROR(SUMIFS('データ_全エリア'!X$4:X$6000,'データ_全エリア'!$U$4:$U$6000,$B18,'データ_全エリア'!$C$4:$C$6000,$C18,'データ_全エリア'!$B$4:$B$6000,$C$3)/$G18,"-")</f>
        <v>-</v>
      </c>
      <c r="L18" s="78" t="str">
        <f>IFERROR(SUMIFS('データ_全エリア'!Y$4:Y$6000,'データ_全エリア'!$U$4:$U$6000,$B18,'データ_全エリア'!$C$4:$C$6000,$C18,'データ_全エリア'!$B$4:$B$6000,$C$3)/$G18,"-")</f>
        <v>-</v>
      </c>
      <c r="M18" s="78" t="str">
        <f>IFERROR(SUMIFS('データ_全エリア'!Z$4:Z$6000,'データ_全エリア'!$U$4:$U$6000,$B18,'データ_全エリア'!$C$4:$C$6000,$C18,'データ_全エリア'!$B$4:$B$6000,$C$3)/$G18,"-")</f>
        <v>-</v>
      </c>
      <c r="N18" s="78" t="str">
        <f>IFERROR(SUMIFS('データ_全エリア'!AA$4:AA$6000,'データ_全エリア'!$U$4:$U$6000,$B18,'データ_全エリア'!$C$4:$C$6000,$C18,'データ_全エリア'!$B$4:$B$6000,$C$3)/$G18,"-")</f>
        <v>-</v>
      </c>
      <c r="O18" s="78" t="str">
        <f>IFERROR(SUMIFS('データ_全エリア'!AB$4:AB$6000,'データ_全エリア'!$U$4:$U$6000,$B18,'データ_全エリア'!$C$4:$C$6000,$C18,'データ_全エリア'!$B$4:$B$6000,$C$3)/$H18,"-")</f>
        <v>-</v>
      </c>
      <c r="P18" s="78" t="str">
        <f>IFERROR(SUMIFS('データ_全エリア'!AC$4:AC$6000,'データ_全エリア'!$U$4:$U$6000,$B18,'データ_全エリア'!$C$4:$C$6000,$C18,'データ_全エリア'!$B$4:$B$6000,$C$3)/$H18,"-")</f>
        <v>-</v>
      </c>
      <c r="Q18" s="78" t="str">
        <f>IFERROR(SUMIFS('データ_全エリア'!AD$4:AD$6000,'データ_全エリア'!$U$4:$U$6000,$B18,'データ_全エリア'!$C$4:$C$6000,$C18,'データ_全エリア'!$B$4:$B$6000,$C$3)/$H18,"-")</f>
        <v>-</v>
      </c>
      <c r="R18" s="78" t="str">
        <f>IFERROR(SUMIFS('データ_全エリア'!AE$4:AE$6000,'データ_全エリア'!$U$4:$U$6000,$B18,'データ_全エリア'!$C$4:$C$6000,$C18,'データ_全エリア'!$B$4:$B$6000,$C$3)/$H18,"-")</f>
        <v>-</v>
      </c>
      <c r="S18" s="78" t="str">
        <f>IFERROR(SUMIFS('データ_全エリア'!AF$4:AF$6000,'データ_全エリア'!$U$4:$U$6000,$B18,'データ_全エリア'!$C$4:$C$6000,$C18,'データ_全エリア'!$B$4:$B$6000,$C$3)/$H18,"-")</f>
        <v>-</v>
      </c>
      <c r="T18" s="78" t="str">
        <f>IFERROR(SUMIFS('データ_全エリア'!AG$4:AG$6000,'データ_全エリア'!$U$4:$U$6000,$B18,'データ_全エリア'!$C$4:$C$6000,$C18,'データ_全エリア'!$B$4:$B$6000,$C$3)/$H18,"-")</f>
        <v>-</v>
      </c>
      <c r="V18" s="123"/>
      <c r="W18" s="78"/>
      <c r="X18" s="78"/>
      <c r="Y18" s="78"/>
      <c r="Z18" s="78"/>
      <c r="AA18" s="78"/>
      <c r="AB18" s="78"/>
    </row>
    <row r="19">
      <c r="B19" s="95" t="s">
        <v>105</v>
      </c>
      <c r="C19" s="95" t="s">
        <v>43</v>
      </c>
      <c r="D19" s="123" t="str">
        <f t="shared" si="1"/>
        <v>KS関西</v>
      </c>
      <c r="E19" s="96">
        <f>COUNTIFS('データ_全エリア'!$U$4:$U$6000,$B19,'データ_全エリア'!$C$4:$C$6000,$C19,'データ_全エリア'!$B$4:$B$6000,$C$3,'データ_全エリア'!$S$4:$S$6000,"&gt;=0")</f>
        <v>0</v>
      </c>
      <c r="F19" s="96">
        <f>SUMIFS('データ_全エリア'!$F$4:$F$6000,'データ_全エリア'!$U$4:$U$6000,$B19,'データ_全エリア'!$C$4:$C$6000,$C19,'データ_全エリア'!$B$4:$B$6000,$C$3)</f>
        <v>0</v>
      </c>
      <c r="G19" s="96">
        <f>SUMIFS('データ_全エリア'!$S$4:$S$6000,'データ_全エリア'!$U$4:$U$6000,$B19,'データ_全エリア'!$C$4:$C$6000,$C19,'データ_全エリア'!$B$4:$B$6000,$C$3)</f>
        <v>0</v>
      </c>
      <c r="H19" s="96">
        <f>SUMIFS('データ_全エリア'!$T$4:$T$6000,'データ_全エリア'!$U$4:$U$6000,$B19,'データ_全エリア'!$C$4:$C$6000,$C19,'データ_全エリア'!$B$4:$B$6000,$C$3)</f>
        <v>0</v>
      </c>
      <c r="I19" s="78" t="str">
        <f>IFERROR(SUMIFS('データ_全エリア'!V$4:V$6000,'データ_全エリア'!$U$4:$U$6000,$B19,'データ_全エリア'!$C$4:$C$6000,$C19,'データ_全エリア'!$B$4:$B$6000,$C$3)/$G19,"-")</f>
        <v>-</v>
      </c>
      <c r="J19" s="78" t="str">
        <f>IFERROR(SUMIFS('データ_全エリア'!W$4:W$6000,'データ_全エリア'!$U$4:$U$6000,$B19,'データ_全エリア'!$C$4:$C$6000,$C19,'データ_全エリア'!$B$4:$B$6000,$C$3)/$G19,"-")</f>
        <v>-</v>
      </c>
      <c r="K19" s="78" t="str">
        <f>IFERROR(SUMIFS('データ_全エリア'!X$4:X$6000,'データ_全エリア'!$U$4:$U$6000,$B19,'データ_全エリア'!$C$4:$C$6000,$C19,'データ_全エリア'!$B$4:$B$6000,$C$3)/$G19,"-")</f>
        <v>-</v>
      </c>
      <c r="L19" s="78" t="str">
        <f>IFERROR(SUMIFS('データ_全エリア'!Y$4:Y$6000,'データ_全エリア'!$U$4:$U$6000,$B19,'データ_全エリア'!$C$4:$C$6000,$C19,'データ_全エリア'!$B$4:$B$6000,$C$3)/$G19,"-")</f>
        <v>-</v>
      </c>
      <c r="M19" s="78" t="str">
        <f>IFERROR(SUMIFS('データ_全エリア'!Z$4:Z$6000,'データ_全エリア'!$U$4:$U$6000,$B19,'データ_全エリア'!$C$4:$C$6000,$C19,'データ_全エリア'!$B$4:$B$6000,$C$3)/$G19,"-")</f>
        <v>-</v>
      </c>
      <c r="N19" s="78" t="str">
        <f>IFERROR(SUMIFS('データ_全エリア'!AA$4:AA$6000,'データ_全エリア'!$U$4:$U$6000,$B19,'データ_全エリア'!$C$4:$C$6000,$C19,'データ_全エリア'!$B$4:$B$6000,$C$3)/$G19,"-")</f>
        <v>-</v>
      </c>
      <c r="O19" s="78" t="str">
        <f>IFERROR(SUMIFS('データ_全エリア'!AB$4:AB$6000,'データ_全エリア'!$U$4:$U$6000,$B19,'データ_全エリア'!$C$4:$C$6000,$C19,'データ_全エリア'!$B$4:$B$6000,$C$3)/$H19,"-")</f>
        <v>-</v>
      </c>
      <c r="P19" s="78" t="str">
        <f>IFERROR(SUMIFS('データ_全エリア'!AC$4:AC$6000,'データ_全エリア'!$U$4:$U$6000,$B19,'データ_全エリア'!$C$4:$C$6000,$C19,'データ_全エリア'!$B$4:$B$6000,$C$3)/$H19,"-")</f>
        <v>-</v>
      </c>
      <c r="Q19" s="78" t="str">
        <f>IFERROR(SUMIFS('データ_全エリア'!AD$4:AD$6000,'データ_全エリア'!$U$4:$U$6000,$B19,'データ_全エリア'!$C$4:$C$6000,$C19,'データ_全エリア'!$B$4:$B$6000,$C$3)/$H19,"-")</f>
        <v>-</v>
      </c>
      <c r="R19" s="78" t="str">
        <f>IFERROR(SUMIFS('データ_全エリア'!AE$4:AE$6000,'データ_全エリア'!$U$4:$U$6000,$B19,'データ_全エリア'!$C$4:$C$6000,$C19,'データ_全エリア'!$B$4:$B$6000,$C$3)/$H19,"-")</f>
        <v>-</v>
      </c>
      <c r="S19" s="78" t="str">
        <f>IFERROR(SUMIFS('データ_全エリア'!AF$4:AF$6000,'データ_全エリア'!$U$4:$U$6000,$B19,'データ_全エリア'!$C$4:$C$6000,$C19,'データ_全エリア'!$B$4:$B$6000,$C$3)/$H19,"-")</f>
        <v>-</v>
      </c>
      <c r="T19" s="78" t="str">
        <f>IFERROR(SUMIFS('データ_全エリア'!AG$4:AG$6000,'データ_全エリア'!$U$4:$U$6000,$B19,'データ_全エリア'!$C$4:$C$6000,$C19,'データ_全エリア'!$B$4:$B$6000,$C$3)/$H19,"-")</f>
        <v>-</v>
      </c>
      <c r="V19" s="123"/>
      <c r="W19" s="78"/>
      <c r="X19" s="78"/>
      <c r="Y19" s="78"/>
      <c r="Z19" s="78"/>
      <c r="AA19" s="78"/>
      <c r="AB19" s="78"/>
    </row>
    <row r="20">
      <c r="B20" s="95" t="s">
        <v>105</v>
      </c>
      <c r="C20" s="95" t="s">
        <v>49</v>
      </c>
      <c r="D20" s="123" t="str">
        <f t="shared" si="1"/>
        <v>KS中四国</v>
      </c>
      <c r="E20" s="96">
        <f>COUNTIFS('データ_全エリア'!$U$4:$U$6000,$B20,'データ_全エリア'!$C$4:$C$6000,$C20,'データ_全エリア'!$B$4:$B$6000,$C$3,'データ_全エリア'!$S$4:$S$6000,"&gt;=0")</f>
        <v>0</v>
      </c>
      <c r="F20" s="96">
        <f>SUMIFS('データ_全エリア'!$F$4:$F$6000,'データ_全エリア'!$U$4:$U$6000,$B20,'データ_全エリア'!$C$4:$C$6000,$C20,'データ_全エリア'!$B$4:$B$6000,$C$3)</f>
        <v>0</v>
      </c>
      <c r="G20" s="96">
        <f>SUMIFS('データ_全エリア'!$S$4:$S$6000,'データ_全エリア'!$U$4:$U$6000,$B20,'データ_全エリア'!$C$4:$C$6000,$C20,'データ_全エリア'!$B$4:$B$6000,$C$3)</f>
        <v>0</v>
      </c>
      <c r="H20" s="96">
        <f>SUMIFS('データ_全エリア'!$T$4:$T$6000,'データ_全エリア'!$U$4:$U$6000,$B20,'データ_全エリア'!$C$4:$C$6000,$C20,'データ_全エリア'!$B$4:$B$6000,$C$3)</f>
        <v>0</v>
      </c>
      <c r="I20" s="78" t="str">
        <f>IFERROR(SUMIFS('データ_全エリア'!V$4:V$6000,'データ_全エリア'!$U$4:$U$6000,$B20,'データ_全エリア'!$C$4:$C$6000,$C20,'データ_全エリア'!$B$4:$B$6000,$C$3)/$G20,"-")</f>
        <v>-</v>
      </c>
      <c r="J20" s="78" t="str">
        <f>IFERROR(SUMIFS('データ_全エリア'!W$4:W$6000,'データ_全エリア'!$U$4:$U$6000,$B20,'データ_全エリア'!$C$4:$C$6000,$C20,'データ_全エリア'!$B$4:$B$6000,$C$3)/$G20,"-")</f>
        <v>-</v>
      </c>
      <c r="K20" s="78" t="str">
        <f>IFERROR(SUMIFS('データ_全エリア'!X$4:X$6000,'データ_全エリア'!$U$4:$U$6000,$B20,'データ_全エリア'!$C$4:$C$6000,$C20,'データ_全エリア'!$B$4:$B$6000,$C$3)/$G20,"-")</f>
        <v>-</v>
      </c>
      <c r="L20" s="78" t="str">
        <f>IFERROR(SUMIFS('データ_全エリア'!Y$4:Y$6000,'データ_全エリア'!$U$4:$U$6000,$B20,'データ_全エリア'!$C$4:$C$6000,$C20,'データ_全エリア'!$B$4:$B$6000,$C$3)/$G20,"-")</f>
        <v>-</v>
      </c>
      <c r="M20" s="78" t="str">
        <f>IFERROR(SUMIFS('データ_全エリア'!Z$4:Z$6000,'データ_全エリア'!$U$4:$U$6000,$B20,'データ_全エリア'!$C$4:$C$6000,$C20,'データ_全エリア'!$B$4:$B$6000,$C$3)/$G20,"-")</f>
        <v>-</v>
      </c>
      <c r="N20" s="78" t="str">
        <f>IFERROR(SUMIFS('データ_全エリア'!AA$4:AA$6000,'データ_全エリア'!$U$4:$U$6000,$B20,'データ_全エリア'!$C$4:$C$6000,$C20,'データ_全エリア'!$B$4:$B$6000,$C$3)/$G20,"-")</f>
        <v>-</v>
      </c>
      <c r="O20" s="78" t="str">
        <f>IFERROR(SUMIFS('データ_全エリア'!AB$4:AB$6000,'データ_全エリア'!$U$4:$U$6000,$B20,'データ_全エリア'!$C$4:$C$6000,$C20,'データ_全エリア'!$B$4:$B$6000,$C$3)/$H20,"-")</f>
        <v>-</v>
      </c>
      <c r="P20" s="78" t="str">
        <f>IFERROR(SUMIFS('データ_全エリア'!AC$4:AC$6000,'データ_全エリア'!$U$4:$U$6000,$B20,'データ_全エリア'!$C$4:$C$6000,$C20,'データ_全エリア'!$B$4:$B$6000,$C$3)/$H20,"-")</f>
        <v>-</v>
      </c>
      <c r="Q20" s="78" t="str">
        <f>IFERROR(SUMIFS('データ_全エリア'!AD$4:AD$6000,'データ_全エリア'!$U$4:$U$6000,$B20,'データ_全エリア'!$C$4:$C$6000,$C20,'データ_全エリア'!$B$4:$B$6000,$C$3)/$H20,"-")</f>
        <v>-</v>
      </c>
      <c r="R20" s="78" t="str">
        <f>IFERROR(SUMIFS('データ_全エリア'!AE$4:AE$6000,'データ_全エリア'!$U$4:$U$6000,$B20,'データ_全エリア'!$C$4:$C$6000,$C20,'データ_全エリア'!$B$4:$B$6000,$C$3)/$H20,"-")</f>
        <v>-</v>
      </c>
      <c r="S20" s="78" t="str">
        <f>IFERROR(SUMIFS('データ_全エリア'!AF$4:AF$6000,'データ_全エリア'!$U$4:$U$6000,$B20,'データ_全エリア'!$C$4:$C$6000,$C20,'データ_全エリア'!$B$4:$B$6000,$C$3)/$H20,"-")</f>
        <v>-</v>
      </c>
      <c r="T20" s="78" t="str">
        <f>IFERROR(SUMIFS('データ_全エリア'!AG$4:AG$6000,'データ_全エリア'!$U$4:$U$6000,$B20,'データ_全エリア'!$C$4:$C$6000,$C20,'データ_全エリア'!$B$4:$B$6000,$C$3)/$H20,"-")</f>
        <v>-</v>
      </c>
      <c r="V20" s="123"/>
      <c r="W20" s="78"/>
      <c r="X20" s="78"/>
      <c r="Y20" s="78"/>
      <c r="Z20" s="78"/>
      <c r="AA20" s="78"/>
      <c r="AB20" s="78"/>
    </row>
    <row r="21">
      <c r="B21" s="95" t="s">
        <v>105</v>
      </c>
      <c r="C21" s="95" t="s">
        <v>57</v>
      </c>
      <c r="D21" s="123" t="str">
        <f t="shared" si="1"/>
        <v>KS九州・沖縄</v>
      </c>
      <c r="E21" s="96">
        <f>COUNTIFS('データ_全エリア'!$U$4:$U$6000,$B21,'データ_全エリア'!$C$4:$C$6000,$C21,'データ_全エリア'!$B$4:$B$6000,$C$3,'データ_全エリア'!$S$4:$S$6000,"&gt;=0")</f>
        <v>0</v>
      </c>
      <c r="F21" s="96">
        <f>SUMIFS('データ_全エリア'!$F$4:$F$6000,'データ_全エリア'!$U$4:$U$6000,$B21,'データ_全エリア'!$C$4:$C$6000,$C21,'データ_全エリア'!$B$4:$B$6000,$C$3)</f>
        <v>0</v>
      </c>
      <c r="G21" s="96">
        <f>SUMIFS('データ_全エリア'!$S$4:$S$6000,'データ_全エリア'!$U$4:$U$6000,$B21,'データ_全エリア'!$C$4:$C$6000,$C21,'データ_全エリア'!$B$4:$B$6000,$C$3)</f>
        <v>0</v>
      </c>
      <c r="H21" s="96">
        <f>SUMIFS('データ_全エリア'!$T$4:$T$6000,'データ_全エリア'!$U$4:$U$6000,$B21,'データ_全エリア'!$C$4:$C$6000,$C21,'データ_全エリア'!$B$4:$B$6000,$C$3)</f>
        <v>0</v>
      </c>
      <c r="I21" s="78" t="str">
        <f>IFERROR(SUMIFS('データ_全エリア'!V$4:V$6000,'データ_全エリア'!$U$4:$U$6000,$B21,'データ_全エリア'!$C$4:$C$6000,$C21,'データ_全エリア'!$B$4:$B$6000,$C$3)/$G21,"-")</f>
        <v>-</v>
      </c>
      <c r="J21" s="78" t="str">
        <f>IFERROR(SUMIFS('データ_全エリア'!W$4:W$6000,'データ_全エリア'!$U$4:$U$6000,$B21,'データ_全エリア'!$C$4:$C$6000,$C21,'データ_全エリア'!$B$4:$B$6000,$C$3)/$G21,"-")</f>
        <v>-</v>
      </c>
      <c r="K21" s="78" t="str">
        <f>IFERROR(SUMIFS('データ_全エリア'!X$4:X$6000,'データ_全エリア'!$U$4:$U$6000,$B21,'データ_全エリア'!$C$4:$C$6000,$C21,'データ_全エリア'!$B$4:$B$6000,$C$3)/$G21,"-")</f>
        <v>-</v>
      </c>
      <c r="L21" s="78" t="str">
        <f>IFERROR(SUMIFS('データ_全エリア'!Y$4:Y$6000,'データ_全エリア'!$U$4:$U$6000,$B21,'データ_全エリア'!$C$4:$C$6000,$C21,'データ_全エリア'!$B$4:$B$6000,$C$3)/$G21,"-")</f>
        <v>-</v>
      </c>
      <c r="M21" s="78" t="str">
        <f>IFERROR(SUMIFS('データ_全エリア'!Z$4:Z$6000,'データ_全エリア'!$U$4:$U$6000,$B21,'データ_全エリア'!$C$4:$C$6000,$C21,'データ_全エリア'!$B$4:$B$6000,$C$3)/$G21,"-")</f>
        <v>-</v>
      </c>
      <c r="N21" s="78" t="str">
        <f>IFERROR(SUMIFS('データ_全エリア'!AA$4:AA$6000,'データ_全エリア'!$U$4:$U$6000,$B21,'データ_全エリア'!$C$4:$C$6000,$C21,'データ_全エリア'!$B$4:$B$6000,$C$3)/$G21,"-")</f>
        <v>-</v>
      </c>
      <c r="O21" s="78" t="str">
        <f>IFERROR(SUMIFS('データ_全エリア'!AB$4:AB$6000,'データ_全エリア'!$U$4:$U$6000,$B21,'データ_全エリア'!$C$4:$C$6000,$C21,'データ_全エリア'!$B$4:$B$6000,$C$3)/$H21,"-")</f>
        <v>-</v>
      </c>
      <c r="P21" s="78" t="str">
        <f>IFERROR(SUMIFS('データ_全エリア'!AC$4:AC$6000,'データ_全エリア'!$U$4:$U$6000,$B21,'データ_全エリア'!$C$4:$C$6000,$C21,'データ_全エリア'!$B$4:$B$6000,$C$3)/$H21,"-")</f>
        <v>-</v>
      </c>
      <c r="Q21" s="78" t="str">
        <f>IFERROR(SUMIFS('データ_全エリア'!AD$4:AD$6000,'データ_全エリア'!$U$4:$U$6000,$B21,'データ_全エリア'!$C$4:$C$6000,$C21,'データ_全エリア'!$B$4:$B$6000,$C$3)/$H21,"-")</f>
        <v>-</v>
      </c>
      <c r="R21" s="78" t="str">
        <f>IFERROR(SUMIFS('データ_全エリア'!AE$4:AE$6000,'データ_全エリア'!$U$4:$U$6000,$B21,'データ_全エリア'!$C$4:$C$6000,$C21,'データ_全エリア'!$B$4:$B$6000,$C$3)/$H21,"-")</f>
        <v>-</v>
      </c>
      <c r="S21" s="78" t="str">
        <f>IFERROR(SUMIFS('データ_全エリア'!AF$4:AF$6000,'データ_全エリア'!$U$4:$U$6000,$B21,'データ_全エリア'!$C$4:$C$6000,$C21,'データ_全エリア'!$B$4:$B$6000,$C$3)/$H21,"-")</f>
        <v>-</v>
      </c>
      <c r="T21" s="78" t="str">
        <f>IFERROR(SUMIFS('データ_全エリア'!AG$4:AG$6000,'データ_全エリア'!$U$4:$U$6000,$B21,'データ_全エリア'!$C$4:$C$6000,$C21,'データ_全エリア'!$B$4:$B$6000,$C$3)/$H21,"-")</f>
        <v>-</v>
      </c>
      <c r="V21" s="123"/>
      <c r="W21" s="78"/>
      <c r="X21" s="78"/>
      <c r="Y21" s="78"/>
      <c r="Z21" s="78"/>
      <c r="AA21" s="78"/>
      <c r="AB21" s="78"/>
    </row>
    <row r="22">
      <c r="B22" s="95" t="s">
        <v>106</v>
      </c>
      <c r="C22" s="95" t="s">
        <v>21</v>
      </c>
      <c r="D22" s="123" t="str">
        <f t="shared" si="1"/>
        <v>ED北海道</v>
      </c>
      <c r="E22" s="96">
        <f>COUNTIFS('データ_全エリア'!$U$4:$U$6000,$B22,'データ_全エリア'!$C$4:$C$6000,$C22,'データ_全エリア'!$B$4:$B$6000,$C$3,'データ_全エリア'!$S$4:$S$6000,"&gt;=0")</f>
        <v>1</v>
      </c>
      <c r="F22" s="96">
        <f>SUMIFS('データ_全エリア'!$F$4:$F$6000,'データ_全エリア'!$U$4:$U$6000,$B22,'データ_全エリア'!$C$4:$C$6000,$C22,'データ_全エリア'!$B$4:$B$6000,$C$3)</f>
        <v>23</v>
      </c>
      <c r="G22" s="96">
        <f>SUMIFS('データ_全エリア'!$S$4:$S$6000,'データ_全エリア'!$U$4:$U$6000,$B22,'データ_全エリア'!$C$4:$C$6000,$C22,'データ_全エリア'!$B$4:$B$6000,$C$3)</f>
        <v>23</v>
      </c>
      <c r="H22" s="96">
        <f>SUMIFS('データ_全エリア'!$T$4:$T$6000,'データ_全エリア'!$U$4:$U$6000,$B22,'データ_全エリア'!$C$4:$C$6000,$C22,'データ_全エリア'!$B$4:$B$6000,$C$3)</f>
        <v>23</v>
      </c>
      <c r="I22" s="78">
        <f>IFERROR(SUMIFS('データ_全エリア'!V$4:V$6000,'データ_全エリア'!$U$4:$U$6000,$B22,'データ_全エリア'!$C$4:$C$6000,$C22,'データ_全エリア'!$B$4:$B$6000,$C$3)/$G22,"-")</f>
        <v>0</v>
      </c>
      <c r="J22" s="78">
        <f>IFERROR(SUMIFS('データ_全エリア'!W$4:W$6000,'データ_全エリア'!$U$4:$U$6000,$B22,'データ_全エリア'!$C$4:$C$6000,$C22,'データ_全エリア'!$B$4:$B$6000,$C$3)/$G22,"-")</f>
        <v>0</v>
      </c>
      <c r="K22" s="78">
        <f>IFERROR(SUMIFS('データ_全エリア'!X$4:X$6000,'データ_全エリア'!$U$4:$U$6000,$B22,'データ_全エリア'!$C$4:$C$6000,$C22,'データ_全エリア'!$B$4:$B$6000,$C$3)/$G22,"-")</f>
        <v>0</v>
      </c>
      <c r="L22" s="78">
        <f>IFERROR(SUMIFS('データ_全エリア'!Y$4:Y$6000,'データ_全エリア'!$U$4:$U$6000,$B22,'データ_全エリア'!$C$4:$C$6000,$C22,'データ_全エリア'!$B$4:$B$6000,$C$3)/$G22,"-")</f>
        <v>0</v>
      </c>
      <c r="M22" s="78">
        <f>IFERROR(SUMIFS('データ_全エリア'!Z$4:Z$6000,'データ_全エリア'!$U$4:$U$6000,$B22,'データ_全エリア'!$C$4:$C$6000,$C22,'データ_全エリア'!$B$4:$B$6000,$C$3)/$G22,"-")</f>
        <v>0</v>
      </c>
      <c r="N22" s="78">
        <f>IFERROR(SUMIFS('データ_全エリア'!AA$4:AA$6000,'データ_全エリア'!$U$4:$U$6000,$B22,'データ_全エリア'!$C$4:$C$6000,$C22,'データ_全エリア'!$B$4:$B$6000,$C$3)/$G22,"-")</f>
        <v>1</v>
      </c>
      <c r="O22" s="78">
        <f>IFERROR(SUMIFS('データ_全エリア'!AB$4:AB$6000,'データ_全エリア'!$U$4:$U$6000,$B22,'データ_全エリア'!$C$4:$C$6000,$C22,'データ_全エリア'!$B$4:$B$6000,$C$3)/$H22,"-")</f>
        <v>0</v>
      </c>
      <c r="P22" s="78">
        <f>IFERROR(SUMIFS('データ_全エリア'!AC$4:AC$6000,'データ_全エリア'!$U$4:$U$6000,$B22,'データ_全エリア'!$C$4:$C$6000,$C22,'データ_全エリア'!$B$4:$B$6000,$C$3)/$H22,"-")</f>
        <v>0</v>
      </c>
      <c r="Q22" s="78">
        <f>IFERROR(SUMIFS('データ_全エリア'!AD$4:AD$6000,'データ_全エリア'!$U$4:$U$6000,$B22,'データ_全エリア'!$C$4:$C$6000,$C22,'データ_全エリア'!$B$4:$B$6000,$C$3)/$H22,"-")</f>
        <v>0</v>
      </c>
      <c r="R22" s="78">
        <f>IFERROR(SUMIFS('データ_全エリア'!AE$4:AE$6000,'データ_全エリア'!$U$4:$U$6000,$B22,'データ_全エリア'!$C$4:$C$6000,$C22,'データ_全エリア'!$B$4:$B$6000,$C$3)/$H22,"-")</f>
        <v>0</v>
      </c>
      <c r="S22" s="78">
        <f>IFERROR(SUMIFS('データ_全エリア'!AF$4:AF$6000,'データ_全エリア'!$U$4:$U$6000,$B22,'データ_全エリア'!$C$4:$C$6000,$C22,'データ_全エリア'!$B$4:$B$6000,$C$3)/$H22,"-")</f>
        <v>0</v>
      </c>
      <c r="T22" s="78">
        <f>IFERROR(SUMIFS('データ_全エリア'!AG$4:AG$6000,'データ_全エリア'!$U$4:$U$6000,$B22,'データ_全エリア'!$C$4:$C$6000,$C22,'データ_全エリア'!$B$4:$B$6000,$C$3)/$H22,"-")</f>
        <v>1</v>
      </c>
      <c r="V22" s="123"/>
      <c r="W22" s="78"/>
      <c r="X22" s="78"/>
      <c r="Y22" s="78"/>
      <c r="Z22" s="78"/>
      <c r="AA22" s="78"/>
      <c r="AB22" s="78"/>
    </row>
    <row r="23">
      <c r="B23" s="95" t="s">
        <v>106</v>
      </c>
      <c r="C23" s="95" t="s">
        <v>30</v>
      </c>
      <c r="D23" s="123" t="str">
        <f t="shared" si="1"/>
        <v>ED東北</v>
      </c>
      <c r="E23" s="96">
        <f>COUNTIFS('データ_全エリア'!$U$4:$U$6000,$B23,'データ_全エリア'!$C$4:$C$6000,$C23,'データ_全エリア'!$B$4:$B$6000,$C$3,'データ_全エリア'!$S$4:$S$6000,"&gt;=0")</f>
        <v>0</v>
      </c>
      <c r="F23" s="96">
        <f>SUMIFS('データ_全エリア'!$F$4:$F$6000,'データ_全エリア'!$U$4:$U$6000,$B23,'データ_全エリア'!$C$4:$C$6000,$C23,'データ_全エリア'!$B$4:$B$6000,$C$3)</f>
        <v>0</v>
      </c>
      <c r="G23" s="96">
        <f>SUMIFS('データ_全エリア'!$S$4:$S$6000,'データ_全エリア'!$U$4:$U$6000,$B23,'データ_全エリア'!$C$4:$C$6000,$C23,'データ_全エリア'!$B$4:$B$6000,$C$3)</f>
        <v>0</v>
      </c>
      <c r="H23" s="96">
        <f>SUMIFS('データ_全エリア'!$T$4:$T$6000,'データ_全エリア'!$U$4:$U$6000,$B23,'データ_全エリア'!$C$4:$C$6000,$C23,'データ_全エリア'!$B$4:$B$6000,$C$3)</f>
        <v>0</v>
      </c>
      <c r="I23" s="78" t="str">
        <f>IFERROR(SUMIFS('データ_全エリア'!V$4:V$6000,'データ_全エリア'!$U$4:$U$6000,$B23,'データ_全エリア'!$C$4:$C$6000,$C23,'データ_全エリア'!$B$4:$B$6000,$C$3)/$G23,"-")</f>
        <v>-</v>
      </c>
      <c r="J23" s="78" t="str">
        <f>IFERROR(SUMIFS('データ_全エリア'!W$4:W$6000,'データ_全エリア'!$U$4:$U$6000,$B23,'データ_全エリア'!$C$4:$C$6000,$C23,'データ_全エリア'!$B$4:$B$6000,$C$3)/$G23,"-")</f>
        <v>-</v>
      </c>
      <c r="K23" s="78" t="str">
        <f>IFERROR(SUMIFS('データ_全エリア'!X$4:X$6000,'データ_全エリア'!$U$4:$U$6000,$B23,'データ_全エリア'!$C$4:$C$6000,$C23,'データ_全エリア'!$B$4:$B$6000,$C$3)/$G23,"-")</f>
        <v>-</v>
      </c>
      <c r="L23" s="78" t="str">
        <f>IFERROR(SUMIFS('データ_全エリア'!Y$4:Y$6000,'データ_全エリア'!$U$4:$U$6000,$B23,'データ_全エリア'!$C$4:$C$6000,$C23,'データ_全エリア'!$B$4:$B$6000,$C$3)/$G23,"-")</f>
        <v>-</v>
      </c>
      <c r="M23" s="78" t="str">
        <f>IFERROR(SUMIFS('データ_全エリア'!Z$4:Z$6000,'データ_全エリア'!$U$4:$U$6000,$B23,'データ_全エリア'!$C$4:$C$6000,$C23,'データ_全エリア'!$B$4:$B$6000,$C$3)/$G23,"-")</f>
        <v>-</v>
      </c>
      <c r="N23" s="78" t="str">
        <f>IFERROR(SUMIFS('データ_全エリア'!AA$4:AA$6000,'データ_全エリア'!$U$4:$U$6000,$B23,'データ_全エリア'!$C$4:$C$6000,$C23,'データ_全エリア'!$B$4:$B$6000,$C$3)/$G23,"-")</f>
        <v>-</v>
      </c>
      <c r="O23" s="78" t="str">
        <f>IFERROR(SUMIFS('データ_全エリア'!AB$4:AB$6000,'データ_全エリア'!$U$4:$U$6000,$B23,'データ_全エリア'!$C$4:$C$6000,$C23,'データ_全エリア'!$B$4:$B$6000,$C$3)/$H23,"-")</f>
        <v>-</v>
      </c>
      <c r="P23" s="78" t="str">
        <f>IFERROR(SUMIFS('データ_全エリア'!AC$4:AC$6000,'データ_全エリア'!$U$4:$U$6000,$B23,'データ_全エリア'!$C$4:$C$6000,$C23,'データ_全エリア'!$B$4:$B$6000,$C$3)/$H23,"-")</f>
        <v>-</v>
      </c>
      <c r="Q23" s="78" t="str">
        <f>IFERROR(SUMIFS('データ_全エリア'!AD$4:AD$6000,'データ_全エリア'!$U$4:$U$6000,$B23,'データ_全エリア'!$C$4:$C$6000,$C23,'データ_全エリア'!$B$4:$B$6000,$C$3)/$H23,"-")</f>
        <v>-</v>
      </c>
      <c r="R23" s="78" t="str">
        <f>IFERROR(SUMIFS('データ_全エリア'!AE$4:AE$6000,'データ_全エリア'!$U$4:$U$6000,$B23,'データ_全エリア'!$C$4:$C$6000,$C23,'データ_全エリア'!$B$4:$B$6000,$C$3)/$H23,"-")</f>
        <v>-</v>
      </c>
      <c r="S23" s="78" t="str">
        <f>IFERROR(SUMIFS('データ_全エリア'!AF$4:AF$6000,'データ_全エリア'!$U$4:$U$6000,$B23,'データ_全エリア'!$C$4:$C$6000,$C23,'データ_全エリア'!$B$4:$B$6000,$C$3)/$H23,"-")</f>
        <v>-</v>
      </c>
      <c r="T23" s="78" t="str">
        <f>IFERROR(SUMIFS('データ_全エリア'!AG$4:AG$6000,'データ_全エリア'!$U$4:$U$6000,$B23,'データ_全エリア'!$C$4:$C$6000,$C23,'データ_全エリア'!$B$4:$B$6000,$C$3)/$H23,"-")</f>
        <v>-</v>
      </c>
      <c r="V23" s="123"/>
      <c r="W23" s="78"/>
      <c r="X23" s="78"/>
      <c r="Y23" s="78"/>
      <c r="Z23" s="78"/>
      <c r="AA23" s="78"/>
      <c r="AB23" s="78"/>
    </row>
    <row r="24">
      <c r="B24" s="95" t="s">
        <v>106</v>
      </c>
      <c r="C24" s="95" t="s">
        <v>34</v>
      </c>
      <c r="D24" s="123" t="str">
        <f t="shared" si="1"/>
        <v>ED関東</v>
      </c>
      <c r="E24" s="96">
        <f>COUNTIFS('データ_全エリア'!$U$4:$U$6000,$B24,'データ_全エリア'!$C$4:$C$6000,$C24,'データ_全エリア'!$B$4:$B$6000,$C$3,'データ_全エリア'!$S$4:$S$6000,"&gt;=0")</f>
        <v>0</v>
      </c>
      <c r="F24" s="96">
        <f>SUMIFS('データ_全エリア'!$F$4:$F$6000,'データ_全エリア'!$U$4:$U$6000,$B24,'データ_全エリア'!$C$4:$C$6000,$C24,'データ_全エリア'!$B$4:$B$6000,$C$3)</f>
        <v>0</v>
      </c>
      <c r="G24" s="96">
        <f>SUMIFS('データ_全エリア'!$S$4:$S$6000,'データ_全エリア'!$U$4:$U$6000,$B24,'データ_全エリア'!$C$4:$C$6000,$C24,'データ_全エリア'!$B$4:$B$6000,$C$3)</f>
        <v>0</v>
      </c>
      <c r="H24" s="96">
        <f>SUMIFS('データ_全エリア'!$T$4:$T$6000,'データ_全エリア'!$U$4:$U$6000,$B24,'データ_全エリア'!$C$4:$C$6000,$C24,'データ_全エリア'!$B$4:$B$6000,$C$3)</f>
        <v>0</v>
      </c>
      <c r="I24" s="78" t="str">
        <f>IFERROR(SUMIFS('データ_全エリア'!V$4:V$6000,'データ_全エリア'!$U$4:$U$6000,$B24,'データ_全エリア'!$C$4:$C$6000,$C24,'データ_全エリア'!$B$4:$B$6000,$C$3)/$G24,"-")</f>
        <v>-</v>
      </c>
      <c r="J24" s="78" t="str">
        <f>IFERROR(SUMIFS('データ_全エリア'!W$4:W$6000,'データ_全エリア'!$U$4:$U$6000,$B24,'データ_全エリア'!$C$4:$C$6000,$C24,'データ_全エリア'!$B$4:$B$6000,$C$3)/$G24,"-")</f>
        <v>-</v>
      </c>
      <c r="K24" s="78" t="str">
        <f>IFERROR(SUMIFS('データ_全エリア'!X$4:X$6000,'データ_全エリア'!$U$4:$U$6000,$B24,'データ_全エリア'!$C$4:$C$6000,$C24,'データ_全エリア'!$B$4:$B$6000,$C$3)/$G24,"-")</f>
        <v>-</v>
      </c>
      <c r="L24" s="78" t="str">
        <f>IFERROR(SUMIFS('データ_全エリア'!Y$4:Y$6000,'データ_全エリア'!$U$4:$U$6000,$B24,'データ_全エリア'!$C$4:$C$6000,$C24,'データ_全エリア'!$B$4:$B$6000,$C$3)/$G24,"-")</f>
        <v>-</v>
      </c>
      <c r="M24" s="78" t="str">
        <f>IFERROR(SUMIFS('データ_全エリア'!Z$4:Z$6000,'データ_全エリア'!$U$4:$U$6000,$B24,'データ_全エリア'!$C$4:$C$6000,$C24,'データ_全エリア'!$B$4:$B$6000,$C$3)/$G24,"-")</f>
        <v>-</v>
      </c>
      <c r="N24" s="78" t="str">
        <f>IFERROR(SUMIFS('データ_全エリア'!AA$4:AA$6000,'データ_全エリア'!$U$4:$U$6000,$B24,'データ_全エリア'!$C$4:$C$6000,$C24,'データ_全エリア'!$B$4:$B$6000,$C$3)/$G24,"-")</f>
        <v>-</v>
      </c>
      <c r="O24" s="78" t="str">
        <f>IFERROR(SUMIFS('データ_全エリア'!AB$4:AB$6000,'データ_全エリア'!$U$4:$U$6000,$B24,'データ_全エリア'!$C$4:$C$6000,$C24,'データ_全エリア'!$B$4:$B$6000,$C$3)/$H24,"-")</f>
        <v>-</v>
      </c>
      <c r="P24" s="78" t="str">
        <f>IFERROR(SUMIFS('データ_全エリア'!AC$4:AC$6000,'データ_全エリア'!$U$4:$U$6000,$B24,'データ_全エリア'!$C$4:$C$6000,$C24,'データ_全エリア'!$B$4:$B$6000,$C$3)/$H24,"-")</f>
        <v>-</v>
      </c>
      <c r="Q24" s="78" t="str">
        <f>IFERROR(SUMIFS('データ_全エリア'!AD$4:AD$6000,'データ_全エリア'!$U$4:$U$6000,$B24,'データ_全エリア'!$C$4:$C$6000,$C24,'データ_全エリア'!$B$4:$B$6000,$C$3)/$H24,"-")</f>
        <v>-</v>
      </c>
      <c r="R24" s="78" t="str">
        <f>IFERROR(SUMIFS('データ_全エリア'!AE$4:AE$6000,'データ_全エリア'!$U$4:$U$6000,$B24,'データ_全エリア'!$C$4:$C$6000,$C24,'データ_全エリア'!$B$4:$B$6000,$C$3)/$H24,"-")</f>
        <v>-</v>
      </c>
      <c r="S24" s="78" t="str">
        <f>IFERROR(SUMIFS('データ_全エリア'!AF$4:AF$6000,'データ_全エリア'!$U$4:$U$6000,$B24,'データ_全エリア'!$C$4:$C$6000,$C24,'データ_全エリア'!$B$4:$B$6000,$C$3)/$H24,"-")</f>
        <v>-</v>
      </c>
      <c r="T24" s="78" t="str">
        <f>IFERROR(SUMIFS('データ_全エリア'!AG$4:AG$6000,'データ_全エリア'!$U$4:$U$6000,$B24,'データ_全エリア'!$C$4:$C$6000,$C24,'データ_全エリア'!$B$4:$B$6000,$C$3)/$H24,"-")</f>
        <v>-</v>
      </c>
      <c r="V24" s="123"/>
      <c r="W24" s="78"/>
      <c r="X24" s="78"/>
      <c r="Y24" s="78"/>
      <c r="Z24" s="78"/>
      <c r="AA24" s="78"/>
      <c r="AB24" s="78"/>
    </row>
    <row r="25">
      <c r="B25" s="95" t="s">
        <v>106</v>
      </c>
      <c r="C25" s="95" t="s">
        <v>37</v>
      </c>
      <c r="D25" s="123" t="str">
        <f t="shared" si="1"/>
        <v>ED信越</v>
      </c>
      <c r="E25" s="96">
        <f>COUNTIFS('データ_全エリア'!$U$4:$U$6000,$B25,'データ_全エリア'!$C$4:$C$6000,$C25,'データ_全エリア'!$B$4:$B$6000,$C$3,'データ_全エリア'!$S$4:$S$6000,"&gt;=0")</f>
        <v>1</v>
      </c>
      <c r="F25" s="96">
        <f>SUMIFS('データ_全エリア'!$F$4:$F$6000,'データ_全エリア'!$U$4:$U$6000,$B25,'データ_全エリア'!$C$4:$C$6000,$C25,'データ_全エリア'!$B$4:$B$6000,$C$3)</f>
        <v>24</v>
      </c>
      <c r="G25" s="96">
        <f>SUMIFS('データ_全エリア'!$S$4:$S$6000,'データ_全エリア'!$U$4:$U$6000,$B25,'データ_全エリア'!$C$4:$C$6000,$C25,'データ_全エリア'!$B$4:$B$6000,$C$3)</f>
        <v>24</v>
      </c>
      <c r="H25" s="96">
        <f>SUMIFS('データ_全エリア'!$T$4:$T$6000,'データ_全エリア'!$U$4:$U$6000,$B25,'データ_全エリア'!$C$4:$C$6000,$C25,'データ_全エリア'!$B$4:$B$6000,$C$3)</f>
        <v>24</v>
      </c>
      <c r="I25" s="78">
        <f>IFERROR(SUMIFS('データ_全エリア'!V$4:V$6000,'データ_全エリア'!$U$4:$U$6000,$B25,'データ_全エリア'!$C$4:$C$6000,$C25,'データ_全エリア'!$B$4:$B$6000,$C$3)/$G25,"-")</f>
        <v>0</v>
      </c>
      <c r="J25" s="78">
        <f>IFERROR(SUMIFS('データ_全エリア'!W$4:W$6000,'データ_全エリア'!$U$4:$U$6000,$B25,'データ_全エリア'!$C$4:$C$6000,$C25,'データ_全エリア'!$B$4:$B$6000,$C$3)/$G25,"-")</f>
        <v>0</v>
      </c>
      <c r="K25" s="78">
        <f>IFERROR(SUMIFS('データ_全エリア'!X$4:X$6000,'データ_全エリア'!$U$4:$U$6000,$B25,'データ_全エリア'!$C$4:$C$6000,$C25,'データ_全エリア'!$B$4:$B$6000,$C$3)/$G25,"-")</f>
        <v>0</v>
      </c>
      <c r="L25" s="78">
        <f>IFERROR(SUMIFS('データ_全エリア'!Y$4:Y$6000,'データ_全エリア'!$U$4:$U$6000,$B25,'データ_全エリア'!$C$4:$C$6000,$C25,'データ_全エリア'!$B$4:$B$6000,$C$3)/$G25,"-")</f>
        <v>0</v>
      </c>
      <c r="M25" s="78">
        <f>IFERROR(SUMIFS('データ_全エリア'!Z$4:Z$6000,'データ_全エリア'!$U$4:$U$6000,$B25,'データ_全エリア'!$C$4:$C$6000,$C25,'データ_全エリア'!$B$4:$B$6000,$C$3)/$G25,"-")</f>
        <v>0</v>
      </c>
      <c r="N25" s="78">
        <f>IFERROR(SUMIFS('データ_全エリア'!AA$4:AA$6000,'データ_全エリア'!$U$4:$U$6000,$B25,'データ_全エリア'!$C$4:$C$6000,$C25,'データ_全エリア'!$B$4:$B$6000,$C$3)/$G25,"-")</f>
        <v>1</v>
      </c>
      <c r="O25" s="78">
        <f>IFERROR(SUMIFS('データ_全エリア'!AB$4:AB$6000,'データ_全エリア'!$U$4:$U$6000,$B25,'データ_全エリア'!$C$4:$C$6000,$C25,'データ_全エリア'!$B$4:$B$6000,$C$3)/$H25,"-")</f>
        <v>0</v>
      </c>
      <c r="P25" s="78">
        <f>IFERROR(SUMIFS('データ_全エリア'!AC$4:AC$6000,'データ_全エリア'!$U$4:$U$6000,$B25,'データ_全エリア'!$C$4:$C$6000,$C25,'データ_全エリア'!$B$4:$B$6000,$C$3)/$H25,"-")</f>
        <v>0</v>
      </c>
      <c r="Q25" s="78">
        <f>IFERROR(SUMIFS('データ_全エリア'!AD$4:AD$6000,'データ_全エリア'!$U$4:$U$6000,$B25,'データ_全エリア'!$C$4:$C$6000,$C25,'データ_全エリア'!$B$4:$B$6000,$C$3)/$H25,"-")</f>
        <v>0</v>
      </c>
      <c r="R25" s="78">
        <f>IFERROR(SUMIFS('データ_全エリア'!AE$4:AE$6000,'データ_全エリア'!$U$4:$U$6000,$B25,'データ_全エリア'!$C$4:$C$6000,$C25,'データ_全エリア'!$B$4:$B$6000,$C$3)/$H25,"-")</f>
        <v>0</v>
      </c>
      <c r="S25" s="78">
        <f>IFERROR(SUMIFS('データ_全エリア'!AF$4:AF$6000,'データ_全エリア'!$U$4:$U$6000,$B25,'データ_全エリア'!$C$4:$C$6000,$C25,'データ_全エリア'!$B$4:$B$6000,$C$3)/$H25,"-")</f>
        <v>0</v>
      </c>
      <c r="T25" s="78">
        <f>IFERROR(SUMIFS('データ_全エリア'!AG$4:AG$6000,'データ_全エリア'!$U$4:$U$6000,$B25,'データ_全エリア'!$C$4:$C$6000,$C25,'データ_全エリア'!$B$4:$B$6000,$C$3)/$H25,"-")</f>
        <v>1</v>
      </c>
      <c r="V25" s="123"/>
      <c r="W25" s="78"/>
      <c r="X25" s="78"/>
      <c r="Y25" s="78"/>
      <c r="Z25" s="78"/>
      <c r="AA25" s="78"/>
      <c r="AB25" s="78"/>
    </row>
    <row r="26">
      <c r="B26" s="95" t="s">
        <v>106</v>
      </c>
      <c r="C26" s="95" t="s">
        <v>40</v>
      </c>
      <c r="D26" s="123" t="str">
        <f t="shared" si="1"/>
        <v>ED中部</v>
      </c>
      <c r="E26" s="96">
        <f>COUNTIFS('データ_全エリア'!$U$4:$U$6000,$B26,'データ_全エリア'!$C$4:$C$6000,$C26,'データ_全エリア'!$B$4:$B$6000,$C$3,'データ_全エリア'!$S$4:$S$6000,"&gt;=0")</f>
        <v>0</v>
      </c>
      <c r="F26" s="96">
        <f>SUMIFS('データ_全エリア'!$F$4:$F$6000,'データ_全エリア'!$U$4:$U$6000,$B26,'データ_全エリア'!$C$4:$C$6000,$C26,'データ_全エリア'!$B$4:$B$6000,$C$3)</f>
        <v>0</v>
      </c>
      <c r="G26" s="96">
        <f>SUMIFS('データ_全エリア'!$S$4:$S$6000,'データ_全エリア'!$U$4:$U$6000,$B26,'データ_全エリア'!$C$4:$C$6000,$C26,'データ_全エリア'!$B$4:$B$6000,$C$3)</f>
        <v>0</v>
      </c>
      <c r="H26" s="96">
        <f>SUMIFS('データ_全エリア'!$T$4:$T$6000,'データ_全エリア'!$U$4:$U$6000,$B26,'データ_全エリア'!$C$4:$C$6000,$C26,'データ_全エリア'!$B$4:$B$6000,$C$3)</f>
        <v>0</v>
      </c>
      <c r="I26" s="78" t="str">
        <f>IFERROR(SUMIFS('データ_全エリア'!V$4:V$6000,'データ_全エリア'!$U$4:$U$6000,$B26,'データ_全エリア'!$C$4:$C$6000,$C26,'データ_全エリア'!$B$4:$B$6000,$C$3)/$G26,"-")</f>
        <v>-</v>
      </c>
      <c r="J26" s="78" t="str">
        <f>IFERROR(SUMIFS('データ_全エリア'!W$4:W$6000,'データ_全エリア'!$U$4:$U$6000,$B26,'データ_全エリア'!$C$4:$C$6000,$C26,'データ_全エリア'!$B$4:$B$6000,$C$3)/$G26,"-")</f>
        <v>-</v>
      </c>
      <c r="K26" s="78" t="str">
        <f>IFERROR(SUMIFS('データ_全エリア'!X$4:X$6000,'データ_全エリア'!$U$4:$U$6000,$B26,'データ_全エリア'!$C$4:$C$6000,$C26,'データ_全エリア'!$B$4:$B$6000,$C$3)/$G26,"-")</f>
        <v>-</v>
      </c>
      <c r="L26" s="78" t="str">
        <f>IFERROR(SUMIFS('データ_全エリア'!Y$4:Y$6000,'データ_全エリア'!$U$4:$U$6000,$B26,'データ_全エリア'!$C$4:$C$6000,$C26,'データ_全エリア'!$B$4:$B$6000,$C$3)/$G26,"-")</f>
        <v>-</v>
      </c>
      <c r="M26" s="78" t="str">
        <f>IFERROR(SUMIFS('データ_全エリア'!Z$4:Z$6000,'データ_全エリア'!$U$4:$U$6000,$B26,'データ_全エリア'!$C$4:$C$6000,$C26,'データ_全エリア'!$B$4:$B$6000,$C$3)/$G26,"-")</f>
        <v>-</v>
      </c>
      <c r="N26" s="78" t="str">
        <f>IFERROR(SUMIFS('データ_全エリア'!AA$4:AA$6000,'データ_全エリア'!$U$4:$U$6000,$B26,'データ_全エリア'!$C$4:$C$6000,$C26,'データ_全エリア'!$B$4:$B$6000,$C$3)/$G26,"-")</f>
        <v>-</v>
      </c>
      <c r="O26" s="78" t="str">
        <f>IFERROR(SUMIFS('データ_全エリア'!AB$4:AB$6000,'データ_全エリア'!$U$4:$U$6000,$B26,'データ_全エリア'!$C$4:$C$6000,$C26,'データ_全エリア'!$B$4:$B$6000,$C$3)/$H26,"-")</f>
        <v>-</v>
      </c>
      <c r="P26" s="78" t="str">
        <f>IFERROR(SUMIFS('データ_全エリア'!AC$4:AC$6000,'データ_全エリア'!$U$4:$U$6000,$B26,'データ_全エリア'!$C$4:$C$6000,$C26,'データ_全エリア'!$B$4:$B$6000,$C$3)/$H26,"-")</f>
        <v>-</v>
      </c>
      <c r="Q26" s="78" t="str">
        <f>IFERROR(SUMIFS('データ_全エリア'!AD$4:AD$6000,'データ_全エリア'!$U$4:$U$6000,$B26,'データ_全エリア'!$C$4:$C$6000,$C26,'データ_全エリア'!$B$4:$B$6000,$C$3)/$H26,"-")</f>
        <v>-</v>
      </c>
      <c r="R26" s="78" t="str">
        <f>IFERROR(SUMIFS('データ_全エリア'!AE$4:AE$6000,'データ_全エリア'!$U$4:$U$6000,$B26,'データ_全エリア'!$C$4:$C$6000,$C26,'データ_全エリア'!$B$4:$B$6000,$C$3)/$H26,"-")</f>
        <v>-</v>
      </c>
      <c r="S26" s="78" t="str">
        <f>IFERROR(SUMIFS('データ_全エリア'!AF$4:AF$6000,'データ_全エリア'!$U$4:$U$6000,$B26,'データ_全エリア'!$C$4:$C$6000,$C26,'データ_全エリア'!$B$4:$B$6000,$C$3)/$H26,"-")</f>
        <v>-</v>
      </c>
      <c r="T26" s="78" t="str">
        <f>IFERROR(SUMIFS('データ_全エリア'!AG$4:AG$6000,'データ_全エリア'!$U$4:$U$6000,$B26,'データ_全エリア'!$C$4:$C$6000,$C26,'データ_全エリア'!$B$4:$B$6000,$C$3)/$H26,"-")</f>
        <v>-</v>
      </c>
      <c r="V26" s="123"/>
      <c r="W26" s="78"/>
      <c r="X26" s="78"/>
      <c r="Y26" s="78"/>
      <c r="Z26" s="78"/>
      <c r="AA26" s="78"/>
      <c r="AB26" s="78"/>
    </row>
    <row r="27">
      <c r="B27" s="95" t="s">
        <v>106</v>
      </c>
      <c r="C27" s="95" t="s">
        <v>43</v>
      </c>
      <c r="D27" s="123" t="str">
        <f t="shared" si="1"/>
        <v>ED関西</v>
      </c>
      <c r="E27" s="96">
        <f>COUNTIFS('データ_全エリア'!$U$4:$U$6000,$B27,'データ_全エリア'!$C$4:$C$6000,$C27,'データ_全エリア'!$B$4:$B$6000,$C$3,'データ_全エリア'!$S$4:$S$6000,"&gt;=0")</f>
        <v>0</v>
      </c>
      <c r="F27" s="96">
        <f>SUMIFS('データ_全エリア'!$F$4:$F$6000,'データ_全エリア'!$U$4:$U$6000,$B27,'データ_全エリア'!$C$4:$C$6000,$C27,'データ_全エリア'!$B$4:$B$6000,$C$3)</f>
        <v>0</v>
      </c>
      <c r="G27" s="96">
        <f>SUMIFS('データ_全エリア'!$S$4:$S$6000,'データ_全エリア'!$U$4:$U$6000,$B27,'データ_全エリア'!$C$4:$C$6000,$C27,'データ_全エリア'!$B$4:$B$6000,$C$3)</f>
        <v>0</v>
      </c>
      <c r="H27" s="96">
        <f>SUMIFS('データ_全エリア'!$T$4:$T$6000,'データ_全エリア'!$U$4:$U$6000,$B27,'データ_全エリア'!$C$4:$C$6000,$C27,'データ_全エリア'!$B$4:$B$6000,$C$3)</f>
        <v>0</v>
      </c>
      <c r="I27" s="78" t="str">
        <f>IFERROR(SUMIFS('データ_全エリア'!V$4:V$6000,'データ_全エリア'!$U$4:$U$6000,$B27,'データ_全エリア'!$C$4:$C$6000,$C27,'データ_全エリア'!$B$4:$B$6000,$C$3)/$G27,"-")</f>
        <v>-</v>
      </c>
      <c r="J27" s="78" t="str">
        <f>IFERROR(SUMIFS('データ_全エリア'!W$4:W$6000,'データ_全エリア'!$U$4:$U$6000,$B27,'データ_全エリア'!$C$4:$C$6000,$C27,'データ_全エリア'!$B$4:$B$6000,$C$3)/$G27,"-")</f>
        <v>-</v>
      </c>
      <c r="K27" s="78" t="str">
        <f>IFERROR(SUMIFS('データ_全エリア'!X$4:X$6000,'データ_全エリア'!$U$4:$U$6000,$B27,'データ_全エリア'!$C$4:$C$6000,$C27,'データ_全エリア'!$B$4:$B$6000,$C$3)/$G27,"-")</f>
        <v>-</v>
      </c>
      <c r="L27" s="78" t="str">
        <f>IFERROR(SUMIFS('データ_全エリア'!Y$4:Y$6000,'データ_全エリア'!$U$4:$U$6000,$B27,'データ_全エリア'!$C$4:$C$6000,$C27,'データ_全エリア'!$B$4:$B$6000,$C$3)/$G27,"-")</f>
        <v>-</v>
      </c>
      <c r="M27" s="78" t="str">
        <f>IFERROR(SUMIFS('データ_全エリア'!Z$4:Z$6000,'データ_全エリア'!$U$4:$U$6000,$B27,'データ_全エリア'!$C$4:$C$6000,$C27,'データ_全エリア'!$B$4:$B$6000,$C$3)/$G27,"-")</f>
        <v>-</v>
      </c>
      <c r="N27" s="78" t="str">
        <f>IFERROR(SUMIFS('データ_全エリア'!AA$4:AA$6000,'データ_全エリア'!$U$4:$U$6000,$B27,'データ_全エリア'!$C$4:$C$6000,$C27,'データ_全エリア'!$B$4:$B$6000,$C$3)/$G27,"-")</f>
        <v>-</v>
      </c>
      <c r="O27" s="78" t="str">
        <f>IFERROR(SUMIFS('データ_全エリア'!AB$4:AB$6000,'データ_全エリア'!$U$4:$U$6000,$B27,'データ_全エリア'!$C$4:$C$6000,$C27,'データ_全エリア'!$B$4:$B$6000,$C$3)/$H27,"-")</f>
        <v>-</v>
      </c>
      <c r="P27" s="78" t="str">
        <f>IFERROR(SUMIFS('データ_全エリア'!AC$4:AC$6000,'データ_全エリア'!$U$4:$U$6000,$B27,'データ_全エリア'!$C$4:$C$6000,$C27,'データ_全エリア'!$B$4:$B$6000,$C$3)/$H27,"-")</f>
        <v>-</v>
      </c>
      <c r="Q27" s="78" t="str">
        <f>IFERROR(SUMIFS('データ_全エリア'!AD$4:AD$6000,'データ_全エリア'!$U$4:$U$6000,$B27,'データ_全エリア'!$C$4:$C$6000,$C27,'データ_全エリア'!$B$4:$B$6000,$C$3)/$H27,"-")</f>
        <v>-</v>
      </c>
      <c r="R27" s="78" t="str">
        <f>IFERROR(SUMIFS('データ_全エリア'!AE$4:AE$6000,'データ_全エリア'!$U$4:$U$6000,$B27,'データ_全エリア'!$C$4:$C$6000,$C27,'データ_全エリア'!$B$4:$B$6000,$C$3)/$H27,"-")</f>
        <v>-</v>
      </c>
      <c r="S27" s="78" t="str">
        <f>IFERROR(SUMIFS('データ_全エリア'!AF$4:AF$6000,'データ_全エリア'!$U$4:$U$6000,$B27,'データ_全エリア'!$C$4:$C$6000,$C27,'データ_全エリア'!$B$4:$B$6000,$C$3)/$H27,"-")</f>
        <v>-</v>
      </c>
      <c r="T27" s="78" t="str">
        <f>IFERROR(SUMIFS('データ_全エリア'!AG$4:AG$6000,'データ_全エリア'!$U$4:$U$6000,$B27,'データ_全エリア'!$C$4:$C$6000,$C27,'データ_全エリア'!$B$4:$B$6000,$C$3)/$H27,"-")</f>
        <v>-</v>
      </c>
      <c r="V27" s="123"/>
      <c r="W27" s="78"/>
      <c r="X27" s="78"/>
      <c r="Y27" s="78"/>
      <c r="Z27" s="78"/>
      <c r="AA27" s="78"/>
      <c r="AB27" s="78"/>
    </row>
    <row r="28">
      <c r="B28" s="95" t="s">
        <v>106</v>
      </c>
      <c r="C28" s="95" t="s">
        <v>49</v>
      </c>
      <c r="D28" s="123" t="str">
        <f t="shared" si="1"/>
        <v>ED中四国</v>
      </c>
      <c r="E28" s="96">
        <f>COUNTIFS('データ_全エリア'!$U$4:$U$6000,$B28,'データ_全エリア'!$C$4:$C$6000,$C28,'データ_全エリア'!$B$4:$B$6000,$C$3,'データ_全エリア'!$S$4:$S$6000,"&gt;=0")</f>
        <v>0</v>
      </c>
      <c r="F28" s="96">
        <f>SUMIFS('データ_全エリア'!$F$4:$F$6000,'データ_全エリア'!$U$4:$U$6000,$B28,'データ_全エリア'!$C$4:$C$6000,$C28,'データ_全エリア'!$B$4:$B$6000,$C$3)</f>
        <v>0</v>
      </c>
      <c r="G28" s="96">
        <f>SUMIFS('データ_全エリア'!$S$4:$S$6000,'データ_全エリア'!$U$4:$U$6000,$B28,'データ_全エリア'!$C$4:$C$6000,$C28,'データ_全エリア'!$B$4:$B$6000,$C$3)</f>
        <v>0</v>
      </c>
      <c r="H28" s="96">
        <f>SUMIFS('データ_全エリア'!$T$4:$T$6000,'データ_全エリア'!$U$4:$U$6000,$B28,'データ_全エリア'!$C$4:$C$6000,$C28,'データ_全エリア'!$B$4:$B$6000,$C$3)</f>
        <v>0</v>
      </c>
      <c r="I28" s="78" t="str">
        <f>IFERROR(SUMIFS('データ_全エリア'!V$4:V$6000,'データ_全エリア'!$U$4:$U$6000,$B28,'データ_全エリア'!$C$4:$C$6000,$C28,'データ_全エリア'!$B$4:$B$6000,$C$3)/$G28,"-")</f>
        <v>-</v>
      </c>
      <c r="J28" s="78" t="str">
        <f>IFERROR(SUMIFS('データ_全エリア'!W$4:W$6000,'データ_全エリア'!$U$4:$U$6000,$B28,'データ_全エリア'!$C$4:$C$6000,$C28,'データ_全エリア'!$B$4:$B$6000,$C$3)/$G28,"-")</f>
        <v>-</v>
      </c>
      <c r="K28" s="78" t="str">
        <f>IFERROR(SUMIFS('データ_全エリア'!X$4:X$6000,'データ_全エリア'!$U$4:$U$6000,$B28,'データ_全エリア'!$C$4:$C$6000,$C28,'データ_全エリア'!$B$4:$B$6000,$C$3)/$G28,"-")</f>
        <v>-</v>
      </c>
      <c r="L28" s="78" t="str">
        <f>IFERROR(SUMIFS('データ_全エリア'!Y$4:Y$6000,'データ_全エリア'!$U$4:$U$6000,$B28,'データ_全エリア'!$C$4:$C$6000,$C28,'データ_全エリア'!$B$4:$B$6000,$C$3)/$G28,"-")</f>
        <v>-</v>
      </c>
      <c r="M28" s="78" t="str">
        <f>IFERROR(SUMIFS('データ_全エリア'!Z$4:Z$6000,'データ_全エリア'!$U$4:$U$6000,$B28,'データ_全エリア'!$C$4:$C$6000,$C28,'データ_全エリア'!$B$4:$B$6000,$C$3)/$G28,"-")</f>
        <v>-</v>
      </c>
      <c r="N28" s="78" t="str">
        <f>IFERROR(SUMIFS('データ_全エリア'!AA$4:AA$6000,'データ_全エリア'!$U$4:$U$6000,$B28,'データ_全エリア'!$C$4:$C$6000,$C28,'データ_全エリア'!$B$4:$B$6000,$C$3)/$G28,"-")</f>
        <v>-</v>
      </c>
      <c r="O28" s="78" t="str">
        <f>IFERROR(SUMIFS('データ_全エリア'!AB$4:AB$6000,'データ_全エリア'!$U$4:$U$6000,$B28,'データ_全エリア'!$C$4:$C$6000,$C28,'データ_全エリア'!$B$4:$B$6000,$C$3)/$H28,"-")</f>
        <v>-</v>
      </c>
      <c r="P28" s="78" t="str">
        <f>IFERROR(SUMIFS('データ_全エリア'!AC$4:AC$6000,'データ_全エリア'!$U$4:$U$6000,$B28,'データ_全エリア'!$C$4:$C$6000,$C28,'データ_全エリア'!$B$4:$B$6000,$C$3)/$H28,"-")</f>
        <v>-</v>
      </c>
      <c r="Q28" s="78" t="str">
        <f>IFERROR(SUMIFS('データ_全エリア'!AD$4:AD$6000,'データ_全エリア'!$U$4:$U$6000,$B28,'データ_全エリア'!$C$4:$C$6000,$C28,'データ_全エリア'!$B$4:$B$6000,$C$3)/$H28,"-")</f>
        <v>-</v>
      </c>
      <c r="R28" s="78" t="str">
        <f>IFERROR(SUMIFS('データ_全エリア'!AE$4:AE$6000,'データ_全エリア'!$U$4:$U$6000,$B28,'データ_全エリア'!$C$4:$C$6000,$C28,'データ_全エリア'!$B$4:$B$6000,$C$3)/$H28,"-")</f>
        <v>-</v>
      </c>
      <c r="S28" s="78" t="str">
        <f>IFERROR(SUMIFS('データ_全エリア'!AF$4:AF$6000,'データ_全エリア'!$U$4:$U$6000,$B28,'データ_全エリア'!$C$4:$C$6000,$C28,'データ_全エリア'!$B$4:$B$6000,$C$3)/$H28,"-")</f>
        <v>-</v>
      </c>
      <c r="T28" s="78" t="str">
        <f>IFERROR(SUMIFS('データ_全エリア'!AG$4:AG$6000,'データ_全エリア'!$U$4:$U$6000,$B28,'データ_全エリア'!$C$4:$C$6000,$C28,'データ_全エリア'!$B$4:$B$6000,$C$3)/$H28,"-")</f>
        <v>-</v>
      </c>
      <c r="V28" s="123"/>
      <c r="W28" s="78"/>
      <c r="X28" s="78"/>
      <c r="Y28" s="78"/>
      <c r="Z28" s="78"/>
      <c r="AA28" s="78"/>
      <c r="AB28" s="78"/>
    </row>
    <row r="29">
      <c r="B29" s="95" t="s">
        <v>106</v>
      </c>
      <c r="C29" s="95" t="s">
        <v>57</v>
      </c>
      <c r="D29" s="123" t="str">
        <f t="shared" si="1"/>
        <v>ED九州・沖縄</v>
      </c>
      <c r="E29" s="96">
        <f>COUNTIFS('データ_全エリア'!$U$4:$U$6000,$B29,'データ_全エリア'!$C$4:$C$6000,$C29,'データ_全エリア'!$B$4:$B$6000,$C$3,'データ_全エリア'!$S$4:$S$6000,"&gt;=0")</f>
        <v>0</v>
      </c>
      <c r="F29" s="96">
        <f>SUMIFS('データ_全エリア'!$F$4:$F$6000,'データ_全エリア'!$U$4:$U$6000,$B29,'データ_全エリア'!$C$4:$C$6000,$C29,'データ_全エリア'!$B$4:$B$6000,$C$3)</f>
        <v>0</v>
      </c>
      <c r="G29" s="96">
        <f>SUMIFS('データ_全エリア'!$S$4:$S$6000,'データ_全エリア'!$U$4:$U$6000,$B29,'データ_全エリア'!$C$4:$C$6000,$C29,'データ_全エリア'!$B$4:$B$6000,$C$3)</f>
        <v>0</v>
      </c>
      <c r="H29" s="96">
        <f>SUMIFS('データ_全エリア'!$T$4:$T$6000,'データ_全エリア'!$U$4:$U$6000,$B29,'データ_全エリア'!$C$4:$C$6000,$C29,'データ_全エリア'!$B$4:$B$6000,$C$3)</f>
        <v>0</v>
      </c>
      <c r="I29" s="78" t="str">
        <f>IFERROR(SUMIFS('データ_全エリア'!V$4:V$6000,'データ_全エリア'!$U$4:$U$6000,$B29,'データ_全エリア'!$C$4:$C$6000,$C29,'データ_全エリア'!$B$4:$B$6000,$C$3)/$G29,"-")</f>
        <v>-</v>
      </c>
      <c r="J29" s="78" t="str">
        <f>IFERROR(SUMIFS('データ_全エリア'!W$4:W$6000,'データ_全エリア'!$U$4:$U$6000,$B29,'データ_全エリア'!$C$4:$C$6000,$C29,'データ_全エリア'!$B$4:$B$6000,$C$3)/$G29,"-")</f>
        <v>-</v>
      </c>
      <c r="K29" s="78" t="str">
        <f>IFERROR(SUMIFS('データ_全エリア'!X$4:X$6000,'データ_全エリア'!$U$4:$U$6000,$B29,'データ_全エリア'!$C$4:$C$6000,$C29,'データ_全エリア'!$B$4:$B$6000,$C$3)/$G29,"-")</f>
        <v>-</v>
      </c>
      <c r="L29" s="78" t="str">
        <f>IFERROR(SUMIFS('データ_全エリア'!Y$4:Y$6000,'データ_全エリア'!$U$4:$U$6000,$B29,'データ_全エリア'!$C$4:$C$6000,$C29,'データ_全エリア'!$B$4:$B$6000,$C$3)/$G29,"-")</f>
        <v>-</v>
      </c>
      <c r="M29" s="78" t="str">
        <f>IFERROR(SUMIFS('データ_全エリア'!Z$4:Z$6000,'データ_全エリア'!$U$4:$U$6000,$B29,'データ_全エリア'!$C$4:$C$6000,$C29,'データ_全エリア'!$B$4:$B$6000,$C$3)/$G29,"-")</f>
        <v>-</v>
      </c>
      <c r="N29" s="78" t="str">
        <f>IFERROR(SUMIFS('データ_全エリア'!AA$4:AA$6000,'データ_全エリア'!$U$4:$U$6000,$B29,'データ_全エリア'!$C$4:$C$6000,$C29,'データ_全エリア'!$B$4:$B$6000,$C$3)/$G29,"-")</f>
        <v>-</v>
      </c>
      <c r="O29" s="78" t="str">
        <f>IFERROR(SUMIFS('データ_全エリア'!AB$4:AB$6000,'データ_全エリア'!$U$4:$U$6000,$B29,'データ_全エリア'!$C$4:$C$6000,$C29,'データ_全エリア'!$B$4:$B$6000,$C$3)/$H29,"-")</f>
        <v>-</v>
      </c>
      <c r="P29" s="78" t="str">
        <f>IFERROR(SUMIFS('データ_全エリア'!AC$4:AC$6000,'データ_全エリア'!$U$4:$U$6000,$B29,'データ_全エリア'!$C$4:$C$6000,$C29,'データ_全エリア'!$B$4:$B$6000,$C$3)/$H29,"-")</f>
        <v>-</v>
      </c>
      <c r="Q29" s="78" t="str">
        <f>IFERROR(SUMIFS('データ_全エリア'!AD$4:AD$6000,'データ_全エリア'!$U$4:$U$6000,$B29,'データ_全エリア'!$C$4:$C$6000,$C29,'データ_全エリア'!$B$4:$B$6000,$C$3)/$H29,"-")</f>
        <v>-</v>
      </c>
      <c r="R29" s="78" t="str">
        <f>IFERROR(SUMIFS('データ_全エリア'!AE$4:AE$6000,'データ_全エリア'!$U$4:$U$6000,$B29,'データ_全エリア'!$C$4:$C$6000,$C29,'データ_全エリア'!$B$4:$B$6000,$C$3)/$H29,"-")</f>
        <v>-</v>
      </c>
      <c r="S29" s="78" t="str">
        <f>IFERROR(SUMIFS('データ_全エリア'!AF$4:AF$6000,'データ_全エリア'!$U$4:$U$6000,$B29,'データ_全エリア'!$C$4:$C$6000,$C29,'データ_全エリア'!$B$4:$B$6000,$C$3)/$H29,"-")</f>
        <v>-</v>
      </c>
      <c r="T29" s="78" t="str">
        <f>IFERROR(SUMIFS('データ_全エリア'!AG$4:AG$6000,'データ_全エリア'!$U$4:$U$6000,$B29,'データ_全エリア'!$C$4:$C$6000,$C29,'データ_全エリア'!$B$4:$B$6000,$C$3)/$H29,"-")</f>
        <v>-</v>
      </c>
      <c r="V29" s="123"/>
      <c r="W29" s="78"/>
      <c r="X29" s="78"/>
      <c r="Y29" s="78"/>
      <c r="Z29" s="78"/>
      <c r="AA29" s="78"/>
      <c r="AB29" s="78"/>
    </row>
    <row r="30">
      <c r="B30" s="95" t="s">
        <v>107</v>
      </c>
      <c r="C30" s="95" t="s">
        <v>21</v>
      </c>
      <c r="D30" s="123" t="str">
        <f t="shared" si="1"/>
        <v>JO北海道</v>
      </c>
      <c r="E30" s="96">
        <f>COUNTIFS('データ_全エリア'!$U$4:$U$6000,$B30,'データ_全エリア'!$C$4:$C$6000,$C30,'データ_全エリア'!$B$4:$B$6000,$C$3,'データ_全エリア'!$S$4:$S$6000,"&gt;=0")</f>
        <v>0</v>
      </c>
      <c r="F30" s="96">
        <f>SUMIFS('データ_全エリア'!$F$4:$F$6000,'データ_全エリア'!$U$4:$U$6000,$B30,'データ_全エリア'!$C$4:$C$6000,$C30,'データ_全エリア'!$B$4:$B$6000,$C$3)</f>
        <v>0</v>
      </c>
      <c r="G30" s="96">
        <f>SUMIFS('データ_全エリア'!$S$4:$S$6000,'データ_全エリア'!$U$4:$U$6000,$B30,'データ_全エリア'!$C$4:$C$6000,$C30,'データ_全エリア'!$B$4:$B$6000,$C$3)</f>
        <v>0</v>
      </c>
      <c r="H30" s="96">
        <f>SUMIFS('データ_全エリア'!$T$4:$T$6000,'データ_全エリア'!$U$4:$U$6000,$B30,'データ_全エリア'!$C$4:$C$6000,$C30,'データ_全エリア'!$B$4:$B$6000,$C$3)</f>
        <v>0</v>
      </c>
      <c r="I30" s="78" t="str">
        <f>IFERROR(SUMIFS('データ_全エリア'!V$4:V$6000,'データ_全エリア'!$U$4:$U$6000,$B30,'データ_全エリア'!$C$4:$C$6000,$C30,'データ_全エリア'!$B$4:$B$6000,$C$3)/$G30,"-")</f>
        <v>-</v>
      </c>
      <c r="J30" s="78" t="str">
        <f>IFERROR(SUMIFS('データ_全エリア'!W$4:W$6000,'データ_全エリア'!$U$4:$U$6000,$B30,'データ_全エリア'!$C$4:$C$6000,$C30,'データ_全エリア'!$B$4:$B$6000,$C$3)/$G30,"-")</f>
        <v>-</v>
      </c>
      <c r="K30" s="78" t="str">
        <f>IFERROR(SUMIFS('データ_全エリア'!X$4:X$6000,'データ_全エリア'!$U$4:$U$6000,$B30,'データ_全エリア'!$C$4:$C$6000,$C30,'データ_全エリア'!$B$4:$B$6000,$C$3)/$G30,"-")</f>
        <v>-</v>
      </c>
      <c r="L30" s="78" t="str">
        <f>IFERROR(SUMIFS('データ_全エリア'!Y$4:Y$6000,'データ_全エリア'!$U$4:$U$6000,$B30,'データ_全エリア'!$C$4:$C$6000,$C30,'データ_全エリア'!$B$4:$B$6000,$C$3)/$G30,"-")</f>
        <v>-</v>
      </c>
      <c r="M30" s="78" t="str">
        <f>IFERROR(SUMIFS('データ_全エリア'!Z$4:Z$6000,'データ_全エリア'!$U$4:$U$6000,$B30,'データ_全エリア'!$C$4:$C$6000,$C30,'データ_全エリア'!$B$4:$B$6000,$C$3)/$G30,"-")</f>
        <v>-</v>
      </c>
      <c r="N30" s="78" t="str">
        <f>IFERROR(SUMIFS('データ_全エリア'!AA$4:AA$6000,'データ_全エリア'!$U$4:$U$6000,$B30,'データ_全エリア'!$C$4:$C$6000,$C30,'データ_全エリア'!$B$4:$B$6000,$C$3)/$G30,"-")</f>
        <v>-</v>
      </c>
      <c r="O30" s="78" t="str">
        <f>IFERROR(SUMIFS('データ_全エリア'!AB$4:AB$6000,'データ_全エリア'!$U$4:$U$6000,$B30,'データ_全エリア'!$C$4:$C$6000,$C30,'データ_全エリア'!$B$4:$B$6000,$C$3)/$H30,"-")</f>
        <v>-</v>
      </c>
      <c r="P30" s="78" t="str">
        <f>IFERROR(SUMIFS('データ_全エリア'!AC$4:AC$6000,'データ_全エリア'!$U$4:$U$6000,$B30,'データ_全エリア'!$C$4:$C$6000,$C30,'データ_全エリア'!$B$4:$B$6000,$C$3)/$H30,"-")</f>
        <v>-</v>
      </c>
      <c r="Q30" s="78" t="str">
        <f>IFERROR(SUMIFS('データ_全エリア'!AD$4:AD$6000,'データ_全エリア'!$U$4:$U$6000,$B30,'データ_全エリア'!$C$4:$C$6000,$C30,'データ_全エリア'!$B$4:$B$6000,$C$3)/$H30,"-")</f>
        <v>-</v>
      </c>
      <c r="R30" s="78" t="str">
        <f>IFERROR(SUMIFS('データ_全エリア'!AE$4:AE$6000,'データ_全エリア'!$U$4:$U$6000,$B30,'データ_全エリア'!$C$4:$C$6000,$C30,'データ_全エリア'!$B$4:$B$6000,$C$3)/$H30,"-")</f>
        <v>-</v>
      </c>
      <c r="S30" s="78" t="str">
        <f>IFERROR(SUMIFS('データ_全エリア'!AF$4:AF$6000,'データ_全エリア'!$U$4:$U$6000,$B30,'データ_全エリア'!$C$4:$C$6000,$C30,'データ_全エリア'!$B$4:$B$6000,$C$3)/$H30,"-")</f>
        <v>-</v>
      </c>
      <c r="T30" s="78" t="str">
        <f>IFERROR(SUMIFS('データ_全エリア'!AG$4:AG$6000,'データ_全エリア'!$U$4:$U$6000,$B30,'データ_全エリア'!$C$4:$C$6000,$C30,'データ_全エリア'!$B$4:$B$6000,$C$3)/$H30,"-")</f>
        <v>-</v>
      </c>
      <c r="V30" s="123"/>
      <c r="W30" s="78"/>
      <c r="X30" s="78"/>
      <c r="Y30" s="78"/>
      <c r="Z30" s="78"/>
      <c r="AA30" s="78"/>
      <c r="AB30" s="78"/>
    </row>
    <row r="31">
      <c r="B31" s="95" t="s">
        <v>107</v>
      </c>
      <c r="C31" s="95" t="s">
        <v>30</v>
      </c>
      <c r="D31" s="123" t="str">
        <f t="shared" si="1"/>
        <v>JO東北</v>
      </c>
      <c r="E31" s="96">
        <f>COUNTIFS('データ_全エリア'!$U$4:$U$6000,$B31,'データ_全エリア'!$C$4:$C$6000,$C31,'データ_全エリア'!$B$4:$B$6000,$C$3,'データ_全エリア'!$S$4:$S$6000,"&gt;=0")</f>
        <v>0</v>
      </c>
      <c r="F31" s="96">
        <f>SUMIFS('データ_全エリア'!$F$4:$F$6000,'データ_全エリア'!$U$4:$U$6000,$B31,'データ_全エリア'!$C$4:$C$6000,$C31,'データ_全エリア'!$B$4:$B$6000,$C$3)</f>
        <v>0</v>
      </c>
      <c r="G31" s="96">
        <f>SUMIFS('データ_全エリア'!$S$4:$S$6000,'データ_全エリア'!$U$4:$U$6000,$B31,'データ_全エリア'!$C$4:$C$6000,$C31,'データ_全エリア'!$B$4:$B$6000,$C$3)</f>
        <v>0</v>
      </c>
      <c r="H31" s="96">
        <f>SUMIFS('データ_全エリア'!$T$4:$T$6000,'データ_全エリア'!$U$4:$U$6000,$B31,'データ_全エリア'!$C$4:$C$6000,$C31,'データ_全エリア'!$B$4:$B$6000,$C$3)</f>
        <v>0</v>
      </c>
      <c r="I31" s="78" t="str">
        <f>IFERROR(SUMIFS('データ_全エリア'!V$4:V$6000,'データ_全エリア'!$U$4:$U$6000,$B31,'データ_全エリア'!$C$4:$C$6000,$C31,'データ_全エリア'!$B$4:$B$6000,$C$3)/$G31,"-")</f>
        <v>-</v>
      </c>
      <c r="J31" s="78" t="str">
        <f>IFERROR(SUMIFS('データ_全エリア'!W$4:W$6000,'データ_全エリア'!$U$4:$U$6000,$B31,'データ_全エリア'!$C$4:$C$6000,$C31,'データ_全エリア'!$B$4:$B$6000,$C$3)/$G31,"-")</f>
        <v>-</v>
      </c>
      <c r="K31" s="78" t="str">
        <f>IFERROR(SUMIFS('データ_全エリア'!X$4:X$6000,'データ_全エリア'!$U$4:$U$6000,$B31,'データ_全エリア'!$C$4:$C$6000,$C31,'データ_全エリア'!$B$4:$B$6000,$C$3)/$G31,"-")</f>
        <v>-</v>
      </c>
      <c r="L31" s="78" t="str">
        <f>IFERROR(SUMIFS('データ_全エリア'!Y$4:Y$6000,'データ_全エリア'!$U$4:$U$6000,$B31,'データ_全エリア'!$C$4:$C$6000,$C31,'データ_全エリア'!$B$4:$B$6000,$C$3)/$G31,"-")</f>
        <v>-</v>
      </c>
      <c r="M31" s="78" t="str">
        <f>IFERROR(SUMIFS('データ_全エリア'!Z$4:Z$6000,'データ_全エリア'!$U$4:$U$6000,$B31,'データ_全エリア'!$C$4:$C$6000,$C31,'データ_全エリア'!$B$4:$B$6000,$C$3)/$G31,"-")</f>
        <v>-</v>
      </c>
      <c r="N31" s="78" t="str">
        <f>IFERROR(SUMIFS('データ_全エリア'!AA$4:AA$6000,'データ_全エリア'!$U$4:$U$6000,$B31,'データ_全エリア'!$C$4:$C$6000,$C31,'データ_全エリア'!$B$4:$B$6000,$C$3)/$G31,"-")</f>
        <v>-</v>
      </c>
      <c r="O31" s="78" t="str">
        <f>IFERROR(SUMIFS('データ_全エリア'!AB$4:AB$6000,'データ_全エリア'!$U$4:$U$6000,$B31,'データ_全エリア'!$C$4:$C$6000,$C31,'データ_全エリア'!$B$4:$B$6000,$C$3)/$H31,"-")</f>
        <v>-</v>
      </c>
      <c r="P31" s="78" t="str">
        <f>IFERROR(SUMIFS('データ_全エリア'!AC$4:AC$6000,'データ_全エリア'!$U$4:$U$6000,$B31,'データ_全エリア'!$C$4:$C$6000,$C31,'データ_全エリア'!$B$4:$B$6000,$C$3)/$H31,"-")</f>
        <v>-</v>
      </c>
      <c r="Q31" s="78" t="str">
        <f>IFERROR(SUMIFS('データ_全エリア'!AD$4:AD$6000,'データ_全エリア'!$U$4:$U$6000,$B31,'データ_全エリア'!$C$4:$C$6000,$C31,'データ_全エリア'!$B$4:$B$6000,$C$3)/$H31,"-")</f>
        <v>-</v>
      </c>
      <c r="R31" s="78" t="str">
        <f>IFERROR(SUMIFS('データ_全エリア'!AE$4:AE$6000,'データ_全エリア'!$U$4:$U$6000,$B31,'データ_全エリア'!$C$4:$C$6000,$C31,'データ_全エリア'!$B$4:$B$6000,$C$3)/$H31,"-")</f>
        <v>-</v>
      </c>
      <c r="S31" s="78" t="str">
        <f>IFERROR(SUMIFS('データ_全エリア'!AF$4:AF$6000,'データ_全エリア'!$U$4:$U$6000,$B31,'データ_全エリア'!$C$4:$C$6000,$C31,'データ_全エリア'!$B$4:$B$6000,$C$3)/$H31,"-")</f>
        <v>-</v>
      </c>
      <c r="T31" s="78" t="str">
        <f>IFERROR(SUMIFS('データ_全エリア'!AG$4:AG$6000,'データ_全エリア'!$U$4:$U$6000,$B31,'データ_全エリア'!$C$4:$C$6000,$C31,'データ_全エリア'!$B$4:$B$6000,$C$3)/$H31,"-")</f>
        <v>-</v>
      </c>
      <c r="V31" s="123"/>
      <c r="W31" s="78"/>
      <c r="X31" s="78"/>
      <c r="Y31" s="78"/>
      <c r="Z31" s="78"/>
      <c r="AA31" s="78"/>
      <c r="AB31" s="78"/>
    </row>
    <row r="32">
      <c r="B32" s="95" t="s">
        <v>107</v>
      </c>
      <c r="C32" s="95" t="s">
        <v>34</v>
      </c>
      <c r="D32" s="123" t="str">
        <f t="shared" si="1"/>
        <v>JO関東</v>
      </c>
      <c r="E32" s="96">
        <f>COUNTIFS('データ_全エリア'!$U$4:$U$6000,$B32,'データ_全エリア'!$C$4:$C$6000,$C32,'データ_全エリア'!$B$4:$B$6000,$C$3,'データ_全エリア'!$S$4:$S$6000,"&gt;=0")</f>
        <v>0</v>
      </c>
      <c r="F32" s="96">
        <f>SUMIFS('データ_全エリア'!$F$4:$F$6000,'データ_全エリア'!$U$4:$U$6000,$B32,'データ_全エリア'!$C$4:$C$6000,$C32,'データ_全エリア'!$B$4:$B$6000,$C$3)</f>
        <v>0</v>
      </c>
      <c r="G32" s="96">
        <f>SUMIFS('データ_全エリア'!$S$4:$S$6000,'データ_全エリア'!$U$4:$U$6000,$B32,'データ_全エリア'!$C$4:$C$6000,$C32,'データ_全エリア'!$B$4:$B$6000,$C$3)</f>
        <v>0</v>
      </c>
      <c r="H32" s="96">
        <f>SUMIFS('データ_全エリア'!$T$4:$T$6000,'データ_全エリア'!$U$4:$U$6000,$B32,'データ_全エリア'!$C$4:$C$6000,$C32,'データ_全エリア'!$B$4:$B$6000,$C$3)</f>
        <v>0</v>
      </c>
      <c r="I32" s="78" t="str">
        <f>IFERROR(SUMIFS('データ_全エリア'!V$4:V$6000,'データ_全エリア'!$U$4:$U$6000,$B32,'データ_全エリア'!$C$4:$C$6000,$C32,'データ_全エリア'!$B$4:$B$6000,$C$3)/$G32,"-")</f>
        <v>-</v>
      </c>
      <c r="J32" s="78" t="str">
        <f>IFERROR(SUMIFS('データ_全エリア'!W$4:W$6000,'データ_全エリア'!$U$4:$U$6000,$B32,'データ_全エリア'!$C$4:$C$6000,$C32,'データ_全エリア'!$B$4:$B$6000,$C$3)/$G32,"-")</f>
        <v>-</v>
      </c>
      <c r="K32" s="78" t="str">
        <f>IFERROR(SUMIFS('データ_全エリア'!X$4:X$6000,'データ_全エリア'!$U$4:$U$6000,$B32,'データ_全エリア'!$C$4:$C$6000,$C32,'データ_全エリア'!$B$4:$B$6000,$C$3)/$G32,"-")</f>
        <v>-</v>
      </c>
      <c r="L32" s="78" t="str">
        <f>IFERROR(SUMIFS('データ_全エリア'!Y$4:Y$6000,'データ_全エリア'!$U$4:$U$6000,$B32,'データ_全エリア'!$C$4:$C$6000,$C32,'データ_全エリア'!$B$4:$B$6000,$C$3)/$G32,"-")</f>
        <v>-</v>
      </c>
      <c r="M32" s="78" t="str">
        <f>IFERROR(SUMIFS('データ_全エリア'!Z$4:Z$6000,'データ_全エリア'!$U$4:$U$6000,$B32,'データ_全エリア'!$C$4:$C$6000,$C32,'データ_全エリア'!$B$4:$B$6000,$C$3)/$G32,"-")</f>
        <v>-</v>
      </c>
      <c r="N32" s="78" t="str">
        <f>IFERROR(SUMIFS('データ_全エリア'!AA$4:AA$6000,'データ_全エリア'!$U$4:$U$6000,$B32,'データ_全エリア'!$C$4:$C$6000,$C32,'データ_全エリア'!$B$4:$B$6000,$C$3)/$G32,"-")</f>
        <v>-</v>
      </c>
      <c r="O32" s="78" t="str">
        <f>IFERROR(SUMIFS('データ_全エリア'!AB$4:AB$6000,'データ_全エリア'!$U$4:$U$6000,$B32,'データ_全エリア'!$C$4:$C$6000,$C32,'データ_全エリア'!$B$4:$B$6000,$C$3)/$H32,"-")</f>
        <v>-</v>
      </c>
      <c r="P32" s="78" t="str">
        <f>IFERROR(SUMIFS('データ_全エリア'!AC$4:AC$6000,'データ_全エリア'!$U$4:$U$6000,$B32,'データ_全エリア'!$C$4:$C$6000,$C32,'データ_全エリア'!$B$4:$B$6000,$C$3)/$H32,"-")</f>
        <v>-</v>
      </c>
      <c r="Q32" s="78" t="str">
        <f>IFERROR(SUMIFS('データ_全エリア'!AD$4:AD$6000,'データ_全エリア'!$U$4:$U$6000,$B32,'データ_全エリア'!$C$4:$C$6000,$C32,'データ_全エリア'!$B$4:$B$6000,$C$3)/$H32,"-")</f>
        <v>-</v>
      </c>
      <c r="R32" s="78" t="str">
        <f>IFERROR(SUMIFS('データ_全エリア'!AE$4:AE$6000,'データ_全エリア'!$U$4:$U$6000,$B32,'データ_全エリア'!$C$4:$C$6000,$C32,'データ_全エリア'!$B$4:$B$6000,$C$3)/$H32,"-")</f>
        <v>-</v>
      </c>
      <c r="S32" s="78" t="str">
        <f>IFERROR(SUMIFS('データ_全エリア'!AF$4:AF$6000,'データ_全エリア'!$U$4:$U$6000,$B32,'データ_全エリア'!$C$4:$C$6000,$C32,'データ_全エリア'!$B$4:$B$6000,$C$3)/$H32,"-")</f>
        <v>-</v>
      </c>
      <c r="T32" s="78" t="str">
        <f>IFERROR(SUMIFS('データ_全エリア'!AG$4:AG$6000,'データ_全エリア'!$U$4:$U$6000,$B32,'データ_全エリア'!$C$4:$C$6000,$C32,'データ_全エリア'!$B$4:$B$6000,$C$3)/$H32,"-")</f>
        <v>-</v>
      </c>
      <c r="V32" s="123"/>
      <c r="W32" s="78"/>
      <c r="X32" s="78"/>
      <c r="Y32" s="78"/>
      <c r="Z32" s="78"/>
      <c r="AA32" s="78"/>
      <c r="AB32" s="78"/>
    </row>
    <row r="33">
      <c r="B33" s="95" t="s">
        <v>107</v>
      </c>
      <c r="C33" s="95" t="s">
        <v>37</v>
      </c>
      <c r="D33" s="123" t="str">
        <f t="shared" si="1"/>
        <v>JO信越</v>
      </c>
      <c r="E33" s="96">
        <f>COUNTIFS('データ_全エリア'!$U$4:$U$6000,$B33,'データ_全エリア'!$C$4:$C$6000,$C33,'データ_全エリア'!$B$4:$B$6000,$C$3,'データ_全エリア'!$S$4:$S$6000,"&gt;=0")</f>
        <v>4</v>
      </c>
      <c r="F33" s="96">
        <f>SUMIFS('データ_全エリア'!$F$4:$F$6000,'データ_全エリア'!$U$4:$U$6000,$B33,'データ_全エリア'!$C$4:$C$6000,$C33,'データ_全エリア'!$B$4:$B$6000,$C$3)</f>
        <v>98</v>
      </c>
      <c r="G33" s="96">
        <f>SUMIFS('データ_全エリア'!$S$4:$S$6000,'データ_全エリア'!$U$4:$U$6000,$B33,'データ_全エリア'!$C$4:$C$6000,$C33,'データ_全エリア'!$B$4:$B$6000,$C$3)</f>
        <v>834</v>
      </c>
      <c r="H33" s="96">
        <f>SUMIFS('データ_全エリア'!$T$4:$T$6000,'データ_全エリア'!$U$4:$U$6000,$B33,'データ_全エリア'!$C$4:$C$6000,$C33,'データ_全エリア'!$B$4:$B$6000,$C$3)</f>
        <v>621</v>
      </c>
      <c r="I33" s="78">
        <f>IFERROR(SUMIFS('データ_全エリア'!V$4:V$6000,'データ_全エリア'!$U$4:$U$6000,$B33,'データ_全エリア'!$C$4:$C$6000,$C33,'データ_全エリア'!$B$4:$B$6000,$C$3)/$G33,"-")</f>
        <v>0.4268585132</v>
      </c>
      <c r="J33" s="78">
        <f>IFERROR(SUMIFS('データ_全エリア'!W$4:W$6000,'データ_全エリア'!$U$4:$U$6000,$B33,'データ_全エリア'!$C$4:$C$6000,$C33,'データ_全エリア'!$B$4:$B$6000,$C$3)/$G33,"-")</f>
        <v>0.09832134293</v>
      </c>
      <c r="K33" s="78">
        <f>IFERROR(SUMIFS('データ_全エリア'!X$4:X$6000,'データ_全エリア'!$U$4:$U$6000,$B33,'データ_全エリア'!$C$4:$C$6000,$C33,'データ_全エリア'!$B$4:$B$6000,$C$3)/$G33,"-")</f>
        <v>0.04676258993</v>
      </c>
      <c r="L33" s="78">
        <f>IFERROR(SUMIFS('データ_全エリア'!Y$4:Y$6000,'データ_全エリア'!$U$4:$U$6000,$B33,'データ_全エリア'!$C$4:$C$6000,$C33,'データ_全エリア'!$B$4:$B$6000,$C$3)/$G33,"-")</f>
        <v>0.1498800959</v>
      </c>
      <c r="M33" s="78">
        <f>IFERROR(SUMIFS('データ_全エリア'!Z$4:Z$6000,'データ_全エリア'!$U$4:$U$6000,$B33,'データ_全エリア'!$C$4:$C$6000,$C33,'データ_全エリア'!$B$4:$B$6000,$C$3)/$G33,"-")</f>
        <v>0.1606714628</v>
      </c>
      <c r="N33" s="78">
        <f>IFERROR(SUMIFS('データ_全エリア'!AA$4:AA$6000,'データ_全エリア'!$U$4:$U$6000,$B33,'データ_全エリア'!$C$4:$C$6000,$C33,'データ_全エリア'!$B$4:$B$6000,$C$3)/$G33,"-")</f>
        <v>0.1175059952</v>
      </c>
      <c r="O33" s="78">
        <f>IFERROR(SUMIFS('データ_全エリア'!AB$4:AB$6000,'データ_全エリア'!$U$4:$U$6000,$B33,'データ_全エリア'!$C$4:$C$6000,$C33,'データ_全エリア'!$B$4:$B$6000,$C$3)/$H33,"-")</f>
        <v>0.3156199678</v>
      </c>
      <c r="P33" s="78">
        <f>IFERROR(SUMIFS('データ_全エリア'!AC$4:AC$6000,'データ_全エリア'!$U$4:$U$6000,$B33,'データ_全エリア'!$C$4:$C$6000,$C33,'データ_全エリア'!$B$4:$B$6000,$C$3)/$H33,"-")</f>
        <v>0.08212560386</v>
      </c>
      <c r="Q33" s="78">
        <f>IFERROR(SUMIFS('データ_全エリア'!AD$4:AD$6000,'データ_全エリア'!$U$4:$U$6000,$B33,'データ_全エリア'!$C$4:$C$6000,$C33,'データ_全エリア'!$B$4:$B$6000,$C$3)/$H33,"-")</f>
        <v>0.05475040258</v>
      </c>
      <c r="R33" s="78">
        <f>IFERROR(SUMIFS('データ_全エリア'!AE$4:AE$6000,'データ_全エリア'!$U$4:$U$6000,$B33,'データ_全エリア'!$C$4:$C$6000,$C33,'データ_全エリア'!$B$4:$B$6000,$C$3)/$H33,"-")</f>
        <v>0.193236715</v>
      </c>
      <c r="S33" s="78">
        <f>IFERROR(SUMIFS('データ_全エリア'!AF$4:AF$6000,'データ_全エリア'!$U$4:$U$6000,$B33,'データ_全エリア'!$C$4:$C$6000,$C33,'データ_全エリア'!$B$4:$B$6000,$C$3)/$H33,"-")</f>
        <v>0.1964573269</v>
      </c>
      <c r="T33" s="78">
        <f>IFERROR(SUMIFS('データ_全エリア'!AG$4:AG$6000,'データ_全エリア'!$U$4:$U$6000,$B33,'データ_全エリア'!$C$4:$C$6000,$C33,'データ_全エリア'!$B$4:$B$6000,$C$3)/$H33,"-")</f>
        <v>0.1578099839</v>
      </c>
      <c r="V33" s="123"/>
      <c r="W33" s="78"/>
      <c r="X33" s="78"/>
      <c r="Y33" s="78"/>
      <c r="Z33" s="78"/>
      <c r="AA33" s="78"/>
      <c r="AB33" s="78"/>
    </row>
    <row r="34">
      <c r="B34" s="95" t="s">
        <v>107</v>
      </c>
      <c r="C34" s="95" t="s">
        <v>40</v>
      </c>
      <c r="D34" s="123" t="str">
        <f t="shared" si="1"/>
        <v>JO中部</v>
      </c>
      <c r="E34" s="96">
        <f>COUNTIFS('データ_全エリア'!$U$4:$U$6000,$B34,'データ_全エリア'!$C$4:$C$6000,$C34,'データ_全エリア'!$B$4:$B$6000,$C$3,'データ_全エリア'!$S$4:$S$6000,"&gt;=0")</f>
        <v>0</v>
      </c>
      <c r="F34" s="96">
        <f>SUMIFS('データ_全エリア'!$F$4:$F$6000,'データ_全エリア'!$U$4:$U$6000,$B34,'データ_全エリア'!$C$4:$C$6000,$C34,'データ_全エリア'!$B$4:$B$6000,$C$3)</f>
        <v>0</v>
      </c>
      <c r="G34" s="96">
        <f>SUMIFS('データ_全エリア'!$S$4:$S$6000,'データ_全エリア'!$U$4:$U$6000,$B34,'データ_全エリア'!$C$4:$C$6000,$C34,'データ_全エリア'!$B$4:$B$6000,$C$3)</f>
        <v>0</v>
      </c>
      <c r="H34" s="96">
        <f>SUMIFS('データ_全エリア'!$T$4:$T$6000,'データ_全エリア'!$U$4:$U$6000,$B34,'データ_全エリア'!$C$4:$C$6000,$C34,'データ_全エリア'!$B$4:$B$6000,$C$3)</f>
        <v>0</v>
      </c>
      <c r="I34" s="78" t="str">
        <f>IFERROR(SUMIFS('データ_全エリア'!V$4:V$6000,'データ_全エリア'!$U$4:$U$6000,$B34,'データ_全エリア'!$C$4:$C$6000,$C34,'データ_全エリア'!$B$4:$B$6000,$C$3)/$G34,"-")</f>
        <v>-</v>
      </c>
      <c r="J34" s="78" t="str">
        <f>IFERROR(SUMIFS('データ_全エリア'!W$4:W$6000,'データ_全エリア'!$U$4:$U$6000,$B34,'データ_全エリア'!$C$4:$C$6000,$C34,'データ_全エリア'!$B$4:$B$6000,$C$3)/$G34,"-")</f>
        <v>-</v>
      </c>
      <c r="K34" s="78" t="str">
        <f>IFERROR(SUMIFS('データ_全エリア'!X$4:X$6000,'データ_全エリア'!$U$4:$U$6000,$B34,'データ_全エリア'!$C$4:$C$6000,$C34,'データ_全エリア'!$B$4:$B$6000,$C$3)/$G34,"-")</f>
        <v>-</v>
      </c>
      <c r="L34" s="78" t="str">
        <f>IFERROR(SUMIFS('データ_全エリア'!Y$4:Y$6000,'データ_全エリア'!$U$4:$U$6000,$B34,'データ_全エリア'!$C$4:$C$6000,$C34,'データ_全エリア'!$B$4:$B$6000,$C$3)/$G34,"-")</f>
        <v>-</v>
      </c>
      <c r="M34" s="78" t="str">
        <f>IFERROR(SUMIFS('データ_全エリア'!Z$4:Z$6000,'データ_全エリア'!$U$4:$U$6000,$B34,'データ_全エリア'!$C$4:$C$6000,$C34,'データ_全エリア'!$B$4:$B$6000,$C$3)/$G34,"-")</f>
        <v>-</v>
      </c>
      <c r="N34" s="78" t="str">
        <f>IFERROR(SUMIFS('データ_全エリア'!AA$4:AA$6000,'データ_全エリア'!$U$4:$U$6000,$B34,'データ_全エリア'!$C$4:$C$6000,$C34,'データ_全エリア'!$B$4:$B$6000,$C$3)/$G34,"-")</f>
        <v>-</v>
      </c>
      <c r="O34" s="78" t="str">
        <f>IFERROR(SUMIFS('データ_全エリア'!AB$4:AB$6000,'データ_全エリア'!$U$4:$U$6000,$B34,'データ_全エリア'!$C$4:$C$6000,$C34,'データ_全エリア'!$B$4:$B$6000,$C$3)/$H34,"-")</f>
        <v>-</v>
      </c>
      <c r="P34" s="78" t="str">
        <f>IFERROR(SUMIFS('データ_全エリア'!AC$4:AC$6000,'データ_全エリア'!$U$4:$U$6000,$B34,'データ_全エリア'!$C$4:$C$6000,$C34,'データ_全エリア'!$B$4:$B$6000,$C$3)/$H34,"-")</f>
        <v>-</v>
      </c>
      <c r="Q34" s="78" t="str">
        <f>IFERROR(SUMIFS('データ_全エリア'!AD$4:AD$6000,'データ_全エリア'!$U$4:$U$6000,$B34,'データ_全エリア'!$C$4:$C$6000,$C34,'データ_全エリア'!$B$4:$B$6000,$C$3)/$H34,"-")</f>
        <v>-</v>
      </c>
      <c r="R34" s="78" t="str">
        <f>IFERROR(SUMIFS('データ_全エリア'!AE$4:AE$6000,'データ_全エリア'!$U$4:$U$6000,$B34,'データ_全エリア'!$C$4:$C$6000,$C34,'データ_全エリア'!$B$4:$B$6000,$C$3)/$H34,"-")</f>
        <v>-</v>
      </c>
      <c r="S34" s="78" t="str">
        <f>IFERROR(SUMIFS('データ_全エリア'!AF$4:AF$6000,'データ_全エリア'!$U$4:$U$6000,$B34,'データ_全エリア'!$C$4:$C$6000,$C34,'データ_全エリア'!$B$4:$B$6000,$C$3)/$H34,"-")</f>
        <v>-</v>
      </c>
      <c r="T34" s="78" t="str">
        <f>IFERROR(SUMIFS('データ_全エリア'!AG$4:AG$6000,'データ_全エリア'!$U$4:$U$6000,$B34,'データ_全エリア'!$C$4:$C$6000,$C34,'データ_全エリア'!$B$4:$B$6000,$C$3)/$H34,"-")</f>
        <v>-</v>
      </c>
      <c r="V34" s="123"/>
      <c r="W34" s="78"/>
      <c r="X34" s="78"/>
      <c r="Y34" s="78"/>
      <c r="Z34" s="78"/>
      <c r="AA34" s="78"/>
      <c r="AB34" s="78"/>
    </row>
    <row r="35">
      <c r="B35" s="95" t="s">
        <v>107</v>
      </c>
      <c r="C35" s="95" t="s">
        <v>43</v>
      </c>
      <c r="D35" s="123" t="str">
        <f t="shared" si="1"/>
        <v>JO関西</v>
      </c>
      <c r="E35" s="96">
        <f>COUNTIFS('データ_全エリア'!$U$4:$U$6000,$B35,'データ_全エリア'!$C$4:$C$6000,$C35,'データ_全エリア'!$B$4:$B$6000,$C$3,'データ_全エリア'!$S$4:$S$6000,"&gt;=0")</f>
        <v>0</v>
      </c>
      <c r="F35" s="96">
        <f>SUMIFS('データ_全エリア'!$F$4:$F$6000,'データ_全エリア'!$U$4:$U$6000,$B35,'データ_全エリア'!$C$4:$C$6000,$C35,'データ_全エリア'!$B$4:$B$6000,$C$3)</f>
        <v>0</v>
      </c>
      <c r="G35" s="96">
        <f>SUMIFS('データ_全エリア'!$S$4:$S$6000,'データ_全エリア'!$U$4:$U$6000,$B35,'データ_全エリア'!$C$4:$C$6000,$C35,'データ_全エリア'!$B$4:$B$6000,$C$3)</f>
        <v>0</v>
      </c>
      <c r="H35" s="96">
        <f>SUMIFS('データ_全エリア'!$T$4:$T$6000,'データ_全エリア'!$U$4:$U$6000,$B35,'データ_全エリア'!$C$4:$C$6000,$C35,'データ_全エリア'!$B$4:$B$6000,$C$3)</f>
        <v>0</v>
      </c>
      <c r="I35" s="78" t="str">
        <f>IFERROR(SUMIFS('データ_全エリア'!V$4:V$6000,'データ_全エリア'!$U$4:$U$6000,$B35,'データ_全エリア'!$C$4:$C$6000,$C35,'データ_全エリア'!$B$4:$B$6000,$C$3)/$G35,"-")</f>
        <v>-</v>
      </c>
      <c r="J35" s="78" t="str">
        <f>IFERROR(SUMIFS('データ_全エリア'!W$4:W$6000,'データ_全エリア'!$U$4:$U$6000,$B35,'データ_全エリア'!$C$4:$C$6000,$C35,'データ_全エリア'!$B$4:$B$6000,$C$3)/$G35,"-")</f>
        <v>-</v>
      </c>
      <c r="K35" s="78" t="str">
        <f>IFERROR(SUMIFS('データ_全エリア'!X$4:X$6000,'データ_全エリア'!$U$4:$U$6000,$B35,'データ_全エリア'!$C$4:$C$6000,$C35,'データ_全エリア'!$B$4:$B$6000,$C$3)/$G35,"-")</f>
        <v>-</v>
      </c>
      <c r="L35" s="78" t="str">
        <f>IFERROR(SUMIFS('データ_全エリア'!Y$4:Y$6000,'データ_全エリア'!$U$4:$U$6000,$B35,'データ_全エリア'!$C$4:$C$6000,$C35,'データ_全エリア'!$B$4:$B$6000,$C$3)/$G35,"-")</f>
        <v>-</v>
      </c>
      <c r="M35" s="78" t="str">
        <f>IFERROR(SUMIFS('データ_全エリア'!Z$4:Z$6000,'データ_全エリア'!$U$4:$U$6000,$B35,'データ_全エリア'!$C$4:$C$6000,$C35,'データ_全エリア'!$B$4:$B$6000,$C$3)/$G35,"-")</f>
        <v>-</v>
      </c>
      <c r="N35" s="78" t="str">
        <f>IFERROR(SUMIFS('データ_全エリア'!AA$4:AA$6000,'データ_全エリア'!$U$4:$U$6000,$B35,'データ_全エリア'!$C$4:$C$6000,$C35,'データ_全エリア'!$B$4:$B$6000,$C$3)/$G35,"-")</f>
        <v>-</v>
      </c>
      <c r="O35" s="78" t="str">
        <f>IFERROR(SUMIFS('データ_全エリア'!AB$4:AB$6000,'データ_全エリア'!$U$4:$U$6000,$B35,'データ_全エリア'!$C$4:$C$6000,$C35,'データ_全エリア'!$B$4:$B$6000,$C$3)/$H35,"-")</f>
        <v>-</v>
      </c>
      <c r="P35" s="78" t="str">
        <f>IFERROR(SUMIFS('データ_全エリア'!AC$4:AC$6000,'データ_全エリア'!$U$4:$U$6000,$B35,'データ_全エリア'!$C$4:$C$6000,$C35,'データ_全エリア'!$B$4:$B$6000,$C$3)/$H35,"-")</f>
        <v>-</v>
      </c>
      <c r="Q35" s="78" t="str">
        <f>IFERROR(SUMIFS('データ_全エリア'!AD$4:AD$6000,'データ_全エリア'!$U$4:$U$6000,$B35,'データ_全エリア'!$C$4:$C$6000,$C35,'データ_全エリア'!$B$4:$B$6000,$C$3)/$H35,"-")</f>
        <v>-</v>
      </c>
      <c r="R35" s="78" t="str">
        <f>IFERROR(SUMIFS('データ_全エリア'!AE$4:AE$6000,'データ_全エリア'!$U$4:$U$6000,$B35,'データ_全エリア'!$C$4:$C$6000,$C35,'データ_全エリア'!$B$4:$B$6000,$C$3)/$H35,"-")</f>
        <v>-</v>
      </c>
      <c r="S35" s="78" t="str">
        <f>IFERROR(SUMIFS('データ_全エリア'!AF$4:AF$6000,'データ_全エリア'!$U$4:$U$6000,$B35,'データ_全エリア'!$C$4:$C$6000,$C35,'データ_全エリア'!$B$4:$B$6000,$C$3)/$H35,"-")</f>
        <v>-</v>
      </c>
      <c r="T35" s="78" t="str">
        <f>IFERROR(SUMIFS('データ_全エリア'!AG$4:AG$6000,'データ_全エリア'!$U$4:$U$6000,$B35,'データ_全エリア'!$C$4:$C$6000,$C35,'データ_全エリア'!$B$4:$B$6000,$C$3)/$H35,"-")</f>
        <v>-</v>
      </c>
      <c r="V35" s="123"/>
      <c r="W35" s="78"/>
      <c r="X35" s="78"/>
      <c r="Y35" s="78"/>
      <c r="Z35" s="78"/>
      <c r="AA35" s="78"/>
      <c r="AB35" s="78"/>
    </row>
    <row r="36">
      <c r="B36" s="95" t="s">
        <v>107</v>
      </c>
      <c r="C36" s="95" t="s">
        <v>49</v>
      </c>
      <c r="D36" s="123" t="str">
        <f t="shared" si="1"/>
        <v>JO中四国</v>
      </c>
      <c r="E36" s="96">
        <f>COUNTIFS('データ_全エリア'!$U$4:$U$6000,$B36,'データ_全エリア'!$C$4:$C$6000,$C36,'データ_全エリア'!$B$4:$B$6000,$C$3,'データ_全エリア'!$S$4:$S$6000,"&gt;=0")</f>
        <v>0</v>
      </c>
      <c r="F36" s="96">
        <f>SUMIFS('データ_全エリア'!$F$4:$F$6000,'データ_全エリア'!$U$4:$U$6000,$B36,'データ_全エリア'!$C$4:$C$6000,$C36,'データ_全エリア'!$B$4:$B$6000,$C$3)</f>
        <v>0</v>
      </c>
      <c r="G36" s="96">
        <f>SUMIFS('データ_全エリア'!$S$4:$S$6000,'データ_全エリア'!$U$4:$U$6000,$B36,'データ_全エリア'!$C$4:$C$6000,$C36,'データ_全エリア'!$B$4:$B$6000,$C$3)</f>
        <v>0</v>
      </c>
      <c r="H36" s="96">
        <f>SUMIFS('データ_全エリア'!$T$4:$T$6000,'データ_全エリア'!$U$4:$U$6000,$B36,'データ_全エリア'!$C$4:$C$6000,$C36,'データ_全エリア'!$B$4:$B$6000,$C$3)</f>
        <v>0</v>
      </c>
      <c r="I36" s="78" t="str">
        <f>IFERROR(SUMIFS('データ_全エリア'!V$4:V$6000,'データ_全エリア'!$U$4:$U$6000,$B36,'データ_全エリア'!$C$4:$C$6000,$C36,'データ_全エリア'!$B$4:$B$6000,$C$3)/$G36,"-")</f>
        <v>-</v>
      </c>
      <c r="J36" s="78" t="str">
        <f>IFERROR(SUMIFS('データ_全エリア'!W$4:W$6000,'データ_全エリア'!$U$4:$U$6000,$B36,'データ_全エリア'!$C$4:$C$6000,$C36,'データ_全エリア'!$B$4:$B$6000,$C$3)/$G36,"-")</f>
        <v>-</v>
      </c>
      <c r="K36" s="78" t="str">
        <f>IFERROR(SUMIFS('データ_全エリア'!X$4:X$6000,'データ_全エリア'!$U$4:$U$6000,$B36,'データ_全エリア'!$C$4:$C$6000,$C36,'データ_全エリア'!$B$4:$B$6000,$C$3)/$G36,"-")</f>
        <v>-</v>
      </c>
      <c r="L36" s="78" t="str">
        <f>IFERROR(SUMIFS('データ_全エリア'!Y$4:Y$6000,'データ_全エリア'!$U$4:$U$6000,$B36,'データ_全エリア'!$C$4:$C$6000,$C36,'データ_全エリア'!$B$4:$B$6000,$C$3)/$G36,"-")</f>
        <v>-</v>
      </c>
      <c r="M36" s="78" t="str">
        <f>IFERROR(SUMIFS('データ_全エリア'!Z$4:Z$6000,'データ_全エリア'!$U$4:$U$6000,$B36,'データ_全エリア'!$C$4:$C$6000,$C36,'データ_全エリア'!$B$4:$B$6000,$C$3)/$G36,"-")</f>
        <v>-</v>
      </c>
      <c r="N36" s="78" t="str">
        <f>IFERROR(SUMIFS('データ_全エリア'!AA$4:AA$6000,'データ_全エリア'!$U$4:$U$6000,$B36,'データ_全エリア'!$C$4:$C$6000,$C36,'データ_全エリア'!$B$4:$B$6000,$C$3)/$G36,"-")</f>
        <v>-</v>
      </c>
      <c r="O36" s="78" t="str">
        <f>IFERROR(SUMIFS('データ_全エリア'!AB$4:AB$6000,'データ_全エリア'!$U$4:$U$6000,$B36,'データ_全エリア'!$C$4:$C$6000,$C36,'データ_全エリア'!$B$4:$B$6000,$C$3)/$H36,"-")</f>
        <v>-</v>
      </c>
      <c r="P36" s="78" t="str">
        <f>IFERROR(SUMIFS('データ_全エリア'!AC$4:AC$6000,'データ_全エリア'!$U$4:$U$6000,$B36,'データ_全エリア'!$C$4:$C$6000,$C36,'データ_全エリア'!$B$4:$B$6000,$C$3)/$H36,"-")</f>
        <v>-</v>
      </c>
      <c r="Q36" s="78" t="str">
        <f>IFERROR(SUMIFS('データ_全エリア'!AD$4:AD$6000,'データ_全エリア'!$U$4:$U$6000,$B36,'データ_全エリア'!$C$4:$C$6000,$C36,'データ_全エリア'!$B$4:$B$6000,$C$3)/$H36,"-")</f>
        <v>-</v>
      </c>
      <c r="R36" s="78" t="str">
        <f>IFERROR(SUMIFS('データ_全エリア'!AE$4:AE$6000,'データ_全エリア'!$U$4:$U$6000,$B36,'データ_全エリア'!$C$4:$C$6000,$C36,'データ_全エリア'!$B$4:$B$6000,$C$3)/$H36,"-")</f>
        <v>-</v>
      </c>
      <c r="S36" s="78" t="str">
        <f>IFERROR(SUMIFS('データ_全エリア'!AF$4:AF$6000,'データ_全エリア'!$U$4:$U$6000,$B36,'データ_全エリア'!$C$4:$C$6000,$C36,'データ_全エリア'!$B$4:$B$6000,$C$3)/$H36,"-")</f>
        <v>-</v>
      </c>
      <c r="T36" s="78" t="str">
        <f>IFERROR(SUMIFS('データ_全エリア'!AG$4:AG$6000,'データ_全エリア'!$U$4:$U$6000,$B36,'データ_全エリア'!$C$4:$C$6000,$C36,'データ_全エリア'!$B$4:$B$6000,$C$3)/$H36,"-")</f>
        <v>-</v>
      </c>
      <c r="V36" s="123"/>
      <c r="W36" s="78"/>
      <c r="X36" s="78"/>
      <c r="Y36" s="78"/>
      <c r="Z36" s="78"/>
      <c r="AA36" s="78"/>
      <c r="AB36" s="78"/>
    </row>
    <row r="37">
      <c r="B37" s="95" t="s">
        <v>107</v>
      </c>
      <c r="C37" s="95" t="s">
        <v>57</v>
      </c>
      <c r="D37" s="123" t="str">
        <f t="shared" si="1"/>
        <v>JO九州・沖縄</v>
      </c>
      <c r="E37" s="96">
        <f>COUNTIFS('データ_全エリア'!$U$4:$U$6000,$B37,'データ_全エリア'!$C$4:$C$6000,$C37,'データ_全エリア'!$B$4:$B$6000,$C$3,'データ_全エリア'!$S$4:$S$6000,"&gt;=0")</f>
        <v>0</v>
      </c>
      <c r="F37" s="96">
        <f>SUMIFS('データ_全エリア'!$F$4:$F$6000,'データ_全エリア'!$U$4:$U$6000,$B37,'データ_全エリア'!$C$4:$C$6000,$C37,'データ_全エリア'!$B$4:$B$6000,$C$3)</f>
        <v>0</v>
      </c>
      <c r="G37" s="96">
        <f>SUMIFS('データ_全エリア'!$S$4:$S$6000,'データ_全エリア'!$U$4:$U$6000,$B37,'データ_全エリア'!$C$4:$C$6000,$C37,'データ_全エリア'!$B$4:$B$6000,$C$3)</f>
        <v>0</v>
      </c>
      <c r="H37" s="96">
        <f>SUMIFS('データ_全エリア'!$T$4:$T$6000,'データ_全エリア'!$U$4:$U$6000,$B37,'データ_全エリア'!$C$4:$C$6000,$C37,'データ_全エリア'!$B$4:$B$6000,$C$3)</f>
        <v>0</v>
      </c>
      <c r="I37" s="78" t="str">
        <f>IFERROR(SUMIFS('データ_全エリア'!V$4:V$6000,'データ_全エリア'!$U$4:$U$6000,$B37,'データ_全エリア'!$C$4:$C$6000,$C37,'データ_全エリア'!$B$4:$B$6000,$C$3)/$G37,"-")</f>
        <v>-</v>
      </c>
      <c r="J37" s="78" t="str">
        <f>IFERROR(SUMIFS('データ_全エリア'!W$4:W$6000,'データ_全エリア'!$U$4:$U$6000,$B37,'データ_全エリア'!$C$4:$C$6000,$C37,'データ_全エリア'!$B$4:$B$6000,$C$3)/$G37,"-")</f>
        <v>-</v>
      </c>
      <c r="K37" s="78" t="str">
        <f>IFERROR(SUMIFS('データ_全エリア'!X$4:X$6000,'データ_全エリア'!$U$4:$U$6000,$B37,'データ_全エリア'!$C$4:$C$6000,$C37,'データ_全エリア'!$B$4:$B$6000,$C$3)/$G37,"-")</f>
        <v>-</v>
      </c>
      <c r="L37" s="78" t="str">
        <f>IFERROR(SUMIFS('データ_全エリア'!Y$4:Y$6000,'データ_全エリア'!$U$4:$U$6000,$B37,'データ_全エリア'!$C$4:$C$6000,$C37,'データ_全エリア'!$B$4:$B$6000,$C$3)/$G37,"-")</f>
        <v>-</v>
      </c>
      <c r="M37" s="78" t="str">
        <f>IFERROR(SUMIFS('データ_全エリア'!Z$4:Z$6000,'データ_全エリア'!$U$4:$U$6000,$B37,'データ_全エリア'!$C$4:$C$6000,$C37,'データ_全エリア'!$B$4:$B$6000,$C$3)/$G37,"-")</f>
        <v>-</v>
      </c>
      <c r="N37" s="78" t="str">
        <f>IFERROR(SUMIFS('データ_全エリア'!AA$4:AA$6000,'データ_全エリア'!$U$4:$U$6000,$B37,'データ_全エリア'!$C$4:$C$6000,$C37,'データ_全エリア'!$B$4:$B$6000,$C$3)/$G37,"-")</f>
        <v>-</v>
      </c>
      <c r="O37" s="78" t="str">
        <f>IFERROR(SUMIFS('データ_全エリア'!AB$4:AB$6000,'データ_全エリア'!$U$4:$U$6000,$B37,'データ_全エリア'!$C$4:$C$6000,$C37,'データ_全エリア'!$B$4:$B$6000,$C$3)/$H37,"-")</f>
        <v>-</v>
      </c>
      <c r="P37" s="78" t="str">
        <f>IFERROR(SUMIFS('データ_全エリア'!AC$4:AC$6000,'データ_全エリア'!$U$4:$U$6000,$B37,'データ_全エリア'!$C$4:$C$6000,$C37,'データ_全エリア'!$B$4:$B$6000,$C$3)/$H37,"-")</f>
        <v>-</v>
      </c>
      <c r="Q37" s="78" t="str">
        <f>IFERROR(SUMIFS('データ_全エリア'!AD$4:AD$6000,'データ_全エリア'!$U$4:$U$6000,$B37,'データ_全エリア'!$C$4:$C$6000,$C37,'データ_全エリア'!$B$4:$B$6000,$C$3)/$H37,"-")</f>
        <v>-</v>
      </c>
      <c r="R37" s="78" t="str">
        <f>IFERROR(SUMIFS('データ_全エリア'!AE$4:AE$6000,'データ_全エリア'!$U$4:$U$6000,$B37,'データ_全エリア'!$C$4:$C$6000,$C37,'データ_全エリア'!$B$4:$B$6000,$C$3)/$H37,"-")</f>
        <v>-</v>
      </c>
      <c r="S37" s="78" t="str">
        <f>IFERROR(SUMIFS('データ_全エリア'!AF$4:AF$6000,'データ_全エリア'!$U$4:$U$6000,$B37,'データ_全エリア'!$C$4:$C$6000,$C37,'データ_全エリア'!$B$4:$B$6000,$C$3)/$H37,"-")</f>
        <v>-</v>
      </c>
      <c r="T37" s="78" t="str">
        <f>IFERROR(SUMIFS('データ_全エリア'!AG$4:AG$6000,'データ_全エリア'!$U$4:$U$6000,$B37,'データ_全エリア'!$C$4:$C$6000,$C37,'データ_全エリア'!$B$4:$B$6000,$C$3)/$H37,"-")</f>
        <v>-</v>
      </c>
      <c r="V37" s="123"/>
      <c r="W37" s="78"/>
      <c r="X37" s="78"/>
      <c r="Y37" s="78"/>
      <c r="Z37" s="78"/>
      <c r="AA37" s="78"/>
      <c r="AB37" s="78"/>
    </row>
  </sheetData>
  <mergeCells count="2">
    <mergeCell ref="I4:N4"/>
    <mergeCell ref="O4:T4"/>
  </mergeCells>
  <dataValidations>
    <dataValidation type="list" allowBlank="1" sqref="C3">
      <formula1>'各エリア_マスタURL貼付'!$H$3:$H1001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1"/>
  <cols>
    <col customWidth="1" min="1" max="1" width="5.29"/>
    <col customWidth="1" min="2" max="2" width="11.57"/>
    <col customWidth="1" min="3" max="3" width="9.57"/>
    <col customWidth="1" min="4" max="4" width="17.86"/>
    <col customWidth="1" min="5" max="5" width="5.29"/>
    <col customWidth="1" min="6" max="6" width="51.86"/>
    <col customWidth="1" min="7" max="7" width="24.0"/>
  </cols>
  <sheetData>
    <row r="1">
      <c r="A1" s="124" t="s">
        <v>111</v>
      </c>
      <c r="B1" s="124" t="s">
        <v>8</v>
      </c>
      <c r="C1" s="124" t="s">
        <v>112</v>
      </c>
      <c r="D1" s="124" t="s">
        <v>113</v>
      </c>
      <c r="E1" s="124" t="s">
        <v>42</v>
      </c>
      <c r="F1" s="124" t="s">
        <v>114</v>
      </c>
      <c r="G1" s="124" t="s">
        <v>115</v>
      </c>
    </row>
    <row r="2">
      <c r="A2" s="38" t="str">
        <f>IFERROR(__xludf.DUMMYFUNCTION("IMPORTRANGE(""1V9tEBlXoIxeG1CZj6AMLaNXpS6Wx7-_1Y9TlDZ7VVi4/edit?gid=0#gid=0"",""ALL!C4:I968"")"),"DS")</f>
        <v>DS</v>
      </c>
      <c r="B2" s="38" t="str">
        <f>IFERROR(__xludf.DUMMYFUNCTION("""COMPUTED_VALUE"""),"北海道")</f>
        <v>北海道</v>
      </c>
      <c r="C2" s="38" t="str">
        <f>IFERROR(__xludf.DUMMYFUNCTION("""COMPUTED_VALUE"""),"北海道")</f>
        <v>北海道</v>
      </c>
      <c r="D2" s="125">
        <f>IFERROR(__xludf.DUMMYFUNCTION("""COMPUTED_VALUE"""),8773.0)</f>
        <v>8773</v>
      </c>
      <c r="E2" s="38" t="str">
        <f>IFERROR(__xludf.DUMMYFUNCTION("""COMPUTED_VALUE"""),"-")</f>
        <v>-</v>
      </c>
      <c r="F2" s="38" t="str">
        <f>IFERROR(__xludf.DUMMYFUNCTION("""COMPUTED_VALUE"""),"楽天モバイル イオン北郷店")</f>
        <v>楽天モバイル イオン北郷店</v>
      </c>
      <c r="G2" s="38"/>
    </row>
    <row r="3">
      <c r="A3" s="38" t="str">
        <f>IFERROR(__xludf.DUMMYFUNCTION("""COMPUTED_VALUE"""),"DS")</f>
        <v>DS</v>
      </c>
      <c r="B3" s="38" t="str">
        <f>IFERROR(__xludf.DUMMYFUNCTION("""COMPUTED_VALUE"""),"北海道")</f>
        <v>北海道</v>
      </c>
      <c r="C3" s="38" t="str">
        <f>IFERROR(__xludf.DUMMYFUNCTION("""COMPUTED_VALUE"""),"北海道")</f>
        <v>北海道</v>
      </c>
      <c r="D3" s="125">
        <f>IFERROR(__xludf.DUMMYFUNCTION("""COMPUTED_VALUE"""),8845.0)</f>
        <v>8845</v>
      </c>
      <c r="E3" s="38" t="str">
        <f>IFERROR(__xludf.DUMMYFUNCTION("""COMPUTED_VALUE"""),"-")</f>
        <v>-</v>
      </c>
      <c r="F3" s="38" t="str">
        <f>IFERROR(__xludf.DUMMYFUNCTION("""COMPUTED_VALUE"""),"楽天モバイル MEGAドン・キホーテ苫小牧店")</f>
        <v>楽天モバイル MEGAドン・キホーテ苫小牧店</v>
      </c>
      <c r="G3" s="38"/>
    </row>
    <row r="4">
      <c r="A4" s="38" t="str">
        <f>IFERROR(__xludf.DUMMYFUNCTION("""COMPUTED_VALUE"""),"DS")</f>
        <v>DS</v>
      </c>
      <c r="B4" s="38" t="str">
        <f>IFERROR(__xludf.DUMMYFUNCTION("""COMPUTED_VALUE"""),"北海道")</f>
        <v>北海道</v>
      </c>
      <c r="C4" s="38" t="str">
        <f>IFERROR(__xludf.DUMMYFUNCTION("""COMPUTED_VALUE"""),"北海道")</f>
        <v>北海道</v>
      </c>
      <c r="D4" s="125">
        <f>IFERROR(__xludf.DUMMYFUNCTION("""COMPUTED_VALUE"""),8959.0)</f>
        <v>8959</v>
      </c>
      <c r="E4" s="38" t="str">
        <f>IFERROR(__xludf.DUMMYFUNCTION("""COMPUTED_VALUE"""),"-")</f>
        <v>-</v>
      </c>
      <c r="F4" s="38" t="str">
        <f>IFERROR(__xludf.DUMMYFUNCTION("""COMPUTED_VALUE"""),"楽天モバイル イオン登別店")</f>
        <v>楽天モバイル イオン登別店</v>
      </c>
      <c r="G4" s="38"/>
    </row>
    <row r="5">
      <c r="A5" s="38" t="str">
        <f>IFERROR(__xludf.DUMMYFUNCTION("""COMPUTED_VALUE"""),"DS")</f>
        <v>DS</v>
      </c>
      <c r="B5" s="38" t="str">
        <f>IFERROR(__xludf.DUMMYFUNCTION("""COMPUTED_VALUE"""),"北海道")</f>
        <v>北海道</v>
      </c>
      <c r="C5" s="38" t="str">
        <f>IFERROR(__xludf.DUMMYFUNCTION("""COMPUTED_VALUE"""),"北海道")</f>
        <v>北海道</v>
      </c>
      <c r="D5" s="125">
        <f>IFERROR(__xludf.DUMMYFUNCTION("""COMPUTED_VALUE"""),8957.0)</f>
        <v>8957</v>
      </c>
      <c r="E5" s="38" t="str">
        <f>IFERROR(__xludf.DUMMYFUNCTION("""COMPUTED_VALUE"""),"-")</f>
        <v>-</v>
      </c>
      <c r="F5" s="38" t="str">
        <f>IFERROR(__xludf.DUMMYFUNCTION("""COMPUTED_VALUE"""),"楽天モバイル イオン静内店")</f>
        <v>楽天モバイル イオン静内店</v>
      </c>
      <c r="G5" s="38"/>
    </row>
    <row r="6">
      <c r="A6" s="38" t="str">
        <f>IFERROR(__xludf.DUMMYFUNCTION("""COMPUTED_VALUE"""),"DS")</f>
        <v>DS</v>
      </c>
      <c r="B6" s="38" t="str">
        <f>IFERROR(__xludf.DUMMYFUNCTION("""COMPUTED_VALUE"""),"北海道")</f>
        <v>北海道</v>
      </c>
      <c r="C6" s="38" t="str">
        <f>IFERROR(__xludf.DUMMYFUNCTION("""COMPUTED_VALUE"""),"北海道")</f>
        <v>北海道</v>
      </c>
      <c r="D6" s="125">
        <f>IFERROR(__xludf.DUMMYFUNCTION("""COMPUTED_VALUE"""),1024.0)</f>
        <v>1024</v>
      </c>
      <c r="E6" s="38" t="str">
        <f>IFERROR(__xludf.DUMMYFUNCTION("""COMPUTED_VALUE"""),"-")</f>
        <v>-</v>
      </c>
      <c r="F6" s="38" t="str">
        <f>IFERROR(__xludf.DUMMYFUNCTION("""COMPUTED_VALUE"""),"楽天モバイル スーパーアークスアドマーニ店")</f>
        <v>楽天モバイル スーパーアークスアドマーニ店</v>
      </c>
      <c r="G6" s="38"/>
    </row>
    <row r="7">
      <c r="A7" s="38" t="str">
        <f>IFERROR(__xludf.DUMMYFUNCTION("""COMPUTED_VALUE"""),"DS")</f>
        <v>DS</v>
      </c>
      <c r="B7" s="38" t="str">
        <f>IFERROR(__xludf.DUMMYFUNCTION("""COMPUTED_VALUE"""),"北海道")</f>
        <v>北海道</v>
      </c>
      <c r="C7" s="38" t="str">
        <f>IFERROR(__xludf.DUMMYFUNCTION("""COMPUTED_VALUE"""),"北海道")</f>
        <v>北海道</v>
      </c>
      <c r="D7" s="125">
        <f>IFERROR(__xludf.DUMMYFUNCTION("""COMPUTED_VALUE"""),1104.0)</f>
        <v>1104</v>
      </c>
      <c r="E7" s="38" t="str">
        <f>IFERROR(__xludf.DUMMYFUNCTION("""COMPUTED_VALUE"""),"-")</f>
        <v>-</v>
      </c>
      <c r="F7" s="38" t="str">
        <f>IFERROR(__xludf.DUMMYFUNCTION("""COMPUTED_VALUE"""),"楽天モバイル MEGAドン・キホーテ函館店")</f>
        <v>楽天モバイル MEGAドン・キホーテ函館店</v>
      </c>
      <c r="G7" s="38"/>
    </row>
    <row r="8">
      <c r="A8" s="38" t="str">
        <f>IFERROR(__xludf.DUMMYFUNCTION("""COMPUTED_VALUE"""),"DS")</f>
        <v>DS</v>
      </c>
      <c r="B8" s="38" t="str">
        <f>IFERROR(__xludf.DUMMYFUNCTION("""COMPUTED_VALUE"""),"北海道")</f>
        <v>北海道</v>
      </c>
      <c r="C8" s="38" t="str">
        <f>IFERROR(__xludf.DUMMYFUNCTION("""COMPUTED_VALUE"""),"北海道")</f>
        <v>北海道</v>
      </c>
      <c r="D8" s="125">
        <f>IFERROR(__xludf.DUMMYFUNCTION("""COMPUTED_VALUE"""),1198.0)</f>
        <v>1198</v>
      </c>
      <c r="E8" s="38" t="str">
        <f>IFERROR(__xludf.DUMMYFUNCTION("""COMPUTED_VALUE"""),"-")</f>
        <v>-</v>
      </c>
      <c r="F8" s="38" t="str">
        <f>IFERROR(__xludf.DUMMYFUNCTION("""COMPUTED_VALUE"""),"楽天モバイル アモールショッピングセンター店")</f>
        <v>楽天モバイル アモールショッピングセンター店</v>
      </c>
      <c r="G8" s="38"/>
    </row>
    <row r="9">
      <c r="A9" s="38" t="str">
        <f>IFERROR(__xludf.DUMMYFUNCTION("""COMPUTED_VALUE"""),"DS")</f>
        <v>DS</v>
      </c>
      <c r="B9" s="38" t="str">
        <f>IFERROR(__xludf.DUMMYFUNCTION("""COMPUTED_VALUE"""),"北海道")</f>
        <v>北海道</v>
      </c>
      <c r="C9" s="38" t="str">
        <f>IFERROR(__xludf.DUMMYFUNCTION("""COMPUTED_VALUE"""),"北海道")</f>
        <v>北海道</v>
      </c>
      <c r="D9" s="125">
        <f>IFERROR(__xludf.DUMMYFUNCTION("""COMPUTED_VALUE"""),8777.0)</f>
        <v>8777</v>
      </c>
      <c r="E9" s="38" t="str">
        <f>IFERROR(__xludf.DUMMYFUNCTION("""COMPUTED_VALUE"""),"-")</f>
        <v>-</v>
      </c>
      <c r="F9" s="38" t="str">
        <f>IFERROR(__xludf.DUMMYFUNCTION("""COMPUTED_VALUE"""),"楽天モバイル 西條稚内店")</f>
        <v>楽天モバイル 西條稚内店</v>
      </c>
      <c r="G9" s="38"/>
    </row>
    <row r="10">
      <c r="A10" s="38" t="str">
        <f>IFERROR(__xludf.DUMMYFUNCTION("""COMPUTED_VALUE"""),"DS")</f>
        <v>DS</v>
      </c>
      <c r="B10" s="38" t="str">
        <f>IFERROR(__xludf.DUMMYFUNCTION("""COMPUTED_VALUE"""),"北海道")</f>
        <v>北海道</v>
      </c>
      <c r="C10" s="38" t="str">
        <f>IFERROR(__xludf.DUMMYFUNCTION("""COMPUTED_VALUE"""),"北海道")</f>
        <v>北海道</v>
      </c>
      <c r="D10" s="125">
        <f>IFERROR(__xludf.DUMMYFUNCTION("""COMPUTED_VALUE"""),8929.0)</f>
        <v>8929</v>
      </c>
      <c r="E10" s="38" t="str">
        <f>IFERROR(__xludf.DUMMYFUNCTION("""COMPUTED_VALUE"""),"-")</f>
        <v>-</v>
      </c>
      <c r="F10" s="38" t="str">
        <f>IFERROR(__xludf.DUMMYFUNCTION("""COMPUTED_VALUE"""),"楽天モバイル スーパーアークス桜町店")</f>
        <v>楽天モバイル スーパーアークス桜町店</v>
      </c>
      <c r="G10" s="38"/>
    </row>
    <row r="11">
      <c r="A11" s="38" t="str">
        <f>IFERROR(__xludf.DUMMYFUNCTION("""COMPUTED_VALUE"""),"DS")</f>
        <v>DS</v>
      </c>
      <c r="B11" s="38" t="str">
        <f>IFERROR(__xludf.DUMMYFUNCTION("""COMPUTED_VALUE"""),"北海道")</f>
        <v>北海道</v>
      </c>
      <c r="C11" s="38" t="str">
        <f>IFERROR(__xludf.DUMMYFUNCTION("""COMPUTED_VALUE"""),"北海道")</f>
        <v>北海道</v>
      </c>
      <c r="D11" s="125">
        <f>IFERROR(__xludf.DUMMYFUNCTION("""COMPUTED_VALUE"""),1155.0)</f>
        <v>1155</v>
      </c>
      <c r="E11" s="38" t="str">
        <f>IFERROR(__xludf.DUMMYFUNCTION("""COMPUTED_VALUE"""),"-")</f>
        <v>-</v>
      </c>
      <c r="F11" s="38" t="str">
        <f>IFERROR(__xludf.DUMMYFUNCTION("""COMPUTED_VALUE"""),"楽天モバイル イオン釧路店")</f>
        <v>楽天モバイル イオン釧路店</v>
      </c>
      <c r="G11" s="38" t="str">
        <f>IFERROR(__xludf.DUMMYFUNCTION("""COMPUTED_VALUE"""),"11月～直営化")</f>
        <v>11月～直営化</v>
      </c>
    </row>
    <row r="12">
      <c r="A12" s="38" t="str">
        <f>IFERROR(__xludf.DUMMYFUNCTION("""COMPUTED_VALUE"""),"DS")</f>
        <v>DS</v>
      </c>
      <c r="B12" s="38" t="str">
        <f>IFERROR(__xludf.DUMMYFUNCTION("""COMPUTED_VALUE"""),"北海道")</f>
        <v>北海道</v>
      </c>
      <c r="C12" s="38" t="str">
        <f>IFERROR(__xludf.DUMMYFUNCTION("""COMPUTED_VALUE"""),"北海道")</f>
        <v>北海道</v>
      </c>
      <c r="D12" s="125">
        <f>IFERROR(__xludf.DUMMYFUNCTION("""COMPUTED_VALUE"""),8967.0)</f>
        <v>8967</v>
      </c>
      <c r="E12" s="38" t="str">
        <f>IFERROR(__xludf.DUMMYFUNCTION("""COMPUTED_VALUE"""),"-")</f>
        <v>-</v>
      </c>
      <c r="F12" s="38" t="str">
        <f>IFERROR(__xludf.DUMMYFUNCTION("""COMPUTED_VALUE"""),"楽天モバイル MEGAドン・キホーテ西帯広店")</f>
        <v>楽天モバイル MEGAドン・キホーテ西帯広店</v>
      </c>
      <c r="G12" s="38"/>
    </row>
    <row r="13">
      <c r="A13" s="38" t="str">
        <f>IFERROR(__xludf.DUMMYFUNCTION("""COMPUTED_VALUE"""),"DS")</f>
        <v>DS</v>
      </c>
      <c r="B13" s="38" t="str">
        <f>IFERROR(__xludf.DUMMYFUNCTION("""COMPUTED_VALUE"""),"東北")</f>
        <v>東北</v>
      </c>
      <c r="C13" s="38" t="str">
        <f>IFERROR(__xludf.DUMMYFUNCTION("""COMPUTED_VALUE"""),"青森県")</f>
        <v>青森県</v>
      </c>
      <c r="D13" s="125">
        <f>IFERROR(__xludf.DUMMYFUNCTION("""COMPUTED_VALUE"""),8911.0)</f>
        <v>8911</v>
      </c>
      <c r="E13" s="38" t="str">
        <f>IFERROR(__xludf.DUMMYFUNCTION("""COMPUTED_VALUE"""),"-")</f>
        <v>-</v>
      </c>
      <c r="F13" s="38" t="str">
        <f>IFERROR(__xludf.DUMMYFUNCTION("""COMPUTED_VALUE"""),"楽天モバイル イオンモールつがる柏店")</f>
        <v>楽天モバイル イオンモールつがる柏店</v>
      </c>
      <c r="G13" s="38" t="str">
        <f>IFERROR(__xludf.DUMMYFUNCTION("""COMPUTED_VALUE"""),"11月～直営化")</f>
        <v>11月～直営化</v>
      </c>
    </row>
    <row r="14">
      <c r="A14" s="38" t="str">
        <f>IFERROR(__xludf.DUMMYFUNCTION("""COMPUTED_VALUE"""),"DS")</f>
        <v>DS</v>
      </c>
      <c r="B14" s="38" t="str">
        <f>IFERROR(__xludf.DUMMYFUNCTION("""COMPUTED_VALUE"""),"東北")</f>
        <v>東北</v>
      </c>
      <c r="C14" s="38" t="str">
        <f>IFERROR(__xludf.DUMMYFUNCTION("""COMPUTED_VALUE"""),"青森県")</f>
        <v>青森県</v>
      </c>
      <c r="D14" s="125">
        <f>IFERROR(__xludf.DUMMYFUNCTION("""COMPUTED_VALUE"""),1290.0)</f>
        <v>1290</v>
      </c>
      <c r="E14" s="38" t="str">
        <f>IFERROR(__xludf.DUMMYFUNCTION("""COMPUTED_VALUE"""),"-")</f>
        <v>-</v>
      </c>
      <c r="F14" s="38" t="str">
        <f>IFERROR(__xludf.DUMMYFUNCTION("""COMPUTED_VALUE"""),"楽天モバイル イオンスーパーセンター十和田店")</f>
        <v>楽天モバイル イオンスーパーセンター十和田店</v>
      </c>
      <c r="G14" s="38"/>
    </row>
    <row r="15">
      <c r="A15" s="38" t="str">
        <f>IFERROR(__xludf.DUMMYFUNCTION("""COMPUTED_VALUE"""),"DS")</f>
        <v>DS</v>
      </c>
      <c r="B15" s="38" t="str">
        <f>IFERROR(__xludf.DUMMYFUNCTION("""COMPUTED_VALUE"""),"東北")</f>
        <v>東北</v>
      </c>
      <c r="C15" s="38" t="str">
        <f>IFERROR(__xludf.DUMMYFUNCTION("""COMPUTED_VALUE"""),"岩手県")</f>
        <v>岩手県</v>
      </c>
      <c r="D15" s="125">
        <f>IFERROR(__xludf.DUMMYFUNCTION("""COMPUTED_VALUE"""),8882.0)</f>
        <v>8882</v>
      </c>
      <c r="E15" s="38" t="str">
        <f>IFERROR(__xludf.DUMMYFUNCTION("""COMPUTED_VALUE"""),"-")</f>
        <v>-</v>
      </c>
      <c r="F15" s="38" t="str">
        <f>IFERROR(__xludf.DUMMYFUNCTION("""COMPUTED_VALUE"""),"楽天モバイル イオンタウン釜石店")</f>
        <v>楽天モバイル イオンタウン釜石店</v>
      </c>
      <c r="G15" s="38" t="str">
        <f>IFERROR(__xludf.DUMMYFUNCTION("""COMPUTED_VALUE"""),"11月～直営化")</f>
        <v>11月～直営化</v>
      </c>
    </row>
    <row r="16">
      <c r="A16" s="38" t="str">
        <f>IFERROR(__xludf.DUMMYFUNCTION("""COMPUTED_VALUE"""),"DS")</f>
        <v>DS</v>
      </c>
      <c r="B16" s="38" t="str">
        <f>IFERROR(__xludf.DUMMYFUNCTION("""COMPUTED_VALUE"""),"東北")</f>
        <v>東北</v>
      </c>
      <c r="C16" s="38" t="str">
        <f>IFERROR(__xludf.DUMMYFUNCTION("""COMPUTED_VALUE"""),"岩手県")</f>
        <v>岩手県</v>
      </c>
      <c r="D16" s="125">
        <f>IFERROR(__xludf.DUMMYFUNCTION("""COMPUTED_VALUE"""),1204.0)</f>
        <v>1204</v>
      </c>
      <c r="E16" s="38" t="str">
        <f>IFERROR(__xludf.DUMMYFUNCTION("""COMPUTED_VALUE"""),"-")</f>
        <v>-</v>
      </c>
      <c r="F16" s="38" t="str">
        <f>IFERROR(__xludf.DUMMYFUNCTION("""COMPUTED_VALUE"""),"楽天モバイル イオンスーパーセンター一関店")</f>
        <v>楽天モバイル イオンスーパーセンター一関店</v>
      </c>
      <c r="G16" s="38" t="str">
        <f>IFERROR(__xludf.DUMMYFUNCTION("""COMPUTED_VALUE"""),"11月～直営化")</f>
        <v>11月～直営化</v>
      </c>
    </row>
    <row r="17">
      <c r="A17" s="38" t="str">
        <f>IFERROR(__xludf.DUMMYFUNCTION("""COMPUTED_VALUE"""),"DS")</f>
        <v>DS</v>
      </c>
      <c r="B17" s="38" t="str">
        <f>IFERROR(__xludf.DUMMYFUNCTION("""COMPUTED_VALUE"""),"東北")</f>
        <v>東北</v>
      </c>
      <c r="C17" s="38" t="str">
        <f>IFERROR(__xludf.DUMMYFUNCTION("""COMPUTED_VALUE"""),"宮城県")</f>
        <v>宮城県</v>
      </c>
      <c r="D17" s="125">
        <f>IFERROR(__xludf.DUMMYFUNCTION("""COMPUTED_VALUE"""),8754.0)</f>
        <v>8754</v>
      </c>
      <c r="E17" s="38" t="str">
        <f>IFERROR(__xludf.DUMMYFUNCTION("""COMPUTED_VALUE"""),"-")</f>
        <v>-</v>
      </c>
      <c r="F17" s="38" t="str">
        <f>IFERROR(__xludf.DUMMYFUNCTION("""COMPUTED_VALUE"""),"楽天モバイル ザ・ビッグ塩釜店")</f>
        <v>楽天モバイル ザ・ビッグ塩釜店</v>
      </c>
      <c r="G17" s="38"/>
    </row>
    <row r="18">
      <c r="A18" s="38" t="str">
        <f>IFERROR(__xludf.DUMMYFUNCTION("""COMPUTED_VALUE"""),"DS")</f>
        <v>DS</v>
      </c>
      <c r="B18" s="38" t="str">
        <f>IFERROR(__xludf.DUMMYFUNCTION("""COMPUTED_VALUE"""),"東北")</f>
        <v>東北</v>
      </c>
      <c r="C18" s="38" t="str">
        <f>IFERROR(__xludf.DUMMYFUNCTION("""COMPUTED_VALUE"""),"宮城県")</f>
        <v>宮城県</v>
      </c>
      <c r="D18" s="125">
        <f>IFERROR(__xludf.DUMMYFUNCTION("""COMPUTED_VALUE"""),8731.0)</f>
        <v>8731</v>
      </c>
      <c r="E18" s="38" t="str">
        <f>IFERROR(__xludf.DUMMYFUNCTION("""COMPUTED_VALUE"""),"-")</f>
        <v>-</v>
      </c>
      <c r="F18" s="38" t="str">
        <f>IFERROR(__xludf.DUMMYFUNCTION("""COMPUTED_VALUE"""),"楽天モバイル セラビ岩沼店")</f>
        <v>楽天モバイル セラビ岩沼店</v>
      </c>
      <c r="G18" s="38"/>
    </row>
    <row r="19">
      <c r="A19" s="38" t="str">
        <f>IFERROR(__xludf.DUMMYFUNCTION("""COMPUTED_VALUE"""),"DS")</f>
        <v>DS</v>
      </c>
      <c r="B19" s="38" t="str">
        <f>IFERROR(__xludf.DUMMYFUNCTION("""COMPUTED_VALUE"""),"東北")</f>
        <v>東北</v>
      </c>
      <c r="C19" s="38" t="str">
        <f>IFERROR(__xludf.DUMMYFUNCTION("""COMPUTED_VALUE"""),"宮城県")</f>
        <v>宮城県</v>
      </c>
      <c r="D19" s="125">
        <f>IFERROR(__xludf.DUMMYFUNCTION("""COMPUTED_VALUE"""),8996.0)</f>
        <v>8996</v>
      </c>
      <c r="E19" s="38" t="str">
        <f>IFERROR(__xludf.DUMMYFUNCTION("""COMPUTED_VALUE"""),"-")</f>
        <v>-</v>
      </c>
      <c r="F19" s="38" t="str">
        <f>IFERROR(__xludf.DUMMYFUNCTION("""COMPUTED_VALUE"""),"楽天モバイル イオンタウン佐沼店")</f>
        <v>楽天モバイル イオンタウン佐沼店</v>
      </c>
      <c r="G19" s="38" t="str">
        <f>IFERROR(__xludf.DUMMYFUNCTION("""COMPUTED_VALUE"""),"11月～直営化")</f>
        <v>11月～直営化</v>
      </c>
    </row>
    <row r="20">
      <c r="A20" s="38" t="str">
        <f>IFERROR(__xludf.DUMMYFUNCTION("""COMPUTED_VALUE"""),"DS")</f>
        <v>DS</v>
      </c>
      <c r="B20" s="38" t="str">
        <f>IFERROR(__xludf.DUMMYFUNCTION("""COMPUTED_VALUE"""),"東北")</f>
        <v>東北</v>
      </c>
      <c r="C20" s="38" t="str">
        <f>IFERROR(__xludf.DUMMYFUNCTION("""COMPUTED_VALUE"""),"山形県")</f>
        <v>山形県</v>
      </c>
      <c r="D20" s="125">
        <f>IFERROR(__xludf.DUMMYFUNCTION("""COMPUTED_VALUE"""),8912.0)</f>
        <v>8912</v>
      </c>
      <c r="E20" s="38" t="str">
        <f>IFERROR(__xludf.DUMMYFUNCTION("""COMPUTED_VALUE"""),"-")</f>
        <v>-</v>
      </c>
      <c r="F20" s="38" t="str">
        <f>IFERROR(__xludf.DUMMYFUNCTION("""COMPUTED_VALUE"""),"楽天モバイル イオンモール三川店")</f>
        <v>楽天モバイル イオンモール三川店</v>
      </c>
      <c r="G20" s="38"/>
    </row>
    <row r="21">
      <c r="A21" s="38" t="str">
        <f>IFERROR(__xludf.DUMMYFUNCTION("""COMPUTED_VALUE"""),"DS")</f>
        <v>DS</v>
      </c>
      <c r="B21" s="38" t="str">
        <f>IFERROR(__xludf.DUMMYFUNCTION("""COMPUTED_VALUE"""),"東北")</f>
        <v>東北</v>
      </c>
      <c r="C21" s="38" t="str">
        <f>IFERROR(__xludf.DUMMYFUNCTION("""COMPUTED_VALUE"""),"山形県")</f>
        <v>山形県</v>
      </c>
      <c r="D21" s="125">
        <f>IFERROR(__xludf.DUMMYFUNCTION("""COMPUTED_VALUE"""),8832.0)</f>
        <v>8832</v>
      </c>
      <c r="E21" s="38" t="str">
        <f>IFERROR(__xludf.DUMMYFUNCTION("""COMPUTED_VALUE"""),"-")</f>
        <v>-</v>
      </c>
      <c r="F21" s="38" t="str">
        <f>IFERROR(__xludf.DUMMYFUNCTION("""COMPUTED_VALUE"""),"楽天モバイル イオン米沢店")</f>
        <v>楽天モバイル イオン米沢店</v>
      </c>
      <c r="G21" s="38"/>
    </row>
    <row r="22">
      <c r="A22" s="38" t="str">
        <f>IFERROR(__xludf.DUMMYFUNCTION("""COMPUTED_VALUE"""),"DS")</f>
        <v>DS</v>
      </c>
      <c r="B22" s="38" t="str">
        <f>IFERROR(__xludf.DUMMYFUNCTION("""COMPUTED_VALUE"""),"東北")</f>
        <v>東北</v>
      </c>
      <c r="C22" s="38" t="str">
        <f>IFERROR(__xludf.DUMMYFUNCTION("""COMPUTED_VALUE"""),"福島県")</f>
        <v>福島県</v>
      </c>
      <c r="D22" s="125">
        <f>IFERROR(__xludf.DUMMYFUNCTION("""COMPUTED_VALUE"""),8829.0)</f>
        <v>8829</v>
      </c>
      <c r="E22" s="38" t="str">
        <f>IFERROR(__xludf.DUMMYFUNCTION("""COMPUTED_VALUE"""),"-")</f>
        <v>-</v>
      </c>
      <c r="F22" s="38" t="str">
        <f>IFERROR(__xludf.DUMMYFUNCTION("""COMPUTED_VALUE"""),"楽天モバイル ベイシア安達店")</f>
        <v>楽天モバイル ベイシア安達店</v>
      </c>
      <c r="G22" s="38"/>
    </row>
    <row r="23">
      <c r="A23" s="38" t="str">
        <f>IFERROR(__xludf.DUMMYFUNCTION("""COMPUTED_VALUE"""),"DS")</f>
        <v>DS</v>
      </c>
      <c r="B23" s="38" t="str">
        <f>IFERROR(__xludf.DUMMYFUNCTION("""COMPUTED_VALUE"""),"東北")</f>
        <v>東北</v>
      </c>
      <c r="C23" s="38" t="str">
        <f>IFERROR(__xludf.DUMMYFUNCTION("""COMPUTED_VALUE"""),"福島県")</f>
        <v>福島県</v>
      </c>
      <c r="D23" s="125">
        <f>IFERROR(__xludf.DUMMYFUNCTION("""COMPUTED_VALUE"""),8811.0)</f>
        <v>8811</v>
      </c>
      <c r="E23" s="38" t="str">
        <f>IFERROR(__xludf.DUMMYFUNCTION("""COMPUTED_VALUE"""),"-")</f>
        <v>-</v>
      </c>
      <c r="F23" s="38" t="str">
        <f>IFERROR(__xludf.DUMMYFUNCTION("""COMPUTED_VALUE"""),"楽天モバイル ヨークベニマル喜多方店")</f>
        <v>楽天モバイル ヨークベニマル喜多方店</v>
      </c>
      <c r="G23" s="38"/>
    </row>
    <row r="24">
      <c r="A24" s="38" t="str">
        <f>IFERROR(__xludf.DUMMYFUNCTION("""COMPUTED_VALUE"""),"DS")</f>
        <v>DS</v>
      </c>
      <c r="B24" s="38" t="str">
        <f>IFERROR(__xludf.DUMMYFUNCTION("""COMPUTED_VALUE"""),"東北")</f>
        <v>東北</v>
      </c>
      <c r="C24" s="38" t="str">
        <f>IFERROR(__xludf.DUMMYFUNCTION("""COMPUTED_VALUE"""),"福島県")</f>
        <v>福島県</v>
      </c>
      <c r="D24" s="125">
        <f>IFERROR(__xludf.DUMMYFUNCTION("""COMPUTED_VALUE"""),1200.0)</f>
        <v>1200</v>
      </c>
      <c r="E24" s="38" t="str">
        <f>IFERROR(__xludf.DUMMYFUNCTION("""COMPUTED_VALUE"""),"-")</f>
        <v>-</v>
      </c>
      <c r="F24" s="38" t="str">
        <f>IFERROR(__xludf.DUMMYFUNCTION("""COMPUTED_VALUE"""),"楽天モバイル イオンスーパーセンター鏡石店")</f>
        <v>楽天モバイル イオンスーパーセンター鏡石店</v>
      </c>
      <c r="G24" s="38"/>
    </row>
    <row r="25">
      <c r="A25" s="38" t="str">
        <f>IFERROR(__xludf.DUMMYFUNCTION("""COMPUTED_VALUE"""),"DS")</f>
        <v>DS</v>
      </c>
      <c r="B25" s="38" t="str">
        <f>IFERROR(__xludf.DUMMYFUNCTION("""COMPUTED_VALUE"""),"東北")</f>
        <v>東北</v>
      </c>
      <c r="C25" s="38" t="str">
        <f>IFERROR(__xludf.DUMMYFUNCTION("""COMPUTED_VALUE"""),"福島県")</f>
        <v>福島県</v>
      </c>
      <c r="D25" s="125">
        <f>IFERROR(__xludf.DUMMYFUNCTION("""COMPUTED_VALUE"""),8725.0)</f>
        <v>8725</v>
      </c>
      <c r="E25" s="38" t="str">
        <f>IFERROR(__xludf.DUMMYFUNCTION("""COMPUTED_VALUE"""),"-")</f>
        <v>-</v>
      </c>
      <c r="F25" s="38" t="str">
        <f>IFERROR(__xludf.DUMMYFUNCTION("""COMPUTED_VALUE"""),"楽天モバイル LATOV店")</f>
        <v>楽天モバイル LATOV店</v>
      </c>
      <c r="G25" s="38"/>
    </row>
    <row r="26">
      <c r="A26" s="38" t="str">
        <f>IFERROR(__xludf.DUMMYFUNCTION("""COMPUTED_VALUE"""),"DS")</f>
        <v>DS</v>
      </c>
      <c r="B26" s="38" t="str">
        <f>IFERROR(__xludf.DUMMYFUNCTION("""COMPUTED_VALUE"""),"中部")</f>
        <v>中部</v>
      </c>
      <c r="C26" s="38" t="str">
        <f>IFERROR(__xludf.DUMMYFUNCTION("""COMPUTED_VALUE"""),"岐阜県")</f>
        <v>岐阜県</v>
      </c>
      <c r="D26" s="125">
        <f>IFERROR(__xludf.DUMMYFUNCTION("""COMPUTED_VALUE"""),8772.0)</f>
        <v>8772</v>
      </c>
      <c r="E26" s="38" t="str">
        <f>IFERROR(__xludf.DUMMYFUNCTION("""COMPUTED_VALUE"""),"-")</f>
        <v>-</v>
      </c>
      <c r="F26" s="38" t="str">
        <f>IFERROR(__xludf.DUMMYFUNCTION("""COMPUTED_VALUE"""),"楽天モバイル バロー城山店")</f>
        <v>楽天モバイル バロー城山店</v>
      </c>
      <c r="G26" s="38"/>
    </row>
    <row r="27">
      <c r="A27" s="38" t="str">
        <f>IFERROR(__xludf.DUMMYFUNCTION("""COMPUTED_VALUE"""),"DS")</f>
        <v>DS</v>
      </c>
      <c r="B27" s="38" t="str">
        <f>IFERROR(__xludf.DUMMYFUNCTION("""COMPUTED_VALUE"""),"中部")</f>
        <v>中部</v>
      </c>
      <c r="C27" s="38" t="str">
        <f>IFERROR(__xludf.DUMMYFUNCTION("""COMPUTED_VALUE"""),"愛知県")</f>
        <v>愛知県</v>
      </c>
      <c r="D27" s="125">
        <f>IFERROR(__xludf.DUMMYFUNCTION("""COMPUTED_VALUE"""),1078.0)</f>
        <v>1078</v>
      </c>
      <c r="E27" s="38" t="str">
        <f>IFERROR(__xludf.DUMMYFUNCTION("""COMPUTED_VALUE"""),"-")</f>
        <v>-</v>
      </c>
      <c r="F27" s="38" t="str">
        <f>IFERROR(__xludf.DUMMYFUNCTION("""COMPUTED_VALUE"""),"楽天モバイル フレンドタウン長久手店")</f>
        <v>楽天モバイル フレンドタウン長久手店</v>
      </c>
      <c r="G27" s="38"/>
    </row>
    <row r="28">
      <c r="A28" s="38" t="str">
        <f>IFERROR(__xludf.DUMMYFUNCTION("""COMPUTED_VALUE"""),"DS")</f>
        <v>DS</v>
      </c>
      <c r="B28" s="38" t="str">
        <f>IFERROR(__xludf.DUMMYFUNCTION("""COMPUTED_VALUE"""),"中部")</f>
        <v>中部</v>
      </c>
      <c r="C28" s="38" t="str">
        <f>IFERROR(__xludf.DUMMYFUNCTION("""COMPUTED_VALUE"""),"愛知県")</f>
        <v>愛知県</v>
      </c>
      <c r="D28" s="125">
        <f>IFERROR(__xludf.DUMMYFUNCTION("""COMPUTED_VALUE"""),8920.0)</f>
        <v>8920</v>
      </c>
      <c r="E28" s="38" t="str">
        <f>IFERROR(__xludf.DUMMYFUNCTION("""COMPUTED_VALUE"""),"-")</f>
        <v>-</v>
      </c>
      <c r="F28" s="38" t="str">
        <f>IFERROR(__xludf.DUMMYFUNCTION("""COMPUTED_VALUE"""),"楽天モバイル ピアゴ新城店")</f>
        <v>楽天モバイル ピアゴ新城店</v>
      </c>
      <c r="G28" s="38"/>
    </row>
    <row r="29">
      <c r="A29" s="38" t="str">
        <f>IFERROR(__xludf.DUMMYFUNCTION("""COMPUTED_VALUE"""),"DS")</f>
        <v>DS</v>
      </c>
      <c r="B29" s="38" t="str">
        <f>IFERROR(__xludf.DUMMYFUNCTION("""COMPUTED_VALUE"""),"中部")</f>
        <v>中部</v>
      </c>
      <c r="C29" s="38" t="str">
        <f>IFERROR(__xludf.DUMMYFUNCTION("""COMPUTED_VALUE"""),"岐阜県")</f>
        <v>岐阜県</v>
      </c>
      <c r="D29" s="125">
        <f>IFERROR(__xludf.DUMMYFUNCTION("""COMPUTED_VALUE"""),8968.0)</f>
        <v>8968</v>
      </c>
      <c r="E29" s="38" t="str">
        <f>IFERROR(__xludf.DUMMYFUNCTION("""COMPUTED_VALUE"""),"-")</f>
        <v>-</v>
      </c>
      <c r="F29" s="38" t="str">
        <f>IFERROR(__xludf.DUMMYFUNCTION("""COMPUTED_VALUE"""),"楽天モバイル ラスパ御嵩店")</f>
        <v>楽天モバイル ラスパ御嵩店</v>
      </c>
      <c r="G29" s="38"/>
    </row>
    <row r="30">
      <c r="A30" s="38" t="str">
        <f>IFERROR(__xludf.DUMMYFUNCTION("""COMPUTED_VALUE"""),"DS")</f>
        <v>DS</v>
      </c>
      <c r="B30" s="38" t="str">
        <f>IFERROR(__xludf.DUMMYFUNCTION("""COMPUTED_VALUE"""),"中部")</f>
        <v>中部</v>
      </c>
      <c r="C30" s="38" t="str">
        <f>IFERROR(__xludf.DUMMYFUNCTION("""COMPUTED_VALUE"""),"岐阜県")</f>
        <v>岐阜県</v>
      </c>
      <c r="D30" s="125">
        <f>IFERROR(__xludf.DUMMYFUNCTION("""COMPUTED_VALUE"""),1106.0)</f>
        <v>1106</v>
      </c>
      <c r="E30" s="38" t="str">
        <f>IFERROR(__xludf.DUMMYFUNCTION("""COMPUTED_VALUE"""),"-")</f>
        <v>-</v>
      </c>
      <c r="F30" s="38" t="str">
        <f>IFERROR(__xludf.DUMMYFUNCTION("""COMPUTED_VALUE"""),"楽天モバイル ヨシヅヤ可児店")</f>
        <v>楽天モバイル ヨシヅヤ可児店</v>
      </c>
      <c r="G30" s="38"/>
    </row>
    <row r="31">
      <c r="A31" s="38" t="str">
        <f>IFERROR(__xludf.DUMMYFUNCTION("""COMPUTED_VALUE"""),"DS")</f>
        <v>DS</v>
      </c>
      <c r="B31" s="38" t="str">
        <f>IFERROR(__xludf.DUMMYFUNCTION("""COMPUTED_VALUE"""),"中部")</f>
        <v>中部</v>
      </c>
      <c r="C31" s="38" t="str">
        <f>IFERROR(__xludf.DUMMYFUNCTION("""COMPUTED_VALUE"""),"岐阜県")</f>
        <v>岐阜県</v>
      </c>
      <c r="D31" s="125">
        <f>IFERROR(__xludf.DUMMYFUNCTION("""COMPUTED_VALUE"""),1350.0)</f>
        <v>1350</v>
      </c>
      <c r="E31" s="38" t="str">
        <f>IFERROR(__xludf.DUMMYFUNCTION("""COMPUTED_VALUE"""),"-")</f>
        <v>-</v>
      </c>
      <c r="F31" s="38" t="str">
        <f>IFERROR(__xludf.DUMMYFUNCTION("""COMPUTED_VALUE"""),"楽天モバイル 平和堂高富店")</f>
        <v>楽天モバイル 平和堂高富店</v>
      </c>
      <c r="G31" s="38"/>
    </row>
    <row r="32">
      <c r="A32" s="38" t="str">
        <f>IFERROR(__xludf.DUMMYFUNCTION("""COMPUTED_VALUE"""),"DS")</f>
        <v>DS</v>
      </c>
      <c r="B32" s="38" t="str">
        <f>IFERROR(__xludf.DUMMYFUNCTION("""COMPUTED_VALUE"""),"中部")</f>
        <v>中部</v>
      </c>
      <c r="C32" s="38" t="str">
        <f>IFERROR(__xludf.DUMMYFUNCTION("""COMPUTED_VALUE"""),"静岡県")</f>
        <v>静岡県</v>
      </c>
      <c r="D32" s="125">
        <f>IFERROR(__xludf.DUMMYFUNCTION("""COMPUTED_VALUE"""),1326.0)</f>
        <v>1326</v>
      </c>
      <c r="E32" s="38" t="str">
        <f>IFERROR(__xludf.DUMMYFUNCTION("""COMPUTED_VALUE"""),"-")</f>
        <v>-</v>
      </c>
      <c r="F32" s="38" t="str">
        <f>IFERROR(__xludf.DUMMYFUNCTION("""COMPUTED_VALUE"""),"楽天モバイル 焼津さかなセンター店")</f>
        <v>楽天モバイル 焼津さかなセンター店</v>
      </c>
      <c r="G32" s="38"/>
    </row>
    <row r="33">
      <c r="A33" s="38" t="str">
        <f>IFERROR(__xludf.DUMMYFUNCTION("""COMPUTED_VALUE"""),"DS")</f>
        <v>DS</v>
      </c>
      <c r="B33" s="38" t="str">
        <f>IFERROR(__xludf.DUMMYFUNCTION("""COMPUTED_VALUE"""),"中部")</f>
        <v>中部</v>
      </c>
      <c r="C33" s="38" t="str">
        <f>IFERROR(__xludf.DUMMYFUNCTION("""COMPUTED_VALUE"""),"三重県")</f>
        <v>三重県</v>
      </c>
      <c r="D33" s="125">
        <f>IFERROR(__xludf.DUMMYFUNCTION("""COMPUTED_VALUE"""),1074.0)</f>
        <v>1074</v>
      </c>
      <c r="E33" s="38" t="str">
        <f>IFERROR(__xludf.DUMMYFUNCTION("""COMPUTED_VALUE"""),"-")</f>
        <v>-</v>
      </c>
      <c r="F33" s="38" t="str">
        <f>IFERROR(__xludf.DUMMYFUNCTION("""COMPUTED_VALUE"""),"楽天モバイル アピタ伊賀上野店")</f>
        <v>楽天モバイル アピタ伊賀上野店</v>
      </c>
      <c r="G33" s="38"/>
    </row>
    <row r="34">
      <c r="A34" s="38" t="str">
        <f>IFERROR(__xludf.DUMMYFUNCTION("""COMPUTED_VALUE"""),"DS")</f>
        <v>DS</v>
      </c>
      <c r="B34" s="38" t="str">
        <f>IFERROR(__xludf.DUMMYFUNCTION("""COMPUTED_VALUE"""),"中部")</f>
        <v>中部</v>
      </c>
      <c r="C34" s="38" t="str">
        <f>IFERROR(__xludf.DUMMYFUNCTION("""COMPUTED_VALUE"""),"福井県")</f>
        <v>福井県</v>
      </c>
      <c r="D34" s="125">
        <f>IFERROR(__xludf.DUMMYFUNCTION("""COMPUTED_VALUE"""),1147.0)</f>
        <v>1147</v>
      </c>
      <c r="E34" s="38" t="str">
        <f>IFERROR(__xludf.DUMMYFUNCTION("""COMPUTED_VALUE"""),"-")</f>
        <v>-</v>
      </c>
      <c r="F34" s="38" t="str">
        <f>IFERROR(__xludf.DUMMYFUNCTION("""COMPUTED_VALUE"""),"楽天モバイル MEGAドン・キホーテUNY敦賀店")</f>
        <v>楽天モバイル MEGAドン・キホーテUNY敦賀店</v>
      </c>
      <c r="G34" s="38"/>
    </row>
    <row r="35">
      <c r="A35" s="38" t="str">
        <f>IFERROR(__xludf.DUMMYFUNCTION("""COMPUTED_VALUE"""),"DS")</f>
        <v>DS</v>
      </c>
      <c r="B35" s="38" t="str">
        <f>IFERROR(__xludf.DUMMYFUNCTION("""COMPUTED_VALUE"""),"中四国")</f>
        <v>中四国</v>
      </c>
      <c r="C35" s="38" t="str">
        <f>IFERROR(__xludf.DUMMYFUNCTION("""COMPUTED_VALUE"""),"広島県")</f>
        <v>広島県</v>
      </c>
      <c r="D35" s="125">
        <f>IFERROR(__xludf.DUMMYFUNCTION("""COMPUTED_VALUE"""),8889.0)</f>
        <v>8889</v>
      </c>
      <c r="E35" s="38" t="str">
        <f>IFERROR(__xludf.DUMMYFUNCTION("""COMPUTED_VALUE"""),"-")</f>
        <v>-</v>
      </c>
      <c r="F35" s="38" t="str">
        <f>IFERROR(__xludf.DUMMYFUNCTION("""COMPUTED_VALUE"""),"楽天モバイル 府中天満屋店")</f>
        <v>楽天モバイル 府中天満屋店</v>
      </c>
      <c r="G35" s="38"/>
    </row>
    <row r="36">
      <c r="A36" s="38" t="str">
        <f>IFERROR(__xludf.DUMMYFUNCTION("""COMPUTED_VALUE"""),"DS")</f>
        <v>DS</v>
      </c>
      <c r="B36" s="38" t="str">
        <f>IFERROR(__xludf.DUMMYFUNCTION("""COMPUTED_VALUE"""),"中四国")</f>
        <v>中四国</v>
      </c>
      <c r="C36" s="38" t="str">
        <f>IFERROR(__xludf.DUMMYFUNCTION("""COMPUTED_VALUE"""),"鳥取県")</f>
        <v>鳥取県</v>
      </c>
      <c r="D36" s="125">
        <f>IFERROR(__xludf.DUMMYFUNCTION("""COMPUTED_VALUE"""),8870.0)</f>
        <v>8870</v>
      </c>
      <c r="E36" s="38" t="str">
        <f>IFERROR(__xludf.DUMMYFUNCTION("""COMPUTED_VALUE"""),"-")</f>
        <v>-</v>
      </c>
      <c r="F36" s="38" t="str">
        <f>IFERROR(__xludf.DUMMYFUNCTION("""COMPUTED_VALUE"""),"楽天モバイル パープルタウンSC店")</f>
        <v>楽天モバイル パープルタウンSC店</v>
      </c>
      <c r="G36" s="38"/>
    </row>
    <row r="37">
      <c r="A37" s="38" t="str">
        <f>IFERROR(__xludf.DUMMYFUNCTION("""COMPUTED_VALUE"""),"DS")</f>
        <v>DS</v>
      </c>
      <c r="B37" s="38" t="str">
        <f>IFERROR(__xludf.DUMMYFUNCTION("""COMPUTED_VALUE"""),"中四国")</f>
        <v>中四国</v>
      </c>
      <c r="C37" s="38" t="str">
        <f>IFERROR(__xludf.DUMMYFUNCTION("""COMPUTED_VALUE"""),"島根県")</f>
        <v>島根県</v>
      </c>
      <c r="D37" s="125">
        <f>IFERROR(__xludf.DUMMYFUNCTION("""COMPUTED_VALUE"""),8993.0)</f>
        <v>8993</v>
      </c>
      <c r="E37" s="38" t="str">
        <f>IFERROR(__xludf.DUMMYFUNCTION("""COMPUTED_VALUE"""),"-")</f>
        <v>-</v>
      </c>
      <c r="F37" s="38" t="str">
        <f>IFERROR(__xludf.DUMMYFUNCTION("""COMPUTED_VALUE"""),"楽天モバイル 安来プラーナ店")</f>
        <v>楽天モバイル 安来プラーナ店</v>
      </c>
      <c r="G37" s="38"/>
    </row>
    <row r="38">
      <c r="A38" s="38" t="str">
        <f>IFERROR(__xludf.DUMMYFUNCTION("""COMPUTED_VALUE"""),"DS")</f>
        <v>DS</v>
      </c>
      <c r="B38" s="38" t="str">
        <f>IFERROR(__xludf.DUMMYFUNCTION("""COMPUTED_VALUE"""),"中四国")</f>
        <v>中四国</v>
      </c>
      <c r="C38" s="38" t="str">
        <f>IFERROR(__xludf.DUMMYFUNCTION("""COMPUTED_VALUE"""),"島根県")</f>
        <v>島根県</v>
      </c>
      <c r="D38" s="125">
        <f>IFERROR(__xludf.DUMMYFUNCTION("""COMPUTED_VALUE"""),1130.0)</f>
        <v>1130</v>
      </c>
      <c r="E38" s="38" t="str">
        <f>IFERROR(__xludf.DUMMYFUNCTION("""COMPUTED_VALUE"""),"-")</f>
        <v>-</v>
      </c>
      <c r="F38" s="38" t="str">
        <f>IFERROR(__xludf.DUMMYFUNCTION("""COMPUTED_VALUE"""),"楽天モバイル 松江島大通り店")</f>
        <v>楽天モバイル 松江島大通り店</v>
      </c>
      <c r="G38" s="38"/>
    </row>
    <row r="39">
      <c r="A39" s="38" t="str">
        <f>IFERROR(__xludf.DUMMYFUNCTION("""COMPUTED_VALUE"""),"DS")</f>
        <v>DS</v>
      </c>
      <c r="B39" s="38" t="str">
        <f>IFERROR(__xludf.DUMMYFUNCTION("""COMPUTED_VALUE"""),"中四国")</f>
        <v>中四国</v>
      </c>
      <c r="C39" s="38" t="str">
        <f>IFERROR(__xludf.DUMMYFUNCTION("""COMPUTED_VALUE"""),"岡山県")</f>
        <v>岡山県</v>
      </c>
      <c r="D39" s="125">
        <f>IFERROR(__xludf.DUMMYFUNCTION("""COMPUTED_VALUE"""),8899.0)</f>
        <v>8899</v>
      </c>
      <c r="E39" s="38" t="str">
        <f>IFERROR(__xludf.DUMMYFUNCTION("""COMPUTED_VALUE"""),"-")</f>
        <v>-</v>
      </c>
      <c r="F39" s="38" t="str">
        <f>IFERROR(__xludf.DUMMYFUNCTION("""COMPUTED_VALUE"""),"楽天モバイル 津山上紺屋町店")</f>
        <v>楽天モバイル 津山上紺屋町店</v>
      </c>
      <c r="G39" s="38"/>
    </row>
    <row r="40">
      <c r="A40" s="38" t="str">
        <f>IFERROR(__xludf.DUMMYFUNCTION("""COMPUTED_VALUE"""),"DS")</f>
        <v>DS</v>
      </c>
      <c r="B40" s="38" t="str">
        <f>IFERROR(__xludf.DUMMYFUNCTION("""COMPUTED_VALUE"""),"中四国")</f>
        <v>中四国</v>
      </c>
      <c r="C40" s="38" t="str">
        <f>IFERROR(__xludf.DUMMYFUNCTION("""COMPUTED_VALUE"""),"岡山県")</f>
        <v>岡山県</v>
      </c>
      <c r="D40" s="125">
        <f>IFERROR(__xludf.DUMMYFUNCTION("""COMPUTED_VALUE"""),1120.0)</f>
        <v>1120</v>
      </c>
      <c r="E40" s="38" t="str">
        <f>IFERROR(__xludf.DUMMYFUNCTION("""COMPUTED_VALUE"""),"-")</f>
        <v>-</v>
      </c>
      <c r="F40" s="38" t="str">
        <f>IFERROR(__xludf.DUMMYFUNCTION("""COMPUTED_VALUE"""),"楽天モバイル 倉敷平田店")</f>
        <v>楽天モバイル 倉敷平田店</v>
      </c>
      <c r="G40" s="38"/>
    </row>
    <row r="41">
      <c r="A41" s="38" t="str">
        <f>IFERROR(__xludf.DUMMYFUNCTION("""COMPUTED_VALUE"""),"DS")</f>
        <v>DS</v>
      </c>
      <c r="B41" s="38" t="str">
        <f>IFERROR(__xludf.DUMMYFUNCTION("""COMPUTED_VALUE"""),"中四国")</f>
        <v>中四国</v>
      </c>
      <c r="C41" s="38" t="str">
        <f>IFERROR(__xludf.DUMMYFUNCTION("""COMPUTED_VALUE"""),"岡山県")</f>
        <v>岡山県</v>
      </c>
      <c r="D41" s="125">
        <f>IFERROR(__xludf.DUMMYFUNCTION("""COMPUTED_VALUE"""),1267.0)</f>
        <v>1267</v>
      </c>
      <c r="E41" s="38" t="str">
        <f>IFERROR(__xludf.DUMMYFUNCTION("""COMPUTED_VALUE"""),"-")</f>
        <v>-</v>
      </c>
      <c r="F41" s="38" t="str">
        <f>IFERROR(__xludf.DUMMYFUNCTION("""COMPUTED_VALUE"""),"楽天モバイル 倉敷沖新店")</f>
        <v>楽天モバイル 倉敷沖新店</v>
      </c>
      <c r="G41" s="38"/>
    </row>
    <row r="42">
      <c r="A42" s="38" t="str">
        <f>IFERROR(__xludf.DUMMYFUNCTION("""COMPUTED_VALUE"""),"DS")</f>
        <v>DS</v>
      </c>
      <c r="B42" s="38" t="str">
        <f>IFERROR(__xludf.DUMMYFUNCTION("""COMPUTED_VALUE"""),"中四国")</f>
        <v>中四国</v>
      </c>
      <c r="C42" s="38" t="str">
        <f>IFERROR(__xludf.DUMMYFUNCTION("""COMPUTED_VALUE"""),"山口県")</f>
        <v>山口県</v>
      </c>
      <c r="D42" s="125">
        <f>IFERROR(__xludf.DUMMYFUNCTION("""COMPUTED_VALUE"""),8787.0)</f>
        <v>8787</v>
      </c>
      <c r="E42" s="38" t="str">
        <f>IFERROR(__xludf.DUMMYFUNCTION("""COMPUTED_VALUE"""),"-")</f>
        <v>-</v>
      </c>
      <c r="F42" s="38" t="str">
        <f>IFERROR(__xludf.DUMMYFUNCTION("""COMPUTED_VALUE"""),"楽天モバイル イオンタウン防府店")</f>
        <v>楽天モバイル イオンタウン防府店</v>
      </c>
      <c r="G42" s="38"/>
    </row>
    <row r="43">
      <c r="A43" s="38" t="str">
        <f>IFERROR(__xludf.DUMMYFUNCTION("""COMPUTED_VALUE"""),"DS")</f>
        <v>DS</v>
      </c>
      <c r="B43" s="38" t="str">
        <f>IFERROR(__xludf.DUMMYFUNCTION("""COMPUTED_VALUE"""),"中四国")</f>
        <v>中四国</v>
      </c>
      <c r="C43" s="38" t="str">
        <f>IFERROR(__xludf.DUMMYFUNCTION("""COMPUTED_VALUE"""),"山口県")</f>
        <v>山口県</v>
      </c>
      <c r="D43" s="125">
        <f>IFERROR(__xludf.DUMMYFUNCTION("""COMPUTED_VALUE"""),1397.0)</f>
        <v>1397</v>
      </c>
      <c r="E43" s="38" t="str">
        <f>IFERROR(__xludf.DUMMYFUNCTION("""COMPUTED_VALUE"""),"-")</f>
        <v>-</v>
      </c>
      <c r="F43" s="38" t="str">
        <f>IFERROR(__xludf.DUMMYFUNCTION("""COMPUTED_VALUE"""),"楽天モバイル フジグラン山口店")</f>
        <v>楽天モバイル フジグラン山口店</v>
      </c>
      <c r="G43" s="38"/>
    </row>
    <row r="44">
      <c r="A44" s="38" t="str">
        <f>IFERROR(__xludf.DUMMYFUNCTION("""COMPUTED_VALUE"""),"DS")</f>
        <v>DS</v>
      </c>
      <c r="B44" s="38" t="str">
        <f>IFERROR(__xludf.DUMMYFUNCTION("""COMPUTED_VALUE"""),"中四国")</f>
        <v>中四国</v>
      </c>
      <c r="C44" s="38" t="str">
        <f>IFERROR(__xludf.DUMMYFUNCTION("""COMPUTED_VALUE"""),"愛媛県")</f>
        <v>愛媛県</v>
      </c>
      <c r="D44" s="125">
        <f>IFERROR(__xludf.DUMMYFUNCTION("""COMPUTED_VALUE"""),1086.0)</f>
        <v>1086</v>
      </c>
      <c r="E44" s="38" t="str">
        <f>IFERROR(__xludf.DUMMYFUNCTION("""COMPUTED_VALUE"""),"-")</f>
        <v>-</v>
      </c>
      <c r="F44" s="38" t="str">
        <f>IFERROR(__xludf.DUMMYFUNCTION("""COMPUTED_VALUE"""),"楽天モバイル フジグラン西条店")</f>
        <v>楽天モバイル フジグラン西条店</v>
      </c>
      <c r="G44" s="38"/>
    </row>
    <row r="45">
      <c r="A45" s="38" t="str">
        <f>IFERROR(__xludf.DUMMYFUNCTION("""COMPUTED_VALUE"""),"DS")</f>
        <v>DS</v>
      </c>
      <c r="B45" s="38" t="str">
        <f>IFERROR(__xludf.DUMMYFUNCTION("""COMPUTED_VALUE"""),"中四国")</f>
        <v>中四国</v>
      </c>
      <c r="C45" s="38" t="str">
        <f>IFERROR(__xludf.DUMMYFUNCTION("""COMPUTED_VALUE"""),"愛媛県")</f>
        <v>愛媛県</v>
      </c>
      <c r="D45" s="125">
        <f>IFERROR(__xludf.DUMMYFUNCTION("""COMPUTED_VALUE"""),1063.0)</f>
        <v>1063</v>
      </c>
      <c r="E45" s="38" t="str">
        <f>IFERROR(__xludf.DUMMYFUNCTION("""COMPUTED_VALUE"""),"-")</f>
        <v>-</v>
      </c>
      <c r="F45" s="38" t="str">
        <f>IFERROR(__xludf.DUMMYFUNCTION("""COMPUTED_VALUE"""),"楽天モバイル 明屋書店 松前店")</f>
        <v>楽天モバイル 明屋書店 松前店</v>
      </c>
      <c r="G45" s="38"/>
    </row>
    <row r="46">
      <c r="A46" s="38" t="str">
        <f>IFERROR(__xludf.DUMMYFUNCTION("""COMPUTED_VALUE"""),"DS")</f>
        <v>DS</v>
      </c>
      <c r="B46" s="38" t="str">
        <f>IFERROR(__xludf.DUMMYFUNCTION("""COMPUTED_VALUE"""),"中四国")</f>
        <v>中四国</v>
      </c>
      <c r="C46" s="38" t="str">
        <f>IFERROR(__xludf.DUMMYFUNCTION("""COMPUTED_VALUE"""),"香川県")</f>
        <v>香川県</v>
      </c>
      <c r="D46" s="125">
        <f>IFERROR(__xludf.DUMMYFUNCTION("""COMPUTED_VALUE"""),8913.0)</f>
        <v>8913</v>
      </c>
      <c r="E46" s="38" t="str">
        <f>IFERROR(__xludf.DUMMYFUNCTION("""COMPUTED_VALUE"""),"-")</f>
        <v>-</v>
      </c>
      <c r="F46" s="38" t="str">
        <f>IFERROR(__xludf.DUMMYFUNCTION("""COMPUTED_VALUE"""),"楽天モバイル イオンモール高松店")</f>
        <v>楽天モバイル イオンモール高松店</v>
      </c>
      <c r="G46" s="38"/>
    </row>
    <row r="47">
      <c r="A47" s="38" t="str">
        <f>IFERROR(__xludf.DUMMYFUNCTION("""COMPUTED_VALUE"""),"DS")</f>
        <v>DS</v>
      </c>
      <c r="B47" s="38" t="str">
        <f>IFERROR(__xludf.DUMMYFUNCTION("""COMPUTED_VALUE"""),"中四国")</f>
        <v>中四国</v>
      </c>
      <c r="C47" s="38" t="str">
        <f>IFERROR(__xludf.DUMMYFUNCTION("""COMPUTED_VALUE"""),"高知県")</f>
        <v>高知県</v>
      </c>
      <c r="D47" s="125">
        <f>IFERROR(__xludf.DUMMYFUNCTION("""COMPUTED_VALUE"""),1185.0)</f>
        <v>1185</v>
      </c>
      <c r="E47" s="38" t="str">
        <f>IFERROR(__xludf.DUMMYFUNCTION("""COMPUTED_VALUE"""),"-")</f>
        <v>-</v>
      </c>
      <c r="F47" s="38" t="str">
        <f>IFERROR(__xludf.DUMMYFUNCTION("""COMPUTED_VALUE"""),"楽天モバイル 高知はりまや町店")</f>
        <v>楽天モバイル 高知はりまや町店</v>
      </c>
      <c r="G47" s="38"/>
    </row>
    <row r="48">
      <c r="A48" s="38" t="str">
        <f>IFERROR(__xludf.DUMMYFUNCTION("""COMPUTED_VALUE"""),"DS")</f>
        <v>DS</v>
      </c>
      <c r="B48" s="38" t="str">
        <f>IFERROR(__xludf.DUMMYFUNCTION("""COMPUTED_VALUE"""),"中四国")</f>
        <v>中四国</v>
      </c>
      <c r="C48" s="38" t="str">
        <f>IFERROR(__xludf.DUMMYFUNCTION("""COMPUTED_VALUE"""),"高知県")</f>
        <v>高知県</v>
      </c>
      <c r="D48" s="125">
        <f>IFERROR(__xludf.DUMMYFUNCTION("""COMPUTED_VALUE"""),1183.0)</f>
        <v>1183</v>
      </c>
      <c r="E48" s="38" t="str">
        <f>IFERROR(__xludf.DUMMYFUNCTION("""COMPUTED_VALUE"""),"-")</f>
        <v>-</v>
      </c>
      <c r="F48" s="38" t="str">
        <f>IFERROR(__xludf.DUMMYFUNCTION("""COMPUTED_VALUE"""),"楽天モバイル 高知高須店")</f>
        <v>楽天モバイル 高知高須店</v>
      </c>
      <c r="G48" s="38"/>
    </row>
    <row r="49">
      <c r="A49" s="38" t="str">
        <f>IFERROR(__xludf.DUMMYFUNCTION("""COMPUTED_VALUE"""),"DS")</f>
        <v>DS</v>
      </c>
      <c r="B49" s="38" t="str">
        <f>IFERROR(__xludf.DUMMYFUNCTION("""COMPUTED_VALUE"""),"中四国")</f>
        <v>中四国</v>
      </c>
      <c r="C49" s="38" t="str">
        <f>IFERROR(__xludf.DUMMYFUNCTION("""COMPUTED_VALUE"""),"高知県")</f>
        <v>高知県</v>
      </c>
      <c r="D49" s="125">
        <f>IFERROR(__xludf.DUMMYFUNCTION("""COMPUTED_VALUE"""),1194.0)</f>
        <v>1194</v>
      </c>
      <c r="E49" s="38" t="str">
        <f>IFERROR(__xludf.DUMMYFUNCTION("""COMPUTED_VALUE"""),"-")</f>
        <v>-</v>
      </c>
      <c r="F49" s="38" t="str">
        <f>IFERROR(__xludf.DUMMYFUNCTION("""COMPUTED_VALUE"""),"楽天モバイル フジグラン四万十店")</f>
        <v>楽天モバイル フジグラン四万十店</v>
      </c>
      <c r="G49" s="38"/>
    </row>
    <row r="50">
      <c r="A50" s="38" t="str">
        <f>IFERROR(__xludf.DUMMYFUNCTION("""COMPUTED_VALUE"""),"DS")</f>
        <v>DS</v>
      </c>
      <c r="B50" s="38" t="str">
        <f>IFERROR(__xludf.DUMMYFUNCTION("""COMPUTED_VALUE"""),"信越")</f>
        <v>信越</v>
      </c>
      <c r="C50" s="38" t="str">
        <f>IFERROR(__xludf.DUMMYFUNCTION("""COMPUTED_VALUE"""),"長野県")</f>
        <v>長野県</v>
      </c>
      <c r="D50" s="125">
        <f>IFERROR(__xludf.DUMMYFUNCTION("""COMPUTED_VALUE"""),8786.0)</f>
        <v>8786</v>
      </c>
      <c r="E50" s="38" t="str">
        <f>IFERROR(__xludf.DUMMYFUNCTION("""COMPUTED_VALUE"""),"-")</f>
        <v>-</v>
      </c>
      <c r="F50" s="38" t="str">
        <f>IFERROR(__xludf.DUMMYFUNCTION("""COMPUTED_VALUE"""),"楽天モバイル 蔦屋書店大町店")</f>
        <v>楽天モバイル 蔦屋書店大町店</v>
      </c>
      <c r="G50" s="38"/>
    </row>
    <row r="51">
      <c r="A51" s="38" t="str">
        <f>IFERROR(__xludf.DUMMYFUNCTION("""COMPUTED_VALUE"""),"DS")</f>
        <v>DS</v>
      </c>
      <c r="B51" s="38" t="str">
        <f>IFERROR(__xludf.DUMMYFUNCTION("""COMPUTED_VALUE"""),"信越")</f>
        <v>信越</v>
      </c>
      <c r="C51" s="38" t="str">
        <f>IFERROR(__xludf.DUMMYFUNCTION("""COMPUTED_VALUE"""),"新潟県")</f>
        <v>新潟県</v>
      </c>
      <c r="D51" s="125">
        <f>IFERROR(__xludf.DUMMYFUNCTION("""COMPUTED_VALUE"""),8680.0)</f>
        <v>8680</v>
      </c>
      <c r="E51" s="38" t="str">
        <f>IFERROR(__xludf.DUMMYFUNCTION("""COMPUTED_VALUE"""),"-")</f>
        <v>-</v>
      </c>
      <c r="F51" s="38" t="str">
        <f>IFERROR(__xludf.DUMMYFUNCTION("""COMPUTED_VALUE"""),"楽天モバイル 蔦屋書店新発田店")</f>
        <v>楽天モバイル 蔦屋書店新発田店</v>
      </c>
      <c r="G51" s="38"/>
    </row>
    <row r="52">
      <c r="A52" s="38" t="str">
        <f>IFERROR(__xludf.DUMMYFUNCTION("""COMPUTED_VALUE"""),"DS")</f>
        <v>DS</v>
      </c>
      <c r="B52" s="38" t="str">
        <f>IFERROR(__xludf.DUMMYFUNCTION("""COMPUTED_VALUE"""),"信越")</f>
        <v>信越</v>
      </c>
      <c r="C52" s="38" t="str">
        <f>IFERROR(__xludf.DUMMYFUNCTION("""COMPUTED_VALUE"""),"新潟県")</f>
        <v>新潟県</v>
      </c>
      <c r="D52" s="125">
        <f>IFERROR(__xludf.DUMMYFUNCTION("""COMPUTED_VALUE"""),8681.0)</f>
        <v>8681</v>
      </c>
      <c r="E52" s="38" t="str">
        <f>IFERROR(__xludf.DUMMYFUNCTION("""COMPUTED_VALUE"""),"-")</f>
        <v>-</v>
      </c>
      <c r="F52" s="38" t="str">
        <f>IFERROR(__xludf.DUMMYFUNCTION("""COMPUTED_VALUE"""),"楽天モバイル 蔦屋書店新通店")</f>
        <v>楽天モバイル 蔦屋書店新通店</v>
      </c>
      <c r="G52" s="38"/>
    </row>
    <row r="53">
      <c r="A53" s="38" t="str">
        <f>IFERROR(__xludf.DUMMYFUNCTION("""COMPUTED_VALUE"""),"DS")</f>
        <v>DS</v>
      </c>
      <c r="B53" s="38" t="str">
        <f>IFERROR(__xludf.DUMMYFUNCTION("""COMPUTED_VALUE"""),"信越")</f>
        <v>信越</v>
      </c>
      <c r="C53" s="38" t="str">
        <f>IFERROR(__xludf.DUMMYFUNCTION("""COMPUTED_VALUE"""),"新潟県")</f>
        <v>新潟県</v>
      </c>
      <c r="D53" s="125">
        <f>IFERROR(__xludf.DUMMYFUNCTION("""COMPUTED_VALUE"""),8679.0)</f>
        <v>8679</v>
      </c>
      <c r="E53" s="38" t="str">
        <f>IFERROR(__xludf.DUMMYFUNCTION("""COMPUTED_VALUE"""),"-")</f>
        <v>-</v>
      </c>
      <c r="F53" s="38" t="str">
        <f>IFERROR(__xludf.DUMMYFUNCTION("""COMPUTED_VALUE"""),"楽天モバイル 蔦屋書店長岡花園店")</f>
        <v>楽天モバイル 蔦屋書店長岡花園店</v>
      </c>
      <c r="G53" s="38"/>
    </row>
    <row r="54">
      <c r="A54" s="38" t="str">
        <f>IFERROR(__xludf.DUMMYFUNCTION("""COMPUTED_VALUE"""),"DS")</f>
        <v>DS</v>
      </c>
      <c r="B54" s="38" t="str">
        <f>IFERROR(__xludf.DUMMYFUNCTION("""COMPUTED_VALUE"""),"信越")</f>
        <v>信越</v>
      </c>
      <c r="C54" s="38" t="str">
        <f>IFERROR(__xludf.DUMMYFUNCTION("""COMPUTED_VALUE"""),"新潟県")</f>
        <v>新潟県</v>
      </c>
      <c r="D54" s="125">
        <f>IFERROR(__xludf.DUMMYFUNCTION("""COMPUTED_VALUE"""),8712.0)</f>
        <v>8712</v>
      </c>
      <c r="E54" s="38" t="str">
        <f>IFERROR(__xludf.DUMMYFUNCTION("""COMPUTED_VALUE"""),"-")</f>
        <v>-</v>
      </c>
      <c r="F54" s="38" t="str">
        <f>IFERROR(__xludf.DUMMYFUNCTION("""COMPUTED_VALUE"""),"楽天モバイル 蔦屋書店柏崎岩上店")</f>
        <v>楽天モバイル 蔦屋書店柏崎岩上店</v>
      </c>
      <c r="G54" s="38" t="str">
        <f>IFERROR(__xludf.DUMMYFUNCTION("""COMPUTED_VALUE"""),"10/26 閉店(10/31 館閉館)")</f>
        <v>10/26 閉店(10/31 館閉館)</v>
      </c>
    </row>
    <row r="55">
      <c r="A55" s="38" t="str">
        <f>IFERROR(__xludf.DUMMYFUNCTION("""COMPUTED_VALUE"""),"DS")</f>
        <v>DS</v>
      </c>
      <c r="B55" s="38" t="str">
        <f>IFERROR(__xludf.DUMMYFUNCTION("""COMPUTED_VALUE"""),"信越")</f>
        <v>信越</v>
      </c>
      <c r="C55" s="38" t="str">
        <f>IFERROR(__xludf.DUMMYFUNCTION("""COMPUTED_VALUE"""),"新潟県")</f>
        <v>新潟県</v>
      </c>
      <c r="D55" s="125">
        <f>IFERROR(__xludf.DUMMYFUNCTION("""COMPUTED_VALUE"""),1316.0)</f>
        <v>1316</v>
      </c>
      <c r="E55" s="38" t="str">
        <f>IFERROR(__xludf.DUMMYFUNCTION("""COMPUTED_VALUE"""),"-")</f>
        <v>-</v>
      </c>
      <c r="F55" s="38" t="str">
        <f>IFERROR(__xludf.DUMMYFUNCTION("""COMPUTED_VALUE"""),"楽天モバイル イオン小千谷店")</f>
        <v>楽天モバイル イオン小千谷店</v>
      </c>
      <c r="G55" s="38" t="str">
        <f>IFERROR(__xludf.DUMMYFUNCTION("""COMPUTED_VALUE"""),"11月～直営化")</f>
        <v>11月～直営化</v>
      </c>
    </row>
    <row r="56">
      <c r="A56" s="38" t="str">
        <f>IFERROR(__xludf.DUMMYFUNCTION("""COMPUTED_VALUE"""),"DS")</f>
        <v>DS</v>
      </c>
      <c r="B56" s="38" t="str">
        <f>IFERROR(__xludf.DUMMYFUNCTION("""COMPUTED_VALUE"""),"九州・沖縄")</f>
        <v>九州・沖縄</v>
      </c>
      <c r="C56" s="38" t="str">
        <f>IFERROR(__xludf.DUMMYFUNCTION("""COMPUTED_VALUE"""),"福岡県")</f>
        <v>福岡県</v>
      </c>
      <c r="D56" s="125">
        <f>IFERROR(__xludf.DUMMYFUNCTION("""COMPUTED_VALUE"""),1116.0)</f>
        <v>1116</v>
      </c>
      <c r="E56" s="38" t="str">
        <f>IFERROR(__xludf.DUMMYFUNCTION("""COMPUTED_VALUE"""),"-")</f>
        <v>-</v>
      </c>
      <c r="F56" s="38" t="str">
        <f>IFERROR(__xludf.DUMMYFUNCTION("""COMPUTED_VALUE"""),"楽天モバイル イオン岡垣店")</f>
        <v>楽天モバイル イオン岡垣店</v>
      </c>
      <c r="G56" s="38"/>
    </row>
    <row r="57">
      <c r="A57" s="38" t="str">
        <f>IFERROR(__xludf.DUMMYFUNCTION("""COMPUTED_VALUE"""),"DS")</f>
        <v>DS</v>
      </c>
      <c r="B57" s="38" t="str">
        <f>IFERROR(__xludf.DUMMYFUNCTION("""COMPUTED_VALUE"""),"九州・沖縄")</f>
        <v>九州・沖縄</v>
      </c>
      <c r="C57" s="38" t="str">
        <f>IFERROR(__xludf.DUMMYFUNCTION("""COMPUTED_VALUE"""),"福岡県")</f>
        <v>福岡県</v>
      </c>
      <c r="D57" s="125">
        <f>IFERROR(__xludf.DUMMYFUNCTION("""COMPUTED_VALUE"""),1368.0)</f>
        <v>1368</v>
      </c>
      <c r="E57" s="38" t="str">
        <f>IFERROR(__xludf.DUMMYFUNCTION("""COMPUTED_VALUE"""),"-")</f>
        <v>-</v>
      </c>
      <c r="F57" s="38" t="str">
        <f>IFERROR(__xludf.DUMMYFUNCTION("""COMPUTED_VALUE"""),"楽天モバイル ゆめタウン遠賀店")</f>
        <v>楽天モバイル ゆめタウン遠賀店</v>
      </c>
      <c r="G57" s="38"/>
    </row>
    <row r="58">
      <c r="A58" s="38" t="str">
        <f>IFERROR(__xludf.DUMMYFUNCTION("""COMPUTED_VALUE"""),"DS")</f>
        <v>DS</v>
      </c>
      <c r="B58" s="38" t="str">
        <f>IFERROR(__xludf.DUMMYFUNCTION("""COMPUTED_VALUE"""),"九州・沖縄")</f>
        <v>九州・沖縄</v>
      </c>
      <c r="C58" s="38" t="str">
        <f>IFERROR(__xludf.DUMMYFUNCTION("""COMPUTED_VALUE"""),"福岡県")</f>
        <v>福岡県</v>
      </c>
      <c r="D58" s="125">
        <f>IFERROR(__xludf.DUMMYFUNCTION("""COMPUTED_VALUE"""),1110.0)</f>
        <v>1110</v>
      </c>
      <c r="E58" s="38" t="str">
        <f>IFERROR(__xludf.DUMMYFUNCTION("""COMPUTED_VALUE"""),"-")</f>
        <v>-</v>
      </c>
      <c r="F58" s="38" t="str">
        <f>IFERROR(__xludf.DUMMYFUNCTION("""COMPUTED_VALUE"""),"楽天モバイル イオン甘木ショッピングセンター店")</f>
        <v>楽天モバイル イオン甘木ショッピングセンター店</v>
      </c>
      <c r="G58" s="38"/>
    </row>
    <row r="59">
      <c r="A59" s="38" t="str">
        <f>IFERROR(__xludf.DUMMYFUNCTION("""COMPUTED_VALUE"""),"DS")</f>
        <v>DS</v>
      </c>
      <c r="B59" s="38" t="str">
        <f>IFERROR(__xludf.DUMMYFUNCTION("""COMPUTED_VALUE"""),"九州・沖縄")</f>
        <v>九州・沖縄</v>
      </c>
      <c r="C59" s="38" t="str">
        <f>IFERROR(__xludf.DUMMYFUNCTION("""COMPUTED_VALUE"""),"長崎県")</f>
        <v>長崎県</v>
      </c>
      <c r="D59" s="125">
        <f>IFERROR(__xludf.DUMMYFUNCTION("""COMPUTED_VALUE"""),1448.0)</f>
        <v>1448</v>
      </c>
      <c r="E59" s="38" t="str">
        <f>IFERROR(__xludf.DUMMYFUNCTION("""COMPUTED_VALUE"""),"-")</f>
        <v>-</v>
      </c>
      <c r="F59" s="38" t="str">
        <f>IFERROR(__xludf.DUMMYFUNCTION("""COMPUTED_VALUE"""),"楽天モバイル エレナ大塔店")</f>
        <v>楽天モバイル エレナ大塔店</v>
      </c>
      <c r="G59" s="38"/>
    </row>
    <row r="60">
      <c r="A60" s="38" t="str">
        <f>IFERROR(__xludf.DUMMYFUNCTION("""COMPUTED_VALUE"""),"DS")</f>
        <v>DS</v>
      </c>
      <c r="B60" s="38" t="str">
        <f>IFERROR(__xludf.DUMMYFUNCTION("""COMPUTED_VALUE"""),"九州・沖縄")</f>
        <v>九州・沖縄</v>
      </c>
      <c r="C60" s="38" t="str">
        <f>IFERROR(__xludf.DUMMYFUNCTION("""COMPUTED_VALUE"""),"大分県")</f>
        <v>大分県</v>
      </c>
      <c r="D60" s="125">
        <f>IFERROR(__xludf.DUMMYFUNCTION("""COMPUTED_VALUE"""),1188.0)</f>
        <v>1188</v>
      </c>
      <c r="E60" s="38" t="str">
        <f>IFERROR(__xludf.DUMMYFUNCTION("""COMPUTED_VALUE"""),"-")</f>
        <v>-</v>
      </c>
      <c r="F60" s="38" t="str">
        <f>IFERROR(__xludf.DUMMYFUNCTION("""COMPUTED_VALUE"""),"楽天モバイル ミスターマックス宇佐店")</f>
        <v>楽天モバイル ミスターマックス宇佐店</v>
      </c>
      <c r="G60" s="38"/>
    </row>
    <row r="61">
      <c r="A61" s="38" t="str">
        <f>IFERROR(__xludf.DUMMYFUNCTION("""COMPUTED_VALUE"""),"DS")</f>
        <v>DS</v>
      </c>
      <c r="B61" s="38" t="str">
        <f>IFERROR(__xludf.DUMMYFUNCTION("""COMPUTED_VALUE"""),"九州・沖縄")</f>
        <v>九州・沖縄</v>
      </c>
      <c r="C61" s="38" t="str">
        <f>IFERROR(__xludf.DUMMYFUNCTION("""COMPUTED_VALUE"""),"大分県")</f>
        <v>大分県</v>
      </c>
      <c r="D61" s="125">
        <f>IFERROR(__xludf.DUMMYFUNCTION("""COMPUTED_VALUE"""),8881.0)</f>
        <v>8881</v>
      </c>
      <c r="E61" s="38" t="str">
        <f>IFERROR(__xludf.DUMMYFUNCTION("""COMPUTED_VALUE"""),"-")</f>
        <v>-</v>
      </c>
      <c r="F61" s="38" t="str">
        <f>IFERROR(__xludf.DUMMYFUNCTION("""COMPUTED_VALUE"""),"楽天モバイル トキハインダストリー佐伯店")</f>
        <v>楽天モバイル トキハインダストリー佐伯店</v>
      </c>
      <c r="G61" s="38"/>
    </row>
    <row r="62">
      <c r="A62" s="38" t="str">
        <f>IFERROR(__xludf.DUMMYFUNCTION("""COMPUTED_VALUE"""),"DS")</f>
        <v>DS</v>
      </c>
      <c r="B62" s="38" t="str">
        <f>IFERROR(__xludf.DUMMYFUNCTION("""COMPUTED_VALUE"""),"九州・沖縄")</f>
        <v>九州・沖縄</v>
      </c>
      <c r="C62" s="38" t="str">
        <f>IFERROR(__xludf.DUMMYFUNCTION("""COMPUTED_VALUE"""),"福岡県")</f>
        <v>福岡県</v>
      </c>
      <c r="D62" s="125">
        <f>IFERROR(__xludf.DUMMYFUNCTION("""COMPUTED_VALUE"""),1353.0)</f>
        <v>1353</v>
      </c>
      <c r="E62" s="38" t="str">
        <f>IFERROR(__xludf.DUMMYFUNCTION("""COMPUTED_VALUE"""),"-")</f>
        <v>-</v>
      </c>
      <c r="F62" s="38" t="str">
        <f>IFERROR(__xludf.DUMMYFUNCTION("""COMPUTED_VALUE"""),"楽天モバイル えきマチ1丁目門司店")</f>
        <v>楽天モバイル えきマチ1丁目門司店</v>
      </c>
      <c r="G62" s="38"/>
    </row>
    <row r="63">
      <c r="A63" s="38" t="str">
        <f>IFERROR(__xludf.DUMMYFUNCTION("""COMPUTED_VALUE"""),"DS")</f>
        <v>DS</v>
      </c>
      <c r="B63" s="38" t="str">
        <f>IFERROR(__xludf.DUMMYFUNCTION("""COMPUTED_VALUE"""),"九州・沖縄")</f>
        <v>九州・沖縄</v>
      </c>
      <c r="C63" s="38" t="str">
        <f>IFERROR(__xludf.DUMMYFUNCTION("""COMPUTED_VALUE"""),"大分県")</f>
        <v>大分県</v>
      </c>
      <c r="D63" s="125">
        <f>IFERROR(__xludf.DUMMYFUNCTION("""COMPUTED_VALUE"""),8914.0)</f>
        <v>8914</v>
      </c>
      <c r="E63" s="38" t="str">
        <f>IFERROR(__xludf.DUMMYFUNCTION("""COMPUTED_VALUE"""),"-")</f>
        <v>-</v>
      </c>
      <c r="F63" s="38" t="str">
        <f>IFERROR(__xludf.DUMMYFUNCTION("""COMPUTED_VALUE"""),"楽天モバイル イオンモール三光店")</f>
        <v>楽天モバイル イオンモール三光店</v>
      </c>
      <c r="G63" s="38"/>
    </row>
    <row r="64">
      <c r="A64" s="38" t="str">
        <f>IFERROR(__xludf.DUMMYFUNCTION("""COMPUTED_VALUE"""),"DS")</f>
        <v>DS</v>
      </c>
      <c r="B64" s="38" t="str">
        <f>IFERROR(__xludf.DUMMYFUNCTION("""COMPUTED_VALUE"""),"九州・沖縄")</f>
        <v>九州・沖縄</v>
      </c>
      <c r="C64" s="38" t="str">
        <f>IFERROR(__xludf.DUMMYFUNCTION("""COMPUTED_VALUE"""),"宮崎県")</f>
        <v>宮崎県</v>
      </c>
      <c r="D64" s="125">
        <f>IFERROR(__xludf.DUMMYFUNCTION("""COMPUTED_VALUE"""),8702.0)</f>
        <v>8702</v>
      </c>
      <c r="E64" s="38" t="str">
        <f>IFERROR(__xludf.DUMMYFUNCTION("""COMPUTED_VALUE"""),"-")</f>
        <v>-</v>
      </c>
      <c r="F64" s="38" t="str">
        <f>IFERROR(__xludf.DUMMYFUNCTION("""COMPUTED_VALUE"""),"楽天モバイル 宮崎吉村店")</f>
        <v>楽天モバイル 宮崎吉村店</v>
      </c>
      <c r="G64" s="38"/>
    </row>
    <row r="65">
      <c r="A65" s="38" t="str">
        <f>IFERROR(__xludf.DUMMYFUNCTION("""COMPUTED_VALUE"""),"DS")</f>
        <v>DS</v>
      </c>
      <c r="B65" s="38" t="str">
        <f>IFERROR(__xludf.DUMMYFUNCTION("""COMPUTED_VALUE"""),"九州・沖縄")</f>
        <v>九州・沖縄</v>
      </c>
      <c r="C65" s="38" t="str">
        <f>IFERROR(__xludf.DUMMYFUNCTION("""COMPUTED_VALUE"""),"宮崎県")</f>
        <v>宮崎県</v>
      </c>
      <c r="D65" s="125">
        <f>IFERROR(__xludf.DUMMYFUNCTION("""COMPUTED_VALUE"""),1128.0)</f>
        <v>1128</v>
      </c>
      <c r="E65" s="38" t="str">
        <f>IFERROR(__xludf.DUMMYFUNCTION("""COMPUTED_VALUE"""),"-")</f>
        <v>-</v>
      </c>
      <c r="F65" s="38" t="str">
        <f>IFERROR(__xludf.DUMMYFUNCTION("""COMPUTED_VALUE"""),"楽天モバイル 恒久店")</f>
        <v>楽天モバイル 恒久店</v>
      </c>
      <c r="G65" s="38"/>
    </row>
    <row r="66">
      <c r="A66" s="38" t="str">
        <f>IFERROR(__xludf.DUMMYFUNCTION("""COMPUTED_VALUE"""),"DS")</f>
        <v>DS</v>
      </c>
      <c r="B66" s="38" t="str">
        <f>IFERROR(__xludf.DUMMYFUNCTION("""COMPUTED_VALUE"""),"九州・沖縄")</f>
        <v>九州・沖縄</v>
      </c>
      <c r="C66" s="38" t="str">
        <f>IFERROR(__xludf.DUMMYFUNCTION("""COMPUTED_VALUE"""),"熊本県")</f>
        <v>熊本県</v>
      </c>
      <c r="D66" s="125">
        <f>IFERROR(__xludf.DUMMYFUNCTION("""COMPUTED_VALUE"""),8865.0)</f>
        <v>8865</v>
      </c>
      <c r="E66" s="38" t="str">
        <f>IFERROR(__xludf.DUMMYFUNCTION("""COMPUTED_VALUE"""),"-")</f>
        <v>-</v>
      </c>
      <c r="F66" s="38" t="str">
        <f>IFERROR(__xludf.DUMMYFUNCTION("""COMPUTED_VALUE"""),"楽天モバイル カリーノ玉名店")</f>
        <v>楽天モバイル カリーノ玉名店</v>
      </c>
      <c r="G66" s="38"/>
    </row>
    <row r="67">
      <c r="A67" s="38" t="str">
        <f>IFERROR(__xludf.DUMMYFUNCTION("""COMPUTED_VALUE"""),"DS")</f>
        <v>DS</v>
      </c>
      <c r="B67" s="38" t="str">
        <f>IFERROR(__xludf.DUMMYFUNCTION("""COMPUTED_VALUE"""),"九州・沖縄")</f>
        <v>九州・沖縄</v>
      </c>
      <c r="C67" s="38" t="str">
        <f>IFERROR(__xludf.DUMMYFUNCTION("""COMPUTED_VALUE"""),"鹿児島県")</f>
        <v>鹿児島県</v>
      </c>
      <c r="D67" s="125">
        <f>IFERROR(__xludf.DUMMYFUNCTION("""COMPUTED_VALUE"""),1340.0)</f>
        <v>1340</v>
      </c>
      <c r="E67" s="38" t="str">
        <f>IFERROR(__xludf.DUMMYFUNCTION("""COMPUTED_VALUE"""),"-")</f>
        <v>-</v>
      </c>
      <c r="F67" s="38" t="str">
        <f>IFERROR(__xludf.DUMMYFUNCTION("""COMPUTED_VALUE"""),"楽天モバイル 金生店")</f>
        <v>楽天モバイル 金生店</v>
      </c>
      <c r="G67" s="38"/>
    </row>
    <row r="68">
      <c r="A68" s="38" t="str">
        <f>IFERROR(__xludf.DUMMYFUNCTION("""COMPUTED_VALUE"""),"DS")</f>
        <v>DS</v>
      </c>
      <c r="B68" s="38" t="str">
        <f>IFERROR(__xludf.DUMMYFUNCTION("""COMPUTED_VALUE"""),"九州・沖縄")</f>
        <v>九州・沖縄</v>
      </c>
      <c r="C68" s="38" t="str">
        <f>IFERROR(__xludf.DUMMYFUNCTION("""COMPUTED_VALUE"""),"鹿児島県")</f>
        <v>鹿児島県</v>
      </c>
      <c r="D68" s="125">
        <f>IFERROR(__xludf.DUMMYFUNCTION("""COMPUTED_VALUE"""),1150.0)</f>
        <v>1150</v>
      </c>
      <c r="E68" s="38" t="str">
        <f>IFERROR(__xludf.DUMMYFUNCTION("""COMPUTED_VALUE"""),"-")</f>
        <v>-</v>
      </c>
      <c r="F68" s="38" t="str">
        <f>IFERROR(__xludf.DUMMYFUNCTION("""COMPUTED_VALUE"""),"楽天モバイル イオン隼人国分ショッピングセンター店")</f>
        <v>楽天モバイル イオン隼人国分ショッピングセンター店</v>
      </c>
      <c r="G68" s="38"/>
    </row>
    <row r="69">
      <c r="A69" s="38" t="str">
        <f>IFERROR(__xludf.DUMMYFUNCTION("""COMPUTED_VALUE"""),"DS")</f>
        <v>DS</v>
      </c>
      <c r="B69" s="38" t="str">
        <f>IFERROR(__xludf.DUMMYFUNCTION("""COMPUTED_VALUE"""),"九州・沖縄")</f>
        <v>九州・沖縄</v>
      </c>
      <c r="C69" s="38" t="str">
        <f>IFERROR(__xludf.DUMMYFUNCTION("""COMPUTED_VALUE"""),"鹿児島県")</f>
        <v>鹿児島県</v>
      </c>
      <c r="D69" s="125">
        <f>IFERROR(__xludf.DUMMYFUNCTION("""COMPUTED_VALUE"""),1345.0)</f>
        <v>1345</v>
      </c>
      <c r="E69" s="38" t="str">
        <f>IFERROR(__xludf.DUMMYFUNCTION("""COMPUTED_VALUE"""),"-")</f>
        <v>-</v>
      </c>
      <c r="F69" s="38" t="str">
        <f>IFERROR(__xludf.DUMMYFUNCTION("""COMPUTED_VALUE"""),"楽天モバイル 阿久根店")</f>
        <v>楽天モバイル 阿久根店</v>
      </c>
      <c r="G69" s="38"/>
    </row>
    <row r="70">
      <c r="A70" s="38" t="str">
        <f>IFERROR(__xludf.DUMMYFUNCTION("""COMPUTED_VALUE"""),"DS")</f>
        <v>DS</v>
      </c>
      <c r="B70" s="38" t="str">
        <f>IFERROR(__xludf.DUMMYFUNCTION("""COMPUTED_VALUE"""),"九州・沖縄")</f>
        <v>九州・沖縄</v>
      </c>
      <c r="C70" s="38" t="str">
        <f>IFERROR(__xludf.DUMMYFUNCTION("""COMPUTED_VALUE"""),"鹿児島県")</f>
        <v>鹿児島県</v>
      </c>
      <c r="D70" s="125">
        <f>IFERROR(__xludf.DUMMYFUNCTION("""COMPUTED_VALUE"""),8704.0)</f>
        <v>8704</v>
      </c>
      <c r="E70" s="38" t="str">
        <f>IFERROR(__xludf.DUMMYFUNCTION("""COMPUTED_VALUE"""),"-")</f>
        <v>-</v>
      </c>
      <c r="F70" s="38" t="str">
        <f>IFERROR(__xludf.DUMMYFUNCTION("""COMPUTED_VALUE"""),"楽天モバイル 志布志店")</f>
        <v>楽天モバイル 志布志店</v>
      </c>
      <c r="G70" s="38"/>
    </row>
    <row r="71">
      <c r="A71" s="38" t="str">
        <f>IFERROR(__xludf.DUMMYFUNCTION("""COMPUTED_VALUE"""),"DS")</f>
        <v>DS</v>
      </c>
      <c r="B71" s="38" t="str">
        <f>IFERROR(__xludf.DUMMYFUNCTION("""COMPUTED_VALUE"""),"九州・沖縄")</f>
        <v>九州・沖縄</v>
      </c>
      <c r="C71" s="38" t="str">
        <f>IFERROR(__xludf.DUMMYFUNCTION("""COMPUTED_VALUE"""),"鹿児島県")</f>
        <v>鹿児島県</v>
      </c>
      <c r="D71" s="125">
        <f>IFERROR(__xludf.DUMMYFUNCTION("""COMPUTED_VALUE"""),8729.0)</f>
        <v>8729</v>
      </c>
      <c r="E71" s="38" t="str">
        <f>IFERROR(__xludf.DUMMYFUNCTION("""COMPUTED_VALUE"""),"-")</f>
        <v>-</v>
      </c>
      <c r="F71" s="38" t="str">
        <f>IFERROR(__xludf.DUMMYFUNCTION("""COMPUTED_VALUE"""),"楽天モバイル 鹿屋店")</f>
        <v>楽天モバイル 鹿屋店</v>
      </c>
      <c r="G71" s="38"/>
    </row>
    <row r="72">
      <c r="A72" s="38" t="str">
        <f>IFERROR(__xludf.DUMMYFUNCTION("""COMPUTED_VALUE"""),"DS")</f>
        <v>DS</v>
      </c>
      <c r="B72" s="38" t="str">
        <f>IFERROR(__xludf.DUMMYFUNCTION("""COMPUTED_VALUE"""),"九州・沖縄")</f>
        <v>九州・沖縄</v>
      </c>
      <c r="C72" s="38" t="str">
        <f>IFERROR(__xludf.DUMMYFUNCTION("""COMPUTED_VALUE"""),"熊本県")</f>
        <v>熊本県</v>
      </c>
      <c r="D72" s="125">
        <f>IFERROR(__xludf.DUMMYFUNCTION("""COMPUTED_VALUE"""),1346.0)</f>
        <v>1346</v>
      </c>
      <c r="E72" s="38" t="str">
        <f>IFERROR(__xludf.DUMMYFUNCTION("""COMPUTED_VALUE"""),"-")</f>
        <v>-</v>
      </c>
      <c r="F72" s="38" t="str">
        <f>IFERROR(__xludf.DUMMYFUNCTION("""COMPUTED_VALUE"""),"楽天モバイル 人吉レックス店")</f>
        <v>楽天モバイル 人吉レックス店</v>
      </c>
      <c r="G72" s="38"/>
    </row>
    <row r="73">
      <c r="A73" s="38" t="str">
        <f>IFERROR(__xludf.DUMMYFUNCTION("""COMPUTED_VALUE"""),"DS")</f>
        <v>DS</v>
      </c>
      <c r="B73" s="38" t="str">
        <f>IFERROR(__xludf.DUMMYFUNCTION("""COMPUTED_VALUE"""),"九州・沖縄")</f>
        <v>九州・沖縄</v>
      </c>
      <c r="C73" s="38" t="str">
        <f>IFERROR(__xludf.DUMMYFUNCTION("""COMPUTED_VALUE"""),"沖縄県")</f>
        <v>沖縄県</v>
      </c>
      <c r="D73" s="125">
        <f>IFERROR(__xludf.DUMMYFUNCTION("""COMPUTED_VALUE"""),1067.0)</f>
        <v>1067</v>
      </c>
      <c r="E73" s="38" t="str">
        <f>IFERROR(__xludf.DUMMYFUNCTION("""COMPUTED_VALUE"""),"-")</f>
        <v>-</v>
      </c>
      <c r="F73" s="38" t="str">
        <f>IFERROR(__xludf.DUMMYFUNCTION("""COMPUTED_VALUE"""),"楽天モバイル 糸満店")</f>
        <v>楽天モバイル 糸満店</v>
      </c>
      <c r="G73" s="38"/>
    </row>
    <row r="74">
      <c r="A74" s="38" t="str">
        <f>IFERROR(__xludf.DUMMYFUNCTION("""COMPUTED_VALUE"""),"DS")</f>
        <v>DS</v>
      </c>
      <c r="B74" s="38" t="str">
        <f>IFERROR(__xludf.DUMMYFUNCTION("""COMPUTED_VALUE"""),"九州・沖縄")</f>
        <v>九州・沖縄</v>
      </c>
      <c r="C74" s="38" t="str">
        <f>IFERROR(__xludf.DUMMYFUNCTION("""COMPUTED_VALUE"""),"沖縄県")</f>
        <v>沖縄県</v>
      </c>
      <c r="D74" s="125">
        <f>IFERROR(__xludf.DUMMYFUNCTION("""COMPUTED_VALUE"""),1376.0)</f>
        <v>1376</v>
      </c>
      <c r="E74" s="38" t="str">
        <f>IFERROR(__xludf.DUMMYFUNCTION("""COMPUTED_VALUE"""),"-")</f>
        <v>-</v>
      </c>
      <c r="F74" s="38" t="str">
        <f>IFERROR(__xludf.DUMMYFUNCTION("""COMPUTED_VALUE"""),"楽天モバイル 石垣店")</f>
        <v>楽天モバイル 石垣店</v>
      </c>
      <c r="G74" s="38"/>
    </row>
    <row r="75">
      <c r="A75" s="38" t="str">
        <f>IFERROR(__xludf.DUMMYFUNCTION("""COMPUTED_VALUE"""),"DS")</f>
        <v>DS</v>
      </c>
      <c r="B75" s="38" t="str">
        <f>IFERROR(__xludf.DUMMYFUNCTION("""COMPUTED_VALUE"""),"九州・沖縄")</f>
        <v>九州・沖縄</v>
      </c>
      <c r="C75" s="38" t="str">
        <f>IFERROR(__xludf.DUMMYFUNCTION("""COMPUTED_VALUE"""),"沖縄県")</f>
        <v>沖縄県</v>
      </c>
      <c r="D75" s="125">
        <f>IFERROR(__xludf.DUMMYFUNCTION("""COMPUTED_VALUE"""),1298.0)</f>
        <v>1298</v>
      </c>
      <c r="E75" s="38" t="str">
        <f>IFERROR(__xludf.DUMMYFUNCTION("""COMPUTED_VALUE"""),"-")</f>
        <v>-</v>
      </c>
      <c r="F75" s="38" t="str">
        <f>IFERROR(__xludf.DUMMYFUNCTION("""COMPUTED_VALUE"""),"楽天モバイル 那覇赤嶺店")</f>
        <v>楽天モバイル 那覇赤嶺店</v>
      </c>
      <c r="G75" s="38"/>
    </row>
    <row r="76">
      <c r="A76" s="38" t="str">
        <f>IFERROR(__xludf.DUMMYFUNCTION("""COMPUTED_VALUE"""),"DS")</f>
        <v>DS</v>
      </c>
      <c r="B76" s="38" t="str">
        <f>IFERROR(__xludf.DUMMYFUNCTION("""COMPUTED_VALUE"""),"九州・沖縄")</f>
        <v>九州・沖縄</v>
      </c>
      <c r="C76" s="38" t="str">
        <f>IFERROR(__xludf.DUMMYFUNCTION("""COMPUTED_VALUE"""),"沖縄県")</f>
        <v>沖縄県</v>
      </c>
      <c r="D76" s="125">
        <f>IFERROR(__xludf.DUMMYFUNCTION("""COMPUTED_VALUE"""),1354.0)</f>
        <v>1354</v>
      </c>
      <c r="E76" s="38" t="str">
        <f>IFERROR(__xludf.DUMMYFUNCTION("""COMPUTED_VALUE"""),"-")</f>
        <v>-</v>
      </c>
      <c r="F76" s="38" t="str">
        <f>IFERROR(__xludf.DUMMYFUNCTION("""COMPUTED_VALUE"""),"楽天モバイル タウンプラザかねひでコザ十字路市場店")</f>
        <v>楽天モバイル タウンプラザかねひでコザ十字路市場店</v>
      </c>
      <c r="G76" s="38"/>
    </row>
    <row r="77">
      <c r="A77" s="38" t="str">
        <f>IFERROR(__xludf.DUMMYFUNCTION("""COMPUTED_VALUE"""),"DS")</f>
        <v>DS</v>
      </c>
      <c r="B77" s="38" t="str">
        <f>IFERROR(__xludf.DUMMYFUNCTION("""COMPUTED_VALUE"""),"関東")</f>
        <v>関東</v>
      </c>
      <c r="C77" s="38" t="str">
        <f>IFERROR(__xludf.DUMMYFUNCTION("""COMPUTED_VALUE"""),"群馬県")</f>
        <v>群馬県</v>
      </c>
      <c r="D77" s="125">
        <f>IFERROR(__xludf.DUMMYFUNCTION("""COMPUTED_VALUE"""),8770.0)</f>
        <v>8770</v>
      </c>
      <c r="E77" s="38" t="str">
        <f>IFERROR(__xludf.DUMMYFUNCTION("""COMPUTED_VALUE"""),"-")</f>
        <v>-</v>
      </c>
      <c r="F77" s="38" t="str">
        <f>IFERROR(__xludf.DUMMYFUNCTION("""COMPUTED_VALUE"""),"楽天モバイル 藤岡店")</f>
        <v>楽天モバイル 藤岡店</v>
      </c>
      <c r="G77" s="38"/>
    </row>
    <row r="78">
      <c r="A78" s="38" t="str">
        <f>IFERROR(__xludf.DUMMYFUNCTION("""COMPUTED_VALUE"""),"DS")</f>
        <v>DS</v>
      </c>
      <c r="B78" s="38" t="str">
        <f>IFERROR(__xludf.DUMMYFUNCTION("""COMPUTED_VALUE"""),"関東")</f>
        <v>関東</v>
      </c>
      <c r="C78" s="38" t="str">
        <f>IFERROR(__xludf.DUMMYFUNCTION("""COMPUTED_VALUE"""),"群馬県")</f>
        <v>群馬県</v>
      </c>
      <c r="D78" s="125">
        <f>IFERROR(__xludf.DUMMYFUNCTION("""COMPUTED_VALUE"""),1148.0)</f>
        <v>1148</v>
      </c>
      <c r="E78" s="38" t="str">
        <f>IFERROR(__xludf.DUMMYFUNCTION("""COMPUTED_VALUE"""),"-")</f>
        <v>-</v>
      </c>
      <c r="F78" s="38" t="str">
        <f>IFERROR(__xludf.DUMMYFUNCTION("""COMPUTED_VALUE"""),"楽天モバイル 渋川店")</f>
        <v>楽天モバイル 渋川店</v>
      </c>
      <c r="G78" s="38"/>
    </row>
    <row r="79">
      <c r="A79" s="38" t="str">
        <f>IFERROR(__xludf.DUMMYFUNCTION("""COMPUTED_VALUE"""),"DS")</f>
        <v>DS</v>
      </c>
      <c r="B79" s="38" t="str">
        <f>IFERROR(__xludf.DUMMYFUNCTION("""COMPUTED_VALUE"""),"関東")</f>
        <v>関東</v>
      </c>
      <c r="C79" s="38" t="str">
        <f>IFERROR(__xludf.DUMMYFUNCTION("""COMPUTED_VALUE"""),"茨城県")</f>
        <v>茨城県</v>
      </c>
      <c r="D79" s="125">
        <f>IFERROR(__xludf.DUMMYFUNCTION("""COMPUTED_VALUE"""),1126.0)</f>
        <v>1126</v>
      </c>
      <c r="E79" s="38" t="str">
        <f>IFERROR(__xludf.DUMMYFUNCTION("""COMPUTED_VALUE"""),"-")</f>
        <v>-</v>
      </c>
      <c r="F79" s="38" t="str">
        <f>IFERROR(__xludf.DUMMYFUNCTION("""COMPUTED_VALUE"""),"楽天モバイル ベイシア高萩モール店")</f>
        <v>楽天モバイル ベイシア高萩モール店</v>
      </c>
      <c r="G79" s="38"/>
    </row>
    <row r="80">
      <c r="A80" s="38" t="str">
        <f>IFERROR(__xludf.DUMMYFUNCTION("""COMPUTED_VALUE"""),"DS")</f>
        <v>DS</v>
      </c>
      <c r="B80" s="38" t="str">
        <f>IFERROR(__xludf.DUMMYFUNCTION("""COMPUTED_VALUE"""),"関東")</f>
        <v>関東</v>
      </c>
      <c r="C80" s="38" t="str">
        <f>IFERROR(__xludf.DUMMYFUNCTION("""COMPUTED_VALUE"""),"茨城県")</f>
        <v>茨城県</v>
      </c>
      <c r="D80" s="125">
        <f>IFERROR(__xludf.DUMMYFUNCTION("""COMPUTED_VALUE"""),8721.0)</f>
        <v>8721</v>
      </c>
      <c r="E80" s="38" t="str">
        <f>IFERROR(__xludf.DUMMYFUNCTION("""COMPUTED_VALUE"""),"-")</f>
        <v>-</v>
      </c>
      <c r="F80" s="38" t="str">
        <f>IFERROR(__xludf.DUMMYFUNCTION("""COMPUTED_VALUE"""),"楽天モバイル 蔦屋書店ひたちなか店")</f>
        <v>楽天モバイル 蔦屋書店ひたちなか店</v>
      </c>
      <c r="G80" s="38"/>
    </row>
    <row r="81">
      <c r="A81" s="38" t="str">
        <f>IFERROR(__xludf.DUMMYFUNCTION("""COMPUTED_VALUE"""),"DS")</f>
        <v>DS</v>
      </c>
      <c r="B81" s="38" t="str">
        <f>IFERROR(__xludf.DUMMYFUNCTION("""COMPUTED_VALUE"""),"関東")</f>
        <v>関東</v>
      </c>
      <c r="C81" s="38" t="str">
        <f>IFERROR(__xludf.DUMMYFUNCTION("""COMPUTED_VALUE"""),"茨城県")</f>
        <v>茨城県</v>
      </c>
      <c r="D81" s="125">
        <f>IFERROR(__xludf.DUMMYFUNCTION("""COMPUTED_VALUE"""),8750.0)</f>
        <v>8750</v>
      </c>
      <c r="E81" s="38" t="str">
        <f>IFERROR(__xludf.DUMMYFUNCTION("""COMPUTED_VALUE"""),"-")</f>
        <v>-</v>
      </c>
      <c r="F81" s="38" t="str">
        <f>IFERROR(__xludf.DUMMYFUNCTION("""COMPUTED_VALUE"""),"楽天モバイル MEGAドン・キホーテ上水戸店")</f>
        <v>楽天モバイル MEGAドン・キホーテ上水戸店</v>
      </c>
      <c r="G81" s="38"/>
    </row>
    <row r="82">
      <c r="A82" s="38" t="str">
        <f>IFERROR(__xludf.DUMMYFUNCTION("""COMPUTED_VALUE"""),"DS")</f>
        <v>DS</v>
      </c>
      <c r="B82" s="38" t="str">
        <f>IFERROR(__xludf.DUMMYFUNCTION("""COMPUTED_VALUE"""),"関東")</f>
        <v>関東</v>
      </c>
      <c r="C82" s="38" t="str">
        <f>IFERROR(__xludf.DUMMYFUNCTION("""COMPUTED_VALUE"""),"茨城県")</f>
        <v>茨城県</v>
      </c>
      <c r="D82" s="125">
        <f>IFERROR(__xludf.DUMMYFUNCTION("""COMPUTED_VALUE"""),1023.0)</f>
        <v>1023</v>
      </c>
      <c r="E82" s="38" t="str">
        <f>IFERROR(__xludf.DUMMYFUNCTION("""COMPUTED_VALUE"""),"-")</f>
        <v>-</v>
      </c>
      <c r="F82" s="38" t="str">
        <f>IFERROR(__xludf.DUMMYFUNCTION("""COMPUTED_VALUE"""),"楽天モバイル あかやまJOY古河店")</f>
        <v>楽天モバイル あかやまJOY古河店</v>
      </c>
      <c r="G82" s="38"/>
    </row>
    <row r="83">
      <c r="A83" s="38" t="str">
        <f>IFERROR(__xludf.DUMMYFUNCTION("""COMPUTED_VALUE"""),"DS")</f>
        <v>DS</v>
      </c>
      <c r="B83" s="38" t="str">
        <f>IFERROR(__xludf.DUMMYFUNCTION("""COMPUTED_VALUE"""),"関東")</f>
        <v>関東</v>
      </c>
      <c r="C83" s="38" t="str">
        <f>IFERROR(__xludf.DUMMYFUNCTION("""COMPUTED_VALUE"""),"茨城県")</f>
        <v>茨城県</v>
      </c>
      <c r="D83" s="125">
        <f>IFERROR(__xludf.DUMMYFUNCTION("""COMPUTED_VALUE"""),1335.0)</f>
        <v>1335</v>
      </c>
      <c r="E83" s="38" t="str">
        <f>IFERROR(__xludf.DUMMYFUNCTION("""COMPUTED_VALUE"""),"-")</f>
        <v>-</v>
      </c>
      <c r="F83" s="38" t="str">
        <f>IFERROR(__xludf.DUMMYFUNCTION("""COMPUTED_VALUE"""),"楽天モバイル チェリオ鹿嶋店")</f>
        <v>楽天モバイル チェリオ鹿嶋店</v>
      </c>
      <c r="G83" s="38"/>
    </row>
    <row r="84">
      <c r="A84" s="38" t="str">
        <f>IFERROR(__xludf.DUMMYFUNCTION("""COMPUTED_VALUE"""),"DS")</f>
        <v>DS</v>
      </c>
      <c r="B84" s="38" t="str">
        <f>IFERROR(__xludf.DUMMYFUNCTION("""COMPUTED_VALUE"""),"関東")</f>
        <v>関東</v>
      </c>
      <c r="C84" s="38" t="str">
        <f>IFERROR(__xludf.DUMMYFUNCTION("""COMPUTED_VALUE"""),"千葉県")</f>
        <v>千葉県</v>
      </c>
      <c r="D84" s="125">
        <f>IFERROR(__xludf.DUMMYFUNCTION("""COMPUTED_VALUE"""),8936.0)</f>
        <v>8936</v>
      </c>
      <c r="E84" s="38" t="str">
        <f>IFERROR(__xludf.DUMMYFUNCTION("""COMPUTED_VALUE"""),"-")</f>
        <v>-</v>
      </c>
      <c r="F84" s="38" t="str">
        <f>IFERROR(__xludf.DUMMYFUNCTION("""COMPUTED_VALUE"""),"楽天モバイル イオンタウン館山店")</f>
        <v>楽天モバイル イオンタウン館山店</v>
      </c>
      <c r="G84" s="38"/>
    </row>
    <row r="85">
      <c r="A85" s="38" t="str">
        <f>IFERROR(__xludf.DUMMYFUNCTION("""COMPUTED_VALUE"""),"DS")</f>
        <v>DS</v>
      </c>
      <c r="B85" s="38" t="str">
        <f>IFERROR(__xludf.DUMMYFUNCTION("""COMPUTED_VALUE"""),"関東")</f>
        <v>関東</v>
      </c>
      <c r="C85" s="38" t="str">
        <f>IFERROR(__xludf.DUMMYFUNCTION("""COMPUTED_VALUE"""),"栃木県")</f>
        <v>栃木県</v>
      </c>
      <c r="D85" s="125">
        <f>IFERROR(__xludf.DUMMYFUNCTION("""COMPUTED_VALUE"""),1170.0)</f>
        <v>1170</v>
      </c>
      <c r="E85" s="38" t="str">
        <f>IFERROR(__xludf.DUMMYFUNCTION("""COMPUTED_VALUE"""),"-")</f>
        <v>-</v>
      </c>
      <c r="F85" s="38" t="str">
        <f>IFERROR(__xludf.DUMMYFUNCTION("""COMPUTED_VALUE"""),"楽天モバイル イオン日光今市店")</f>
        <v>楽天モバイル イオン日光今市店</v>
      </c>
      <c r="G85" s="38"/>
    </row>
    <row r="86">
      <c r="A86" s="38" t="str">
        <f>IFERROR(__xludf.DUMMYFUNCTION("""COMPUTED_VALUE"""),"DS")</f>
        <v>DS</v>
      </c>
      <c r="B86" s="38" t="str">
        <f>IFERROR(__xludf.DUMMYFUNCTION("""COMPUTED_VALUE"""),"関西")</f>
        <v>関西</v>
      </c>
      <c r="C86" s="38" t="str">
        <f>IFERROR(__xludf.DUMMYFUNCTION("""COMPUTED_VALUE"""),"兵庫県")</f>
        <v>兵庫県</v>
      </c>
      <c r="D86" s="125">
        <f>IFERROR(__xludf.DUMMYFUNCTION("""COMPUTED_VALUE"""),8892.0)</f>
        <v>8892</v>
      </c>
      <c r="E86" s="38" t="str">
        <f>IFERROR(__xludf.DUMMYFUNCTION("""COMPUTED_VALUE"""),"-")</f>
        <v>-</v>
      </c>
      <c r="F86" s="38" t="str">
        <f>IFERROR(__xludf.DUMMYFUNCTION("""COMPUTED_VALUE"""),"楽天モバイル イオン赤穂店")</f>
        <v>楽天モバイル イオン赤穂店</v>
      </c>
      <c r="G86" s="38"/>
    </row>
    <row r="87">
      <c r="A87" s="38" t="str">
        <f>IFERROR(__xludf.DUMMYFUNCTION("""COMPUTED_VALUE"""),"DS")</f>
        <v>DS</v>
      </c>
      <c r="B87" s="38" t="str">
        <f>IFERROR(__xludf.DUMMYFUNCTION("""COMPUTED_VALUE"""),"関西")</f>
        <v>関西</v>
      </c>
      <c r="C87" s="38" t="str">
        <f>IFERROR(__xludf.DUMMYFUNCTION("""COMPUTED_VALUE"""),"和歌山県")</f>
        <v>和歌山県</v>
      </c>
      <c r="D87" s="125">
        <f>IFERROR(__xludf.DUMMYFUNCTION("""COMPUTED_VALUE"""),8711.0)</f>
        <v>8711</v>
      </c>
      <c r="E87" s="38" t="str">
        <f>IFERROR(__xludf.DUMMYFUNCTION("""COMPUTED_VALUE"""),"-")</f>
        <v>-</v>
      </c>
      <c r="F87" s="38" t="str">
        <f>IFERROR(__xludf.DUMMYFUNCTION("""COMPUTED_VALUE"""),"楽天モバイル ダイエー田辺ショッピングセンター店")</f>
        <v>楽天モバイル ダイエー田辺ショッピングセンター店</v>
      </c>
      <c r="G87" s="38"/>
    </row>
    <row r="88">
      <c r="A88" s="38" t="str">
        <f>IFERROR(__xludf.DUMMYFUNCTION("""COMPUTED_VALUE"""),"DS")</f>
        <v>DS</v>
      </c>
      <c r="B88" s="38" t="str">
        <f>IFERROR(__xludf.DUMMYFUNCTION("""COMPUTED_VALUE"""),"関西")</f>
        <v>関西</v>
      </c>
      <c r="C88" s="38" t="str">
        <f>IFERROR(__xludf.DUMMYFUNCTION("""COMPUTED_VALUE"""),"兵庫県")</f>
        <v>兵庫県</v>
      </c>
      <c r="D88" s="125">
        <f>IFERROR(__xludf.DUMMYFUNCTION("""COMPUTED_VALUE"""),8910.0)</f>
        <v>8910</v>
      </c>
      <c r="E88" s="38" t="str">
        <f>IFERROR(__xludf.DUMMYFUNCTION("""COMPUTED_VALUE"""),"-")</f>
        <v>-</v>
      </c>
      <c r="F88" s="38" t="str">
        <f>IFERROR(__xludf.DUMMYFUNCTION("""COMPUTED_VALUE"""),"楽天モバイル イオンモール加西北条店")</f>
        <v>楽天モバイル イオンモール加西北条店</v>
      </c>
      <c r="G88" s="38"/>
    </row>
    <row r="89">
      <c r="A89" s="38" t="str">
        <f>IFERROR(__xludf.DUMMYFUNCTION("""COMPUTED_VALUE"""),"DS")</f>
        <v>DS</v>
      </c>
      <c r="B89" s="38" t="str">
        <f>IFERROR(__xludf.DUMMYFUNCTION("""COMPUTED_VALUE"""),"関西")</f>
        <v>関西</v>
      </c>
      <c r="C89" s="38" t="str">
        <f>IFERROR(__xludf.DUMMYFUNCTION("""COMPUTED_VALUE"""),"滋賀県")</f>
        <v>滋賀県</v>
      </c>
      <c r="D89" s="125">
        <f>IFERROR(__xludf.DUMMYFUNCTION("""COMPUTED_VALUE"""),8935.0)</f>
        <v>8935</v>
      </c>
      <c r="E89" s="38" t="str">
        <f>IFERROR(__xludf.DUMMYFUNCTION("""COMPUTED_VALUE"""),"-")</f>
        <v>-</v>
      </c>
      <c r="F89" s="38" t="str">
        <f>IFERROR(__xludf.DUMMYFUNCTION("""COMPUTED_VALUE"""),"楽天モバイル イオンタウン野洲店")</f>
        <v>楽天モバイル イオンタウン野洲店</v>
      </c>
      <c r="G89" s="38"/>
    </row>
    <row r="90">
      <c r="A90" s="38" t="str">
        <f>IFERROR(__xludf.DUMMYFUNCTION("""COMPUTED_VALUE"""),"DS")</f>
        <v>DS</v>
      </c>
      <c r="B90" s="38" t="str">
        <f>IFERROR(__xludf.DUMMYFUNCTION("""COMPUTED_VALUE"""),"関西")</f>
        <v>関西</v>
      </c>
      <c r="C90" s="38" t="str">
        <f>IFERROR(__xludf.DUMMYFUNCTION("""COMPUTED_VALUE"""),"兵庫県")</f>
        <v>兵庫県</v>
      </c>
      <c r="D90" s="125">
        <f>IFERROR(__xludf.DUMMYFUNCTION("""COMPUTED_VALUE"""),1103.0)</f>
        <v>1103</v>
      </c>
      <c r="E90" s="38" t="str">
        <f>IFERROR(__xludf.DUMMYFUNCTION("""COMPUTED_VALUE"""),"-")</f>
        <v>-</v>
      </c>
      <c r="F90" s="38" t="str">
        <f>IFERROR(__xludf.DUMMYFUNCTION("""COMPUTED_VALUE"""),"楽天モバイル イオン三木店")</f>
        <v>楽天モバイル イオン三木店</v>
      </c>
      <c r="G90" s="38"/>
    </row>
    <row r="91">
      <c r="A91" s="38" t="str">
        <f>IFERROR(__xludf.DUMMYFUNCTION("""COMPUTED_VALUE"""),"DS")</f>
        <v>DS</v>
      </c>
      <c r="B91" s="38" t="str">
        <f>IFERROR(__xludf.DUMMYFUNCTION("""COMPUTED_VALUE"""),"関西")</f>
        <v>関西</v>
      </c>
      <c r="C91" s="38" t="str">
        <f>IFERROR(__xludf.DUMMYFUNCTION("""COMPUTED_VALUE"""),"兵庫県")</f>
        <v>兵庫県</v>
      </c>
      <c r="D91" s="125">
        <f>IFERROR(__xludf.DUMMYFUNCTION("""COMPUTED_VALUE"""),1146.0)</f>
        <v>1146</v>
      </c>
      <c r="E91" s="38" t="str">
        <f>IFERROR(__xludf.DUMMYFUNCTION("""COMPUTED_VALUE"""),"-")</f>
        <v>-</v>
      </c>
      <c r="F91" s="38" t="str">
        <f>IFERROR(__xludf.DUMMYFUNCTION("""COMPUTED_VALUE"""),"楽天モバイル イオンスタイル洲本店")</f>
        <v>楽天モバイル イオンスタイル洲本店</v>
      </c>
      <c r="G91" s="38"/>
    </row>
    <row r="92">
      <c r="A92" s="38" t="str">
        <f>IFERROR(__xludf.DUMMYFUNCTION("""COMPUTED_VALUE"""),"DS")</f>
        <v>DS</v>
      </c>
      <c r="B92" s="38" t="str">
        <f>IFERROR(__xludf.DUMMYFUNCTION("""COMPUTED_VALUE"""),"関西")</f>
        <v>関西</v>
      </c>
      <c r="C92" s="38" t="str">
        <f>IFERROR(__xludf.DUMMYFUNCTION("""COMPUTED_VALUE"""),"和歌山県")</f>
        <v>和歌山県</v>
      </c>
      <c r="D92" s="125">
        <f>IFERROR(__xludf.DUMMYFUNCTION("""COMPUTED_VALUE"""),8635.0)</f>
        <v>8635</v>
      </c>
      <c r="E92" s="38" t="str">
        <f>IFERROR(__xludf.DUMMYFUNCTION("""COMPUTED_VALUE"""),"-")</f>
        <v>-</v>
      </c>
      <c r="F92" s="38" t="str">
        <f>IFERROR(__xludf.DUMMYFUNCTION("""COMPUTED_VALUE"""),"楽天モバイル 海南店")</f>
        <v>楽天モバイル 海南店</v>
      </c>
      <c r="G92" s="38"/>
    </row>
    <row r="93">
      <c r="A93" s="38" t="str">
        <f>IFERROR(__xludf.DUMMYFUNCTION("""COMPUTED_VALUE"""),"CES")</f>
        <v>CES</v>
      </c>
      <c r="B93" s="38" t="str">
        <f>IFERROR(__xludf.DUMMYFUNCTION("""COMPUTED_VALUE"""),"関東")</f>
        <v>関東</v>
      </c>
      <c r="C93" s="38" t="str">
        <f>IFERROR(__xludf.DUMMYFUNCTION("""COMPUTED_VALUE"""),"埼玉県")</f>
        <v>埼玉県</v>
      </c>
      <c r="D93" s="125">
        <f>IFERROR(__xludf.DUMMYFUNCTION("""COMPUTED_VALUE"""),8991.0)</f>
        <v>8991</v>
      </c>
      <c r="E93" s="38" t="str">
        <f>IFERROR(__xludf.DUMMYFUNCTION("""COMPUTED_VALUE"""),"YD")</f>
        <v>YD</v>
      </c>
      <c r="F93" s="38" t="str">
        <f>IFERROR(__xludf.DUMMYFUNCTION("""COMPUTED_VALUE"""),"ヤマダファミリーショップ ヤオ秩父店")</f>
        <v>ヤマダファミリーショップ ヤオ秩父店</v>
      </c>
      <c r="G93" s="38"/>
    </row>
    <row r="94">
      <c r="A94" s="38" t="str">
        <f>IFERROR(__xludf.DUMMYFUNCTION("""COMPUTED_VALUE"""),"CES")</f>
        <v>CES</v>
      </c>
      <c r="B94" s="38" t="str">
        <f>IFERROR(__xludf.DUMMYFUNCTION("""COMPUTED_VALUE"""),"関西")</f>
        <v>関西</v>
      </c>
      <c r="C94" s="38" t="str">
        <f>IFERROR(__xludf.DUMMYFUNCTION("""COMPUTED_VALUE"""),"兵庫県")</f>
        <v>兵庫県</v>
      </c>
      <c r="D94" s="125">
        <f>IFERROR(__xludf.DUMMYFUNCTION("""COMPUTED_VALUE"""),6441.0)</f>
        <v>6441</v>
      </c>
      <c r="E94" s="38" t="str">
        <f>IFERROR(__xludf.DUMMYFUNCTION("""COMPUTED_VALUE"""),"YD")</f>
        <v>YD</v>
      </c>
      <c r="F94" s="38" t="str">
        <f>IFERROR(__xludf.DUMMYFUNCTION("""COMPUTED_VALUE"""),"ヤマダデンキ LABI三宮")</f>
        <v>ヤマダデンキ LABI三宮</v>
      </c>
      <c r="G94" s="38"/>
    </row>
    <row r="95">
      <c r="A95" s="38" t="str">
        <f>IFERROR(__xludf.DUMMYFUNCTION("""COMPUTED_VALUE"""),"CES")</f>
        <v>CES</v>
      </c>
      <c r="B95" s="38" t="str">
        <f>IFERROR(__xludf.DUMMYFUNCTION("""COMPUTED_VALUE"""),"関西")</f>
        <v>関西</v>
      </c>
      <c r="C95" s="38" t="str">
        <f>IFERROR(__xludf.DUMMYFUNCTION("""COMPUTED_VALUE"""),"大阪府")</f>
        <v>大阪府</v>
      </c>
      <c r="D95" s="125">
        <f>IFERROR(__xludf.DUMMYFUNCTION("""COMPUTED_VALUE"""),6651.0)</f>
        <v>6651</v>
      </c>
      <c r="E95" s="38" t="str">
        <f>IFERROR(__xludf.DUMMYFUNCTION("""COMPUTED_VALUE"""),"YD")</f>
        <v>YD</v>
      </c>
      <c r="F95" s="38" t="str">
        <f>IFERROR(__xludf.DUMMYFUNCTION("""COMPUTED_VALUE"""),"ヤマダデンキ LABI1 LIFE SELECT なんば")</f>
        <v>ヤマダデンキ LABI1 LIFE SELECT なんば</v>
      </c>
      <c r="G95" s="38"/>
    </row>
    <row r="96">
      <c r="A96" s="38" t="str">
        <f>IFERROR(__xludf.DUMMYFUNCTION("""COMPUTED_VALUE"""),"CES")</f>
        <v>CES</v>
      </c>
      <c r="B96" s="38" t="str">
        <f>IFERROR(__xludf.DUMMYFUNCTION("""COMPUTED_VALUE"""),"九州・沖縄")</f>
        <v>九州・沖縄</v>
      </c>
      <c r="C96" s="38" t="str">
        <f>IFERROR(__xludf.DUMMYFUNCTION("""COMPUTED_VALUE"""),"佐賀県")</f>
        <v>佐賀県</v>
      </c>
      <c r="D96" s="125">
        <f>IFERROR(__xludf.DUMMYFUNCTION("""COMPUTED_VALUE"""),8980.0)</f>
        <v>8980</v>
      </c>
      <c r="E96" s="38" t="str">
        <f>IFERROR(__xludf.DUMMYFUNCTION("""COMPUTED_VALUE"""),"YD")</f>
        <v>YD</v>
      </c>
      <c r="F96" s="38" t="str">
        <f>IFERROR(__xludf.DUMMYFUNCTION("""COMPUTED_VALUE"""),"ベスト電器 武雄店")</f>
        <v>ベスト電器 武雄店</v>
      </c>
      <c r="G96" s="38"/>
    </row>
    <row r="97">
      <c r="A97" s="38" t="str">
        <f>IFERROR(__xludf.DUMMYFUNCTION("""COMPUTED_VALUE"""),"CES")</f>
        <v>CES</v>
      </c>
      <c r="B97" s="38" t="str">
        <f>IFERROR(__xludf.DUMMYFUNCTION("""COMPUTED_VALUE"""),"関西")</f>
        <v>関西</v>
      </c>
      <c r="C97" s="38" t="str">
        <f>IFERROR(__xludf.DUMMYFUNCTION("""COMPUTED_VALUE"""),"兵庫県")</f>
        <v>兵庫県</v>
      </c>
      <c r="D97" s="125">
        <f>IFERROR(__xludf.DUMMYFUNCTION("""COMPUTED_VALUE"""),8947.0)</f>
        <v>8947</v>
      </c>
      <c r="E97" s="38" t="str">
        <f>IFERROR(__xludf.DUMMYFUNCTION("""COMPUTED_VALUE"""),"YD")</f>
        <v>YD</v>
      </c>
      <c r="F97" s="38" t="str">
        <f>IFERROR(__xludf.DUMMYFUNCTION("""COMPUTED_VALUE"""),"テックランド竜野店")</f>
        <v>テックランド竜野店</v>
      </c>
      <c r="G97" s="38"/>
    </row>
    <row r="98">
      <c r="A98" s="38" t="str">
        <f>IFERROR(__xludf.DUMMYFUNCTION("""COMPUTED_VALUE"""),"CES")</f>
        <v>CES</v>
      </c>
      <c r="B98" s="38" t="str">
        <f>IFERROR(__xludf.DUMMYFUNCTION("""COMPUTED_VALUE"""),"九州・沖縄")</f>
        <v>九州・沖縄</v>
      </c>
      <c r="C98" s="38" t="str">
        <f>IFERROR(__xludf.DUMMYFUNCTION("""COMPUTED_VALUE"""),"長崎県")</f>
        <v>長崎県</v>
      </c>
      <c r="D98" s="125">
        <f>IFERROR(__xludf.DUMMYFUNCTION("""COMPUTED_VALUE"""),8976.0)</f>
        <v>8976</v>
      </c>
      <c r="E98" s="38" t="str">
        <f>IFERROR(__xludf.DUMMYFUNCTION("""COMPUTED_VALUE"""),"YD")</f>
        <v>YD</v>
      </c>
      <c r="F98" s="38" t="str">
        <f>IFERROR(__xludf.DUMMYFUNCTION("""COMPUTED_VALUE"""),"テックランド大村店")</f>
        <v>テックランド大村店</v>
      </c>
      <c r="G98" s="38"/>
    </row>
    <row r="99">
      <c r="A99" s="38" t="str">
        <f>IFERROR(__xludf.DUMMYFUNCTION("""COMPUTED_VALUE"""),"CES")</f>
        <v>CES</v>
      </c>
      <c r="B99" s="38" t="str">
        <f>IFERROR(__xludf.DUMMYFUNCTION("""COMPUTED_VALUE"""),"関東")</f>
        <v>関東</v>
      </c>
      <c r="C99" s="38" t="str">
        <f>IFERROR(__xludf.DUMMYFUNCTION("""COMPUTED_VALUE"""),"神奈川県")</f>
        <v>神奈川県</v>
      </c>
      <c r="D99" s="125">
        <f>IFERROR(__xludf.DUMMYFUNCTION("""COMPUTED_VALUE"""),8655.0)</f>
        <v>8655</v>
      </c>
      <c r="E99" s="38" t="str">
        <f>IFERROR(__xludf.DUMMYFUNCTION("""COMPUTED_VALUE"""),"YD")</f>
        <v>YD</v>
      </c>
      <c r="F99" s="38" t="str">
        <f>IFERROR(__xludf.DUMMYFUNCTION("""COMPUTED_VALUE"""),"テックランド厚木店")</f>
        <v>テックランド厚木店</v>
      </c>
      <c r="G99" s="38"/>
    </row>
    <row r="100">
      <c r="A100" s="38" t="str">
        <f>IFERROR(__xludf.DUMMYFUNCTION("""COMPUTED_VALUE"""),"CES")</f>
        <v>CES</v>
      </c>
      <c r="B100" s="38" t="str">
        <f>IFERROR(__xludf.DUMMYFUNCTION("""COMPUTED_VALUE"""),"関東")</f>
        <v>関東</v>
      </c>
      <c r="C100" s="38" t="str">
        <f>IFERROR(__xludf.DUMMYFUNCTION("""COMPUTED_VALUE"""),"茨城県")</f>
        <v>茨城県</v>
      </c>
      <c r="D100" s="125">
        <f>IFERROR(__xludf.DUMMYFUNCTION("""COMPUTED_VALUE"""),8861.0)</f>
        <v>8861</v>
      </c>
      <c r="E100" s="38" t="str">
        <f>IFERROR(__xludf.DUMMYFUNCTION("""COMPUTED_VALUE"""),"YD")</f>
        <v>YD</v>
      </c>
      <c r="F100" s="38" t="str">
        <f>IFERROR(__xludf.DUMMYFUNCTION("""COMPUTED_VALUE"""),"テックランド古河店")</f>
        <v>テックランド古河店</v>
      </c>
      <c r="G100" s="38"/>
    </row>
    <row r="101">
      <c r="A101" s="38" t="str">
        <f>IFERROR(__xludf.DUMMYFUNCTION("""COMPUTED_VALUE"""),"CES")</f>
        <v>CES</v>
      </c>
      <c r="B101" s="38" t="str">
        <f>IFERROR(__xludf.DUMMYFUNCTION("""COMPUTED_VALUE"""),"中部")</f>
        <v>中部</v>
      </c>
      <c r="C101" s="38" t="str">
        <f>IFERROR(__xludf.DUMMYFUNCTION("""COMPUTED_VALUE"""),"石川県")</f>
        <v>石川県</v>
      </c>
      <c r="D101" s="125">
        <f>IFERROR(__xludf.DUMMYFUNCTION("""COMPUTED_VALUE"""),8816.0)</f>
        <v>8816</v>
      </c>
      <c r="E101" s="38" t="str">
        <f>IFERROR(__xludf.DUMMYFUNCTION("""COMPUTED_VALUE"""),"YD")</f>
        <v>YD</v>
      </c>
      <c r="F101" s="38" t="str">
        <f>IFERROR(__xludf.DUMMYFUNCTION("""COMPUTED_VALUE"""),"テックランド金沢本店")</f>
        <v>テックランド金沢本店</v>
      </c>
      <c r="G101" s="38"/>
    </row>
    <row r="102">
      <c r="A102" s="38" t="str">
        <f>IFERROR(__xludf.DUMMYFUNCTION("""COMPUTED_VALUE"""),"CES")</f>
        <v>CES</v>
      </c>
      <c r="B102" s="38" t="str">
        <f>IFERROR(__xludf.DUMMYFUNCTION("""COMPUTED_VALUE"""),"中部")</f>
        <v>中部</v>
      </c>
      <c r="C102" s="38" t="str">
        <f>IFERROR(__xludf.DUMMYFUNCTION("""COMPUTED_VALUE"""),"石川県")</f>
        <v>石川県</v>
      </c>
      <c r="D102" s="125">
        <f>IFERROR(__xludf.DUMMYFUNCTION("""COMPUTED_VALUE"""),8839.0)</f>
        <v>8839</v>
      </c>
      <c r="E102" s="38" t="str">
        <f>IFERROR(__xludf.DUMMYFUNCTION("""COMPUTED_VALUE"""),"YD")</f>
        <v>YD</v>
      </c>
      <c r="F102" s="38" t="str">
        <f>IFERROR(__xludf.DUMMYFUNCTION("""COMPUTED_VALUE"""),"テックランド金沢大桑店")</f>
        <v>テックランド金沢大桑店</v>
      </c>
      <c r="G102" s="38"/>
    </row>
    <row r="103">
      <c r="A103" s="38" t="str">
        <f>IFERROR(__xludf.DUMMYFUNCTION("""COMPUTED_VALUE"""),"CES")</f>
        <v>CES</v>
      </c>
      <c r="B103" s="38" t="str">
        <f>IFERROR(__xludf.DUMMYFUNCTION("""COMPUTED_VALUE"""),"中四国")</f>
        <v>中四国</v>
      </c>
      <c r="C103" s="38" t="str">
        <f>IFERROR(__xludf.DUMMYFUNCTION("""COMPUTED_VALUE"""),"山口県")</f>
        <v>山口県</v>
      </c>
      <c r="D103" s="125">
        <f>IFERROR(__xludf.DUMMYFUNCTION("""COMPUTED_VALUE"""),8942.0)</f>
        <v>8942</v>
      </c>
      <c r="E103" s="38" t="str">
        <f>IFERROR(__xludf.DUMMYFUNCTION("""COMPUTED_VALUE"""),"YD")</f>
        <v>YD</v>
      </c>
      <c r="F103" s="38" t="str">
        <f>IFERROR(__xludf.DUMMYFUNCTION("""COMPUTED_VALUE"""),"テックランド下関店")</f>
        <v>テックランド下関店</v>
      </c>
      <c r="G103" s="38"/>
    </row>
    <row r="104">
      <c r="A104" s="38" t="str">
        <f>IFERROR(__xludf.DUMMYFUNCTION("""COMPUTED_VALUE"""),"CES")</f>
        <v>CES</v>
      </c>
      <c r="B104" s="38" t="str">
        <f>IFERROR(__xludf.DUMMYFUNCTION("""COMPUTED_VALUE"""),"関東")</f>
        <v>関東</v>
      </c>
      <c r="C104" s="38" t="str">
        <f>IFERROR(__xludf.DUMMYFUNCTION("""COMPUTED_VALUE"""),"神奈川県")</f>
        <v>神奈川県</v>
      </c>
      <c r="D104" s="125">
        <f>IFERROR(__xludf.DUMMYFUNCTION("""COMPUTED_VALUE"""),7691.0)</f>
        <v>7691</v>
      </c>
      <c r="E104" s="38" t="str">
        <f>IFERROR(__xludf.DUMMYFUNCTION("""COMPUTED_VALUE"""),"YD")</f>
        <v>YD</v>
      </c>
      <c r="F104" s="38" t="str">
        <f>IFERROR(__xludf.DUMMYFUNCTION("""COMPUTED_VALUE"""),"テックランド横浜泉店")</f>
        <v>テックランド横浜泉店</v>
      </c>
      <c r="G104" s="38"/>
    </row>
    <row r="105">
      <c r="A105" s="38" t="str">
        <f>IFERROR(__xludf.DUMMYFUNCTION("""COMPUTED_VALUE"""),"CES")</f>
        <v>CES</v>
      </c>
      <c r="B105" s="38" t="str">
        <f>IFERROR(__xludf.DUMMYFUNCTION("""COMPUTED_VALUE"""),"関西")</f>
        <v>関西</v>
      </c>
      <c r="C105" s="38" t="str">
        <f>IFERROR(__xludf.DUMMYFUNCTION("""COMPUTED_VALUE"""),"大阪府")</f>
        <v>大阪府</v>
      </c>
      <c r="D105" s="125">
        <f>IFERROR(__xludf.DUMMYFUNCTION("""COMPUTED_VALUE"""),8125.0)</f>
        <v>8125</v>
      </c>
      <c r="E105" s="38" t="str">
        <f>IFERROR(__xludf.DUMMYFUNCTION("""COMPUTED_VALUE"""),"YD")</f>
        <v>YD</v>
      </c>
      <c r="F105" s="38" t="str">
        <f>IFERROR(__xludf.DUMMYFUNCTION("""COMPUTED_VALUE"""),"テックランド羽曳野店")</f>
        <v>テックランド羽曳野店</v>
      </c>
      <c r="G105" s="38"/>
    </row>
    <row r="106">
      <c r="A106" s="38" t="str">
        <f>IFERROR(__xludf.DUMMYFUNCTION("""COMPUTED_VALUE"""),"CES")</f>
        <v>CES</v>
      </c>
      <c r="B106" s="38" t="str">
        <f>IFERROR(__xludf.DUMMYFUNCTION("""COMPUTED_VALUE"""),"関西")</f>
        <v>関西</v>
      </c>
      <c r="C106" s="38" t="str">
        <f>IFERROR(__xludf.DUMMYFUNCTION("""COMPUTED_VALUE"""),"兵庫県")</f>
        <v>兵庫県</v>
      </c>
      <c r="D106" s="125">
        <f>IFERROR(__xludf.DUMMYFUNCTION("""COMPUTED_VALUE"""),7852.0)</f>
        <v>7852</v>
      </c>
      <c r="E106" s="38" t="str">
        <f>IFERROR(__xludf.DUMMYFUNCTION("""COMPUTED_VALUE"""),"YD")</f>
        <v>YD</v>
      </c>
      <c r="F106" s="38" t="str">
        <f>IFERROR(__xludf.DUMMYFUNCTION("""COMPUTED_VALUE"""),"テックランドムサシ姫路店")</f>
        <v>テックランドムサシ姫路店</v>
      </c>
      <c r="G106" s="38"/>
    </row>
    <row r="107">
      <c r="A107" s="38" t="str">
        <f>IFERROR(__xludf.DUMMYFUNCTION("""COMPUTED_VALUE"""),"CES")</f>
        <v>CES</v>
      </c>
      <c r="B107" s="38" t="str">
        <f>IFERROR(__xludf.DUMMYFUNCTION("""COMPUTED_VALUE"""),"関東")</f>
        <v>関東</v>
      </c>
      <c r="C107" s="38" t="str">
        <f>IFERROR(__xludf.DUMMYFUNCTION("""COMPUTED_VALUE"""),"栃木県")</f>
        <v>栃木県</v>
      </c>
      <c r="D107" s="125">
        <f>IFERROR(__xludf.DUMMYFUNCTION("""COMPUTED_VALUE"""),1026.0)</f>
        <v>1026</v>
      </c>
      <c r="E107" s="38" t="str">
        <f>IFERROR(__xludf.DUMMYFUNCTION("""COMPUTED_VALUE"""),"YD")</f>
        <v>YD</v>
      </c>
      <c r="F107" s="38" t="str">
        <f>IFERROR(__xludf.DUMMYFUNCTION("""COMPUTED_VALUE"""),"テックランドイオンモール小山店")</f>
        <v>テックランドイオンモール小山店</v>
      </c>
      <c r="G107" s="38" t="str">
        <f>IFERROR(__xludf.DUMMYFUNCTION("""COMPUTED_VALUE"""),"11月～委託先変更")</f>
        <v>11月～委託先変更</v>
      </c>
    </row>
    <row r="108">
      <c r="A108" s="38" t="str">
        <f>IFERROR(__xludf.DUMMYFUNCTION("""COMPUTED_VALUE"""),"CES")</f>
        <v>CES</v>
      </c>
      <c r="B108" s="38" t="str">
        <f>IFERROR(__xludf.DUMMYFUNCTION("""COMPUTED_VALUE"""),"九州・沖縄")</f>
        <v>九州・沖縄</v>
      </c>
      <c r="C108" s="38" t="str">
        <f>IFERROR(__xludf.DUMMYFUNCTION("""COMPUTED_VALUE"""),"鹿児島県")</f>
        <v>鹿児島県</v>
      </c>
      <c r="D108" s="125">
        <f>IFERROR(__xludf.DUMMYFUNCTION("""COMPUTED_VALUE"""),8981.0)</f>
        <v>8981</v>
      </c>
      <c r="E108" s="38" t="str">
        <f>IFERROR(__xludf.DUMMYFUNCTION("""COMPUTED_VALUE"""),"YD")</f>
        <v>YD</v>
      </c>
      <c r="F108" s="38" t="str">
        <f>IFERROR(__xludf.DUMMYFUNCTION("""COMPUTED_VALUE"""),"テックランドNew加世田店")</f>
        <v>テックランドNew加世田店</v>
      </c>
      <c r="G108" s="38"/>
    </row>
    <row r="109">
      <c r="A109" s="38" t="str">
        <f>IFERROR(__xludf.DUMMYFUNCTION("""COMPUTED_VALUE"""),"CES")</f>
        <v>CES</v>
      </c>
      <c r="B109" s="38" t="str">
        <f>IFERROR(__xludf.DUMMYFUNCTION("""COMPUTED_VALUE"""),"中部")</f>
        <v>中部</v>
      </c>
      <c r="C109" s="38" t="str">
        <f>IFERROR(__xludf.DUMMYFUNCTION("""COMPUTED_VALUE"""),"福井県")</f>
        <v>福井県</v>
      </c>
      <c r="D109" s="125">
        <f>IFERROR(__xludf.DUMMYFUNCTION("""COMPUTED_VALUE"""),8423.0)</f>
        <v>8423</v>
      </c>
      <c r="E109" s="38" t="str">
        <f>IFERROR(__xludf.DUMMYFUNCTION("""COMPUTED_VALUE"""),"YD")</f>
        <v>YD</v>
      </c>
      <c r="F109" s="38" t="str">
        <f>IFERROR(__xludf.DUMMYFUNCTION("""COMPUTED_VALUE"""),"テックランド 福井本店")</f>
        <v>テックランド 福井本店</v>
      </c>
      <c r="G109" s="38"/>
    </row>
    <row r="110">
      <c r="A110" s="38" t="str">
        <f>IFERROR(__xludf.DUMMYFUNCTION("""COMPUTED_VALUE"""),"CES")</f>
        <v>CES</v>
      </c>
      <c r="B110" s="38" t="str">
        <f>IFERROR(__xludf.DUMMYFUNCTION("""COMPUTED_VALUE"""),"中部")</f>
        <v>中部</v>
      </c>
      <c r="C110" s="38" t="str">
        <f>IFERROR(__xludf.DUMMYFUNCTION("""COMPUTED_VALUE"""),"愛知県")</f>
        <v>愛知県</v>
      </c>
      <c r="D110" s="125">
        <f>IFERROR(__xludf.DUMMYFUNCTION("""COMPUTED_VALUE"""),8399.0)</f>
        <v>8399</v>
      </c>
      <c r="E110" s="38" t="str">
        <f>IFERROR(__xludf.DUMMYFUNCTION("""COMPUTED_VALUE"""),"YD")</f>
        <v>YD</v>
      </c>
      <c r="F110" s="38" t="str">
        <f>IFERROR(__xludf.DUMMYFUNCTION("""COMPUTED_VALUE"""),"テックランド 星ヶ丘店")</f>
        <v>テックランド 星ヶ丘店</v>
      </c>
      <c r="G110" s="38"/>
    </row>
    <row r="111">
      <c r="A111" s="38" t="str">
        <f>IFERROR(__xludf.DUMMYFUNCTION("""COMPUTED_VALUE"""),"CES")</f>
        <v>CES</v>
      </c>
      <c r="B111" s="38" t="str">
        <f>IFERROR(__xludf.DUMMYFUNCTION("""COMPUTED_VALUE"""),"信越")</f>
        <v>信越</v>
      </c>
      <c r="C111" s="38" t="str">
        <f>IFERROR(__xludf.DUMMYFUNCTION("""COMPUTED_VALUE"""),"新潟県")</f>
        <v>新潟県</v>
      </c>
      <c r="D111" s="125">
        <f>IFERROR(__xludf.DUMMYFUNCTION("""COMPUTED_VALUE"""),8424.0)</f>
        <v>8424</v>
      </c>
      <c r="E111" s="38" t="str">
        <f>IFERROR(__xludf.DUMMYFUNCTION("""COMPUTED_VALUE"""),"YD")</f>
        <v>YD</v>
      </c>
      <c r="F111" s="38" t="str">
        <f>IFERROR(__xludf.DUMMYFUNCTION("""COMPUTED_VALUE"""),"テックランド 新潟錦町本店")</f>
        <v>テックランド 新潟錦町本店</v>
      </c>
      <c r="G111" s="38"/>
    </row>
    <row r="112">
      <c r="A112" s="38" t="str">
        <f>IFERROR(__xludf.DUMMYFUNCTION("""COMPUTED_VALUE"""),"CES")</f>
        <v>CES</v>
      </c>
      <c r="B112" s="38" t="str">
        <f>IFERROR(__xludf.DUMMYFUNCTION("""COMPUTED_VALUE"""),"信越")</f>
        <v>信越</v>
      </c>
      <c r="C112" s="38" t="str">
        <f>IFERROR(__xludf.DUMMYFUNCTION("""COMPUTED_VALUE"""),"新潟県")</f>
        <v>新潟県</v>
      </c>
      <c r="D112" s="125">
        <f>IFERROR(__xludf.DUMMYFUNCTION("""COMPUTED_VALUE"""),8453.0)</f>
        <v>8453</v>
      </c>
      <c r="E112" s="38" t="str">
        <f>IFERROR(__xludf.DUMMYFUNCTION("""COMPUTED_VALUE"""),"YD")</f>
        <v>YD</v>
      </c>
      <c r="F112" s="38" t="str">
        <f>IFERROR(__xludf.DUMMYFUNCTION("""COMPUTED_VALUE"""),"テックランド 亀田店")</f>
        <v>テックランド 亀田店</v>
      </c>
      <c r="G112" s="38"/>
    </row>
    <row r="113">
      <c r="A113" s="38" t="str">
        <f>IFERROR(__xludf.DUMMYFUNCTION("""COMPUTED_VALUE"""),"CES")</f>
        <v>CES</v>
      </c>
      <c r="B113" s="38" t="str">
        <f>IFERROR(__xludf.DUMMYFUNCTION("""COMPUTED_VALUE"""),"関東")</f>
        <v>関東</v>
      </c>
      <c r="C113" s="38" t="str">
        <f>IFERROR(__xludf.DUMMYFUNCTION("""COMPUTED_VALUE"""),"神奈川県")</f>
        <v>神奈川県</v>
      </c>
      <c r="D113" s="125">
        <f>IFERROR(__xludf.DUMMYFUNCTION("""COMPUTED_VALUE"""),8626.0)</f>
        <v>8626</v>
      </c>
      <c r="E113" s="38" t="str">
        <f>IFERROR(__xludf.DUMMYFUNCTION("""COMPUTED_VALUE"""),"YD")</f>
        <v>YD</v>
      </c>
      <c r="F113" s="38" t="str">
        <f>IFERROR(__xludf.DUMMYFUNCTION("""COMPUTED_VALUE"""),"テックランド 横須賀店")</f>
        <v>テックランド 横須賀店</v>
      </c>
      <c r="G113" s="38"/>
    </row>
    <row r="114">
      <c r="A114" s="38" t="str">
        <f>IFERROR(__xludf.DUMMYFUNCTION("""COMPUTED_VALUE"""),"CES")</f>
        <v>CES</v>
      </c>
      <c r="B114" s="38" t="str">
        <f>IFERROR(__xludf.DUMMYFUNCTION("""COMPUTED_VALUE"""),"関東")</f>
        <v>関東</v>
      </c>
      <c r="C114" s="38" t="str">
        <f>IFERROR(__xludf.DUMMYFUNCTION("""COMPUTED_VALUE"""),"栃木県")</f>
        <v>栃木県</v>
      </c>
      <c r="D114" s="125">
        <f>IFERROR(__xludf.DUMMYFUNCTION("""COMPUTED_VALUE"""),8855.0)</f>
        <v>8855</v>
      </c>
      <c r="E114" s="38" t="str">
        <f>IFERROR(__xludf.DUMMYFUNCTION("""COMPUTED_VALUE"""),"YD")</f>
        <v>YD</v>
      </c>
      <c r="F114" s="38" t="str">
        <f>IFERROR(__xludf.DUMMYFUNCTION("""COMPUTED_VALUE"""),"テックランド 宇都宮インターパーク店")</f>
        <v>テックランド 宇都宮インターパーク店</v>
      </c>
      <c r="G114" s="38" t="str">
        <f>IFERROR(__xludf.DUMMYFUNCTION("""COMPUTED_VALUE"""),"11月～委託先変更")</f>
        <v>11月～委託先変更</v>
      </c>
    </row>
    <row r="115">
      <c r="A115" s="38" t="str">
        <f>IFERROR(__xludf.DUMMYFUNCTION("""COMPUTED_VALUE"""),"CES")</f>
        <v>CES</v>
      </c>
      <c r="B115" s="38" t="str">
        <f>IFERROR(__xludf.DUMMYFUNCTION("""COMPUTED_VALUE"""),"関西")</f>
        <v>関西</v>
      </c>
      <c r="C115" s="38" t="str">
        <f>IFERROR(__xludf.DUMMYFUNCTION("""COMPUTED_VALUE"""),"兵庫県")</f>
        <v>兵庫県</v>
      </c>
      <c r="D115" s="125">
        <f>IFERROR(__xludf.DUMMYFUNCTION("""COMPUTED_VALUE"""),8410.0)</f>
        <v>8410</v>
      </c>
      <c r="E115" s="38" t="str">
        <f>IFERROR(__xludf.DUMMYFUNCTION("""COMPUTED_VALUE"""),"YD")</f>
        <v>YD</v>
      </c>
      <c r="F115" s="38" t="str">
        <f>IFERROR(__xludf.DUMMYFUNCTION("""COMPUTED_VALUE"""),"テックランド 芦屋店")</f>
        <v>テックランド 芦屋店</v>
      </c>
      <c r="G115" s="38"/>
    </row>
    <row r="116">
      <c r="A116" s="38" t="str">
        <f>IFERROR(__xludf.DUMMYFUNCTION("""COMPUTED_VALUE"""),"CES")</f>
        <v>CES</v>
      </c>
      <c r="B116" s="38" t="str">
        <f>IFERROR(__xludf.DUMMYFUNCTION("""COMPUTED_VALUE"""),"関西")</f>
        <v>関西</v>
      </c>
      <c r="C116" s="38" t="str">
        <f>IFERROR(__xludf.DUMMYFUNCTION("""COMPUTED_VALUE"""),"大阪府")</f>
        <v>大阪府</v>
      </c>
      <c r="D116" s="125">
        <f>IFERROR(__xludf.DUMMYFUNCTION("""COMPUTED_VALUE"""),8457.0)</f>
        <v>8457</v>
      </c>
      <c r="E116" s="38" t="str">
        <f>IFERROR(__xludf.DUMMYFUNCTION("""COMPUTED_VALUE"""),"YD")</f>
        <v>YD</v>
      </c>
      <c r="F116" s="38" t="str">
        <f>IFERROR(__xludf.DUMMYFUNCTION("""COMPUTED_VALUE"""),"テックランド ららぽーと堺店")</f>
        <v>テックランド ららぽーと堺店</v>
      </c>
      <c r="G116" s="38"/>
    </row>
    <row r="117">
      <c r="A117" s="38" t="str">
        <f>IFERROR(__xludf.DUMMYFUNCTION("""COMPUTED_VALUE"""),"CES")</f>
        <v>CES</v>
      </c>
      <c r="B117" s="38" t="str">
        <f>IFERROR(__xludf.DUMMYFUNCTION("""COMPUTED_VALUE"""),"中部")</f>
        <v>中部</v>
      </c>
      <c r="C117" s="38" t="str">
        <f>IFERROR(__xludf.DUMMYFUNCTION("""COMPUTED_VALUE"""),"愛知県")</f>
        <v>愛知県</v>
      </c>
      <c r="D117" s="125">
        <f>IFERROR(__xludf.DUMMYFUNCTION("""COMPUTED_VALUE"""),8546.0)</f>
        <v>8546</v>
      </c>
      <c r="E117" s="38" t="str">
        <f>IFERROR(__xludf.DUMMYFUNCTION("""COMPUTED_VALUE"""),"YD")</f>
        <v>YD</v>
      </c>
      <c r="F117" s="38" t="str">
        <f>IFERROR(__xludf.DUMMYFUNCTION("""COMPUTED_VALUE"""),"テックランド ららぽーと安城店")</f>
        <v>テックランド ららぽーと安城店</v>
      </c>
      <c r="G117" s="38"/>
    </row>
    <row r="118">
      <c r="A118" s="38" t="str">
        <f>IFERROR(__xludf.DUMMYFUNCTION("""COMPUTED_VALUE"""),"CES")</f>
        <v>CES</v>
      </c>
      <c r="B118" s="38" t="str">
        <f>IFERROR(__xludf.DUMMYFUNCTION("""COMPUTED_VALUE"""),"中部")</f>
        <v>中部</v>
      </c>
      <c r="C118" s="38" t="str">
        <f>IFERROR(__xludf.DUMMYFUNCTION("""COMPUTED_VALUE"""),"岐阜県")</f>
        <v>岐阜県</v>
      </c>
      <c r="D118" s="125">
        <f>IFERROR(__xludf.DUMMYFUNCTION("""COMPUTED_VALUE"""),8456.0)</f>
        <v>8456</v>
      </c>
      <c r="E118" s="38" t="str">
        <f>IFERROR(__xludf.DUMMYFUNCTION("""COMPUTED_VALUE"""),"YD")</f>
        <v>YD</v>
      </c>
      <c r="F118" s="38" t="str">
        <f>IFERROR(__xludf.DUMMYFUNCTION("""COMPUTED_VALUE"""),"テックランド マーサ21店")</f>
        <v>テックランド マーサ21店</v>
      </c>
      <c r="G118" s="38"/>
    </row>
    <row r="119">
      <c r="A119" s="38" t="str">
        <f>IFERROR(__xludf.DUMMYFUNCTION("""COMPUTED_VALUE"""),"CES")</f>
        <v>CES</v>
      </c>
      <c r="B119" s="38" t="str">
        <f>IFERROR(__xludf.DUMMYFUNCTION("""COMPUTED_VALUE"""),"信越")</f>
        <v>信越</v>
      </c>
      <c r="C119" s="38" t="str">
        <f>IFERROR(__xludf.DUMMYFUNCTION("""COMPUTED_VALUE"""),"新潟県")</f>
        <v>新潟県</v>
      </c>
      <c r="D119" s="125">
        <f>IFERROR(__xludf.DUMMYFUNCTION("""COMPUTED_VALUE"""),8924.0)</f>
        <v>8924</v>
      </c>
      <c r="E119" s="38" t="str">
        <f>IFERROR(__xludf.DUMMYFUNCTION("""COMPUTED_VALUE"""),"YD")</f>
        <v>YD</v>
      </c>
      <c r="F119" s="38" t="str">
        <f>IFERROR(__xludf.DUMMYFUNCTION("""COMPUTED_VALUE"""),"テックランド そよら三条須頃店")</f>
        <v>テックランド そよら三条須頃店</v>
      </c>
      <c r="G119" s="38"/>
    </row>
    <row r="120">
      <c r="A120" s="38" t="str">
        <f>IFERROR(__xludf.DUMMYFUNCTION("""COMPUTED_VALUE"""),"CES")</f>
        <v>CES</v>
      </c>
      <c r="B120" s="38" t="str">
        <f>IFERROR(__xludf.DUMMYFUNCTION("""COMPUTED_VALUE"""),"信越")</f>
        <v>信越</v>
      </c>
      <c r="C120" s="38" t="str">
        <f>IFERROR(__xludf.DUMMYFUNCTION("""COMPUTED_VALUE"""),"新潟県")</f>
        <v>新潟県</v>
      </c>
      <c r="D120" s="125">
        <f>IFERROR(__xludf.DUMMYFUNCTION("""COMPUTED_VALUE"""),3721.0)</f>
        <v>3721</v>
      </c>
      <c r="E120" s="38" t="str">
        <f>IFERROR(__xludf.DUMMYFUNCTION("""COMPUTED_VALUE"""),"JO")</f>
        <v>JO</v>
      </c>
      <c r="F120" s="38" t="str">
        <f>IFERROR(__xludf.DUMMYFUNCTION("""COMPUTED_VALUE"""),"ジョーシン 長岡愛宕店")</f>
        <v>ジョーシン 長岡愛宕店</v>
      </c>
      <c r="G120" s="38"/>
    </row>
    <row r="121">
      <c r="A121" s="38" t="str">
        <f>IFERROR(__xludf.DUMMYFUNCTION("""COMPUTED_VALUE"""),"CES")</f>
        <v>CES</v>
      </c>
      <c r="B121" s="38" t="str">
        <f>IFERROR(__xludf.DUMMYFUNCTION("""COMPUTED_VALUE"""),"関西")</f>
        <v>関西</v>
      </c>
      <c r="C121" s="38" t="str">
        <f>IFERROR(__xludf.DUMMYFUNCTION("""COMPUTED_VALUE"""),"兵庫県")</f>
        <v>兵庫県</v>
      </c>
      <c r="D121" s="125">
        <f>IFERROR(__xludf.DUMMYFUNCTION("""COMPUTED_VALUE"""),8887.0)</f>
        <v>8887</v>
      </c>
      <c r="E121" s="38" t="str">
        <f>IFERROR(__xludf.DUMMYFUNCTION("""COMPUTED_VALUE"""),"JO")</f>
        <v>JO</v>
      </c>
      <c r="F121" s="38" t="str">
        <f>IFERROR(__xludf.DUMMYFUNCTION("""COMPUTED_VALUE"""),"ジョーシン 淡路店")</f>
        <v>ジョーシン 淡路店</v>
      </c>
      <c r="G121" s="38"/>
    </row>
    <row r="122">
      <c r="A122" s="38" t="str">
        <f>IFERROR(__xludf.DUMMYFUNCTION("""COMPUTED_VALUE"""),"CES")</f>
        <v>CES</v>
      </c>
      <c r="B122" s="38" t="str">
        <f>IFERROR(__xludf.DUMMYFUNCTION("""COMPUTED_VALUE"""),"信越")</f>
        <v>信越</v>
      </c>
      <c r="C122" s="38" t="str">
        <f>IFERROR(__xludf.DUMMYFUNCTION("""COMPUTED_VALUE"""),"新潟県")</f>
        <v>新潟県</v>
      </c>
      <c r="D122" s="125">
        <f>IFERROR(__xludf.DUMMYFUNCTION("""COMPUTED_VALUE"""),2471.0)</f>
        <v>2471</v>
      </c>
      <c r="E122" s="38" t="str">
        <f>IFERROR(__xludf.DUMMYFUNCTION("""COMPUTED_VALUE"""),"JO")</f>
        <v>JO</v>
      </c>
      <c r="F122" s="38" t="str">
        <f>IFERROR(__xludf.DUMMYFUNCTION("""COMPUTED_VALUE"""),"ジョーシン 上越店")</f>
        <v>ジョーシン 上越店</v>
      </c>
      <c r="G122" s="38"/>
    </row>
    <row r="123">
      <c r="A123" s="38" t="str">
        <f>IFERROR(__xludf.DUMMYFUNCTION("""COMPUTED_VALUE"""),"CES")</f>
        <v>CES</v>
      </c>
      <c r="B123" s="38" t="str">
        <f>IFERROR(__xludf.DUMMYFUNCTION("""COMPUTED_VALUE"""),"関西")</f>
        <v>関西</v>
      </c>
      <c r="C123" s="38" t="str">
        <f>IFERROR(__xludf.DUMMYFUNCTION("""COMPUTED_VALUE"""),"兵庫県")</f>
        <v>兵庫県</v>
      </c>
      <c r="D123" s="125">
        <f>IFERROR(__xludf.DUMMYFUNCTION("""COMPUTED_VALUE"""),8886.0)</f>
        <v>8886</v>
      </c>
      <c r="E123" s="38" t="str">
        <f>IFERROR(__xludf.DUMMYFUNCTION("""COMPUTED_VALUE"""),"JO")</f>
        <v>JO</v>
      </c>
      <c r="F123" s="38" t="str">
        <f>IFERROR(__xludf.DUMMYFUNCTION("""COMPUTED_VALUE"""),"ジョーシン 社店")</f>
        <v>ジョーシン 社店</v>
      </c>
      <c r="G123" s="38"/>
    </row>
    <row r="124">
      <c r="A124" s="38" t="str">
        <f>IFERROR(__xludf.DUMMYFUNCTION("""COMPUTED_VALUE"""),"CES")</f>
        <v>CES</v>
      </c>
      <c r="B124" s="38" t="str">
        <f>IFERROR(__xludf.DUMMYFUNCTION("""COMPUTED_VALUE"""),"関西")</f>
        <v>関西</v>
      </c>
      <c r="C124" s="38" t="str">
        <f>IFERROR(__xludf.DUMMYFUNCTION("""COMPUTED_VALUE"""),"奈良県")</f>
        <v>奈良県</v>
      </c>
      <c r="D124" s="125">
        <f>IFERROR(__xludf.DUMMYFUNCTION("""COMPUTED_VALUE"""),8884.0)</f>
        <v>8884</v>
      </c>
      <c r="E124" s="38" t="str">
        <f>IFERROR(__xludf.DUMMYFUNCTION("""COMPUTED_VALUE"""),"JO")</f>
        <v>JO</v>
      </c>
      <c r="F124" s="38" t="str">
        <f>IFERROR(__xludf.DUMMYFUNCTION("""COMPUTED_VALUE"""),"ジョーシン 郡山店")</f>
        <v>ジョーシン 郡山店</v>
      </c>
      <c r="G124" s="38"/>
    </row>
    <row r="125">
      <c r="A125" s="38" t="str">
        <f>IFERROR(__xludf.DUMMYFUNCTION("""COMPUTED_VALUE"""),"CES")</f>
        <v>CES</v>
      </c>
      <c r="B125" s="38" t="str">
        <f>IFERROR(__xludf.DUMMYFUNCTION("""COMPUTED_VALUE"""),"信越")</f>
        <v>信越</v>
      </c>
      <c r="C125" s="38" t="str">
        <f>IFERROR(__xludf.DUMMYFUNCTION("""COMPUTED_VALUE"""),"新潟県")</f>
        <v>新潟県</v>
      </c>
      <c r="D125" s="125">
        <f>IFERROR(__xludf.DUMMYFUNCTION("""COMPUTED_VALUE"""),1611.0)</f>
        <v>1611</v>
      </c>
      <c r="E125" s="38" t="str">
        <f>IFERROR(__xludf.DUMMYFUNCTION("""COMPUTED_VALUE"""),"JO")</f>
        <v>JO</v>
      </c>
      <c r="F125" s="38" t="str">
        <f>IFERROR(__xludf.DUMMYFUNCTION("""COMPUTED_VALUE"""),"ジョーシン 亀貝店")</f>
        <v>ジョーシン 亀貝店</v>
      </c>
      <c r="G125" s="38"/>
    </row>
    <row r="126">
      <c r="A126" s="38" t="str">
        <f>IFERROR(__xludf.DUMMYFUNCTION("""COMPUTED_VALUE"""),"CES")</f>
        <v>CES</v>
      </c>
      <c r="B126" s="38" t="str">
        <f>IFERROR(__xludf.DUMMYFUNCTION("""COMPUTED_VALUE"""),"信越")</f>
        <v>信越</v>
      </c>
      <c r="C126" s="38" t="str">
        <f>IFERROR(__xludf.DUMMYFUNCTION("""COMPUTED_VALUE"""),"新潟県")</f>
        <v>新潟県</v>
      </c>
      <c r="D126" s="125">
        <f>IFERROR(__xludf.DUMMYFUNCTION("""COMPUTED_VALUE"""),3221.0)</f>
        <v>3221</v>
      </c>
      <c r="E126" s="38" t="str">
        <f>IFERROR(__xludf.DUMMYFUNCTION("""COMPUTED_VALUE"""),"JO")</f>
        <v>JO</v>
      </c>
      <c r="F126" s="38" t="str">
        <f>IFERROR(__xludf.DUMMYFUNCTION("""COMPUTED_VALUE"""),"ジョーシン 燕三条店")</f>
        <v>ジョーシン 燕三条店</v>
      </c>
      <c r="G126" s="38"/>
    </row>
    <row r="127">
      <c r="A127" s="38" t="str">
        <f>IFERROR(__xludf.DUMMYFUNCTION("""COMPUTED_VALUE"""),"CES")</f>
        <v>CES</v>
      </c>
      <c r="B127" s="38" t="str">
        <f>IFERROR(__xludf.DUMMYFUNCTION("""COMPUTED_VALUE"""),"東北")</f>
        <v>東北</v>
      </c>
      <c r="C127" s="38" t="str">
        <f>IFERROR(__xludf.DUMMYFUNCTION("""COMPUTED_VALUE"""),"宮城県")</f>
        <v>宮城県</v>
      </c>
      <c r="D127" s="125">
        <f>IFERROR(__xludf.DUMMYFUNCTION("""COMPUTED_VALUE"""),1058.0)</f>
        <v>1058</v>
      </c>
      <c r="E127" s="38" t="str">
        <f>IFERROR(__xludf.DUMMYFUNCTION("""COMPUTED_VALUE"""),"KS")</f>
        <v>KS</v>
      </c>
      <c r="F127" s="38" t="str">
        <f>IFERROR(__xludf.DUMMYFUNCTION("""COMPUTED_VALUE"""),"ケーズデンキ 利府店")</f>
        <v>ケーズデンキ 利府店</v>
      </c>
      <c r="G127" s="38" t="str">
        <f>IFERROR(__xludf.DUMMYFUNCTION("""COMPUTED_VALUE"""),"10月～委託開始")</f>
        <v>10月～委託開始</v>
      </c>
    </row>
    <row r="128">
      <c r="A128" s="38" t="str">
        <f>IFERROR(__xludf.DUMMYFUNCTION("""COMPUTED_VALUE"""),"CES")</f>
        <v>CES</v>
      </c>
      <c r="B128" s="38" t="str">
        <f>IFERROR(__xludf.DUMMYFUNCTION("""COMPUTED_VALUE"""),"中四国")</f>
        <v>中四国</v>
      </c>
      <c r="C128" s="38" t="str">
        <f>IFERROR(__xludf.DUMMYFUNCTION("""COMPUTED_VALUE"""),"徳島県")</f>
        <v>徳島県</v>
      </c>
      <c r="D128" s="125">
        <f>IFERROR(__xludf.DUMMYFUNCTION("""COMPUTED_VALUE"""),1057.0)</f>
        <v>1057</v>
      </c>
      <c r="E128" s="38" t="str">
        <f>IFERROR(__xludf.DUMMYFUNCTION("""COMPUTED_VALUE"""),"KS")</f>
        <v>KS</v>
      </c>
      <c r="F128" s="38" t="str">
        <f>IFERROR(__xludf.DUMMYFUNCTION("""COMPUTED_VALUE"""),"ケーズデンキ 藍住店")</f>
        <v>ケーズデンキ 藍住店</v>
      </c>
      <c r="G128" s="38"/>
    </row>
    <row r="129">
      <c r="A129" s="38" t="str">
        <f>IFERROR(__xludf.DUMMYFUNCTION("""COMPUTED_VALUE"""),"CES")</f>
        <v>CES</v>
      </c>
      <c r="B129" s="38" t="str">
        <f>IFERROR(__xludf.DUMMYFUNCTION("""COMPUTED_VALUE"""),"北海道")</f>
        <v>北海道</v>
      </c>
      <c r="C129" s="38" t="str">
        <f>IFERROR(__xludf.DUMMYFUNCTION("""COMPUTED_VALUE"""),"北海道")</f>
        <v>北海道</v>
      </c>
      <c r="D129" s="125">
        <f>IFERROR(__xludf.DUMMYFUNCTION("""COMPUTED_VALUE"""),8327.0)</f>
        <v>8327</v>
      </c>
      <c r="E129" s="38" t="str">
        <f>IFERROR(__xludf.DUMMYFUNCTION("""COMPUTED_VALUE"""),"KS")</f>
        <v>KS</v>
      </c>
      <c r="F129" s="38" t="str">
        <f>IFERROR(__xludf.DUMMYFUNCTION("""COMPUTED_VALUE"""),"ケーズデンキ 北見店")</f>
        <v>ケーズデンキ 北見店</v>
      </c>
      <c r="G129" s="38" t="str">
        <f>IFERROR(__xludf.DUMMYFUNCTION("""COMPUTED_VALUE"""),"10月～委託開始")</f>
        <v>10月～委託開始</v>
      </c>
    </row>
    <row r="130">
      <c r="A130" s="38" t="str">
        <f>IFERROR(__xludf.DUMMYFUNCTION("""COMPUTED_VALUE"""),"CES")</f>
        <v>CES</v>
      </c>
      <c r="B130" s="38" t="str">
        <f>IFERROR(__xludf.DUMMYFUNCTION("""COMPUTED_VALUE"""),"東北")</f>
        <v>東北</v>
      </c>
      <c r="C130" s="38" t="str">
        <f>IFERROR(__xludf.DUMMYFUNCTION("""COMPUTED_VALUE"""),"山形県")</f>
        <v>山形県</v>
      </c>
      <c r="D130" s="125">
        <f>IFERROR(__xludf.DUMMYFUNCTION("""COMPUTED_VALUE"""),1226.0)</f>
        <v>1226</v>
      </c>
      <c r="E130" s="38" t="str">
        <f>IFERROR(__xludf.DUMMYFUNCTION("""COMPUTED_VALUE"""),"KS")</f>
        <v>KS</v>
      </c>
      <c r="F130" s="38" t="str">
        <f>IFERROR(__xludf.DUMMYFUNCTION("""COMPUTED_VALUE"""),"ケーズデンキ 米沢店")</f>
        <v>ケーズデンキ 米沢店</v>
      </c>
      <c r="G130" s="38"/>
    </row>
    <row r="131">
      <c r="A131" s="38" t="str">
        <f>IFERROR(__xludf.DUMMYFUNCTION("""COMPUTED_VALUE"""),"CES")</f>
        <v>CES</v>
      </c>
      <c r="B131" s="38" t="str">
        <f>IFERROR(__xludf.DUMMYFUNCTION("""COMPUTED_VALUE"""),"北海道")</f>
        <v>北海道</v>
      </c>
      <c r="C131" s="38" t="str">
        <f>IFERROR(__xludf.DUMMYFUNCTION("""COMPUTED_VALUE"""),"北海道")</f>
        <v>北海道</v>
      </c>
      <c r="D131" s="125">
        <f>IFERROR(__xludf.DUMMYFUNCTION("""COMPUTED_VALUE"""),8359.0)</f>
        <v>8359</v>
      </c>
      <c r="E131" s="38" t="str">
        <f>IFERROR(__xludf.DUMMYFUNCTION("""COMPUTED_VALUE"""),"KS")</f>
        <v>KS</v>
      </c>
      <c r="F131" s="38" t="str">
        <f>IFERROR(__xludf.DUMMYFUNCTION("""COMPUTED_VALUE"""),"ケーズデンキ 平岸店")</f>
        <v>ケーズデンキ 平岸店</v>
      </c>
      <c r="G131" s="38"/>
    </row>
    <row r="132">
      <c r="A132" s="38" t="str">
        <f>IFERROR(__xludf.DUMMYFUNCTION("""COMPUTED_VALUE"""),"CES")</f>
        <v>CES</v>
      </c>
      <c r="B132" s="38" t="str">
        <f>IFERROR(__xludf.DUMMYFUNCTION("""COMPUTED_VALUE"""),"東北")</f>
        <v>東北</v>
      </c>
      <c r="C132" s="38" t="str">
        <f>IFERROR(__xludf.DUMMYFUNCTION("""COMPUTED_VALUE"""),"福島県")</f>
        <v>福島県</v>
      </c>
      <c r="D132" s="125">
        <f>IFERROR(__xludf.DUMMYFUNCTION("""COMPUTED_VALUE"""),4221.0)</f>
        <v>4221</v>
      </c>
      <c r="E132" s="38" t="str">
        <f>IFERROR(__xludf.DUMMYFUNCTION("""COMPUTED_VALUE"""),"KS")</f>
        <v>KS</v>
      </c>
      <c r="F132" s="38" t="str">
        <f>IFERROR(__xludf.DUMMYFUNCTION("""COMPUTED_VALUE"""),"ケーズデンキ 福島南本店")</f>
        <v>ケーズデンキ 福島南本店</v>
      </c>
      <c r="G132" s="38" t="str">
        <f>IFERROR(__xludf.DUMMYFUNCTION("""COMPUTED_VALUE"""),"10月～委託開始")</f>
        <v>10月～委託開始</v>
      </c>
    </row>
    <row r="133">
      <c r="A133" s="38" t="str">
        <f>IFERROR(__xludf.DUMMYFUNCTION("""COMPUTED_VALUE"""),"CES")</f>
        <v>CES</v>
      </c>
      <c r="B133" s="38" t="str">
        <f>IFERROR(__xludf.DUMMYFUNCTION("""COMPUTED_VALUE"""),"中部")</f>
        <v>中部</v>
      </c>
      <c r="C133" s="38" t="str">
        <f>IFERROR(__xludf.DUMMYFUNCTION("""COMPUTED_VALUE"""),"福井県")</f>
        <v>福井県</v>
      </c>
      <c r="D133" s="125">
        <f>IFERROR(__xludf.DUMMYFUNCTION("""COMPUTED_VALUE"""),1487.0)</f>
        <v>1487</v>
      </c>
      <c r="E133" s="38" t="str">
        <f>IFERROR(__xludf.DUMMYFUNCTION("""COMPUTED_VALUE"""),"KS")</f>
        <v>KS</v>
      </c>
      <c r="F133" s="38" t="str">
        <f>IFERROR(__xludf.DUMMYFUNCTION("""COMPUTED_VALUE"""),"ケーズデンキ 福井空港前店")</f>
        <v>ケーズデンキ 福井空港前店</v>
      </c>
      <c r="G133" s="38"/>
    </row>
    <row r="134">
      <c r="A134" s="38" t="str">
        <f>IFERROR(__xludf.DUMMYFUNCTION("""COMPUTED_VALUE"""),"CES")</f>
        <v>CES</v>
      </c>
      <c r="B134" s="38" t="str">
        <f>IFERROR(__xludf.DUMMYFUNCTION("""COMPUTED_VALUE"""),"北海道")</f>
        <v>北海道</v>
      </c>
      <c r="C134" s="38" t="str">
        <f>IFERROR(__xludf.DUMMYFUNCTION("""COMPUTED_VALUE"""),"北海道")</f>
        <v>北海道</v>
      </c>
      <c r="D134" s="125">
        <f>IFERROR(__xludf.DUMMYFUNCTION("""COMPUTED_VALUE"""),8358.0)</f>
        <v>8358</v>
      </c>
      <c r="E134" s="38" t="str">
        <f>IFERROR(__xludf.DUMMYFUNCTION("""COMPUTED_VALUE"""),"KS")</f>
        <v>KS</v>
      </c>
      <c r="F134" s="38" t="str">
        <f>IFERROR(__xludf.DUMMYFUNCTION("""COMPUTED_VALUE"""),"ケーズデンキ 発寒店")</f>
        <v>ケーズデンキ 発寒店</v>
      </c>
      <c r="G134" s="38"/>
    </row>
    <row r="135">
      <c r="A135" s="38" t="str">
        <f>IFERROR(__xludf.DUMMYFUNCTION("""COMPUTED_VALUE"""),"CES")</f>
        <v>CES</v>
      </c>
      <c r="B135" s="38" t="str">
        <f>IFERROR(__xludf.DUMMYFUNCTION("""COMPUTED_VALUE"""),"東北")</f>
        <v>東北</v>
      </c>
      <c r="C135" s="38" t="str">
        <f>IFERROR(__xludf.DUMMYFUNCTION("""COMPUTED_VALUE"""),"福島県")</f>
        <v>福島県</v>
      </c>
      <c r="D135" s="125">
        <f>IFERROR(__xludf.DUMMYFUNCTION("""COMPUTED_VALUE"""),1224.0)</f>
        <v>1224</v>
      </c>
      <c r="E135" s="38" t="str">
        <f>IFERROR(__xludf.DUMMYFUNCTION("""COMPUTED_VALUE"""),"KS")</f>
        <v>KS</v>
      </c>
      <c r="F135" s="38" t="str">
        <f>IFERROR(__xludf.DUMMYFUNCTION("""COMPUTED_VALUE"""),"ケーズデンキ 白河店")</f>
        <v>ケーズデンキ 白河店</v>
      </c>
      <c r="G135" s="38"/>
    </row>
    <row r="136">
      <c r="A136" s="38" t="str">
        <f>IFERROR(__xludf.DUMMYFUNCTION("""COMPUTED_VALUE"""),"CES")</f>
        <v>CES</v>
      </c>
      <c r="B136" s="38" t="str">
        <f>IFERROR(__xludf.DUMMYFUNCTION("""COMPUTED_VALUE"""),"東北")</f>
        <v>東北</v>
      </c>
      <c r="C136" s="38" t="str">
        <f>IFERROR(__xludf.DUMMYFUNCTION("""COMPUTED_VALUE"""),"宮城県")</f>
        <v>宮城県</v>
      </c>
      <c r="D136" s="125">
        <f>IFERROR(__xludf.DUMMYFUNCTION("""COMPUTED_VALUE"""),3991.0)</f>
        <v>3991</v>
      </c>
      <c r="E136" s="38" t="str">
        <f>IFERROR(__xludf.DUMMYFUNCTION("""COMPUTED_VALUE"""),"KS")</f>
        <v>KS</v>
      </c>
      <c r="F136" s="38" t="str">
        <f>IFERROR(__xludf.DUMMYFUNCTION("""COMPUTED_VALUE"""),"ケーズデンキ 東仙台店")</f>
        <v>ケーズデンキ 東仙台店</v>
      </c>
      <c r="G136" s="38"/>
    </row>
    <row r="137">
      <c r="A137" s="38" t="str">
        <f>IFERROR(__xludf.DUMMYFUNCTION("""COMPUTED_VALUE"""),"CES")</f>
        <v>CES</v>
      </c>
      <c r="B137" s="38" t="str">
        <f>IFERROR(__xludf.DUMMYFUNCTION("""COMPUTED_VALUE"""),"関西")</f>
        <v>関西</v>
      </c>
      <c r="C137" s="38" t="str">
        <f>IFERROR(__xludf.DUMMYFUNCTION("""COMPUTED_VALUE"""),"和歌山県")</f>
        <v>和歌山県</v>
      </c>
      <c r="D137" s="125">
        <f>IFERROR(__xludf.DUMMYFUNCTION("""COMPUTED_VALUE"""),1485.0)</f>
        <v>1485</v>
      </c>
      <c r="E137" s="38" t="str">
        <f>IFERROR(__xludf.DUMMYFUNCTION("""COMPUTED_VALUE"""),"KS")</f>
        <v>KS</v>
      </c>
      <c r="F137" s="38" t="str">
        <f>IFERROR(__xludf.DUMMYFUNCTION("""COMPUTED_VALUE"""),"ケーズデンキ 田辺店")</f>
        <v>ケーズデンキ 田辺店</v>
      </c>
      <c r="G137" s="38"/>
    </row>
    <row r="138">
      <c r="A138" s="38" t="str">
        <f>IFERROR(__xludf.DUMMYFUNCTION("""COMPUTED_VALUE"""),"CES")</f>
        <v>CES</v>
      </c>
      <c r="B138" s="38" t="str">
        <f>IFERROR(__xludf.DUMMYFUNCTION("""COMPUTED_VALUE"""),"東北")</f>
        <v>東北</v>
      </c>
      <c r="C138" s="38" t="str">
        <f>IFERROR(__xludf.DUMMYFUNCTION("""COMPUTED_VALUE"""),"山形県")</f>
        <v>山形県</v>
      </c>
      <c r="D138" s="125">
        <f>IFERROR(__xludf.DUMMYFUNCTION("""COMPUTED_VALUE"""),1015.0)</f>
        <v>1015</v>
      </c>
      <c r="E138" s="38" t="str">
        <f>IFERROR(__xludf.DUMMYFUNCTION("""COMPUTED_VALUE"""),"KS")</f>
        <v>KS</v>
      </c>
      <c r="F138" s="38" t="str">
        <f>IFERROR(__xludf.DUMMYFUNCTION("""COMPUTED_VALUE"""),"ケーズデンキ 鶴岡店")</f>
        <v>ケーズデンキ 鶴岡店</v>
      </c>
      <c r="G138" s="38"/>
    </row>
    <row r="139">
      <c r="A139" s="38" t="str">
        <f>IFERROR(__xludf.DUMMYFUNCTION("""COMPUTED_VALUE"""),"CES")</f>
        <v>CES</v>
      </c>
      <c r="B139" s="38" t="str">
        <f>IFERROR(__xludf.DUMMYFUNCTION("""COMPUTED_VALUE"""),"東北")</f>
        <v>東北</v>
      </c>
      <c r="C139" s="38" t="str">
        <f>IFERROR(__xludf.DUMMYFUNCTION("""COMPUTED_VALUE"""),"秋田県")</f>
        <v>秋田県</v>
      </c>
      <c r="D139" s="125">
        <f>IFERROR(__xludf.DUMMYFUNCTION("""COMPUTED_VALUE"""),1018.0)</f>
        <v>1018</v>
      </c>
      <c r="E139" s="38" t="str">
        <f>IFERROR(__xludf.DUMMYFUNCTION("""COMPUTED_VALUE"""),"KS")</f>
        <v>KS</v>
      </c>
      <c r="F139" s="38" t="str">
        <f>IFERROR(__xludf.DUMMYFUNCTION("""COMPUTED_VALUE"""),"ケーズデンキ 大仙店")</f>
        <v>ケーズデンキ 大仙店</v>
      </c>
      <c r="G139" s="38"/>
    </row>
    <row r="140">
      <c r="A140" s="38" t="str">
        <f>IFERROR(__xludf.DUMMYFUNCTION("""COMPUTED_VALUE"""),"CES")</f>
        <v>CES</v>
      </c>
      <c r="B140" s="38" t="str">
        <f>IFERROR(__xludf.DUMMYFUNCTION("""COMPUTED_VALUE"""),"東北")</f>
        <v>東北</v>
      </c>
      <c r="C140" s="38" t="str">
        <f>IFERROR(__xludf.DUMMYFUNCTION("""COMPUTED_VALUE"""),"宮城県")</f>
        <v>宮城県</v>
      </c>
      <c r="D140" s="125">
        <f>IFERROR(__xludf.DUMMYFUNCTION("""COMPUTED_VALUE"""),4001.0)</f>
        <v>4001</v>
      </c>
      <c r="E140" s="38" t="str">
        <f>IFERROR(__xludf.DUMMYFUNCTION("""COMPUTED_VALUE"""),"KS")</f>
        <v>KS</v>
      </c>
      <c r="F140" s="38" t="str">
        <f>IFERROR(__xludf.DUMMYFUNCTION("""COMPUTED_VALUE"""),"ケーズデンキ大崎古川本店")</f>
        <v>ケーズデンキ大崎古川本店</v>
      </c>
      <c r="G140" s="38" t="str">
        <f>IFERROR(__xludf.DUMMYFUNCTION("""COMPUTED_VALUE"""),"10月～委託開始")</f>
        <v>10月～委託開始</v>
      </c>
    </row>
    <row r="141">
      <c r="A141" s="38" t="str">
        <f>IFERROR(__xludf.DUMMYFUNCTION("""COMPUTED_VALUE"""),"CES")</f>
        <v>CES</v>
      </c>
      <c r="B141" s="38" t="str">
        <f>IFERROR(__xludf.DUMMYFUNCTION("""COMPUTED_VALUE"""),"東北")</f>
        <v>東北</v>
      </c>
      <c r="C141" s="38" t="str">
        <f>IFERROR(__xludf.DUMMYFUNCTION("""COMPUTED_VALUE"""),"秋田県")</f>
        <v>秋田県</v>
      </c>
      <c r="D141" s="125">
        <f>IFERROR(__xludf.DUMMYFUNCTION("""COMPUTED_VALUE"""),1475.0)</f>
        <v>1475</v>
      </c>
      <c r="E141" s="38" t="str">
        <f>IFERROR(__xludf.DUMMYFUNCTION("""COMPUTED_VALUE"""),"KS")</f>
        <v>KS</v>
      </c>
      <c r="F141" s="38" t="str">
        <f>IFERROR(__xludf.DUMMYFUNCTION("""COMPUTED_VALUE"""),"ケーズデンキ 大館店")</f>
        <v>ケーズデンキ 大館店</v>
      </c>
      <c r="G141" s="38"/>
    </row>
    <row r="142">
      <c r="A142" s="38" t="str">
        <f>IFERROR(__xludf.DUMMYFUNCTION("""COMPUTED_VALUE"""),"CES")</f>
        <v>CES</v>
      </c>
      <c r="B142" s="38" t="str">
        <f>IFERROR(__xludf.DUMMYFUNCTION("""COMPUTED_VALUE"""),"東北")</f>
        <v>東北</v>
      </c>
      <c r="C142" s="38" t="str">
        <f>IFERROR(__xludf.DUMMYFUNCTION("""COMPUTED_VALUE"""),"宮城県")</f>
        <v>宮城県</v>
      </c>
      <c r="D142" s="125">
        <f>IFERROR(__xludf.DUMMYFUNCTION("""COMPUTED_VALUE"""),8356.0)</f>
        <v>8356</v>
      </c>
      <c r="E142" s="38" t="str">
        <f>IFERROR(__xludf.DUMMYFUNCTION("""COMPUTED_VALUE"""),"KS")</f>
        <v>KS</v>
      </c>
      <c r="F142" s="38" t="str">
        <f>IFERROR(__xludf.DUMMYFUNCTION("""COMPUTED_VALUE"""),"ケーズデンキ 大河原店")</f>
        <v>ケーズデンキ 大河原店</v>
      </c>
      <c r="G142" s="38" t="str">
        <f>IFERROR(__xludf.DUMMYFUNCTION("""COMPUTED_VALUE"""),"10月～委託開始")</f>
        <v>10月～委託開始</v>
      </c>
    </row>
    <row r="143">
      <c r="A143" s="38" t="str">
        <f>IFERROR(__xludf.DUMMYFUNCTION("""COMPUTED_VALUE"""),"CES")</f>
        <v>CES</v>
      </c>
      <c r="B143" s="38" t="str">
        <f>IFERROR(__xludf.DUMMYFUNCTION("""COMPUTED_VALUE"""),"東北")</f>
        <v>東北</v>
      </c>
      <c r="C143" s="38" t="str">
        <f>IFERROR(__xludf.DUMMYFUNCTION("""COMPUTED_VALUE"""),"宮城県")</f>
        <v>宮城県</v>
      </c>
      <c r="D143" s="125">
        <f>IFERROR(__xludf.DUMMYFUNCTION("""COMPUTED_VALUE"""),8324.0)</f>
        <v>8324</v>
      </c>
      <c r="E143" s="38" t="str">
        <f>IFERROR(__xludf.DUMMYFUNCTION("""COMPUTED_VALUE"""),"KS")</f>
        <v>KS</v>
      </c>
      <c r="F143" s="38" t="str">
        <f>IFERROR(__xludf.DUMMYFUNCTION("""COMPUTED_VALUE"""),"ケーズデンキ 仙台西店")</f>
        <v>ケーズデンキ 仙台西店</v>
      </c>
      <c r="G143" s="38"/>
    </row>
    <row r="144">
      <c r="A144" s="38" t="str">
        <f>IFERROR(__xludf.DUMMYFUNCTION("""COMPUTED_VALUE"""),"CES")</f>
        <v>CES</v>
      </c>
      <c r="B144" s="38" t="str">
        <f>IFERROR(__xludf.DUMMYFUNCTION("""COMPUTED_VALUE"""),"東北")</f>
        <v>東北</v>
      </c>
      <c r="C144" s="38" t="str">
        <f>IFERROR(__xludf.DUMMYFUNCTION("""COMPUTED_VALUE"""),"宮城県")</f>
        <v>宮城県</v>
      </c>
      <c r="D144" s="125">
        <f>IFERROR(__xludf.DUMMYFUNCTION("""COMPUTED_VALUE"""),8420.0)</f>
        <v>8420</v>
      </c>
      <c r="E144" s="38" t="str">
        <f>IFERROR(__xludf.DUMMYFUNCTION("""COMPUTED_VALUE"""),"KS")</f>
        <v>KS</v>
      </c>
      <c r="F144" s="38" t="str">
        <f>IFERROR(__xludf.DUMMYFUNCTION("""COMPUTED_VALUE"""),"ケーズデンキ 仙台荒井店")</f>
        <v>ケーズデンキ 仙台荒井店</v>
      </c>
      <c r="G144" s="38"/>
    </row>
    <row r="145">
      <c r="A145" s="38" t="str">
        <f>IFERROR(__xludf.DUMMYFUNCTION("""COMPUTED_VALUE"""),"CES")</f>
        <v>CES</v>
      </c>
      <c r="B145" s="38" t="str">
        <f>IFERROR(__xludf.DUMMYFUNCTION("""COMPUTED_VALUE"""),"信越")</f>
        <v>信越</v>
      </c>
      <c r="C145" s="38" t="str">
        <f>IFERROR(__xludf.DUMMYFUNCTION("""COMPUTED_VALUE"""),"新潟県")</f>
        <v>新潟県</v>
      </c>
      <c r="D145" s="125">
        <f>IFERROR(__xludf.DUMMYFUNCTION("""COMPUTED_VALUE"""),1238.0)</f>
        <v>1238</v>
      </c>
      <c r="E145" s="38" t="str">
        <f>IFERROR(__xludf.DUMMYFUNCTION("""COMPUTED_VALUE"""),"KS")</f>
        <v>KS</v>
      </c>
      <c r="F145" s="38" t="str">
        <f>IFERROR(__xludf.DUMMYFUNCTION("""COMPUTED_VALUE"""),"ケーズデンキ 上越インター店")</f>
        <v>ケーズデンキ 上越インター店</v>
      </c>
      <c r="G145" s="38"/>
    </row>
    <row r="146">
      <c r="A146" s="38" t="str">
        <f>IFERROR(__xludf.DUMMYFUNCTION("""COMPUTED_VALUE"""),"CES")</f>
        <v>CES</v>
      </c>
      <c r="B146" s="38" t="str">
        <f>IFERROR(__xludf.DUMMYFUNCTION("""COMPUTED_VALUE"""),"信越")</f>
        <v>信越</v>
      </c>
      <c r="C146" s="38" t="str">
        <f>IFERROR(__xludf.DUMMYFUNCTION("""COMPUTED_VALUE"""),"新潟県")</f>
        <v>新潟県</v>
      </c>
      <c r="D146" s="125">
        <f>IFERROR(__xludf.DUMMYFUNCTION("""COMPUTED_VALUE"""),1505.0)</f>
        <v>1505</v>
      </c>
      <c r="E146" s="38" t="str">
        <f>IFERROR(__xludf.DUMMYFUNCTION("""COMPUTED_VALUE"""),"KS")</f>
        <v>KS</v>
      </c>
      <c r="F146" s="38" t="str">
        <f>IFERROR(__xludf.DUMMYFUNCTION("""COMPUTED_VALUE"""),"ケーズデンキ 女池インター本店")</f>
        <v>ケーズデンキ 女池インター本店</v>
      </c>
      <c r="G146" s="38"/>
    </row>
    <row r="147">
      <c r="A147" s="38" t="str">
        <f>IFERROR(__xludf.DUMMYFUNCTION("""COMPUTED_VALUE"""),"CES")</f>
        <v>CES</v>
      </c>
      <c r="B147" s="38" t="str">
        <f>IFERROR(__xludf.DUMMYFUNCTION("""COMPUTED_VALUE"""),"関西")</f>
        <v>関西</v>
      </c>
      <c r="C147" s="38" t="str">
        <f>IFERROR(__xludf.DUMMYFUNCTION("""COMPUTED_VALUE"""),"滋賀県")</f>
        <v>滋賀県</v>
      </c>
      <c r="D147" s="125">
        <f>IFERROR(__xludf.DUMMYFUNCTION("""COMPUTED_VALUE"""),1098.0)</f>
        <v>1098</v>
      </c>
      <c r="E147" s="38" t="str">
        <f>IFERROR(__xludf.DUMMYFUNCTION("""COMPUTED_VALUE"""),"KS")</f>
        <v>KS</v>
      </c>
      <c r="F147" s="38" t="str">
        <f>IFERROR(__xludf.DUMMYFUNCTION("""COMPUTED_VALUE"""),"ケーズデンキ 守山店")</f>
        <v>ケーズデンキ 守山店</v>
      </c>
      <c r="G147" s="38"/>
    </row>
    <row r="148">
      <c r="A148" s="38" t="str">
        <f>IFERROR(__xludf.DUMMYFUNCTION("""COMPUTED_VALUE"""),"CES")</f>
        <v>CES</v>
      </c>
      <c r="B148" s="38" t="str">
        <f>IFERROR(__xludf.DUMMYFUNCTION("""COMPUTED_VALUE"""),"北海道")</f>
        <v>北海道</v>
      </c>
      <c r="C148" s="38" t="str">
        <f>IFERROR(__xludf.DUMMYFUNCTION("""COMPUTED_VALUE"""),"北海道")</f>
        <v>北海道</v>
      </c>
      <c r="D148" s="125">
        <f>IFERROR(__xludf.DUMMYFUNCTION("""COMPUTED_VALUE"""),8363.0)</f>
        <v>8363</v>
      </c>
      <c r="E148" s="38" t="str">
        <f>IFERROR(__xludf.DUMMYFUNCTION("""COMPUTED_VALUE"""),"KS")</f>
        <v>KS</v>
      </c>
      <c r="F148" s="38" t="str">
        <f>IFERROR(__xludf.DUMMYFUNCTION("""COMPUTED_VALUE"""),"ケーズデンキ 室蘭モルエ店")</f>
        <v>ケーズデンキ 室蘭モルエ店</v>
      </c>
      <c r="G148" s="38" t="str">
        <f>IFERROR(__xludf.DUMMYFUNCTION("""COMPUTED_VALUE"""),"10月～委託開始")</f>
        <v>10月～委託開始</v>
      </c>
    </row>
    <row r="149">
      <c r="A149" s="38" t="str">
        <f>IFERROR(__xludf.DUMMYFUNCTION("""COMPUTED_VALUE"""),"CES")</f>
        <v>CES</v>
      </c>
      <c r="B149" s="38" t="str">
        <f>IFERROR(__xludf.DUMMYFUNCTION("""COMPUTED_VALUE"""),"中四国")</f>
        <v>中四国</v>
      </c>
      <c r="C149" s="38" t="str">
        <f>IFERROR(__xludf.DUMMYFUNCTION("""COMPUTED_VALUE"""),"愛媛県")</f>
        <v>愛媛県</v>
      </c>
      <c r="D149" s="125">
        <f>IFERROR(__xludf.DUMMYFUNCTION("""COMPUTED_VALUE"""),8952.0)</f>
        <v>8952</v>
      </c>
      <c r="E149" s="38" t="str">
        <f>IFERROR(__xludf.DUMMYFUNCTION("""COMPUTED_VALUE"""),"KS")</f>
        <v>KS</v>
      </c>
      <c r="F149" s="38" t="str">
        <f>IFERROR(__xludf.DUMMYFUNCTION("""COMPUTED_VALUE"""),"ケーズデンキ 四国中央店")</f>
        <v>ケーズデンキ 四国中央店</v>
      </c>
      <c r="G149" s="38"/>
    </row>
    <row r="150">
      <c r="A150" s="38" t="str">
        <f>IFERROR(__xludf.DUMMYFUNCTION("""COMPUTED_VALUE"""),"CES")</f>
        <v>CES</v>
      </c>
      <c r="B150" s="38" t="str">
        <f>IFERROR(__xludf.DUMMYFUNCTION("""COMPUTED_VALUE"""),"関西")</f>
        <v>関西</v>
      </c>
      <c r="C150" s="38" t="str">
        <f>IFERROR(__xludf.DUMMYFUNCTION("""COMPUTED_VALUE"""),"奈良県")</f>
        <v>奈良県</v>
      </c>
      <c r="D150" s="125">
        <f>IFERROR(__xludf.DUMMYFUNCTION("""COMPUTED_VALUE"""),8613.0)</f>
        <v>8613</v>
      </c>
      <c r="E150" s="38" t="str">
        <f>IFERROR(__xludf.DUMMYFUNCTION("""COMPUTED_VALUE"""),"KS")</f>
        <v>KS</v>
      </c>
      <c r="F150" s="38" t="str">
        <f>IFERROR(__xludf.DUMMYFUNCTION("""COMPUTED_VALUE"""),"ケーズデンキ 高の原店")</f>
        <v>ケーズデンキ 高の原店</v>
      </c>
      <c r="G150" s="38"/>
    </row>
    <row r="151">
      <c r="A151" s="38" t="str">
        <f>IFERROR(__xludf.DUMMYFUNCTION("""COMPUTED_VALUE"""),"CES")</f>
        <v>CES</v>
      </c>
      <c r="B151" s="38" t="str">
        <f>IFERROR(__xludf.DUMMYFUNCTION("""COMPUTED_VALUE"""),"関東")</f>
        <v>関東</v>
      </c>
      <c r="C151" s="38" t="str">
        <f>IFERROR(__xludf.DUMMYFUNCTION("""COMPUTED_VALUE"""),"千葉県")</f>
        <v>千葉県</v>
      </c>
      <c r="D151" s="125">
        <f>IFERROR(__xludf.DUMMYFUNCTION("""COMPUTED_VALUE"""),8956.0)</f>
        <v>8956</v>
      </c>
      <c r="E151" s="38" t="str">
        <f>IFERROR(__xludf.DUMMYFUNCTION("""COMPUTED_VALUE"""),"KS")</f>
        <v>KS</v>
      </c>
      <c r="F151" s="38" t="str">
        <f>IFERROR(__xludf.DUMMYFUNCTION("""COMPUTED_VALUE"""),"ケーズデンキ 君津店")</f>
        <v>ケーズデンキ 君津店</v>
      </c>
      <c r="G151" s="38"/>
    </row>
    <row r="152">
      <c r="A152" s="38" t="str">
        <f>IFERROR(__xludf.DUMMYFUNCTION("""COMPUTED_VALUE"""),"CES")</f>
        <v>CES</v>
      </c>
      <c r="B152" s="38" t="str">
        <f>IFERROR(__xludf.DUMMYFUNCTION("""COMPUTED_VALUE"""),"北海道")</f>
        <v>北海道</v>
      </c>
      <c r="C152" s="38" t="str">
        <f>IFERROR(__xludf.DUMMYFUNCTION("""COMPUTED_VALUE"""),"北海道")</f>
        <v>北海道</v>
      </c>
      <c r="D152" s="125">
        <f>IFERROR(__xludf.DUMMYFUNCTION("""COMPUTED_VALUE"""),8326.0)</f>
        <v>8326</v>
      </c>
      <c r="E152" s="38" t="str">
        <f>IFERROR(__xludf.DUMMYFUNCTION("""COMPUTED_VALUE"""),"KS")</f>
        <v>KS</v>
      </c>
      <c r="F152" s="38" t="str">
        <f>IFERROR(__xludf.DUMMYFUNCTION("""COMPUTED_VALUE"""),"ケーズデンキ 釧路本店")</f>
        <v>ケーズデンキ 釧路本店</v>
      </c>
      <c r="G152" s="38" t="str">
        <f>IFERROR(__xludf.DUMMYFUNCTION("""COMPUTED_VALUE"""),"10月～委託開始")</f>
        <v>10月～委託開始</v>
      </c>
    </row>
    <row r="153">
      <c r="A153" s="38" t="str">
        <f>IFERROR(__xludf.DUMMYFUNCTION("""COMPUTED_VALUE"""),"CES")</f>
        <v>CES</v>
      </c>
      <c r="B153" s="38" t="str">
        <f>IFERROR(__xludf.DUMMYFUNCTION("""COMPUTED_VALUE"""),"中部")</f>
        <v>中部</v>
      </c>
      <c r="C153" s="38" t="str">
        <f>IFERROR(__xludf.DUMMYFUNCTION("""COMPUTED_VALUE"""),"福井県")</f>
        <v>福井県</v>
      </c>
      <c r="D153" s="125">
        <f>IFERROR(__xludf.DUMMYFUNCTION("""COMPUTED_VALUE"""),8951.0)</f>
        <v>8951</v>
      </c>
      <c r="E153" s="38" t="str">
        <f>IFERROR(__xludf.DUMMYFUNCTION("""COMPUTED_VALUE"""),"KS")</f>
        <v>KS</v>
      </c>
      <c r="F153" s="38" t="str">
        <f>IFERROR(__xludf.DUMMYFUNCTION("""COMPUTED_VALUE"""),"ケーズデンキ 越前店")</f>
        <v>ケーズデンキ 越前店</v>
      </c>
      <c r="G153" s="38"/>
    </row>
    <row r="154">
      <c r="A154" s="38" t="str">
        <f>IFERROR(__xludf.DUMMYFUNCTION("""COMPUTED_VALUE"""),"CES")</f>
        <v>CES</v>
      </c>
      <c r="B154" s="38" t="str">
        <f>IFERROR(__xludf.DUMMYFUNCTION("""COMPUTED_VALUE"""),"関西")</f>
        <v>関西</v>
      </c>
      <c r="C154" s="38" t="str">
        <f>IFERROR(__xludf.DUMMYFUNCTION("""COMPUTED_VALUE"""),"京都府")</f>
        <v>京都府</v>
      </c>
      <c r="D154" s="125">
        <f>IFERROR(__xludf.DUMMYFUNCTION("""COMPUTED_VALUE"""),1097.0)</f>
        <v>1097</v>
      </c>
      <c r="E154" s="38" t="str">
        <f>IFERROR(__xludf.DUMMYFUNCTION("""COMPUTED_VALUE"""),"KS")</f>
        <v>KS</v>
      </c>
      <c r="F154" s="38" t="str">
        <f>IFERROR(__xludf.DUMMYFUNCTION("""COMPUTED_VALUE"""),"ケーズデンキ 綾部店")</f>
        <v>ケーズデンキ 綾部店</v>
      </c>
      <c r="G154" s="38"/>
    </row>
    <row r="155">
      <c r="A155" s="38" t="str">
        <f>IFERROR(__xludf.DUMMYFUNCTION("""COMPUTED_VALUE"""),"CES")</f>
        <v>CES</v>
      </c>
      <c r="B155" s="38" t="str">
        <f>IFERROR(__xludf.DUMMYFUNCTION("""COMPUTED_VALUE"""),"関西")</f>
        <v>関西</v>
      </c>
      <c r="C155" s="38" t="str">
        <f>IFERROR(__xludf.DUMMYFUNCTION("""COMPUTED_VALUE"""),"大阪府")</f>
        <v>大阪府</v>
      </c>
      <c r="D155" s="125">
        <f>IFERROR(__xludf.DUMMYFUNCTION("""COMPUTED_VALUE"""),5701.0)</f>
        <v>5701</v>
      </c>
      <c r="E155" s="38" t="str">
        <f>IFERROR(__xludf.DUMMYFUNCTION("""COMPUTED_VALUE"""),"KS")</f>
        <v>KS</v>
      </c>
      <c r="F155" s="38" t="str">
        <f>IFERROR(__xludf.DUMMYFUNCTION("""COMPUTED_VALUE"""),"ケーズデンキ クロスモール富田林店")</f>
        <v>ケーズデンキ クロスモール富田林店</v>
      </c>
      <c r="G155" s="38"/>
    </row>
    <row r="156">
      <c r="A156" s="38" t="str">
        <f>IFERROR(__xludf.DUMMYFUNCTION("""COMPUTED_VALUE"""),"CES")</f>
        <v>CES</v>
      </c>
      <c r="B156" s="38" t="str">
        <f>IFERROR(__xludf.DUMMYFUNCTION("""COMPUTED_VALUE"""),"北海道")</f>
        <v>北海道</v>
      </c>
      <c r="C156" s="38" t="str">
        <f>IFERROR(__xludf.DUMMYFUNCTION("""COMPUTED_VALUE"""),"北海道")</f>
        <v>北海道</v>
      </c>
      <c r="D156" s="125">
        <f>IFERROR(__xludf.DUMMYFUNCTION("""COMPUTED_VALUE"""),7071.0)</f>
        <v>7071</v>
      </c>
      <c r="E156" s="38" t="str">
        <f>IFERROR(__xludf.DUMMYFUNCTION("""COMPUTED_VALUE"""),"KS")</f>
        <v>KS</v>
      </c>
      <c r="F156" s="38" t="str">
        <f>IFERROR(__xludf.DUMMYFUNCTION("""COMPUTED_VALUE"""),"ケーズデンキ インターヴィレッジ大曲店")</f>
        <v>ケーズデンキ インターヴィレッジ大曲店</v>
      </c>
      <c r="G156" s="38" t="str">
        <f>IFERROR(__xludf.DUMMYFUNCTION("""COMPUTED_VALUE"""),"10月～委託開始")</f>
        <v>10月～委託開始</v>
      </c>
    </row>
    <row r="157">
      <c r="A157" s="38" t="str">
        <f>IFERROR(__xludf.DUMMYFUNCTION("""COMPUTED_VALUE"""),"CES")</f>
        <v>CES</v>
      </c>
      <c r="B157" s="38" t="str">
        <f>IFERROR(__xludf.DUMMYFUNCTION("""COMPUTED_VALUE"""),"中四国")</f>
        <v>中四国</v>
      </c>
      <c r="C157" s="38" t="str">
        <f>IFERROR(__xludf.DUMMYFUNCTION("""COMPUTED_VALUE"""),"香川県")</f>
        <v>香川県</v>
      </c>
      <c r="D157" s="125">
        <f>IFERROR(__xludf.DUMMYFUNCTION("""COMPUTED_VALUE"""),8953.0)</f>
        <v>8953</v>
      </c>
      <c r="E157" s="38" t="str">
        <f>IFERROR(__xludf.DUMMYFUNCTION("""COMPUTED_VALUE"""),"KS")</f>
        <v>KS</v>
      </c>
      <c r="F157" s="38" t="str">
        <f>IFERROR(__xludf.DUMMYFUNCTION("""COMPUTED_VALUE"""),"ケーズデンキ イオンタウン宇多津店")</f>
        <v>ケーズデンキ イオンタウン宇多津店</v>
      </c>
      <c r="G157" s="38"/>
    </row>
    <row r="158">
      <c r="A158" s="38" t="str">
        <f>IFERROR(__xludf.DUMMYFUNCTION("""COMPUTED_VALUE"""),"CES")</f>
        <v>CES</v>
      </c>
      <c r="B158" s="38" t="str">
        <f>IFERROR(__xludf.DUMMYFUNCTION("""COMPUTED_VALUE"""),"中部")</f>
        <v>中部</v>
      </c>
      <c r="C158" s="38" t="str">
        <f>IFERROR(__xludf.DUMMYFUNCTION("""COMPUTED_VALUE"""),"静岡県")</f>
        <v>静岡県</v>
      </c>
      <c r="D158" s="125">
        <f>IFERROR(__xludf.DUMMYFUNCTION("""COMPUTED_VALUE"""),8373.0)</f>
        <v>8373</v>
      </c>
      <c r="E158" s="38" t="str">
        <f>IFERROR(__xludf.DUMMYFUNCTION("""COMPUTED_VALUE"""),"ED")</f>
        <v>ED</v>
      </c>
      <c r="F158" s="38" t="str">
        <f>IFERROR(__xludf.DUMMYFUNCTION("""COMPUTED_VALUE"""),"エディオン 浜松半田店")</f>
        <v>エディオン 浜松半田店</v>
      </c>
      <c r="G158" s="38"/>
    </row>
    <row r="159">
      <c r="A159" s="38" t="str">
        <f>IFERROR(__xludf.DUMMYFUNCTION("""COMPUTED_VALUE"""),"CES")</f>
        <v>CES</v>
      </c>
      <c r="B159" s="38" t="str">
        <f>IFERROR(__xludf.DUMMYFUNCTION("""COMPUTED_VALUE"""),"中部")</f>
        <v>中部</v>
      </c>
      <c r="C159" s="38" t="str">
        <f>IFERROR(__xludf.DUMMYFUNCTION("""COMPUTED_VALUE"""),"愛知県")</f>
        <v>愛知県</v>
      </c>
      <c r="D159" s="125">
        <f>IFERROR(__xludf.DUMMYFUNCTION("""COMPUTED_VALUE"""),8279.0)</f>
        <v>8279</v>
      </c>
      <c r="E159" s="38" t="str">
        <f>IFERROR(__xludf.DUMMYFUNCTION("""COMPUTED_VALUE"""),"ED")</f>
        <v>ED</v>
      </c>
      <c r="F159" s="38" t="str">
        <f>IFERROR(__xludf.DUMMYFUNCTION("""COMPUTED_VALUE"""),"エディオン 日進竹の山店")</f>
        <v>エディオン 日進竹の山店</v>
      </c>
      <c r="G159" s="38"/>
    </row>
    <row r="160">
      <c r="A160" s="38" t="str">
        <f>IFERROR(__xludf.DUMMYFUNCTION("""COMPUTED_VALUE"""),"CES")</f>
        <v>CES</v>
      </c>
      <c r="B160" s="38" t="str">
        <f>IFERROR(__xludf.DUMMYFUNCTION("""COMPUTED_VALUE"""),"中四国")</f>
        <v>中四国</v>
      </c>
      <c r="C160" s="38" t="str">
        <f>IFERROR(__xludf.DUMMYFUNCTION("""COMPUTED_VALUE"""),"広島県")</f>
        <v>広島県</v>
      </c>
      <c r="D160" s="125">
        <f>IFERROR(__xludf.DUMMYFUNCTION("""COMPUTED_VALUE"""),1034.0)</f>
        <v>1034</v>
      </c>
      <c r="E160" s="38" t="str">
        <f>IFERROR(__xludf.DUMMYFUNCTION("""COMPUTED_VALUE"""),"ED")</f>
        <v>ED</v>
      </c>
      <c r="F160" s="38" t="str">
        <f>IFERROR(__xludf.DUMMYFUNCTION("""COMPUTED_VALUE"""),"エディオン 廿日市店")</f>
        <v>エディオン 廿日市店</v>
      </c>
      <c r="G160" s="38"/>
    </row>
    <row r="161">
      <c r="A161" s="38" t="str">
        <f>IFERROR(__xludf.DUMMYFUNCTION("""COMPUTED_VALUE"""),"CES")</f>
        <v>CES</v>
      </c>
      <c r="B161" s="38" t="str">
        <f>IFERROR(__xludf.DUMMYFUNCTION("""COMPUTED_VALUE"""),"中部")</f>
        <v>中部</v>
      </c>
      <c r="C161" s="38" t="str">
        <f>IFERROR(__xludf.DUMMYFUNCTION("""COMPUTED_VALUE"""),"愛知県")</f>
        <v>愛知県</v>
      </c>
      <c r="D161" s="125">
        <f>IFERROR(__xludf.DUMMYFUNCTION("""COMPUTED_VALUE"""),1007.0)</f>
        <v>1007</v>
      </c>
      <c r="E161" s="38" t="str">
        <f>IFERROR(__xludf.DUMMYFUNCTION("""COMPUTED_VALUE"""),"ED")</f>
        <v>ED</v>
      </c>
      <c r="F161" s="38" t="str">
        <f>IFERROR(__xludf.DUMMYFUNCTION("""COMPUTED_VALUE"""),"エディオン 津島店")</f>
        <v>エディオン 津島店</v>
      </c>
      <c r="G161" s="38"/>
    </row>
    <row r="162">
      <c r="A162" s="38" t="str">
        <f>IFERROR(__xludf.DUMMYFUNCTION("""COMPUTED_VALUE"""),"CES")</f>
        <v>CES</v>
      </c>
      <c r="B162" s="38" t="str">
        <f>IFERROR(__xludf.DUMMYFUNCTION("""COMPUTED_VALUE"""),"中四国")</f>
        <v>中四国</v>
      </c>
      <c r="C162" s="38" t="str">
        <f>IFERROR(__xludf.DUMMYFUNCTION("""COMPUTED_VALUE"""),"鳥取県")</f>
        <v>鳥取県</v>
      </c>
      <c r="D162" s="125">
        <f>IFERROR(__xludf.DUMMYFUNCTION("""COMPUTED_VALUE"""),8905.0)</f>
        <v>8905</v>
      </c>
      <c r="E162" s="38" t="str">
        <f>IFERROR(__xludf.DUMMYFUNCTION("""COMPUTED_VALUE"""),"ED")</f>
        <v>ED</v>
      </c>
      <c r="F162" s="38" t="str">
        <f>IFERROR(__xludf.DUMMYFUNCTION("""COMPUTED_VALUE"""),"エディオン 倉吉本店")</f>
        <v>エディオン 倉吉本店</v>
      </c>
      <c r="G162" s="38"/>
    </row>
    <row r="163">
      <c r="A163" s="38" t="str">
        <f>IFERROR(__xludf.DUMMYFUNCTION("""COMPUTED_VALUE"""),"CES")</f>
        <v>CES</v>
      </c>
      <c r="B163" s="38" t="str">
        <f>IFERROR(__xludf.DUMMYFUNCTION("""COMPUTED_VALUE"""),"中部")</f>
        <v>中部</v>
      </c>
      <c r="C163" s="38" t="str">
        <f>IFERROR(__xludf.DUMMYFUNCTION("""COMPUTED_VALUE"""),"静岡県")</f>
        <v>静岡県</v>
      </c>
      <c r="D163" s="125">
        <f>IFERROR(__xludf.DUMMYFUNCTION("""COMPUTED_VALUE"""),8372.0)</f>
        <v>8372</v>
      </c>
      <c r="E163" s="38" t="str">
        <f>IFERROR(__xludf.DUMMYFUNCTION("""COMPUTED_VALUE"""),"ED")</f>
        <v>ED</v>
      </c>
      <c r="F163" s="38" t="str">
        <f>IFERROR(__xludf.DUMMYFUNCTION("""COMPUTED_VALUE"""),"エディオン 清水店")</f>
        <v>エディオン 清水店</v>
      </c>
      <c r="G163" s="38"/>
    </row>
    <row r="164">
      <c r="A164" s="38" t="str">
        <f>IFERROR(__xludf.DUMMYFUNCTION("""COMPUTED_VALUE"""),"CES")</f>
        <v>CES</v>
      </c>
      <c r="B164" s="38" t="str">
        <f>IFERROR(__xludf.DUMMYFUNCTION("""COMPUTED_VALUE"""),"中部")</f>
        <v>中部</v>
      </c>
      <c r="C164" s="38" t="str">
        <f>IFERROR(__xludf.DUMMYFUNCTION("""COMPUTED_VALUE"""),"愛知県")</f>
        <v>愛知県</v>
      </c>
      <c r="D164" s="125">
        <f>IFERROR(__xludf.DUMMYFUNCTION("""COMPUTED_VALUE"""),8290.0)</f>
        <v>8290</v>
      </c>
      <c r="E164" s="38" t="str">
        <f>IFERROR(__xludf.DUMMYFUNCTION("""COMPUTED_VALUE"""),"ED")</f>
        <v>ED</v>
      </c>
      <c r="F164" s="38" t="str">
        <f>IFERROR(__xludf.DUMMYFUNCTION("""COMPUTED_VALUE"""),"エディオン 柴田店")</f>
        <v>エディオン 柴田店</v>
      </c>
      <c r="G164" s="38"/>
    </row>
    <row r="165">
      <c r="A165" s="38" t="str">
        <f>IFERROR(__xludf.DUMMYFUNCTION("""COMPUTED_VALUE"""),"CES")</f>
        <v>CES</v>
      </c>
      <c r="B165" s="38" t="str">
        <f>IFERROR(__xludf.DUMMYFUNCTION("""COMPUTED_VALUE"""),"関西")</f>
        <v>関西</v>
      </c>
      <c r="C165" s="38" t="str">
        <f>IFERROR(__xludf.DUMMYFUNCTION("""COMPUTED_VALUE"""),"大阪府")</f>
        <v>大阪府</v>
      </c>
      <c r="D165" s="125">
        <f>IFERROR(__xludf.DUMMYFUNCTION("""COMPUTED_VALUE"""),8995.0)</f>
        <v>8995</v>
      </c>
      <c r="E165" s="38" t="str">
        <f>IFERROR(__xludf.DUMMYFUNCTION("""COMPUTED_VALUE"""),"ED")</f>
        <v>ED</v>
      </c>
      <c r="F165" s="38" t="str">
        <f>IFERROR(__xludf.DUMMYFUNCTION("""COMPUTED_VALUE"""),"エディオン 堺石津店")</f>
        <v>エディオン 堺石津店</v>
      </c>
      <c r="G165" s="38"/>
    </row>
    <row r="166">
      <c r="A166" s="38" t="str">
        <f>IFERROR(__xludf.DUMMYFUNCTION("""COMPUTED_VALUE"""),"CES")</f>
        <v>CES</v>
      </c>
      <c r="B166" s="38" t="str">
        <f>IFERROR(__xludf.DUMMYFUNCTION("""COMPUTED_VALUE"""),"中部")</f>
        <v>中部</v>
      </c>
      <c r="C166" s="38" t="str">
        <f>IFERROR(__xludf.DUMMYFUNCTION("""COMPUTED_VALUE"""),"愛知県")</f>
        <v>愛知県</v>
      </c>
      <c r="D166" s="125">
        <f>IFERROR(__xludf.DUMMYFUNCTION("""COMPUTED_VALUE"""),1008.0)</f>
        <v>1008</v>
      </c>
      <c r="E166" s="38" t="str">
        <f>IFERROR(__xludf.DUMMYFUNCTION("""COMPUTED_VALUE"""),"ED")</f>
        <v>ED</v>
      </c>
      <c r="F166" s="38" t="str">
        <f>IFERROR(__xludf.DUMMYFUNCTION("""COMPUTED_VALUE"""),"エディオン 高針原店")</f>
        <v>エディオン 高針原店</v>
      </c>
      <c r="G166" s="38"/>
    </row>
    <row r="167">
      <c r="A167" s="38" t="str">
        <f>IFERROR(__xludf.DUMMYFUNCTION("""COMPUTED_VALUE"""),"CES")</f>
        <v>CES</v>
      </c>
      <c r="B167" s="38" t="str">
        <f>IFERROR(__xludf.DUMMYFUNCTION("""COMPUTED_VALUE"""),"中部")</f>
        <v>中部</v>
      </c>
      <c r="C167" s="38" t="str">
        <f>IFERROR(__xludf.DUMMYFUNCTION("""COMPUTED_VALUE"""),"岐阜県")</f>
        <v>岐阜県</v>
      </c>
      <c r="D167" s="125">
        <f>IFERROR(__xludf.DUMMYFUNCTION("""COMPUTED_VALUE"""),8544.0)</f>
        <v>8544</v>
      </c>
      <c r="E167" s="38" t="str">
        <f>IFERROR(__xludf.DUMMYFUNCTION("""COMPUTED_VALUE"""),"ED")</f>
        <v>ED</v>
      </c>
      <c r="F167" s="38" t="str">
        <f>IFERROR(__xludf.DUMMYFUNCTION("""COMPUTED_VALUE"""),"エディオン 高山店")</f>
        <v>エディオン 高山店</v>
      </c>
      <c r="G167" s="38"/>
    </row>
    <row r="168">
      <c r="A168" s="38" t="str">
        <f>IFERROR(__xludf.DUMMYFUNCTION("""COMPUTED_VALUE"""),"CES")</f>
        <v>CES</v>
      </c>
      <c r="B168" s="38" t="str">
        <f>IFERROR(__xludf.DUMMYFUNCTION("""COMPUTED_VALUE"""),"中部")</f>
        <v>中部</v>
      </c>
      <c r="C168" s="38" t="str">
        <f>IFERROR(__xludf.DUMMYFUNCTION("""COMPUTED_VALUE"""),"石川県")</f>
        <v>石川県</v>
      </c>
      <c r="D168" s="125">
        <f>IFERROR(__xludf.DUMMYFUNCTION("""COMPUTED_VALUE"""),1040.0)</f>
        <v>1040</v>
      </c>
      <c r="E168" s="38" t="str">
        <f>IFERROR(__xludf.DUMMYFUNCTION("""COMPUTED_VALUE"""),"ED")</f>
        <v>ED</v>
      </c>
      <c r="F168" s="38" t="str">
        <f>IFERROR(__xludf.DUMMYFUNCTION("""COMPUTED_VALUE"""),"エディオン 金沢直江店")</f>
        <v>エディオン 金沢直江店</v>
      </c>
      <c r="G168" s="38" t="str">
        <f>IFERROR(__xludf.DUMMYFUNCTION("""COMPUTED_VALUE"""),"11月～委託先変更")</f>
        <v>11月～委託先変更</v>
      </c>
    </row>
    <row r="169">
      <c r="A169" s="38" t="str">
        <f>IFERROR(__xludf.DUMMYFUNCTION("""COMPUTED_VALUE"""),"CES")</f>
        <v>CES</v>
      </c>
      <c r="B169" s="38" t="str">
        <f>IFERROR(__xludf.DUMMYFUNCTION("""COMPUTED_VALUE"""),"信越")</f>
        <v>信越</v>
      </c>
      <c r="C169" s="38" t="str">
        <f>IFERROR(__xludf.DUMMYFUNCTION("""COMPUTED_VALUE"""),"長野県")</f>
        <v>長野県</v>
      </c>
      <c r="D169" s="125">
        <f>IFERROR(__xludf.DUMMYFUNCTION("""COMPUTED_VALUE"""),1036.0)</f>
        <v>1036</v>
      </c>
      <c r="E169" s="38" t="str">
        <f>IFERROR(__xludf.DUMMYFUNCTION("""COMPUTED_VALUE"""),"ED")</f>
        <v>ED</v>
      </c>
      <c r="F169" s="38" t="str">
        <f>IFERROR(__xludf.DUMMYFUNCTION("""COMPUTED_VALUE"""),"エディオン 塩尻店")</f>
        <v>エディオン 塩尻店</v>
      </c>
      <c r="G169" s="38"/>
    </row>
    <row r="170">
      <c r="A170" s="38" t="str">
        <f>IFERROR(__xludf.DUMMYFUNCTION("""COMPUTED_VALUE"""),"CES")</f>
        <v>CES</v>
      </c>
      <c r="B170" s="38" t="str">
        <f>IFERROR(__xludf.DUMMYFUNCTION("""COMPUTED_VALUE"""),"中部")</f>
        <v>中部</v>
      </c>
      <c r="C170" s="38" t="str">
        <f>IFERROR(__xludf.DUMMYFUNCTION("""COMPUTED_VALUE"""),"福井県")</f>
        <v>福井県</v>
      </c>
      <c r="D170" s="125">
        <f>IFERROR(__xludf.DUMMYFUNCTION("""COMPUTED_VALUE"""),1037.0)</f>
        <v>1037</v>
      </c>
      <c r="E170" s="38" t="str">
        <f>IFERROR(__xludf.DUMMYFUNCTION("""COMPUTED_VALUE"""),"ED")</f>
        <v>ED</v>
      </c>
      <c r="F170" s="38" t="str">
        <f>IFERROR(__xludf.DUMMYFUNCTION("""COMPUTED_VALUE"""),"エディオン 越前店")</f>
        <v>エディオン 越前店</v>
      </c>
      <c r="G170" s="38"/>
    </row>
    <row r="171">
      <c r="A171" s="38" t="str">
        <f>IFERROR(__xludf.DUMMYFUNCTION("""COMPUTED_VALUE"""),"CES")</f>
        <v>CES</v>
      </c>
      <c r="B171" s="38" t="str">
        <f>IFERROR(__xludf.DUMMYFUNCTION("""COMPUTED_VALUE"""),"中部")</f>
        <v>中部</v>
      </c>
      <c r="C171" s="38" t="str">
        <f>IFERROR(__xludf.DUMMYFUNCTION("""COMPUTED_VALUE"""),"愛知県")</f>
        <v>愛知県</v>
      </c>
      <c r="D171" s="125">
        <f>IFERROR(__xludf.DUMMYFUNCTION("""COMPUTED_VALUE"""),721.0)</f>
        <v>721</v>
      </c>
      <c r="E171" s="38" t="str">
        <f>IFERROR(__xludf.DUMMYFUNCTION("""COMPUTED_VALUE"""),"ED")</f>
        <v>ED</v>
      </c>
      <c r="F171" s="38" t="str">
        <f>IFERROR(__xludf.DUMMYFUNCTION("""COMPUTED_VALUE"""),"エディオン 安城店")</f>
        <v>エディオン 安城店</v>
      </c>
      <c r="G171" s="38"/>
    </row>
    <row r="172">
      <c r="A172" s="38" t="str">
        <f>IFERROR(__xludf.DUMMYFUNCTION("""COMPUTED_VALUE"""),"CES")</f>
        <v>CES</v>
      </c>
      <c r="B172" s="38" t="str">
        <f>IFERROR(__xludf.DUMMYFUNCTION("""COMPUTED_VALUE"""),"北海道")</f>
        <v>北海道</v>
      </c>
      <c r="C172" s="38" t="str">
        <f>IFERROR(__xludf.DUMMYFUNCTION("""COMPUTED_VALUE"""),"北海道")</f>
        <v>北海道</v>
      </c>
      <c r="D172" s="125">
        <f>IFERROR(__xludf.DUMMYFUNCTION("""COMPUTED_VALUE"""),8903.0)</f>
        <v>8903</v>
      </c>
      <c r="E172" s="38" t="str">
        <f>IFERROR(__xludf.DUMMYFUNCTION("""COMPUTED_VALUE"""),"ED")</f>
        <v>ED</v>
      </c>
      <c r="F172" s="38" t="str">
        <f>IFERROR(__xludf.DUMMYFUNCTION("""COMPUTED_VALUE"""),"エディオン 旭川豊岡店")</f>
        <v>エディオン 旭川豊岡店</v>
      </c>
      <c r="G172" s="38"/>
    </row>
    <row r="173">
      <c r="A173" s="38" t="str">
        <f>IFERROR(__xludf.DUMMYFUNCTION("""COMPUTED_VALUE"""),"CES")</f>
        <v>CES</v>
      </c>
      <c r="B173" s="38" t="str">
        <f>IFERROR(__xludf.DUMMYFUNCTION("""COMPUTED_VALUE"""),"関西")</f>
        <v>関西</v>
      </c>
      <c r="C173" s="38" t="str">
        <f>IFERROR(__xludf.DUMMYFUNCTION("""COMPUTED_VALUE"""),"大阪府")</f>
        <v>大阪府</v>
      </c>
      <c r="D173" s="125">
        <f>IFERROR(__xludf.DUMMYFUNCTION("""COMPUTED_VALUE"""),5191.0)</f>
        <v>5191</v>
      </c>
      <c r="E173" s="38" t="str">
        <f>IFERROR(__xludf.DUMMYFUNCTION("""COMPUTED_VALUE"""),"ED")</f>
        <v>ED</v>
      </c>
      <c r="F173" s="38" t="str">
        <f>IFERROR(__xludf.DUMMYFUNCTION("""COMPUTED_VALUE"""),"エディオン ららぽーとEXPOCITY店")</f>
        <v>エディオン ららぽーとEXPOCITY店</v>
      </c>
      <c r="G173" s="38"/>
    </row>
    <row r="174">
      <c r="A174" s="38" t="str">
        <f>IFERROR(__xludf.DUMMYFUNCTION("""COMPUTED_VALUE"""),"CES")</f>
        <v>CES</v>
      </c>
      <c r="B174" s="38" t="str">
        <f>IFERROR(__xludf.DUMMYFUNCTION("""COMPUTED_VALUE"""),"九州・沖縄")</f>
        <v>九州・沖縄</v>
      </c>
      <c r="C174" s="38" t="str">
        <f>IFERROR(__xludf.DUMMYFUNCTION("""COMPUTED_VALUE"""),"福岡県")</f>
        <v>福岡県</v>
      </c>
      <c r="D174" s="125">
        <f>IFERROR(__xludf.DUMMYFUNCTION("""COMPUTED_VALUE"""),8994.0)</f>
        <v>8994</v>
      </c>
      <c r="E174" s="38" t="str">
        <f>IFERROR(__xludf.DUMMYFUNCTION("""COMPUTED_VALUE"""),"ED")</f>
        <v>ED</v>
      </c>
      <c r="F174" s="38" t="str">
        <f>IFERROR(__xludf.DUMMYFUNCTION("""COMPUTED_VALUE"""),"エディオン ゆめタウン久留米南店")</f>
        <v>エディオン ゆめタウン久留米南店</v>
      </c>
      <c r="G174" s="38" t="str">
        <f>IFERROR(__xludf.DUMMYFUNCTION("""COMPUTED_VALUE"""),"11月～委託先変更")</f>
        <v>11月～委託先変更</v>
      </c>
    </row>
    <row r="175">
      <c r="A175" s="38" t="str">
        <f>IFERROR(__xludf.DUMMYFUNCTION("""COMPUTED_VALUE"""),"CES")</f>
        <v>CES</v>
      </c>
      <c r="B175" s="38" t="str">
        <f>IFERROR(__xludf.DUMMYFUNCTION("""COMPUTED_VALUE"""),"中部")</f>
        <v>中部</v>
      </c>
      <c r="C175" s="38" t="str">
        <f>IFERROR(__xludf.DUMMYFUNCTION("""COMPUTED_VALUE"""),"愛知県")</f>
        <v>愛知県</v>
      </c>
      <c r="D175" s="125">
        <f>IFERROR(__xludf.DUMMYFUNCTION("""COMPUTED_VALUE"""),3141.0)</f>
        <v>3141</v>
      </c>
      <c r="E175" s="38" t="str">
        <f>IFERROR(__xludf.DUMMYFUNCTION("""COMPUTED_VALUE"""),"ED")</f>
        <v>ED</v>
      </c>
      <c r="F175" s="38" t="str">
        <f>IFERROR(__xludf.DUMMYFUNCTION("""COMPUTED_VALUE"""),"エディオン メッツ大曽根店")</f>
        <v>エディオン メッツ大曽根店</v>
      </c>
      <c r="G175" s="38"/>
    </row>
    <row r="176">
      <c r="A176" s="38" t="str">
        <f>IFERROR(__xludf.DUMMYFUNCTION("""COMPUTED_VALUE"""),"CES")</f>
        <v>CES</v>
      </c>
      <c r="B176" s="38" t="str">
        <f>IFERROR(__xludf.DUMMYFUNCTION("""COMPUTED_VALUE"""),"中部")</f>
        <v>中部</v>
      </c>
      <c r="C176" s="38" t="str">
        <f>IFERROR(__xludf.DUMMYFUNCTION("""COMPUTED_VALUE"""),"三重県")</f>
        <v>三重県</v>
      </c>
      <c r="D176" s="125">
        <f>IFERROR(__xludf.DUMMYFUNCTION("""COMPUTED_VALUE"""),8904.0)</f>
        <v>8904</v>
      </c>
      <c r="E176" s="38" t="str">
        <f>IFERROR(__xludf.DUMMYFUNCTION("""COMPUTED_VALUE"""),"ED")</f>
        <v>ED</v>
      </c>
      <c r="F176" s="38" t="str">
        <f>IFERROR(__xludf.DUMMYFUNCTION("""COMPUTED_VALUE"""),"エディオン イオンタウン菰野店")</f>
        <v>エディオン イオンタウン菰野店</v>
      </c>
      <c r="G176" s="38"/>
    </row>
    <row r="177">
      <c r="A177" s="38" t="str">
        <f>IFERROR(__xludf.DUMMYFUNCTION("""COMPUTED_VALUE"""),"CES")</f>
        <v>CES</v>
      </c>
      <c r="B177" s="38" t="str">
        <f>IFERROR(__xludf.DUMMYFUNCTION("""COMPUTED_VALUE"""),"中部")</f>
        <v>中部</v>
      </c>
      <c r="C177" s="38" t="str">
        <f>IFERROR(__xludf.DUMMYFUNCTION("""COMPUTED_VALUE"""),"愛知県")</f>
        <v>愛知県</v>
      </c>
      <c r="D177" s="125">
        <f>IFERROR(__xludf.DUMMYFUNCTION("""COMPUTED_VALUE"""),4061.0)</f>
        <v>4061</v>
      </c>
      <c r="E177" s="38" t="str">
        <f>IFERROR(__xludf.DUMMYFUNCTION("""COMPUTED_VALUE"""),"ED")</f>
        <v>ED</v>
      </c>
      <c r="F177" s="38" t="str">
        <f>IFERROR(__xludf.DUMMYFUNCTION("""COMPUTED_VALUE"""),"エディオン イオンタウン刈谷店")</f>
        <v>エディオン イオンタウン刈谷店</v>
      </c>
      <c r="G177" s="38"/>
    </row>
    <row r="178">
      <c r="A178" s="38" t="str">
        <f>IFERROR(__xludf.DUMMYFUNCTION("""COMPUTED_VALUE"""),"CES")</f>
        <v>CES</v>
      </c>
      <c r="B178" s="38" t="str">
        <f>IFERROR(__xludf.DUMMYFUNCTION("""COMPUTED_VALUE"""),"関西")</f>
        <v>関西</v>
      </c>
      <c r="C178" s="38" t="str">
        <f>IFERROR(__xludf.DUMMYFUNCTION("""COMPUTED_VALUE"""),"和歌山県")</f>
        <v>和歌山県</v>
      </c>
      <c r="D178" s="125">
        <f>IFERROR(__xludf.DUMMYFUNCTION("""COMPUTED_VALUE"""),8303.0)</f>
        <v>8303</v>
      </c>
      <c r="E178" s="38" t="str">
        <f>IFERROR(__xludf.DUMMYFUNCTION("""COMPUTED_VALUE"""),"YD")</f>
        <v>YD</v>
      </c>
      <c r="F178" s="38" t="str">
        <f>IFERROR(__xludf.DUMMYFUNCTION("""COMPUTED_VALUE"""),"YAMADA web.com 和歌山店")</f>
        <v>YAMADA web.com 和歌山店</v>
      </c>
      <c r="G178" s="38"/>
    </row>
    <row r="179">
      <c r="A179" s="38" t="str">
        <f>IFERROR(__xludf.DUMMYFUNCTION("""COMPUTED_VALUE"""),"CES")</f>
        <v>CES</v>
      </c>
      <c r="B179" s="38" t="str">
        <f>IFERROR(__xludf.DUMMYFUNCTION("""COMPUTED_VALUE"""),"信越")</f>
        <v>信越</v>
      </c>
      <c r="C179" s="38" t="str">
        <f>IFERROR(__xludf.DUMMYFUNCTION("""COMPUTED_VALUE"""),"新潟県")</f>
        <v>新潟県</v>
      </c>
      <c r="D179" s="125">
        <f>IFERROR(__xludf.DUMMYFUNCTION("""COMPUTED_VALUE"""),7850.0)</f>
        <v>7850</v>
      </c>
      <c r="E179" s="38" t="str">
        <f>IFERROR(__xludf.DUMMYFUNCTION("""COMPUTED_VALUE"""),"YD")</f>
        <v>YD</v>
      </c>
      <c r="F179" s="38" t="str">
        <f>IFERROR(__xludf.DUMMYFUNCTION("""COMPUTED_VALUE"""),"YAMADA web.com 長岡店")</f>
        <v>YAMADA web.com 長岡店</v>
      </c>
      <c r="G179" s="38"/>
    </row>
    <row r="180">
      <c r="A180" s="38" t="str">
        <f>IFERROR(__xludf.DUMMYFUNCTION("""COMPUTED_VALUE"""),"CES")</f>
        <v>CES</v>
      </c>
      <c r="B180" s="38" t="str">
        <f>IFERROR(__xludf.DUMMYFUNCTION("""COMPUTED_VALUE"""),"中部")</f>
        <v>中部</v>
      </c>
      <c r="C180" s="38" t="str">
        <f>IFERROR(__xludf.DUMMYFUNCTION("""COMPUTED_VALUE"""),"石川県")</f>
        <v>石川県</v>
      </c>
      <c r="D180" s="125">
        <f>IFERROR(__xludf.DUMMYFUNCTION("""COMPUTED_VALUE"""),8492.0)</f>
        <v>8492</v>
      </c>
      <c r="E180" s="38" t="str">
        <f>IFERROR(__xludf.DUMMYFUNCTION("""COMPUTED_VALUE"""),"YD")</f>
        <v>YD</v>
      </c>
      <c r="F180" s="38" t="str">
        <f>IFERROR(__xludf.DUMMYFUNCTION("""COMPUTED_VALUE"""),"Tecc LIFE SELECT 野々市御経塚店")</f>
        <v>Tecc LIFE SELECT 野々市御経塚店</v>
      </c>
      <c r="G180" s="38"/>
    </row>
    <row r="181">
      <c r="A181" s="38" t="str">
        <f>IFERROR(__xludf.DUMMYFUNCTION("""COMPUTED_VALUE"""),"CES")</f>
        <v>CES</v>
      </c>
      <c r="B181" s="38" t="str">
        <f>IFERROR(__xludf.DUMMYFUNCTION("""COMPUTED_VALUE"""),"関西")</f>
        <v>関西</v>
      </c>
      <c r="C181" s="38" t="str">
        <f>IFERROR(__xludf.DUMMYFUNCTION("""COMPUTED_VALUE"""),"兵庫県")</f>
        <v>兵庫県</v>
      </c>
      <c r="D181" s="125">
        <f>IFERROR(__xludf.DUMMYFUNCTION("""COMPUTED_VALUE"""),7779.0)</f>
        <v>7779</v>
      </c>
      <c r="E181" s="38" t="str">
        <f>IFERROR(__xludf.DUMMYFUNCTION("""COMPUTED_VALUE"""),"YD")</f>
        <v>YD</v>
      </c>
      <c r="F181" s="38" t="str">
        <f>IFERROR(__xludf.DUMMYFUNCTION("""COMPUTED_VALUE"""),"Tecc LIFE SELECT 姫路本店")</f>
        <v>Tecc LIFE SELECT 姫路本店</v>
      </c>
      <c r="G181" s="38"/>
    </row>
    <row r="182">
      <c r="A182" s="38" t="str">
        <f>IFERROR(__xludf.DUMMYFUNCTION("""COMPUTED_VALUE"""),"CES")</f>
        <v>CES</v>
      </c>
      <c r="B182" s="38" t="str">
        <f>IFERROR(__xludf.DUMMYFUNCTION("""COMPUTED_VALUE"""),"信越")</f>
        <v>信越</v>
      </c>
      <c r="C182" s="38" t="str">
        <f>IFERROR(__xludf.DUMMYFUNCTION("""COMPUTED_VALUE"""),"長野県")</f>
        <v>長野県</v>
      </c>
      <c r="D182" s="125">
        <f>IFERROR(__xludf.DUMMYFUNCTION("""COMPUTED_VALUE"""),7822.0)</f>
        <v>7822</v>
      </c>
      <c r="E182" s="38" t="str">
        <f>IFERROR(__xludf.DUMMYFUNCTION("""COMPUTED_VALUE"""),"YD")</f>
        <v>YD</v>
      </c>
      <c r="F182" s="38" t="str">
        <f>IFERROR(__xludf.DUMMYFUNCTION("""COMPUTED_VALUE"""),"Tecc LIFE SELECT 長野SBC通り店")</f>
        <v>Tecc LIFE SELECT 長野SBC通り店</v>
      </c>
      <c r="G182" s="38"/>
    </row>
    <row r="183">
      <c r="A183" s="38" t="str">
        <f>IFERROR(__xludf.DUMMYFUNCTION("""COMPUTED_VALUE"""),"CES")</f>
        <v>CES</v>
      </c>
      <c r="B183" s="38" t="str">
        <f>IFERROR(__xludf.DUMMYFUNCTION("""COMPUTED_VALUE"""),"信越")</f>
        <v>信越</v>
      </c>
      <c r="C183" s="38" t="str">
        <f>IFERROR(__xludf.DUMMYFUNCTION("""COMPUTED_VALUE"""),"長野県")</f>
        <v>長野県</v>
      </c>
      <c r="D183" s="125">
        <f>IFERROR(__xludf.DUMMYFUNCTION("""COMPUTED_VALUE"""),8633.0)</f>
        <v>8633</v>
      </c>
      <c r="E183" s="38" t="str">
        <f>IFERROR(__xludf.DUMMYFUNCTION("""COMPUTED_VALUE"""),"YD")</f>
        <v>YD</v>
      </c>
      <c r="F183" s="38" t="str">
        <f>IFERROR(__xludf.DUMMYFUNCTION("""COMPUTED_VALUE"""),"Tecc LIFE SELECT 須坂店")</f>
        <v>Tecc LIFE SELECT 須坂店</v>
      </c>
      <c r="G183" s="38"/>
    </row>
    <row r="184">
      <c r="A184" s="38" t="str">
        <f>IFERROR(__xludf.DUMMYFUNCTION("""COMPUTED_VALUE"""),"CES")</f>
        <v>CES</v>
      </c>
      <c r="B184" s="38" t="str">
        <f>IFERROR(__xludf.DUMMYFUNCTION("""COMPUTED_VALUE"""),"関西")</f>
        <v>関西</v>
      </c>
      <c r="C184" s="38" t="str">
        <f>IFERROR(__xludf.DUMMYFUNCTION("""COMPUTED_VALUE"""),"兵庫県")</f>
        <v>兵庫県</v>
      </c>
      <c r="D184" s="125">
        <f>IFERROR(__xludf.DUMMYFUNCTION("""COMPUTED_VALUE"""),7806.0)</f>
        <v>7806</v>
      </c>
      <c r="E184" s="38" t="str">
        <f>IFERROR(__xludf.DUMMYFUNCTION("""COMPUTED_VALUE"""),"YD")</f>
        <v>YD</v>
      </c>
      <c r="F184" s="38" t="str">
        <f>IFERROR(__xludf.DUMMYFUNCTION("""COMPUTED_VALUE"""),"Tecc LIFE SELECT 神戸本店")</f>
        <v>Tecc LIFE SELECT 神戸本店</v>
      </c>
      <c r="G184" s="38"/>
    </row>
    <row r="185">
      <c r="A185" s="38" t="str">
        <f>IFERROR(__xludf.DUMMYFUNCTION("""COMPUTED_VALUE"""),"CES")</f>
        <v>CES</v>
      </c>
      <c r="B185" s="38" t="str">
        <f>IFERROR(__xludf.DUMMYFUNCTION("""COMPUTED_VALUE"""),"関西")</f>
        <v>関西</v>
      </c>
      <c r="C185" s="38" t="str">
        <f>IFERROR(__xludf.DUMMYFUNCTION("""COMPUTED_VALUE"""),"兵庫県")</f>
        <v>兵庫県</v>
      </c>
      <c r="D185" s="125">
        <f>IFERROR(__xludf.DUMMYFUNCTION("""COMPUTED_VALUE"""),8421.0)</f>
        <v>8421</v>
      </c>
      <c r="E185" s="38" t="str">
        <f>IFERROR(__xludf.DUMMYFUNCTION("""COMPUTED_VALUE"""),"YD")</f>
        <v>YD</v>
      </c>
      <c r="F185" s="38" t="str">
        <f>IFERROR(__xludf.DUMMYFUNCTION("""COMPUTED_VALUE"""),"Tecc LIFE SELECT 神戸垂水店")</f>
        <v>Tecc LIFE SELECT 神戸垂水店</v>
      </c>
      <c r="G185" s="38"/>
    </row>
    <row r="186">
      <c r="A186" s="38" t="str">
        <f>IFERROR(__xludf.DUMMYFUNCTION("""COMPUTED_VALUE"""),"CES")</f>
        <v>CES</v>
      </c>
      <c r="B186" s="38" t="str">
        <f>IFERROR(__xludf.DUMMYFUNCTION("""COMPUTED_VALUE"""),"信越")</f>
        <v>信越</v>
      </c>
      <c r="C186" s="38" t="str">
        <f>IFERROR(__xludf.DUMMYFUNCTION("""COMPUTED_VALUE"""),"長野県")</f>
        <v>長野県</v>
      </c>
      <c r="D186" s="125">
        <f>IFERROR(__xludf.DUMMYFUNCTION("""COMPUTED_VALUE"""),8371.0)</f>
        <v>8371</v>
      </c>
      <c r="E186" s="38" t="str">
        <f>IFERROR(__xludf.DUMMYFUNCTION("""COMPUTED_VALUE"""),"YD")</f>
        <v>YD</v>
      </c>
      <c r="F186" s="38" t="str">
        <f>IFERROR(__xludf.DUMMYFUNCTION("""COMPUTED_VALUE"""),"Tecc LIFE SELECT 松本本店")</f>
        <v>Tecc LIFE SELECT 松本本店</v>
      </c>
      <c r="G186" s="38"/>
    </row>
    <row r="187">
      <c r="A187" s="38" t="str">
        <f>IFERROR(__xludf.DUMMYFUNCTION("""COMPUTED_VALUE"""),"CES")</f>
        <v>CES</v>
      </c>
      <c r="B187" s="38" t="str">
        <f>IFERROR(__xludf.DUMMYFUNCTION("""COMPUTED_VALUE"""),"中部")</f>
        <v>中部</v>
      </c>
      <c r="C187" s="38" t="str">
        <f>IFERROR(__xludf.DUMMYFUNCTION("""COMPUTED_VALUE"""),"富山県")</f>
        <v>富山県</v>
      </c>
      <c r="D187" s="125">
        <f>IFERROR(__xludf.DUMMYFUNCTION("""COMPUTED_VALUE"""),8849.0)</f>
        <v>8849</v>
      </c>
      <c r="E187" s="38" t="str">
        <f>IFERROR(__xludf.DUMMYFUNCTION("""COMPUTED_VALUE"""),"YD")</f>
        <v>YD</v>
      </c>
      <c r="F187" s="38" t="str">
        <f>IFERROR(__xludf.DUMMYFUNCTION("""COMPUTED_VALUE"""),"Tecc LIFE SELECT 高岡店")</f>
        <v>Tecc LIFE SELECT 高岡店</v>
      </c>
      <c r="G187" s="38"/>
    </row>
    <row r="188">
      <c r="A188" s="38" t="str">
        <f>IFERROR(__xludf.DUMMYFUNCTION("""COMPUTED_VALUE"""),"CES")</f>
        <v>CES</v>
      </c>
      <c r="B188" s="38" t="str">
        <f>IFERROR(__xludf.DUMMYFUNCTION("""COMPUTED_VALUE"""),"関東")</f>
        <v>関東</v>
      </c>
      <c r="C188" s="38" t="str">
        <f>IFERROR(__xludf.DUMMYFUNCTION("""COMPUTED_VALUE"""),"神奈川県")</f>
        <v>神奈川県</v>
      </c>
      <c r="D188" s="125">
        <f>IFERROR(__xludf.DUMMYFUNCTION("""COMPUTED_VALUE"""),7671.0)</f>
        <v>7671</v>
      </c>
      <c r="E188" s="38" t="str">
        <f>IFERROR(__xludf.DUMMYFUNCTION("""COMPUTED_VALUE"""),"YD")</f>
        <v>YD</v>
      </c>
      <c r="F188" s="38" t="str">
        <f>IFERROR(__xludf.DUMMYFUNCTION("""COMPUTED_VALUE"""),"Tecc LIFE SELECT 港北センター店")</f>
        <v>Tecc LIFE SELECT 港北センター店</v>
      </c>
      <c r="G188" s="38"/>
    </row>
    <row r="189">
      <c r="A189" s="38" t="str">
        <f>IFERROR(__xludf.DUMMYFUNCTION("""COMPUTED_VALUE"""),"CES")</f>
        <v>CES</v>
      </c>
      <c r="B189" s="38" t="str">
        <f>IFERROR(__xludf.DUMMYFUNCTION("""COMPUTED_VALUE"""),"関西")</f>
        <v>関西</v>
      </c>
      <c r="C189" s="38" t="str">
        <f>IFERROR(__xludf.DUMMYFUNCTION("""COMPUTED_VALUE"""),"兵庫県")</f>
        <v>兵庫県</v>
      </c>
      <c r="D189" s="125">
        <f>IFERROR(__xludf.DUMMYFUNCTION("""COMPUTED_VALUE"""),7855.0)</f>
        <v>7855</v>
      </c>
      <c r="E189" s="38" t="str">
        <f>IFERROR(__xludf.DUMMYFUNCTION("""COMPUTED_VALUE"""),"YD")</f>
        <v>YD</v>
      </c>
      <c r="F189" s="38" t="str">
        <f>IFERROR(__xludf.DUMMYFUNCTION("""COMPUTED_VALUE"""),"Tecc LIFE SELECT 加古川本店")</f>
        <v>Tecc LIFE SELECT 加古川本店</v>
      </c>
      <c r="G189" s="38"/>
    </row>
    <row r="190">
      <c r="A190" s="38" t="str">
        <f>IFERROR(__xludf.DUMMYFUNCTION("""COMPUTED_VALUE"""),"CES")</f>
        <v>CES</v>
      </c>
      <c r="B190" s="38" t="str">
        <f>IFERROR(__xludf.DUMMYFUNCTION("""COMPUTED_VALUE"""),"関東")</f>
        <v>関東</v>
      </c>
      <c r="C190" s="38" t="str">
        <f>IFERROR(__xludf.DUMMYFUNCTION("""COMPUTED_VALUE"""),"埼玉県")</f>
        <v>埼玉県</v>
      </c>
      <c r="D190" s="125">
        <f>IFERROR(__xludf.DUMMYFUNCTION("""COMPUTED_VALUE"""),8848.0)</f>
        <v>8848</v>
      </c>
      <c r="E190" s="38" t="str">
        <f>IFERROR(__xludf.DUMMYFUNCTION("""COMPUTED_VALUE"""),"YD")</f>
        <v>YD</v>
      </c>
      <c r="F190" s="38" t="str">
        <f>IFERROR(__xludf.DUMMYFUNCTION("""COMPUTED_VALUE"""),"Tecc LIFE SELECT ムサシ久喜菖蒲店")</f>
        <v>Tecc LIFE SELECT ムサシ久喜菖蒲店</v>
      </c>
      <c r="G190" s="38"/>
    </row>
    <row r="191">
      <c r="A191" s="38" t="str">
        <f>IFERROR(__xludf.DUMMYFUNCTION("""COMPUTED_VALUE"""),"CES")</f>
        <v>CES</v>
      </c>
      <c r="B191" s="38" t="str">
        <f>IFERROR(__xludf.DUMMYFUNCTION("""COMPUTED_VALUE"""),"中部")</f>
        <v>中部</v>
      </c>
      <c r="C191" s="38" t="str">
        <f>IFERROR(__xludf.DUMMYFUNCTION("""COMPUTED_VALUE"""),"岐阜県")</f>
        <v>岐阜県</v>
      </c>
      <c r="D191" s="125">
        <f>IFERROR(__xludf.DUMMYFUNCTION("""COMPUTED_VALUE"""),8539.0)</f>
        <v>8539</v>
      </c>
      <c r="E191" s="38" t="str">
        <f>IFERROR(__xludf.DUMMYFUNCTION("""COMPUTED_VALUE"""),"YD")</f>
        <v>YD</v>
      </c>
      <c r="F191" s="38" t="str">
        <f>IFERROR(__xludf.DUMMYFUNCTION("""COMPUTED_VALUE"""),"Tecc LIFE SELECT イオンタウン大垣店")</f>
        <v>Tecc LIFE SELECT イオンタウン大垣店</v>
      </c>
      <c r="G191" s="38"/>
    </row>
    <row r="192">
      <c r="A192" s="38"/>
      <c r="B192" s="38"/>
      <c r="C192" s="38"/>
      <c r="D192" s="38"/>
      <c r="E192" s="38"/>
      <c r="F192" s="38"/>
      <c r="G192" s="38"/>
    </row>
    <row r="193">
      <c r="A193" s="38"/>
      <c r="B193" s="38"/>
      <c r="C193" s="38"/>
      <c r="D193" s="38"/>
      <c r="E193" s="38"/>
      <c r="F193" s="38"/>
      <c r="G193" s="38"/>
    </row>
    <row r="194">
      <c r="A194" s="38"/>
      <c r="B194" s="38"/>
      <c r="C194" s="38"/>
      <c r="D194" s="38"/>
      <c r="E194" s="38"/>
      <c r="F194" s="38"/>
      <c r="G194" s="38"/>
    </row>
    <row r="195">
      <c r="A195" s="38"/>
      <c r="B195" s="38"/>
      <c r="C195" s="38"/>
      <c r="D195" s="38"/>
      <c r="E195" s="38"/>
      <c r="F195" s="38"/>
      <c r="G195" s="38"/>
    </row>
    <row r="196">
      <c r="A196" s="38"/>
      <c r="B196" s="38"/>
      <c r="C196" s="38"/>
      <c r="D196" s="38"/>
      <c r="E196" s="38"/>
      <c r="F196" s="38"/>
      <c r="G196" s="38"/>
    </row>
    <row r="197">
      <c r="A197" s="38"/>
      <c r="B197" s="38"/>
      <c r="C197" s="38"/>
      <c r="D197" s="38"/>
      <c r="E197" s="38"/>
      <c r="F197" s="38"/>
      <c r="G197" s="38"/>
    </row>
    <row r="198">
      <c r="A198" s="38"/>
      <c r="B198" s="38"/>
      <c r="C198" s="38"/>
      <c r="D198" s="38"/>
      <c r="E198" s="38"/>
      <c r="F198" s="38"/>
      <c r="G198" s="38"/>
    </row>
    <row r="199">
      <c r="A199" s="38"/>
      <c r="B199" s="38"/>
      <c r="C199" s="38"/>
      <c r="D199" s="38"/>
      <c r="E199" s="38"/>
      <c r="F199" s="38"/>
      <c r="G199" s="38"/>
    </row>
    <row r="200">
      <c r="A200" s="38"/>
      <c r="B200" s="38"/>
      <c r="C200" s="38"/>
      <c r="D200" s="38"/>
      <c r="E200" s="38"/>
      <c r="F200" s="38"/>
      <c r="G200" s="38"/>
    </row>
    <row r="201">
      <c r="A201" s="38"/>
      <c r="B201" s="38"/>
      <c r="C201" s="38"/>
      <c r="D201" s="38"/>
      <c r="E201" s="38"/>
      <c r="F201" s="38"/>
      <c r="G201" s="38"/>
    </row>
    <row r="202">
      <c r="A202" s="38"/>
      <c r="B202" s="38"/>
      <c r="C202" s="38"/>
      <c r="D202" s="38"/>
      <c r="E202" s="38"/>
      <c r="F202" s="38"/>
      <c r="G202" s="38"/>
    </row>
    <row r="203">
      <c r="A203" s="38"/>
      <c r="B203" s="38"/>
      <c r="C203" s="38"/>
      <c r="D203" s="38"/>
      <c r="E203" s="38"/>
      <c r="F203" s="38"/>
      <c r="G203" s="38"/>
    </row>
    <row r="204">
      <c r="A204" s="38"/>
      <c r="B204" s="38"/>
      <c r="C204" s="38"/>
      <c r="D204" s="38"/>
      <c r="E204" s="38"/>
      <c r="F204" s="38"/>
      <c r="G204" s="38"/>
    </row>
    <row r="205">
      <c r="A205" s="38"/>
      <c r="B205" s="38"/>
      <c r="C205" s="38"/>
      <c r="D205" s="38"/>
      <c r="E205" s="38"/>
      <c r="F205" s="38"/>
      <c r="G205" s="38"/>
    </row>
    <row r="206">
      <c r="A206" s="38"/>
      <c r="B206" s="38"/>
      <c r="C206" s="38"/>
      <c r="D206" s="38"/>
      <c r="E206" s="38"/>
      <c r="F206" s="38"/>
      <c r="G206" s="38"/>
    </row>
    <row r="207">
      <c r="A207" s="38"/>
      <c r="B207" s="38"/>
      <c r="C207" s="38"/>
      <c r="D207" s="38"/>
      <c r="E207" s="38"/>
      <c r="F207" s="38"/>
      <c r="G207" s="38"/>
    </row>
    <row r="208">
      <c r="A208" s="38"/>
      <c r="B208" s="38"/>
      <c r="C208" s="38"/>
      <c r="D208" s="38"/>
      <c r="E208" s="38"/>
      <c r="F208" s="38"/>
      <c r="G208" s="38"/>
    </row>
    <row r="209">
      <c r="A209" s="38"/>
      <c r="B209" s="38"/>
      <c r="C209" s="38"/>
      <c r="D209" s="38"/>
      <c r="E209" s="38"/>
      <c r="F209" s="38"/>
      <c r="G209" s="38"/>
    </row>
    <row r="210">
      <c r="A210" s="38"/>
      <c r="B210" s="38"/>
      <c r="C210" s="38"/>
      <c r="D210" s="38"/>
      <c r="E210" s="38"/>
      <c r="F210" s="38"/>
      <c r="G210" s="38"/>
    </row>
    <row r="211">
      <c r="A211" s="38"/>
      <c r="B211" s="38"/>
      <c r="C211" s="38"/>
      <c r="D211" s="38"/>
      <c r="E211" s="38"/>
      <c r="F211" s="38"/>
      <c r="G211" s="38"/>
    </row>
    <row r="212">
      <c r="A212" s="38"/>
      <c r="B212" s="38"/>
      <c r="C212" s="38"/>
      <c r="D212" s="38"/>
      <c r="E212" s="38"/>
      <c r="F212" s="38"/>
      <c r="G212" s="38"/>
    </row>
    <row r="213">
      <c r="A213" s="38"/>
      <c r="B213" s="38"/>
      <c r="C213" s="38"/>
      <c r="D213" s="38"/>
      <c r="E213" s="38"/>
      <c r="F213" s="38"/>
      <c r="G213" s="38"/>
    </row>
    <row r="214">
      <c r="A214" s="38"/>
      <c r="B214" s="38"/>
      <c r="C214" s="38"/>
      <c r="D214" s="38"/>
      <c r="E214" s="38"/>
      <c r="F214" s="38"/>
      <c r="G214" s="38"/>
    </row>
    <row r="215">
      <c r="A215" s="38"/>
      <c r="B215" s="38"/>
      <c r="C215" s="38"/>
      <c r="D215" s="38"/>
      <c r="E215" s="38"/>
      <c r="F215" s="38"/>
      <c r="G215" s="38"/>
    </row>
    <row r="216">
      <c r="A216" s="38"/>
      <c r="B216" s="38"/>
      <c r="C216" s="38"/>
      <c r="D216" s="38"/>
      <c r="E216" s="38"/>
      <c r="F216" s="38"/>
      <c r="G216" s="38"/>
    </row>
    <row r="217">
      <c r="A217" s="38"/>
      <c r="B217" s="38"/>
      <c r="C217" s="38"/>
      <c r="D217" s="38"/>
      <c r="E217" s="38"/>
      <c r="F217" s="38"/>
      <c r="G217" s="38"/>
    </row>
    <row r="218">
      <c r="A218" s="38"/>
      <c r="B218" s="38"/>
      <c r="C218" s="38"/>
      <c r="D218" s="38"/>
      <c r="E218" s="38"/>
      <c r="F218" s="38"/>
      <c r="G218" s="38"/>
    </row>
    <row r="219">
      <c r="A219" s="38"/>
      <c r="B219" s="38"/>
      <c r="C219" s="38"/>
      <c r="D219" s="38"/>
      <c r="E219" s="38"/>
      <c r="F219" s="38"/>
      <c r="G219" s="38"/>
    </row>
    <row r="220">
      <c r="A220" s="38"/>
      <c r="B220" s="38"/>
      <c r="C220" s="38"/>
      <c r="D220" s="38"/>
      <c r="E220" s="38"/>
      <c r="F220" s="38"/>
      <c r="G220" s="38"/>
    </row>
    <row r="221">
      <c r="A221" s="38"/>
      <c r="B221" s="38"/>
      <c r="C221" s="38"/>
      <c r="D221" s="38"/>
      <c r="E221" s="38"/>
      <c r="F221" s="38"/>
      <c r="G221" s="38"/>
    </row>
    <row r="222">
      <c r="A222" s="38"/>
      <c r="B222" s="38"/>
      <c r="C222" s="38"/>
      <c r="D222" s="38"/>
      <c r="E222" s="38"/>
      <c r="F222" s="38"/>
      <c r="G222" s="38"/>
    </row>
    <row r="223">
      <c r="A223" s="38"/>
      <c r="B223" s="38"/>
      <c r="C223" s="38"/>
      <c r="D223" s="38"/>
      <c r="E223" s="38"/>
      <c r="F223" s="38"/>
      <c r="G223" s="38"/>
    </row>
    <row r="224">
      <c r="A224" s="38"/>
      <c r="B224" s="38"/>
      <c r="C224" s="38"/>
      <c r="D224" s="38"/>
      <c r="E224" s="38"/>
      <c r="F224" s="38"/>
      <c r="G224" s="38"/>
    </row>
    <row r="225">
      <c r="A225" s="38"/>
      <c r="B225" s="38"/>
      <c r="C225" s="38"/>
      <c r="D225" s="38"/>
      <c r="E225" s="38"/>
      <c r="F225" s="38"/>
      <c r="G225" s="38"/>
    </row>
    <row r="226">
      <c r="A226" s="38"/>
      <c r="B226" s="38"/>
      <c r="C226" s="38"/>
      <c r="D226" s="38"/>
      <c r="E226" s="38"/>
      <c r="F226" s="38"/>
      <c r="G226" s="38"/>
    </row>
    <row r="227">
      <c r="A227" s="38"/>
      <c r="B227" s="38"/>
      <c r="C227" s="38"/>
      <c r="D227" s="38"/>
      <c r="E227" s="38"/>
      <c r="F227" s="38"/>
      <c r="G227" s="38"/>
    </row>
    <row r="228">
      <c r="A228" s="38"/>
      <c r="B228" s="38"/>
      <c r="C228" s="38"/>
      <c r="D228" s="38"/>
      <c r="E228" s="38"/>
      <c r="F228" s="38"/>
      <c r="G228" s="38"/>
    </row>
    <row r="229">
      <c r="A229" s="38"/>
      <c r="B229" s="38"/>
      <c r="C229" s="38"/>
      <c r="D229" s="38"/>
      <c r="E229" s="38"/>
      <c r="F229" s="38"/>
      <c r="G229" s="38"/>
    </row>
    <row r="230">
      <c r="A230" s="38"/>
      <c r="B230" s="38"/>
      <c r="C230" s="38"/>
      <c r="D230" s="38"/>
      <c r="E230" s="38"/>
      <c r="F230" s="38"/>
      <c r="G230" s="38"/>
    </row>
    <row r="231">
      <c r="A231" s="38"/>
      <c r="B231" s="38"/>
      <c r="C231" s="38"/>
      <c r="D231" s="38"/>
      <c r="E231" s="38"/>
      <c r="F231" s="38"/>
      <c r="G231" s="38"/>
    </row>
    <row r="232">
      <c r="A232" s="38"/>
      <c r="B232" s="38"/>
      <c r="C232" s="38"/>
      <c r="D232" s="38"/>
      <c r="E232" s="38"/>
      <c r="F232" s="38"/>
      <c r="G232" s="38"/>
    </row>
    <row r="233">
      <c r="A233" s="38"/>
      <c r="B233" s="38"/>
      <c r="C233" s="38"/>
      <c r="D233" s="38"/>
      <c r="E233" s="38"/>
      <c r="F233" s="38"/>
      <c r="G233" s="38"/>
    </row>
    <row r="234">
      <c r="A234" s="38"/>
      <c r="B234" s="38"/>
      <c r="C234" s="38"/>
      <c r="D234" s="38"/>
      <c r="E234" s="38"/>
      <c r="F234" s="38"/>
      <c r="G234" s="38"/>
    </row>
    <row r="235">
      <c r="A235" s="38"/>
      <c r="B235" s="38"/>
      <c r="C235" s="38"/>
      <c r="D235" s="38"/>
      <c r="E235" s="38"/>
      <c r="F235" s="38"/>
      <c r="G235" s="38"/>
    </row>
    <row r="236">
      <c r="A236" s="38"/>
      <c r="B236" s="38"/>
      <c r="C236" s="38"/>
      <c r="D236" s="38"/>
      <c r="E236" s="38"/>
      <c r="F236" s="38"/>
      <c r="G236" s="38"/>
    </row>
    <row r="237">
      <c r="A237" s="38"/>
      <c r="B237" s="38"/>
      <c r="C237" s="38"/>
      <c r="D237" s="38"/>
      <c r="E237" s="38"/>
      <c r="F237" s="38"/>
      <c r="G237" s="38"/>
    </row>
    <row r="238">
      <c r="A238" s="38"/>
      <c r="B238" s="38"/>
      <c r="C238" s="38"/>
      <c r="D238" s="38"/>
      <c r="E238" s="38"/>
      <c r="F238" s="38"/>
      <c r="G238" s="38"/>
    </row>
    <row r="239">
      <c r="A239" s="38"/>
      <c r="B239" s="38"/>
      <c r="C239" s="38"/>
      <c r="D239" s="38"/>
      <c r="E239" s="38"/>
      <c r="F239" s="38"/>
      <c r="G239" s="38"/>
    </row>
    <row r="240">
      <c r="A240" s="38"/>
      <c r="B240" s="38"/>
      <c r="C240" s="38"/>
      <c r="D240" s="38"/>
      <c r="E240" s="38"/>
      <c r="F240" s="38"/>
      <c r="G240" s="38"/>
    </row>
    <row r="241">
      <c r="A241" s="38"/>
      <c r="B241" s="38"/>
      <c r="C241" s="38"/>
      <c r="D241" s="38"/>
      <c r="E241" s="38"/>
      <c r="F241" s="38"/>
      <c r="G241" s="38"/>
    </row>
    <row r="242">
      <c r="A242" s="38"/>
      <c r="B242" s="38"/>
      <c r="C242" s="38"/>
      <c r="D242" s="38"/>
      <c r="E242" s="38"/>
      <c r="F242" s="38"/>
      <c r="G242" s="38"/>
    </row>
    <row r="243">
      <c r="A243" s="38"/>
      <c r="B243" s="38"/>
      <c r="C243" s="38"/>
      <c r="D243" s="38"/>
      <c r="E243" s="38"/>
      <c r="F243" s="38"/>
      <c r="G243" s="38"/>
    </row>
    <row r="244">
      <c r="A244" s="38"/>
      <c r="B244" s="38"/>
      <c r="C244" s="38"/>
      <c r="D244" s="38"/>
      <c r="E244" s="38"/>
      <c r="F244" s="38"/>
      <c r="G244" s="38"/>
    </row>
    <row r="245">
      <c r="A245" s="38"/>
      <c r="B245" s="38"/>
      <c r="C245" s="38"/>
      <c r="D245" s="38"/>
      <c r="E245" s="38"/>
      <c r="F245" s="38"/>
      <c r="G245" s="38"/>
    </row>
    <row r="246">
      <c r="A246" s="38"/>
      <c r="B246" s="38"/>
      <c r="C246" s="38"/>
      <c r="D246" s="38"/>
      <c r="E246" s="38"/>
      <c r="F246" s="38"/>
      <c r="G246" s="38"/>
    </row>
    <row r="247">
      <c r="A247" s="38"/>
      <c r="B247" s="38"/>
      <c r="C247" s="38"/>
      <c r="D247" s="38"/>
      <c r="E247" s="38"/>
      <c r="F247" s="38"/>
      <c r="G247" s="38"/>
    </row>
    <row r="248">
      <c r="A248" s="38"/>
      <c r="B248" s="38"/>
      <c r="C248" s="38"/>
      <c r="D248" s="38"/>
      <c r="E248" s="38"/>
      <c r="F248" s="38"/>
      <c r="G248" s="38"/>
    </row>
    <row r="249">
      <c r="A249" s="38"/>
      <c r="B249" s="38"/>
      <c r="C249" s="38"/>
      <c r="D249" s="38"/>
      <c r="E249" s="38"/>
      <c r="F249" s="38"/>
      <c r="G249" s="38"/>
    </row>
    <row r="250">
      <c r="A250" s="38"/>
      <c r="B250" s="38"/>
      <c r="C250" s="38"/>
      <c r="D250" s="38"/>
      <c r="E250" s="38"/>
      <c r="F250" s="38"/>
      <c r="G250" s="38"/>
    </row>
    <row r="251">
      <c r="A251" s="38"/>
      <c r="B251" s="38"/>
      <c r="C251" s="38"/>
      <c r="D251" s="38"/>
      <c r="E251" s="38"/>
      <c r="F251" s="38"/>
      <c r="G251" s="38"/>
    </row>
    <row r="252">
      <c r="A252" s="38"/>
      <c r="B252" s="38"/>
      <c r="C252" s="38"/>
      <c r="D252" s="38"/>
      <c r="E252" s="38"/>
      <c r="F252" s="38"/>
      <c r="G252" s="38"/>
    </row>
    <row r="253">
      <c r="A253" s="38"/>
      <c r="B253" s="38"/>
      <c r="C253" s="38"/>
      <c r="D253" s="38"/>
      <c r="E253" s="38"/>
      <c r="F253" s="38"/>
      <c r="G253" s="38"/>
    </row>
    <row r="254">
      <c r="A254" s="38"/>
      <c r="B254" s="38"/>
      <c r="C254" s="38"/>
      <c r="D254" s="38"/>
      <c r="E254" s="38"/>
      <c r="F254" s="38"/>
      <c r="G254" s="38"/>
    </row>
    <row r="255">
      <c r="A255" s="38"/>
      <c r="B255" s="38"/>
      <c r="C255" s="38"/>
      <c r="D255" s="38"/>
      <c r="E255" s="38"/>
      <c r="F255" s="38"/>
      <c r="G255" s="38"/>
    </row>
    <row r="256">
      <c r="A256" s="38"/>
      <c r="B256" s="38"/>
      <c r="C256" s="38"/>
      <c r="D256" s="38"/>
      <c r="E256" s="38"/>
      <c r="F256" s="38"/>
      <c r="G256" s="38"/>
    </row>
    <row r="257">
      <c r="A257" s="38"/>
      <c r="B257" s="38"/>
      <c r="C257" s="38"/>
      <c r="D257" s="38"/>
      <c r="E257" s="38"/>
      <c r="F257" s="38"/>
      <c r="G257" s="38"/>
    </row>
    <row r="258">
      <c r="A258" s="38"/>
      <c r="B258" s="38"/>
      <c r="C258" s="38"/>
      <c r="D258" s="38"/>
      <c r="E258" s="38"/>
      <c r="F258" s="38"/>
      <c r="G258" s="38"/>
    </row>
    <row r="259">
      <c r="A259" s="38"/>
      <c r="B259" s="38"/>
      <c r="C259" s="38"/>
      <c r="D259" s="38"/>
      <c r="E259" s="38"/>
      <c r="F259" s="38"/>
      <c r="G259" s="38"/>
    </row>
    <row r="260">
      <c r="A260" s="38"/>
      <c r="B260" s="38"/>
      <c r="C260" s="38"/>
      <c r="D260" s="38"/>
      <c r="E260" s="38"/>
      <c r="F260" s="38"/>
      <c r="G260" s="38"/>
    </row>
    <row r="261">
      <c r="A261" s="38"/>
      <c r="B261" s="38"/>
      <c r="C261" s="38"/>
      <c r="D261" s="38"/>
      <c r="E261" s="38"/>
      <c r="F261" s="38"/>
      <c r="G261" s="38"/>
    </row>
    <row r="262">
      <c r="A262" s="38"/>
      <c r="B262" s="38"/>
      <c r="C262" s="38"/>
      <c r="D262" s="38"/>
      <c r="E262" s="38"/>
      <c r="F262" s="38"/>
      <c r="G262" s="38"/>
    </row>
    <row r="263">
      <c r="A263" s="38"/>
      <c r="B263" s="38"/>
      <c r="C263" s="38"/>
      <c r="D263" s="38"/>
      <c r="E263" s="38"/>
      <c r="F263" s="38"/>
      <c r="G263" s="38"/>
    </row>
    <row r="264">
      <c r="A264" s="38"/>
      <c r="B264" s="38"/>
      <c r="C264" s="38"/>
      <c r="D264" s="38"/>
      <c r="E264" s="38"/>
      <c r="F264" s="38"/>
      <c r="G264" s="38"/>
    </row>
    <row r="265">
      <c r="A265" s="38"/>
      <c r="B265" s="38"/>
      <c r="C265" s="38"/>
      <c r="D265" s="38"/>
      <c r="E265" s="38"/>
      <c r="F265" s="38"/>
      <c r="G265" s="38"/>
    </row>
    <row r="266">
      <c r="A266" s="38"/>
      <c r="B266" s="38"/>
      <c r="C266" s="38"/>
      <c r="D266" s="38"/>
      <c r="E266" s="38"/>
      <c r="F266" s="38"/>
      <c r="G266" s="38"/>
    </row>
    <row r="267">
      <c r="A267" s="38"/>
      <c r="B267" s="38"/>
      <c r="C267" s="38"/>
      <c r="D267" s="38"/>
      <c r="E267" s="38"/>
      <c r="F267" s="38"/>
      <c r="G267" s="38"/>
    </row>
    <row r="268">
      <c r="A268" s="38"/>
      <c r="B268" s="38"/>
      <c r="C268" s="38"/>
      <c r="D268" s="38"/>
      <c r="E268" s="38"/>
      <c r="F268" s="38"/>
      <c r="G268" s="38"/>
    </row>
    <row r="269">
      <c r="A269" s="38"/>
      <c r="B269" s="38"/>
      <c r="C269" s="38"/>
      <c r="D269" s="38"/>
      <c r="E269" s="38"/>
      <c r="F269" s="38"/>
      <c r="G269" s="38"/>
    </row>
    <row r="270">
      <c r="A270" s="38"/>
      <c r="B270" s="38"/>
      <c r="C270" s="38"/>
      <c r="D270" s="38"/>
      <c r="E270" s="38"/>
      <c r="F270" s="38"/>
      <c r="G270" s="38"/>
    </row>
    <row r="271">
      <c r="A271" s="38"/>
      <c r="B271" s="38"/>
      <c r="C271" s="38"/>
      <c r="D271" s="38"/>
      <c r="E271" s="38"/>
      <c r="F271" s="38"/>
      <c r="G271" s="38"/>
    </row>
    <row r="272">
      <c r="A272" s="38"/>
      <c r="B272" s="38"/>
      <c r="C272" s="38"/>
      <c r="D272" s="38"/>
      <c r="E272" s="38"/>
      <c r="F272" s="38"/>
      <c r="G272" s="38"/>
    </row>
    <row r="273">
      <c r="A273" s="38"/>
      <c r="B273" s="38"/>
      <c r="C273" s="38"/>
      <c r="D273" s="38"/>
      <c r="E273" s="38"/>
      <c r="F273" s="38"/>
      <c r="G273" s="38"/>
    </row>
    <row r="274">
      <c r="A274" s="38"/>
      <c r="B274" s="38"/>
      <c r="C274" s="38"/>
      <c r="D274" s="38"/>
      <c r="E274" s="38"/>
      <c r="F274" s="38"/>
      <c r="G274" s="38"/>
    </row>
    <row r="275">
      <c r="A275" s="38"/>
      <c r="B275" s="38"/>
      <c r="C275" s="38"/>
      <c r="D275" s="38"/>
      <c r="E275" s="38"/>
      <c r="F275" s="38"/>
      <c r="G275" s="38"/>
    </row>
    <row r="276">
      <c r="A276" s="38"/>
      <c r="B276" s="38"/>
      <c r="C276" s="38"/>
      <c r="D276" s="38"/>
      <c r="E276" s="38"/>
      <c r="F276" s="38"/>
      <c r="G276" s="38"/>
    </row>
    <row r="277">
      <c r="A277" s="38"/>
      <c r="B277" s="38"/>
      <c r="C277" s="38"/>
      <c r="D277" s="38"/>
      <c r="E277" s="38"/>
      <c r="F277" s="38"/>
      <c r="G277" s="38"/>
    </row>
    <row r="278">
      <c r="A278" s="38"/>
      <c r="B278" s="38"/>
      <c r="C278" s="38"/>
      <c r="D278" s="38"/>
      <c r="E278" s="38"/>
      <c r="F278" s="38"/>
      <c r="G278" s="38"/>
    </row>
    <row r="279">
      <c r="A279" s="38"/>
      <c r="B279" s="38"/>
      <c r="C279" s="38"/>
      <c r="D279" s="38"/>
      <c r="E279" s="38"/>
      <c r="F279" s="38"/>
      <c r="G279" s="38"/>
    </row>
    <row r="280">
      <c r="A280" s="38"/>
      <c r="B280" s="38"/>
      <c r="C280" s="38"/>
      <c r="D280" s="38"/>
      <c r="E280" s="38"/>
      <c r="F280" s="38"/>
      <c r="G280" s="38"/>
    </row>
    <row r="281">
      <c r="A281" s="38"/>
      <c r="B281" s="38"/>
      <c r="C281" s="38"/>
      <c r="D281" s="38"/>
      <c r="E281" s="38"/>
      <c r="F281" s="38"/>
      <c r="G281" s="38"/>
    </row>
    <row r="282">
      <c r="A282" s="38"/>
      <c r="B282" s="38"/>
      <c r="C282" s="38"/>
      <c r="D282" s="38"/>
      <c r="E282" s="38"/>
      <c r="F282" s="38"/>
      <c r="G282" s="38"/>
    </row>
    <row r="283">
      <c r="A283" s="38"/>
      <c r="B283" s="38"/>
      <c r="C283" s="38"/>
      <c r="D283" s="38"/>
      <c r="E283" s="38"/>
      <c r="F283" s="38"/>
      <c r="G283" s="38"/>
    </row>
    <row r="284">
      <c r="A284" s="38"/>
      <c r="B284" s="38"/>
      <c r="C284" s="38"/>
      <c r="D284" s="38"/>
      <c r="E284" s="38"/>
      <c r="F284" s="38"/>
      <c r="G284" s="38"/>
    </row>
    <row r="285">
      <c r="A285" s="38"/>
      <c r="B285" s="38"/>
      <c r="C285" s="38"/>
      <c r="D285" s="38"/>
      <c r="E285" s="38"/>
      <c r="F285" s="38"/>
      <c r="G285" s="38"/>
    </row>
    <row r="286">
      <c r="A286" s="38"/>
      <c r="B286" s="38"/>
      <c r="C286" s="38"/>
      <c r="D286" s="38"/>
      <c r="E286" s="38"/>
      <c r="F286" s="38"/>
      <c r="G286" s="38"/>
    </row>
    <row r="287">
      <c r="A287" s="38"/>
      <c r="B287" s="38"/>
      <c r="C287" s="38"/>
      <c r="D287" s="38"/>
      <c r="E287" s="38"/>
      <c r="F287" s="38"/>
      <c r="G287" s="38"/>
    </row>
    <row r="288">
      <c r="A288" s="38"/>
      <c r="B288" s="38"/>
      <c r="C288" s="38"/>
      <c r="D288" s="38"/>
      <c r="E288" s="38"/>
      <c r="F288" s="38"/>
      <c r="G288" s="38"/>
    </row>
    <row r="289">
      <c r="A289" s="38"/>
      <c r="B289" s="38"/>
      <c r="C289" s="38"/>
      <c r="D289" s="38"/>
      <c r="E289" s="38"/>
      <c r="F289" s="38"/>
      <c r="G289" s="38"/>
    </row>
    <row r="290">
      <c r="A290" s="38"/>
      <c r="B290" s="38"/>
      <c r="C290" s="38"/>
      <c r="D290" s="38"/>
      <c r="E290" s="38"/>
      <c r="F290" s="38"/>
      <c r="G290" s="38"/>
    </row>
    <row r="291">
      <c r="A291" s="38"/>
      <c r="B291" s="38"/>
      <c r="C291" s="38"/>
      <c r="D291" s="38"/>
      <c r="E291" s="38"/>
      <c r="F291" s="38"/>
      <c r="G291" s="38"/>
    </row>
    <row r="292">
      <c r="A292" s="38"/>
      <c r="B292" s="38"/>
      <c r="C292" s="38"/>
      <c r="D292" s="38"/>
      <c r="E292" s="38"/>
      <c r="F292" s="38"/>
      <c r="G292" s="38"/>
    </row>
    <row r="293">
      <c r="A293" s="38"/>
      <c r="B293" s="38"/>
      <c r="C293" s="38"/>
      <c r="D293" s="38"/>
      <c r="E293" s="38"/>
      <c r="F293" s="38"/>
      <c r="G293" s="38"/>
    </row>
    <row r="294">
      <c r="A294" s="38"/>
      <c r="B294" s="38"/>
      <c r="C294" s="38"/>
      <c r="D294" s="38"/>
      <c r="E294" s="38"/>
      <c r="F294" s="38"/>
      <c r="G294" s="38"/>
    </row>
    <row r="295">
      <c r="A295" s="38"/>
      <c r="B295" s="38"/>
      <c r="C295" s="38"/>
      <c r="D295" s="38"/>
      <c r="E295" s="38"/>
      <c r="F295" s="38"/>
      <c r="G295" s="38"/>
    </row>
    <row r="296">
      <c r="A296" s="38"/>
      <c r="B296" s="38"/>
      <c r="C296" s="38"/>
      <c r="D296" s="38"/>
      <c r="E296" s="38"/>
      <c r="F296" s="38"/>
      <c r="G296" s="38"/>
    </row>
    <row r="297">
      <c r="A297" s="38"/>
      <c r="B297" s="38"/>
      <c r="C297" s="38"/>
      <c r="D297" s="38"/>
      <c r="E297" s="38"/>
      <c r="F297" s="38"/>
      <c r="G297" s="38"/>
    </row>
    <row r="298">
      <c r="A298" s="38"/>
      <c r="B298" s="38"/>
      <c r="C298" s="38"/>
      <c r="D298" s="38"/>
      <c r="E298" s="38"/>
      <c r="F298" s="38"/>
      <c r="G298" s="38"/>
    </row>
    <row r="299">
      <c r="A299" s="38"/>
      <c r="B299" s="38"/>
      <c r="C299" s="38"/>
      <c r="D299" s="38"/>
      <c r="E299" s="38"/>
      <c r="F299" s="38"/>
      <c r="G299" s="38"/>
    </row>
    <row r="300">
      <c r="A300" s="38"/>
      <c r="B300" s="38"/>
      <c r="C300" s="38"/>
      <c r="D300" s="38"/>
      <c r="E300" s="38"/>
      <c r="F300" s="38"/>
      <c r="G300" s="38"/>
    </row>
    <row r="301">
      <c r="A301" s="38"/>
      <c r="B301" s="38"/>
      <c r="C301" s="38"/>
      <c r="D301" s="38"/>
      <c r="E301" s="38"/>
      <c r="F301" s="38"/>
      <c r="G301" s="38"/>
    </row>
    <row r="302">
      <c r="A302" s="38"/>
      <c r="B302" s="38"/>
      <c r="C302" s="38"/>
      <c r="D302" s="38"/>
      <c r="E302" s="38"/>
      <c r="F302" s="38"/>
      <c r="G302" s="38"/>
    </row>
    <row r="303">
      <c r="A303" s="38"/>
      <c r="B303" s="38"/>
      <c r="C303" s="38"/>
      <c r="D303" s="38"/>
      <c r="E303" s="38"/>
      <c r="F303" s="38"/>
      <c r="G303" s="38"/>
    </row>
    <row r="304">
      <c r="A304" s="38"/>
      <c r="B304" s="38"/>
      <c r="C304" s="38"/>
      <c r="D304" s="38"/>
      <c r="E304" s="38"/>
      <c r="F304" s="38"/>
      <c r="G304" s="38"/>
    </row>
    <row r="305">
      <c r="A305" s="38"/>
      <c r="B305" s="38"/>
      <c r="C305" s="38"/>
      <c r="D305" s="38"/>
      <c r="E305" s="38"/>
      <c r="F305" s="38"/>
      <c r="G305" s="38"/>
    </row>
    <row r="306">
      <c r="A306" s="38"/>
      <c r="B306" s="38"/>
      <c r="C306" s="38"/>
      <c r="D306" s="38"/>
      <c r="E306" s="38"/>
      <c r="F306" s="38"/>
      <c r="G306" s="38"/>
    </row>
    <row r="307">
      <c r="A307" s="38"/>
      <c r="B307" s="38"/>
      <c r="C307" s="38"/>
      <c r="D307" s="38"/>
      <c r="E307" s="38"/>
      <c r="F307" s="38"/>
      <c r="G307" s="38"/>
    </row>
    <row r="308">
      <c r="A308" s="38"/>
      <c r="B308" s="38"/>
      <c r="C308" s="38"/>
      <c r="D308" s="38"/>
      <c r="E308" s="38"/>
      <c r="F308" s="38"/>
      <c r="G308" s="38"/>
    </row>
    <row r="309">
      <c r="A309" s="38"/>
      <c r="B309" s="38"/>
      <c r="C309" s="38"/>
      <c r="D309" s="38"/>
      <c r="E309" s="38"/>
      <c r="F309" s="38"/>
      <c r="G309" s="38"/>
    </row>
    <row r="310">
      <c r="A310" s="38"/>
      <c r="B310" s="38"/>
      <c r="C310" s="38"/>
      <c r="D310" s="38"/>
      <c r="E310" s="38"/>
      <c r="F310" s="38"/>
      <c r="G310" s="38"/>
    </row>
    <row r="311">
      <c r="A311" s="38"/>
      <c r="B311" s="38"/>
      <c r="C311" s="38"/>
      <c r="D311" s="38"/>
      <c r="E311" s="38"/>
      <c r="F311" s="38"/>
      <c r="G311" s="38"/>
    </row>
    <row r="312">
      <c r="A312" s="38"/>
      <c r="B312" s="38"/>
      <c r="C312" s="38"/>
      <c r="D312" s="38"/>
      <c r="E312" s="38"/>
      <c r="F312" s="38"/>
      <c r="G312" s="38"/>
    </row>
    <row r="313">
      <c r="A313" s="38"/>
      <c r="B313" s="38"/>
      <c r="C313" s="38"/>
      <c r="D313" s="38"/>
      <c r="E313" s="38"/>
      <c r="F313" s="38"/>
      <c r="G313" s="38"/>
    </row>
    <row r="314">
      <c r="A314" s="38"/>
      <c r="B314" s="38"/>
      <c r="C314" s="38"/>
      <c r="D314" s="38"/>
      <c r="E314" s="38"/>
      <c r="F314" s="38"/>
      <c r="G314" s="38"/>
    </row>
    <row r="315">
      <c r="A315" s="38"/>
      <c r="B315" s="38"/>
      <c r="C315" s="38"/>
      <c r="D315" s="38"/>
      <c r="E315" s="38"/>
      <c r="F315" s="38"/>
      <c r="G315" s="38"/>
    </row>
    <row r="316">
      <c r="A316" s="38"/>
      <c r="B316" s="38"/>
      <c r="C316" s="38"/>
      <c r="D316" s="38"/>
      <c r="E316" s="38"/>
      <c r="F316" s="38"/>
      <c r="G316" s="38"/>
    </row>
    <row r="317">
      <c r="A317" s="38"/>
      <c r="B317" s="38"/>
      <c r="C317" s="38"/>
      <c r="D317" s="38"/>
      <c r="E317" s="38"/>
      <c r="F317" s="38"/>
      <c r="G317" s="38"/>
    </row>
    <row r="318">
      <c r="A318" s="38"/>
      <c r="B318" s="38"/>
      <c r="C318" s="38"/>
      <c r="D318" s="38"/>
      <c r="E318" s="38"/>
      <c r="F318" s="38"/>
      <c r="G318" s="38"/>
    </row>
    <row r="319">
      <c r="A319" s="38"/>
      <c r="B319" s="38"/>
      <c r="C319" s="38"/>
      <c r="D319" s="38"/>
      <c r="E319" s="38"/>
      <c r="F319" s="38"/>
      <c r="G319" s="38"/>
    </row>
    <row r="320">
      <c r="A320" s="38"/>
      <c r="B320" s="38"/>
      <c r="C320" s="38"/>
      <c r="D320" s="38"/>
      <c r="E320" s="38"/>
      <c r="F320" s="38"/>
      <c r="G320" s="38"/>
    </row>
    <row r="321">
      <c r="A321" s="38"/>
      <c r="B321" s="38"/>
      <c r="C321" s="38"/>
      <c r="D321" s="38"/>
      <c r="E321" s="38"/>
      <c r="F321" s="38"/>
      <c r="G321" s="38"/>
    </row>
    <row r="322">
      <c r="A322" s="38"/>
      <c r="B322" s="38"/>
      <c r="C322" s="38"/>
      <c r="D322" s="38"/>
      <c r="E322" s="38"/>
      <c r="F322" s="38"/>
      <c r="G322" s="38"/>
    </row>
    <row r="323">
      <c r="A323" s="38"/>
      <c r="B323" s="38"/>
      <c r="C323" s="38"/>
      <c r="D323" s="38"/>
      <c r="E323" s="38"/>
      <c r="F323" s="38"/>
      <c r="G323" s="38"/>
    </row>
    <row r="324">
      <c r="A324" s="38"/>
      <c r="B324" s="38"/>
      <c r="C324" s="38"/>
      <c r="D324" s="38"/>
      <c r="E324" s="38"/>
      <c r="F324" s="38"/>
      <c r="G324" s="38"/>
    </row>
    <row r="325">
      <c r="A325" s="38"/>
      <c r="B325" s="38"/>
      <c r="C325" s="38"/>
      <c r="D325" s="38"/>
      <c r="E325" s="38"/>
      <c r="F325" s="38"/>
      <c r="G325" s="38"/>
    </row>
    <row r="326">
      <c r="A326" s="38"/>
      <c r="B326" s="38"/>
      <c r="C326" s="38"/>
      <c r="D326" s="38"/>
      <c r="E326" s="38"/>
      <c r="F326" s="38"/>
      <c r="G326" s="38"/>
    </row>
    <row r="327">
      <c r="A327" s="38"/>
      <c r="B327" s="38"/>
      <c r="C327" s="38"/>
      <c r="D327" s="38"/>
      <c r="E327" s="38"/>
      <c r="F327" s="38"/>
      <c r="G327" s="38"/>
    </row>
    <row r="328">
      <c r="A328" s="38"/>
      <c r="B328" s="38"/>
      <c r="C328" s="38"/>
      <c r="D328" s="38"/>
      <c r="E328" s="38"/>
      <c r="F328" s="38"/>
      <c r="G328" s="38"/>
    </row>
    <row r="329">
      <c r="A329" s="38"/>
      <c r="B329" s="38"/>
      <c r="C329" s="38"/>
      <c r="D329" s="38"/>
      <c r="E329" s="38"/>
      <c r="F329" s="38"/>
      <c r="G329" s="38"/>
    </row>
    <row r="330">
      <c r="A330" s="38"/>
      <c r="B330" s="38"/>
      <c r="C330" s="38"/>
      <c r="D330" s="38"/>
      <c r="E330" s="38"/>
      <c r="F330" s="38"/>
      <c r="G330" s="38"/>
    </row>
    <row r="331">
      <c r="A331" s="38"/>
      <c r="B331" s="38"/>
      <c r="C331" s="38"/>
      <c r="D331" s="38"/>
      <c r="E331" s="38"/>
      <c r="F331" s="38"/>
      <c r="G331" s="38"/>
    </row>
    <row r="332">
      <c r="A332" s="38"/>
      <c r="B332" s="38"/>
      <c r="C332" s="38"/>
      <c r="D332" s="38"/>
      <c r="E332" s="38"/>
      <c r="F332" s="38"/>
      <c r="G332" s="38"/>
    </row>
    <row r="333">
      <c r="A333" s="38"/>
      <c r="B333" s="38"/>
      <c r="C333" s="38"/>
      <c r="D333" s="38"/>
      <c r="E333" s="38"/>
      <c r="F333" s="38"/>
      <c r="G333" s="38"/>
    </row>
    <row r="334">
      <c r="A334" s="38"/>
      <c r="B334" s="38"/>
      <c r="C334" s="38"/>
      <c r="D334" s="38"/>
      <c r="E334" s="38"/>
      <c r="F334" s="38"/>
      <c r="G334" s="38"/>
    </row>
    <row r="335">
      <c r="A335" s="38"/>
      <c r="B335" s="38"/>
      <c r="C335" s="38"/>
      <c r="D335" s="38"/>
      <c r="E335" s="38"/>
      <c r="F335" s="38"/>
      <c r="G335" s="38"/>
    </row>
    <row r="336">
      <c r="A336" s="38"/>
      <c r="B336" s="38"/>
      <c r="C336" s="38"/>
      <c r="D336" s="38"/>
      <c r="E336" s="38"/>
      <c r="F336" s="38"/>
      <c r="G336" s="38"/>
    </row>
    <row r="337">
      <c r="A337" s="38"/>
      <c r="B337" s="38"/>
      <c r="C337" s="38"/>
      <c r="D337" s="38"/>
      <c r="E337" s="38"/>
      <c r="F337" s="38"/>
      <c r="G337" s="38"/>
    </row>
    <row r="338">
      <c r="A338" s="38"/>
      <c r="B338" s="38"/>
      <c r="C338" s="38"/>
      <c r="D338" s="38"/>
      <c r="E338" s="38"/>
      <c r="F338" s="38"/>
      <c r="G338" s="38"/>
    </row>
    <row r="339">
      <c r="A339" s="38"/>
      <c r="B339" s="38"/>
      <c r="C339" s="38"/>
      <c r="D339" s="38"/>
      <c r="E339" s="38"/>
      <c r="F339" s="38"/>
      <c r="G339" s="38"/>
    </row>
    <row r="340">
      <c r="A340" s="38"/>
      <c r="B340" s="38"/>
      <c r="C340" s="38"/>
      <c r="D340" s="38"/>
      <c r="E340" s="38"/>
      <c r="F340" s="38"/>
      <c r="G340" s="38"/>
    </row>
    <row r="341">
      <c r="A341" s="38"/>
      <c r="B341" s="38"/>
      <c r="C341" s="38"/>
      <c r="D341" s="38"/>
      <c r="E341" s="38"/>
      <c r="F341" s="38"/>
      <c r="G341" s="38"/>
    </row>
    <row r="342">
      <c r="A342" s="38"/>
      <c r="B342" s="38"/>
      <c r="C342" s="38"/>
      <c r="D342" s="38"/>
      <c r="E342" s="38"/>
      <c r="F342" s="38"/>
      <c r="G342" s="38"/>
    </row>
    <row r="343">
      <c r="A343" s="38"/>
      <c r="B343" s="38"/>
      <c r="C343" s="38"/>
      <c r="D343" s="38"/>
      <c r="E343" s="38"/>
      <c r="F343" s="38"/>
      <c r="G343" s="38"/>
    </row>
    <row r="344">
      <c r="A344" s="38"/>
      <c r="B344" s="38"/>
      <c r="C344" s="38"/>
      <c r="D344" s="38"/>
      <c r="E344" s="38"/>
      <c r="F344" s="38"/>
      <c r="G344" s="38"/>
    </row>
    <row r="345">
      <c r="A345" s="38"/>
      <c r="B345" s="38"/>
      <c r="C345" s="38"/>
      <c r="D345" s="38"/>
      <c r="E345" s="38"/>
      <c r="F345" s="38"/>
      <c r="G345" s="38"/>
    </row>
    <row r="346">
      <c r="A346" s="38"/>
      <c r="B346" s="38"/>
      <c r="C346" s="38"/>
      <c r="D346" s="38"/>
      <c r="E346" s="38"/>
      <c r="F346" s="38"/>
      <c r="G346" s="38"/>
    </row>
    <row r="347">
      <c r="A347" s="38"/>
      <c r="B347" s="38"/>
      <c r="C347" s="38"/>
      <c r="D347" s="38"/>
      <c r="E347" s="38"/>
      <c r="F347" s="38"/>
      <c r="G347" s="38"/>
    </row>
    <row r="348">
      <c r="A348" s="38"/>
      <c r="B348" s="38"/>
      <c r="C348" s="38"/>
      <c r="D348" s="38"/>
      <c r="E348" s="38"/>
      <c r="F348" s="38"/>
      <c r="G348" s="38"/>
    </row>
    <row r="349">
      <c r="A349" s="38"/>
      <c r="B349" s="38"/>
      <c r="C349" s="38"/>
      <c r="D349" s="38"/>
      <c r="E349" s="38"/>
      <c r="F349" s="38"/>
      <c r="G349" s="38"/>
    </row>
    <row r="350">
      <c r="A350" s="38"/>
      <c r="B350" s="38"/>
      <c r="C350" s="38"/>
      <c r="D350" s="38"/>
      <c r="E350" s="38"/>
      <c r="F350" s="38"/>
      <c r="G350" s="38"/>
    </row>
    <row r="351">
      <c r="A351" s="38"/>
      <c r="B351" s="38"/>
      <c r="C351" s="38"/>
      <c r="D351" s="38"/>
      <c r="E351" s="38"/>
      <c r="F351" s="38"/>
      <c r="G351" s="38"/>
    </row>
    <row r="352">
      <c r="A352" s="38"/>
      <c r="B352" s="38"/>
      <c r="C352" s="38"/>
      <c r="D352" s="38"/>
      <c r="E352" s="38"/>
      <c r="F352" s="38"/>
      <c r="G352" s="38"/>
    </row>
    <row r="353">
      <c r="A353" s="38"/>
      <c r="B353" s="38"/>
      <c r="C353" s="38"/>
      <c r="D353" s="38"/>
      <c r="E353" s="38"/>
      <c r="F353" s="38"/>
      <c r="G353" s="38"/>
    </row>
    <row r="354">
      <c r="A354" s="38"/>
      <c r="B354" s="38"/>
      <c r="C354" s="38"/>
      <c r="D354" s="38"/>
      <c r="E354" s="38"/>
      <c r="F354" s="38"/>
      <c r="G354" s="38"/>
    </row>
    <row r="355">
      <c r="A355" s="38"/>
      <c r="B355" s="38"/>
      <c r="C355" s="38"/>
      <c r="D355" s="38"/>
      <c r="E355" s="38"/>
      <c r="F355" s="38"/>
      <c r="G355" s="38"/>
    </row>
    <row r="356">
      <c r="A356" s="38"/>
      <c r="B356" s="38"/>
      <c r="C356" s="38"/>
      <c r="D356" s="38"/>
      <c r="E356" s="38"/>
      <c r="F356" s="38"/>
      <c r="G356" s="38"/>
    </row>
    <row r="357">
      <c r="A357" s="38"/>
      <c r="B357" s="38"/>
      <c r="C357" s="38"/>
      <c r="D357" s="38"/>
      <c r="E357" s="38"/>
      <c r="F357" s="38"/>
      <c r="G357" s="38"/>
    </row>
    <row r="358">
      <c r="A358" s="38"/>
      <c r="B358" s="38"/>
      <c r="C358" s="38"/>
      <c r="D358" s="38"/>
      <c r="E358" s="38"/>
      <c r="F358" s="38"/>
      <c r="G358" s="38"/>
    </row>
    <row r="359">
      <c r="A359" s="38"/>
      <c r="B359" s="38"/>
      <c r="C359" s="38"/>
      <c r="D359" s="38"/>
      <c r="E359" s="38"/>
      <c r="F359" s="38"/>
      <c r="G359" s="38"/>
    </row>
    <row r="360">
      <c r="A360" s="38"/>
      <c r="B360" s="38"/>
      <c r="C360" s="38"/>
      <c r="D360" s="38"/>
      <c r="E360" s="38"/>
      <c r="F360" s="38"/>
      <c r="G360" s="38"/>
    </row>
    <row r="361">
      <c r="A361" s="38"/>
      <c r="B361" s="38"/>
      <c r="C361" s="38"/>
      <c r="D361" s="38"/>
      <c r="E361" s="38"/>
      <c r="F361" s="38"/>
      <c r="G361" s="38"/>
    </row>
    <row r="362">
      <c r="A362" s="38"/>
      <c r="B362" s="38"/>
      <c r="C362" s="38"/>
      <c r="D362" s="38"/>
      <c r="E362" s="38"/>
      <c r="F362" s="38"/>
      <c r="G362" s="38"/>
    </row>
    <row r="363">
      <c r="A363" s="38"/>
      <c r="B363" s="38"/>
      <c r="C363" s="38"/>
      <c r="D363" s="38"/>
      <c r="E363" s="38"/>
      <c r="F363" s="38"/>
      <c r="G363" s="38"/>
    </row>
    <row r="364">
      <c r="A364" s="38"/>
      <c r="B364" s="38"/>
      <c r="C364" s="38"/>
      <c r="D364" s="38"/>
      <c r="E364" s="38"/>
      <c r="F364" s="38"/>
      <c r="G364" s="38"/>
    </row>
    <row r="365">
      <c r="A365" s="38"/>
      <c r="B365" s="38"/>
      <c r="C365" s="38"/>
      <c r="D365" s="38"/>
      <c r="E365" s="38"/>
      <c r="F365" s="38"/>
      <c r="G365" s="38"/>
    </row>
    <row r="366">
      <c r="A366" s="38"/>
      <c r="B366" s="38"/>
      <c r="C366" s="38"/>
      <c r="D366" s="38"/>
      <c r="E366" s="38"/>
      <c r="F366" s="38"/>
      <c r="G366" s="38"/>
    </row>
    <row r="367">
      <c r="A367" s="38"/>
      <c r="B367" s="38"/>
      <c r="C367" s="38"/>
      <c r="D367" s="38"/>
      <c r="E367" s="38"/>
      <c r="F367" s="38"/>
      <c r="G367" s="38"/>
    </row>
    <row r="368">
      <c r="A368" s="38"/>
      <c r="B368" s="38"/>
      <c r="C368" s="38"/>
      <c r="D368" s="38"/>
      <c r="E368" s="38"/>
      <c r="F368" s="38"/>
      <c r="G368" s="38"/>
    </row>
    <row r="369">
      <c r="A369" s="38"/>
      <c r="B369" s="38"/>
      <c r="C369" s="38"/>
      <c r="D369" s="38"/>
      <c r="E369" s="38"/>
      <c r="F369" s="38"/>
      <c r="G369" s="38"/>
    </row>
    <row r="370">
      <c r="A370" s="38"/>
      <c r="B370" s="38"/>
      <c r="C370" s="38"/>
      <c r="D370" s="38"/>
      <c r="E370" s="38"/>
      <c r="F370" s="38"/>
      <c r="G370" s="38"/>
    </row>
    <row r="371">
      <c r="A371" s="38"/>
      <c r="B371" s="38"/>
      <c r="C371" s="38"/>
      <c r="D371" s="38"/>
      <c r="E371" s="38"/>
      <c r="F371" s="38"/>
      <c r="G371" s="38"/>
    </row>
    <row r="372">
      <c r="A372" s="38"/>
      <c r="B372" s="38"/>
      <c r="C372" s="38"/>
      <c r="D372" s="38"/>
      <c r="E372" s="38"/>
      <c r="F372" s="38"/>
      <c r="G372" s="38"/>
    </row>
    <row r="373">
      <c r="A373" s="38"/>
      <c r="B373" s="38"/>
      <c r="C373" s="38"/>
      <c r="D373" s="38"/>
      <c r="E373" s="38"/>
      <c r="F373" s="38"/>
      <c r="G373" s="38"/>
    </row>
    <row r="374">
      <c r="A374" s="38"/>
      <c r="B374" s="38"/>
      <c r="C374" s="38"/>
      <c r="D374" s="38"/>
      <c r="E374" s="38"/>
      <c r="F374" s="38"/>
      <c r="G374" s="38"/>
    </row>
    <row r="375">
      <c r="A375" s="38"/>
      <c r="B375" s="38"/>
      <c r="C375" s="38"/>
      <c r="D375" s="38"/>
      <c r="E375" s="38"/>
      <c r="F375" s="38"/>
      <c r="G375" s="38"/>
    </row>
    <row r="376">
      <c r="A376" s="38"/>
      <c r="B376" s="38"/>
      <c r="C376" s="38"/>
      <c r="D376" s="38"/>
      <c r="E376" s="38"/>
      <c r="F376" s="38"/>
      <c r="G376" s="38"/>
    </row>
    <row r="377">
      <c r="A377" s="38"/>
      <c r="B377" s="38"/>
      <c r="C377" s="38"/>
      <c r="D377" s="38"/>
      <c r="E377" s="38"/>
      <c r="F377" s="38"/>
      <c r="G377" s="38"/>
    </row>
    <row r="378">
      <c r="A378" s="38"/>
      <c r="B378" s="38"/>
      <c r="C378" s="38"/>
      <c r="D378" s="38"/>
      <c r="E378" s="38"/>
      <c r="F378" s="38"/>
      <c r="G378" s="38"/>
    </row>
    <row r="379">
      <c r="A379" s="38"/>
      <c r="B379" s="38"/>
      <c r="C379" s="38"/>
      <c r="D379" s="38"/>
      <c r="E379" s="38"/>
      <c r="F379" s="38"/>
      <c r="G379" s="38"/>
    </row>
    <row r="380">
      <c r="A380" s="38"/>
      <c r="B380" s="38"/>
      <c r="C380" s="38"/>
      <c r="D380" s="38"/>
      <c r="E380" s="38"/>
      <c r="F380" s="38"/>
      <c r="G380" s="38"/>
    </row>
    <row r="381">
      <c r="A381" s="38"/>
      <c r="B381" s="38"/>
      <c r="C381" s="38"/>
      <c r="D381" s="38"/>
      <c r="E381" s="38"/>
      <c r="F381" s="38"/>
      <c r="G381" s="38"/>
    </row>
    <row r="382">
      <c r="A382" s="38"/>
      <c r="B382" s="38"/>
      <c r="C382" s="38"/>
      <c r="D382" s="38"/>
      <c r="E382" s="38"/>
      <c r="F382" s="38"/>
      <c r="G382" s="38"/>
    </row>
    <row r="383">
      <c r="A383" s="38"/>
      <c r="B383" s="38"/>
      <c r="C383" s="38"/>
      <c r="D383" s="38"/>
      <c r="E383" s="38"/>
      <c r="F383" s="38"/>
      <c r="G383" s="38"/>
    </row>
    <row r="384">
      <c r="A384" s="38"/>
      <c r="B384" s="38"/>
      <c r="C384" s="38"/>
      <c r="D384" s="38"/>
      <c r="E384" s="38"/>
      <c r="F384" s="38"/>
      <c r="G384" s="38"/>
    </row>
    <row r="385">
      <c r="A385" s="38"/>
      <c r="B385" s="38"/>
      <c r="C385" s="38"/>
      <c r="D385" s="38"/>
      <c r="E385" s="38"/>
      <c r="F385" s="38"/>
      <c r="G385" s="38"/>
    </row>
    <row r="386">
      <c r="A386" s="38"/>
      <c r="B386" s="38"/>
      <c r="C386" s="38"/>
      <c r="D386" s="38"/>
      <c r="E386" s="38"/>
      <c r="F386" s="38"/>
      <c r="G386" s="38"/>
    </row>
    <row r="387">
      <c r="A387" s="38"/>
      <c r="B387" s="38"/>
      <c r="C387" s="38"/>
      <c r="D387" s="38"/>
      <c r="E387" s="38"/>
      <c r="F387" s="38"/>
      <c r="G387" s="38"/>
    </row>
    <row r="388">
      <c r="A388" s="38"/>
      <c r="B388" s="38"/>
      <c r="C388" s="38"/>
      <c r="D388" s="38"/>
      <c r="E388" s="38"/>
      <c r="F388" s="38"/>
      <c r="G388" s="38"/>
    </row>
    <row r="389">
      <c r="A389" s="38"/>
      <c r="B389" s="38"/>
      <c r="C389" s="38"/>
      <c r="D389" s="38"/>
      <c r="E389" s="38"/>
      <c r="F389" s="38"/>
      <c r="G389" s="38"/>
    </row>
    <row r="390">
      <c r="A390" s="38"/>
      <c r="B390" s="38"/>
      <c r="C390" s="38"/>
      <c r="D390" s="38"/>
      <c r="E390" s="38"/>
      <c r="F390" s="38"/>
      <c r="G390" s="38"/>
    </row>
    <row r="391">
      <c r="A391" s="38"/>
      <c r="B391" s="38"/>
      <c r="C391" s="38"/>
      <c r="D391" s="38"/>
      <c r="E391" s="38"/>
      <c r="F391" s="38"/>
      <c r="G391" s="38"/>
    </row>
    <row r="392">
      <c r="A392" s="38"/>
      <c r="B392" s="38"/>
      <c r="C392" s="38"/>
      <c r="D392" s="38"/>
      <c r="E392" s="38"/>
      <c r="F392" s="38"/>
      <c r="G392" s="38"/>
    </row>
    <row r="393">
      <c r="A393" s="38"/>
      <c r="B393" s="38"/>
      <c r="C393" s="38"/>
      <c r="D393" s="38"/>
      <c r="E393" s="38"/>
      <c r="F393" s="38"/>
      <c r="G393" s="38"/>
    </row>
    <row r="394">
      <c r="A394" s="38"/>
      <c r="B394" s="38"/>
      <c r="C394" s="38"/>
      <c r="D394" s="38"/>
      <c r="E394" s="38"/>
      <c r="F394" s="38"/>
      <c r="G394" s="38"/>
    </row>
    <row r="395">
      <c r="A395" s="38"/>
      <c r="B395" s="38"/>
      <c r="C395" s="38"/>
      <c r="D395" s="38"/>
      <c r="E395" s="38"/>
      <c r="F395" s="38"/>
      <c r="G395" s="38"/>
    </row>
    <row r="396">
      <c r="A396" s="38"/>
      <c r="B396" s="38"/>
      <c r="C396" s="38"/>
      <c r="D396" s="38"/>
      <c r="E396" s="38"/>
      <c r="F396" s="38"/>
      <c r="G396" s="38"/>
    </row>
    <row r="397">
      <c r="A397" s="38"/>
      <c r="B397" s="38"/>
      <c r="C397" s="38"/>
      <c r="D397" s="38"/>
      <c r="E397" s="38"/>
      <c r="F397" s="38"/>
      <c r="G397" s="38"/>
    </row>
    <row r="398">
      <c r="A398" s="38"/>
      <c r="B398" s="38"/>
      <c r="C398" s="38"/>
      <c r="D398" s="38"/>
      <c r="E398" s="38"/>
      <c r="F398" s="38"/>
      <c r="G398" s="38"/>
    </row>
    <row r="399">
      <c r="A399" s="38"/>
      <c r="B399" s="38"/>
      <c r="C399" s="38"/>
      <c r="D399" s="38"/>
      <c r="E399" s="38"/>
      <c r="F399" s="38"/>
      <c r="G399" s="38"/>
    </row>
    <row r="400">
      <c r="A400" s="38"/>
      <c r="B400" s="38"/>
      <c r="C400" s="38"/>
      <c r="D400" s="38"/>
      <c r="E400" s="38"/>
      <c r="F400" s="38"/>
      <c r="G400" s="38"/>
    </row>
    <row r="401">
      <c r="A401" s="38"/>
      <c r="B401" s="38"/>
      <c r="C401" s="38"/>
      <c r="D401" s="38"/>
      <c r="E401" s="38"/>
      <c r="F401" s="38"/>
      <c r="G401" s="38"/>
    </row>
    <row r="402">
      <c r="A402" s="38"/>
      <c r="B402" s="38"/>
      <c r="C402" s="38"/>
      <c r="D402" s="38"/>
      <c r="E402" s="38"/>
      <c r="F402" s="38"/>
      <c r="G402" s="38"/>
    </row>
    <row r="403">
      <c r="A403" s="38"/>
      <c r="B403" s="38"/>
      <c r="C403" s="38"/>
      <c r="D403" s="38"/>
      <c r="E403" s="38"/>
      <c r="F403" s="38"/>
      <c r="G403" s="38"/>
    </row>
    <row r="404">
      <c r="A404" s="38"/>
      <c r="B404" s="38"/>
      <c r="C404" s="38"/>
      <c r="D404" s="38"/>
      <c r="E404" s="38"/>
      <c r="F404" s="38"/>
      <c r="G404" s="38"/>
    </row>
    <row r="405">
      <c r="A405" s="38"/>
      <c r="B405" s="38"/>
      <c r="C405" s="38"/>
      <c r="D405" s="38"/>
      <c r="E405" s="38"/>
      <c r="F405" s="38"/>
      <c r="G405" s="38"/>
    </row>
    <row r="406">
      <c r="A406" s="38"/>
      <c r="B406" s="38"/>
      <c r="C406" s="38"/>
      <c r="D406" s="38"/>
      <c r="E406" s="38"/>
      <c r="F406" s="38"/>
      <c r="G406" s="38"/>
    </row>
    <row r="407">
      <c r="A407" s="38"/>
      <c r="B407" s="38"/>
      <c r="C407" s="38"/>
      <c r="D407" s="38"/>
      <c r="E407" s="38"/>
      <c r="F407" s="38"/>
      <c r="G407" s="38"/>
    </row>
    <row r="408">
      <c r="A408" s="38"/>
      <c r="B408" s="38"/>
      <c r="C408" s="38"/>
      <c r="D408" s="38"/>
      <c r="E408" s="38"/>
      <c r="F408" s="38"/>
      <c r="G408" s="38"/>
    </row>
    <row r="409">
      <c r="A409" s="38"/>
      <c r="B409" s="38"/>
      <c r="C409" s="38"/>
      <c r="D409" s="38"/>
      <c r="E409" s="38"/>
      <c r="F409" s="38"/>
      <c r="G409" s="38"/>
    </row>
    <row r="410">
      <c r="A410" s="38"/>
      <c r="B410" s="38"/>
      <c r="C410" s="38"/>
      <c r="D410" s="38"/>
      <c r="E410" s="38"/>
      <c r="F410" s="38"/>
      <c r="G410" s="38"/>
    </row>
    <row r="411">
      <c r="A411" s="38"/>
      <c r="B411" s="38"/>
      <c r="C411" s="38"/>
      <c r="D411" s="38"/>
      <c r="E411" s="38"/>
      <c r="F411" s="38"/>
      <c r="G411" s="38"/>
    </row>
    <row r="412">
      <c r="A412" s="38"/>
      <c r="B412" s="38"/>
      <c r="C412" s="38"/>
      <c r="D412" s="38"/>
      <c r="E412" s="38"/>
      <c r="F412" s="38"/>
      <c r="G412" s="38"/>
    </row>
    <row r="413">
      <c r="A413" s="38"/>
      <c r="B413" s="38"/>
      <c r="C413" s="38"/>
      <c r="D413" s="38"/>
      <c r="E413" s="38"/>
      <c r="F413" s="38"/>
      <c r="G413" s="38"/>
    </row>
    <row r="414">
      <c r="A414" s="38"/>
      <c r="B414" s="38"/>
      <c r="C414" s="38"/>
      <c r="D414" s="38"/>
      <c r="E414" s="38"/>
      <c r="F414" s="38"/>
      <c r="G414" s="38"/>
    </row>
    <row r="415">
      <c r="A415" s="38"/>
      <c r="B415" s="38"/>
      <c r="C415" s="38"/>
      <c r="D415" s="38"/>
      <c r="E415" s="38"/>
      <c r="F415" s="38"/>
      <c r="G415" s="38"/>
    </row>
    <row r="416">
      <c r="A416" s="38"/>
      <c r="B416" s="38"/>
      <c r="C416" s="38"/>
      <c r="D416" s="38"/>
      <c r="E416" s="38"/>
      <c r="F416" s="38"/>
      <c r="G416" s="38"/>
    </row>
    <row r="417">
      <c r="A417" s="38"/>
      <c r="B417" s="38"/>
      <c r="C417" s="38"/>
      <c r="D417" s="38"/>
      <c r="E417" s="38"/>
      <c r="F417" s="38"/>
      <c r="G417" s="38"/>
    </row>
    <row r="418">
      <c r="A418" s="38"/>
      <c r="B418" s="38"/>
      <c r="C418" s="38"/>
      <c r="D418" s="38"/>
      <c r="E418" s="38"/>
      <c r="F418" s="38"/>
      <c r="G418" s="38"/>
    </row>
    <row r="419">
      <c r="A419" s="38"/>
      <c r="B419" s="38"/>
      <c r="C419" s="38"/>
      <c r="D419" s="38"/>
      <c r="E419" s="38"/>
      <c r="F419" s="38"/>
      <c r="G419" s="38"/>
    </row>
    <row r="420">
      <c r="A420" s="38"/>
      <c r="B420" s="38"/>
      <c r="C420" s="38"/>
      <c r="D420" s="38"/>
      <c r="E420" s="38"/>
      <c r="F420" s="38"/>
      <c r="G420" s="38"/>
    </row>
    <row r="421">
      <c r="A421" s="38"/>
      <c r="B421" s="38"/>
      <c r="C421" s="38"/>
      <c r="D421" s="38"/>
      <c r="E421" s="38"/>
      <c r="F421" s="38"/>
      <c r="G421" s="38"/>
    </row>
    <row r="422">
      <c r="A422" s="38"/>
      <c r="B422" s="38"/>
      <c r="C422" s="38"/>
      <c r="D422" s="38"/>
      <c r="E422" s="38"/>
      <c r="F422" s="38"/>
      <c r="G422" s="38"/>
    </row>
    <row r="423">
      <c r="A423" s="38"/>
      <c r="B423" s="38"/>
      <c r="C423" s="38"/>
      <c r="D423" s="38"/>
      <c r="E423" s="38"/>
      <c r="F423" s="38"/>
      <c r="G423" s="38"/>
    </row>
    <row r="424">
      <c r="A424" s="38"/>
      <c r="B424" s="38"/>
      <c r="C424" s="38"/>
      <c r="D424" s="38"/>
      <c r="E424" s="38"/>
      <c r="F424" s="38"/>
      <c r="G424" s="38"/>
    </row>
    <row r="425">
      <c r="A425" s="38"/>
      <c r="B425" s="38"/>
      <c r="C425" s="38"/>
      <c r="D425" s="38"/>
      <c r="E425" s="38"/>
      <c r="F425" s="38"/>
      <c r="G425" s="38"/>
    </row>
    <row r="426">
      <c r="A426" s="38"/>
      <c r="B426" s="38"/>
      <c r="C426" s="38"/>
      <c r="D426" s="38"/>
      <c r="E426" s="38"/>
      <c r="F426" s="38"/>
      <c r="G426" s="38"/>
    </row>
    <row r="427">
      <c r="A427" s="38"/>
      <c r="B427" s="38"/>
      <c r="C427" s="38"/>
      <c r="D427" s="38"/>
      <c r="E427" s="38"/>
      <c r="F427" s="38"/>
      <c r="G427" s="38"/>
    </row>
    <row r="428">
      <c r="A428" s="38"/>
      <c r="B428" s="38"/>
      <c r="C428" s="38"/>
      <c r="D428" s="38"/>
      <c r="E428" s="38"/>
      <c r="F428" s="38"/>
      <c r="G428" s="38"/>
    </row>
    <row r="429">
      <c r="A429" s="38"/>
      <c r="B429" s="38"/>
      <c r="C429" s="38"/>
      <c r="D429" s="38"/>
      <c r="E429" s="38"/>
      <c r="F429" s="38"/>
      <c r="G429" s="38"/>
    </row>
    <row r="430">
      <c r="A430" s="38"/>
      <c r="B430" s="38"/>
      <c r="C430" s="38"/>
      <c r="D430" s="38"/>
      <c r="E430" s="38"/>
      <c r="F430" s="38"/>
      <c r="G430" s="38"/>
    </row>
    <row r="431">
      <c r="A431" s="38"/>
      <c r="B431" s="38"/>
      <c r="C431" s="38"/>
      <c r="D431" s="38"/>
      <c r="E431" s="38"/>
      <c r="F431" s="38"/>
      <c r="G431" s="38"/>
    </row>
    <row r="432">
      <c r="A432" s="38"/>
      <c r="B432" s="38"/>
      <c r="C432" s="38"/>
      <c r="D432" s="38"/>
      <c r="E432" s="38"/>
      <c r="F432" s="38"/>
      <c r="G432" s="38"/>
    </row>
    <row r="433">
      <c r="A433" s="38"/>
      <c r="B433" s="38"/>
      <c r="C433" s="38"/>
      <c r="D433" s="38"/>
      <c r="E433" s="38"/>
      <c r="F433" s="38"/>
      <c r="G433" s="38"/>
    </row>
    <row r="434">
      <c r="A434" s="38"/>
      <c r="B434" s="38"/>
      <c r="C434" s="38"/>
      <c r="D434" s="38"/>
      <c r="E434" s="38"/>
      <c r="F434" s="38"/>
      <c r="G434" s="38"/>
    </row>
    <row r="435">
      <c r="A435" s="38"/>
      <c r="B435" s="38"/>
      <c r="C435" s="38"/>
      <c r="D435" s="38"/>
      <c r="E435" s="38"/>
      <c r="F435" s="38"/>
      <c r="G435" s="38"/>
    </row>
    <row r="436">
      <c r="A436" s="38"/>
      <c r="B436" s="38"/>
      <c r="C436" s="38"/>
      <c r="D436" s="38"/>
      <c r="E436" s="38"/>
      <c r="F436" s="38"/>
      <c r="G436" s="38"/>
    </row>
    <row r="437">
      <c r="A437" s="38"/>
      <c r="B437" s="38"/>
      <c r="C437" s="38"/>
      <c r="D437" s="38"/>
      <c r="E437" s="38"/>
      <c r="F437" s="38"/>
      <c r="G437" s="38"/>
    </row>
    <row r="438">
      <c r="A438" s="38"/>
      <c r="B438" s="38"/>
      <c r="C438" s="38"/>
      <c r="D438" s="38"/>
      <c r="E438" s="38"/>
      <c r="F438" s="38"/>
      <c r="G438" s="38"/>
    </row>
    <row r="439">
      <c r="A439" s="38"/>
      <c r="B439" s="38"/>
      <c r="C439" s="38"/>
      <c r="D439" s="38"/>
      <c r="E439" s="38"/>
      <c r="F439" s="38"/>
      <c r="G439" s="38"/>
    </row>
    <row r="440">
      <c r="A440" s="38"/>
      <c r="B440" s="38"/>
      <c r="C440" s="38"/>
      <c r="D440" s="38"/>
      <c r="E440" s="38"/>
      <c r="F440" s="38"/>
      <c r="G440" s="38"/>
    </row>
    <row r="441">
      <c r="A441" s="38"/>
      <c r="B441" s="38"/>
      <c r="C441" s="38"/>
      <c r="D441" s="38"/>
      <c r="E441" s="38"/>
      <c r="F441" s="38"/>
      <c r="G441" s="38"/>
    </row>
    <row r="442">
      <c r="A442" s="38"/>
      <c r="B442" s="38"/>
      <c r="C442" s="38"/>
      <c r="D442" s="38"/>
      <c r="E442" s="38"/>
      <c r="F442" s="38"/>
      <c r="G442" s="38"/>
    </row>
    <row r="443">
      <c r="A443" s="38"/>
      <c r="B443" s="38"/>
      <c r="C443" s="38"/>
      <c r="D443" s="38"/>
      <c r="E443" s="38"/>
      <c r="F443" s="38"/>
      <c r="G443" s="38"/>
    </row>
    <row r="444">
      <c r="A444" s="38"/>
      <c r="B444" s="38"/>
      <c r="C444" s="38"/>
      <c r="D444" s="38"/>
      <c r="E444" s="38"/>
      <c r="F444" s="38"/>
      <c r="G444" s="38"/>
    </row>
    <row r="445">
      <c r="A445" s="38"/>
      <c r="B445" s="38"/>
      <c r="C445" s="38"/>
      <c r="D445" s="38"/>
      <c r="E445" s="38"/>
      <c r="F445" s="38"/>
      <c r="G445" s="38"/>
    </row>
    <row r="446">
      <c r="A446" s="38"/>
      <c r="B446" s="38"/>
      <c r="C446" s="38"/>
      <c r="D446" s="38"/>
      <c r="E446" s="38"/>
      <c r="F446" s="38"/>
      <c r="G446" s="38"/>
    </row>
    <row r="447">
      <c r="A447" s="38"/>
      <c r="B447" s="38"/>
      <c r="C447" s="38"/>
      <c r="D447" s="38"/>
      <c r="E447" s="38"/>
      <c r="F447" s="38"/>
      <c r="G447" s="38"/>
    </row>
    <row r="448">
      <c r="A448" s="38"/>
      <c r="B448" s="38"/>
      <c r="C448" s="38"/>
      <c r="D448" s="38"/>
      <c r="E448" s="38"/>
      <c r="F448" s="38"/>
      <c r="G448" s="38"/>
    </row>
    <row r="449">
      <c r="A449" s="38"/>
      <c r="B449" s="38"/>
      <c r="C449" s="38"/>
      <c r="D449" s="38"/>
      <c r="E449" s="38"/>
      <c r="F449" s="38"/>
      <c r="G449" s="38"/>
    </row>
    <row r="450">
      <c r="A450" s="38"/>
      <c r="B450" s="38"/>
      <c r="C450" s="38"/>
      <c r="D450" s="38"/>
      <c r="E450" s="38"/>
      <c r="F450" s="38"/>
      <c r="G450" s="38"/>
    </row>
    <row r="451">
      <c r="A451" s="38"/>
      <c r="B451" s="38"/>
      <c r="C451" s="38"/>
      <c r="D451" s="38"/>
      <c r="E451" s="38"/>
      <c r="F451" s="38"/>
      <c r="G451" s="38"/>
    </row>
    <row r="452">
      <c r="A452" s="38"/>
      <c r="B452" s="38"/>
      <c r="C452" s="38"/>
      <c r="D452" s="38"/>
      <c r="E452" s="38"/>
      <c r="F452" s="38"/>
      <c r="G452" s="38"/>
    </row>
    <row r="453">
      <c r="A453" s="38"/>
      <c r="B453" s="38"/>
      <c r="C453" s="38"/>
      <c r="D453" s="38"/>
      <c r="E453" s="38"/>
      <c r="F453" s="38"/>
      <c r="G453" s="38"/>
    </row>
    <row r="454">
      <c r="A454" s="38"/>
      <c r="B454" s="38"/>
      <c r="C454" s="38"/>
      <c r="D454" s="38"/>
      <c r="E454" s="38"/>
      <c r="F454" s="38"/>
      <c r="G454" s="38"/>
    </row>
    <row r="455">
      <c r="A455" s="38"/>
      <c r="B455" s="38"/>
      <c r="C455" s="38"/>
      <c r="D455" s="38"/>
      <c r="E455" s="38"/>
      <c r="F455" s="38"/>
      <c r="G455" s="38"/>
    </row>
    <row r="456">
      <c r="A456" s="38"/>
      <c r="B456" s="38"/>
      <c r="C456" s="38"/>
      <c r="D456" s="38"/>
      <c r="E456" s="38"/>
      <c r="F456" s="38"/>
      <c r="G456" s="38"/>
    </row>
    <row r="457">
      <c r="A457" s="38"/>
      <c r="B457" s="38"/>
      <c r="C457" s="38"/>
      <c r="D457" s="38"/>
      <c r="E457" s="38"/>
      <c r="F457" s="38"/>
      <c r="G457" s="38"/>
    </row>
    <row r="458">
      <c r="A458" s="38"/>
      <c r="B458" s="38"/>
      <c r="C458" s="38"/>
      <c r="D458" s="38"/>
      <c r="E458" s="38"/>
      <c r="F458" s="38"/>
      <c r="G458" s="38"/>
    </row>
    <row r="459">
      <c r="A459" s="38"/>
      <c r="B459" s="38"/>
      <c r="C459" s="38"/>
      <c r="D459" s="38"/>
      <c r="E459" s="38"/>
      <c r="F459" s="38"/>
      <c r="G459" s="38"/>
    </row>
    <row r="460">
      <c r="A460" s="38"/>
      <c r="B460" s="38"/>
      <c r="C460" s="38"/>
      <c r="D460" s="38"/>
      <c r="E460" s="38"/>
      <c r="F460" s="38"/>
      <c r="G460" s="38"/>
    </row>
    <row r="461">
      <c r="A461" s="38"/>
      <c r="B461" s="38"/>
      <c r="C461" s="38"/>
      <c r="D461" s="38"/>
      <c r="E461" s="38"/>
      <c r="F461" s="38"/>
      <c r="G461" s="38"/>
    </row>
    <row r="462">
      <c r="A462" s="38"/>
      <c r="B462" s="38"/>
      <c r="C462" s="38"/>
      <c r="D462" s="38"/>
      <c r="E462" s="38"/>
      <c r="F462" s="38"/>
      <c r="G462" s="38"/>
    </row>
    <row r="463">
      <c r="A463" s="38"/>
      <c r="B463" s="38"/>
      <c r="C463" s="38"/>
      <c r="D463" s="38"/>
      <c r="E463" s="38"/>
      <c r="F463" s="38"/>
      <c r="G463" s="38"/>
    </row>
    <row r="464">
      <c r="A464" s="38"/>
      <c r="B464" s="38"/>
      <c r="C464" s="38"/>
      <c r="D464" s="38"/>
      <c r="E464" s="38"/>
      <c r="F464" s="38"/>
      <c r="G464" s="38"/>
    </row>
    <row r="465">
      <c r="A465" s="38"/>
      <c r="B465" s="38"/>
      <c r="C465" s="38"/>
      <c r="D465" s="38"/>
      <c r="E465" s="38"/>
      <c r="F465" s="38"/>
      <c r="G465" s="38"/>
    </row>
    <row r="466">
      <c r="A466" s="38"/>
      <c r="B466" s="38"/>
      <c r="C466" s="38"/>
      <c r="D466" s="38"/>
      <c r="E466" s="38"/>
      <c r="F466" s="38"/>
      <c r="G466" s="38"/>
    </row>
    <row r="467">
      <c r="A467" s="38"/>
      <c r="B467" s="38"/>
      <c r="C467" s="38"/>
      <c r="D467" s="38"/>
      <c r="E467" s="38"/>
      <c r="F467" s="38"/>
      <c r="G467" s="38"/>
    </row>
    <row r="468">
      <c r="A468" s="38"/>
      <c r="B468" s="38"/>
      <c r="C468" s="38"/>
      <c r="D468" s="38"/>
      <c r="E468" s="38"/>
      <c r="F468" s="38"/>
      <c r="G468" s="38"/>
    </row>
    <row r="469">
      <c r="A469" s="38"/>
      <c r="B469" s="38"/>
      <c r="C469" s="38"/>
      <c r="D469" s="38"/>
      <c r="E469" s="38"/>
      <c r="F469" s="38"/>
      <c r="G469" s="38"/>
    </row>
    <row r="470">
      <c r="A470" s="38"/>
      <c r="B470" s="38"/>
      <c r="C470" s="38"/>
      <c r="D470" s="38"/>
      <c r="E470" s="38"/>
      <c r="F470" s="38"/>
      <c r="G470" s="38"/>
    </row>
    <row r="471">
      <c r="A471" s="38"/>
      <c r="B471" s="38"/>
      <c r="C471" s="38"/>
      <c r="D471" s="38"/>
      <c r="E471" s="38"/>
      <c r="F471" s="38"/>
      <c r="G471" s="38"/>
    </row>
    <row r="472">
      <c r="A472" s="38"/>
      <c r="B472" s="38"/>
      <c r="C472" s="38"/>
      <c r="D472" s="38"/>
      <c r="E472" s="38"/>
      <c r="F472" s="38"/>
      <c r="G472" s="38"/>
    </row>
    <row r="473">
      <c r="A473" s="38"/>
      <c r="B473" s="38"/>
      <c r="C473" s="38"/>
      <c r="D473" s="38"/>
      <c r="E473" s="38"/>
      <c r="F473" s="38"/>
      <c r="G473" s="38"/>
    </row>
    <row r="474">
      <c r="A474" s="38"/>
      <c r="B474" s="38"/>
      <c r="C474" s="38"/>
      <c r="D474" s="38"/>
      <c r="E474" s="38"/>
      <c r="F474" s="38"/>
      <c r="G474" s="38"/>
    </row>
    <row r="475">
      <c r="A475" s="38"/>
      <c r="B475" s="38"/>
      <c r="C475" s="38"/>
      <c r="D475" s="38"/>
      <c r="E475" s="38"/>
      <c r="F475" s="38"/>
      <c r="G475" s="38"/>
    </row>
    <row r="476">
      <c r="A476" s="38"/>
      <c r="B476" s="38"/>
      <c r="C476" s="38"/>
      <c r="D476" s="38"/>
      <c r="E476" s="38"/>
      <c r="F476" s="38"/>
      <c r="G476" s="38"/>
    </row>
    <row r="477">
      <c r="A477" s="38"/>
      <c r="B477" s="38"/>
      <c r="C477" s="38"/>
      <c r="D477" s="38"/>
      <c r="E477" s="38"/>
      <c r="F477" s="38"/>
      <c r="G477" s="38"/>
    </row>
    <row r="478">
      <c r="A478" s="38"/>
      <c r="B478" s="38"/>
      <c r="C478" s="38"/>
      <c r="D478" s="38"/>
      <c r="E478" s="38"/>
      <c r="F478" s="38"/>
      <c r="G478" s="38"/>
    </row>
    <row r="479">
      <c r="A479" s="38"/>
      <c r="B479" s="38"/>
      <c r="C479" s="38"/>
      <c r="D479" s="38"/>
      <c r="E479" s="38"/>
      <c r="F479" s="38"/>
      <c r="G479" s="38"/>
    </row>
    <row r="480">
      <c r="A480" s="38"/>
      <c r="B480" s="38"/>
      <c r="C480" s="38"/>
      <c r="D480" s="38"/>
      <c r="E480" s="38"/>
      <c r="F480" s="38"/>
      <c r="G480" s="38"/>
    </row>
    <row r="481">
      <c r="A481" s="38"/>
      <c r="B481" s="38"/>
      <c r="C481" s="38"/>
      <c r="D481" s="38"/>
      <c r="E481" s="38"/>
      <c r="F481" s="38"/>
      <c r="G481" s="38"/>
    </row>
    <row r="482">
      <c r="A482" s="38"/>
      <c r="B482" s="38"/>
      <c r="C482" s="38"/>
      <c r="D482" s="38"/>
      <c r="E482" s="38"/>
      <c r="F482" s="38"/>
      <c r="G482" s="38"/>
    </row>
    <row r="483">
      <c r="A483" s="38"/>
      <c r="B483" s="38"/>
      <c r="C483" s="38"/>
      <c r="D483" s="38"/>
      <c r="E483" s="38"/>
      <c r="F483" s="38"/>
      <c r="G483" s="38"/>
    </row>
    <row r="484">
      <c r="A484" s="38"/>
      <c r="B484" s="38"/>
      <c r="C484" s="38"/>
      <c r="D484" s="38"/>
      <c r="E484" s="38"/>
      <c r="F484" s="38"/>
      <c r="G484" s="38"/>
    </row>
    <row r="485">
      <c r="A485" s="38"/>
      <c r="B485" s="38"/>
      <c r="C485" s="38"/>
      <c r="D485" s="38"/>
      <c r="E485" s="38"/>
      <c r="F485" s="38"/>
      <c r="G485" s="38"/>
    </row>
    <row r="486">
      <c r="A486" s="38"/>
      <c r="B486" s="38"/>
      <c r="C486" s="38"/>
      <c r="D486" s="38"/>
      <c r="E486" s="38"/>
      <c r="F486" s="38"/>
      <c r="G486" s="38"/>
    </row>
    <row r="487">
      <c r="A487" s="38"/>
      <c r="B487" s="38"/>
      <c r="C487" s="38"/>
      <c r="D487" s="38"/>
      <c r="E487" s="38"/>
      <c r="F487" s="38"/>
      <c r="G487" s="38"/>
    </row>
    <row r="488">
      <c r="A488" s="38"/>
      <c r="B488" s="38"/>
      <c r="C488" s="38"/>
      <c r="D488" s="38"/>
      <c r="E488" s="38"/>
      <c r="F488" s="38"/>
      <c r="G488" s="38"/>
    </row>
    <row r="489">
      <c r="A489" s="38"/>
      <c r="B489" s="38"/>
      <c r="C489" s="38"/>
      <c r="D489" s="38"/>
      <c r="E489" s="38"/>
      <c r="F489" s="38"/>
      <c r="G489" s="38"/>
    </row>
    <row r="490">
      <c r="A490" s="38"/>
      <c r="B490" s="38"/>
      <c r="C490" s="38"/>
      <c r="D490" s="38"/>
      <c r="E490" s="38"/>
      <c r="F490" s="38"/>
      <c r="G490" s="38"/>
    </row>
    <row r="491">
      <c r="A491" s="38"/>
      <c r="B491" s="38"/>
      <c r="C491" s="38"/>
      <c r="D491" s="38"/>
      <c r="E491" s="38"/>
      <c r="F491" s="38"/>
      <c r="G491" s="38"/>
    </row>
    <row r="492">
      <c r="A492" s="38"/>
      <c r="B492" s="38"/>
      <c r="C492" s="38"/>
      <c r="D492" s="38"/>
      <c r="E492" s="38"/>
      <c r="F492" s="38"/>
      <c r="G492" s="38"/>
    </row>
    <row r="493">
      <c r="A493" s="38"/>
      <c r="B493" s="38"/>
      <c r="C493" s="38"/>
      <c r="D493" s="38"/>
      <c r="E493" s="38"/>
      <c r="F493" s="38"/>
      <c r="G493" s="38"/>
    </row>
    <row r="494">
      <c r="A494" s="38"/>
      <c r="B494" s="38"/>
      <c r="C494" s="38"/>
      <c r="D494" s="38"/>
      <c r="E494" s="38"/>
      <c r="F494" s="38"/>
      <c r="G494" s="38"/>
    </row>
    <row r="495">
      <c r="A495" s="38"/>
      <c r="B495" s="38"/>
      <c r="C495" s="38"/>
      <c r="D495" s="38"/>
      <c r="E495" s="38"/>
      <c r="F495" s="38"/>
      <c r="G495" s="38"/>
    </row>
    <row r="496">
      <c r="A496" s="38"/>
      <c r="B496" s="38"/>
      <c r="C496" s="38"/>
      <c r="D496" s="38"/>
      <c r="E496" s="38"/>
      <c r="F496" s="38"/>
      <c r="G496" s="38"/>
    </row>
    <row r="497">
      <c r="A497" s="38"/>
      <c r="B497" s="38"/>
      <c r="C497" s="38"/>
      <c r="D497" s="38"/>
      <c r="E497" s="38"/>
      <c r="F497" s="38"/>
      <c r="G497" s="38"/>
    </row>
    <row r="498">
      <c r="A498" s="38"/>
      <c r="B498" s="38"/>
      <c r="C498" s="38"/>
      <c r="D498" s="38"/>
      <c r="E498" s="38"/>
      <c r="F498" s="38"/>
      <c r="G498" s="38"/>
    </row>
    <row r="499">
      <c r="A499" s="38"/>
      <c r="B499" s="38"/>
      <c r="C499" s="38"/>
      <c r="D499" s="38"/>
      <c r="E499" s="38"/>
      <c r="F499" s="38"/>
      <c r="G499" s="38"/>
    </row>
    <row r="500">
      <c r="A500" s="38"/>
      <c r="B500" s="38"/>
      <c r="C500" s="38"/>
      <c r="D500" s="38"/>
      <c r="E500" s="38"/>
      <c r="F500" s="38"/>
      <c r="G500" s="38"/>
    </row>
    <row r="501">
      <c r="A501" s="38"/>
      <c r="B501" s="38"/>
      <c r="C501" s="38"/>
      <c r="D501" s="38"/>
      <c r="E501" s="38"/>
      <c r="F501" s="38"/>
      <c r="G501" s="38"/>
    </row>
    <row r="502">
      <c r="A502" s="38"/>
      <c r="B502" s="38"/>
      <c r="C502" s="38"/>
      <c r="D502" s="38"/>
      <c r="E502" s="38"/>
      <c r="F502" s="38"/>
      <c r="G502" s="38"/>
    </row>
    <row r="503">
      <c r="A503" s="38"/>
      <c r="B503" s="38"/>
      <c r="C503" s="38"/>
      <c r="D503" s="38"/>
      <c r="E503" s="38"/>
      <c r="F503" s="38"/>
      <c r="G503" s="38"/>
    </row>
    <row r="504">
      <c r="A504" s="38"/>
      <c r="B504" s="38"/>
      <c r="C504" s="38"/>
      <c r="D504" s="38"/>
      <c r="E504" s="38"/>
      <c r="F504" s="38"/>
      <c r="G504" s="38"/>
    </row>
    <row r="505">
      <c r="A505" s="38"/>
      <c r="B505" s="38"/>
      <c r="C505" s="38"/>
      <c r="D505" s="38"/>
      <c r="E505" s="38"/>
      <c r="F505" s="38"/>
      <c r="G505" s="38"/>
    </row>
    <row r="506">
      <c r="A506" s="38"/>
      <c r="B506" s="38"/>
      <c r="C506" s="38"/>
      <c r="D506" s="38"/>
      <c r="E506" s="38"/>
      <c r="F506" s="38"/>
      <c r="G506" s="38"/>
    </row>
    <row r="507">
      <c r="A507" s="38"/>
      <c r="B507" s="38"/>
      <c r="C507" s="38"/>
      <c r="D507" s="38"/>
      <c r="E507" s="38"/>
      <c r="F507" s="38"/>
      <c r="G507" s="38"/>
    </row>
    <row r="508">
      <c r="A508" s="38"/>
      <c r="B508" s="38"/>
      <c r="C508" s="38"/>
      <c r="D508" s="38"/>
      <c r="E508" s="38"/>
      <c r="F508" s="38"/>
      <c r="G508" s="38"/>
    </row>
    <row r="509">
      <c r="A509" s="38"/>
      <c r="B509" s="38"/>
      <c r="C509" s="38"/>
      <c r="D509" s="38"/>
      <c r="E509" s="38"/>
      <c r="F509" s="38"/>
      <c r="G509" s="38"/>
    </row>
    <row r="510">
      <c r="A510" s="38"/>
      <c r="B510" s="38"/>
      <c r="C510" s="38"/>
      <c r="D510" s="38"/>
      <c r="E510" s="38"/>
      <c r="F510" s="38"/>
      <c r="G510" s="38"/>
    </row>
    <row r="511">
      <c r="A511" s="38"/>
      <c r="B511" s="38"/>
      <c r="C511" s="38"/>
      <c r="D511" s="38"/>
      <c r="E511" s="38"/>
      <c r="F511" s="38"/>
      <c r="G511" s="38"/>
    </row>
    <row r="512">
      <c r="A512" s="38"/>
      <c r="B512" s="38"/>
      <c r="C512" s="38"/>
      <c r="D512" s="38"/>
      <c r="E512" s="38"/>
      <c r="F512" s="38"/>
      <c r="G512" s="38"/>
    </row>
    <row r="513">
      <c r="A513" s="38"/>
      <c r="B513" s="38"/>
      <c r="C513" s="38"/>
      <c r="D513" s="38"/>
      <c r="E513" s="38"/>
      <c r="F513" s="38"/>
      <c r="G513" s="38"/>
    </row>
    <row r="514">
      <c r="A514" s="38"/>
      <c r="B514" s="38"/>
      <c r="C514" s="38"/>
      <c r="D514" s="38"/>
      <c r="E514" s="38"/>
      <c r="F514" s="38"/>
      <c r="G514" s="38"/>
    </row>
    <row r="515">
      <c r="A515" s="38"/>
      <c r="B515" s="38"/>
      <c r="C515" s="38"/>
      <c r="D515" s="38"/>
      <c r="E515" s="38"/>
      <c r="F515" s="38"/>
      <c r="G515" s="38"/>
    </row>
    <row r="516">
      <c r="A516" s="38"/>
      <c r="B516" s="38"/>
      <c r="C516" s="38"/>
      <c r="D516" s="38"/>
      <c r="E516" s="38"/>
      <c r="F516" s="38"/>
      <c r="G516" s="38"/>
    </row>
    <row r="517">
      <c r="A517" s="38"/>
      <c r="B517" s="38"/>
      <c r="C517" s="38"/>
      <c r="D517" s="38"/>
      <c r="E517" s="38"/>
      <c r="F517" s="38"/>
      <c r="G517" s="38"/>
    </row>
    <row r="518">
      <c r="A518" s="38"/>
      <c r="B518" s="38"/>
      <c r="C518" s="38"/>
      <c r="D518" s="38"/>
      <c r="E518" s="38"/>
      <c r="F518" s="38"/>
      <c r="G518" s="38"/>
    </row>
    <row r="519">
      <c r="A519" s="38"/>
      <c r="B519" s="38"/>
      <c r="C519" s="38"/>
      <c r="D519" s="38"/>
      <c r="E519" s="38"/>
      <c r="F519" s="38"/>
      <c r="G519" s="38"/>
    </row>
    <row r="520">
      <c r="A520" s="38"/>
      <c r="B520" s="38"/>
      <c r="C520" s="38"/>
      <c r="D520" s="38"/>
      <c r="E520" s="38"/>
      <c r="F520" s="38"/>
      <c r="G520" s="38"/>
    </row>
    <row r="521">
      <c r="A521" s="38"/>
      <c r="B521" s="38"/>
      <c r="C521" s="38"/>
      <c r="D521" s="38"/>
      <c r="E521" s="38"/>
      <c r="F521" s="38"/>
      <c r="G521" s="38"/>
    </row>
    <row r="522">
      <c r="A522" s="38"/>
      <c r="B522" s="38"/>
      <c r="C522" s="38"/>
      <c r="D522" s="38"/>
      <c r="E522" s="38"/>
      <c r="F522" s="38"/>
      <c r="G522" s="38"/>
    </row>
    <row r="523">
      <c r="A523" s="38"/>
      <c r="B523" s="38"/>
      <c r="C523" s="38"/>
      <c r="D523" s="38"/>
      <c r="E523" s="38"/>
      <c r="F523" s="38"/>
      <c r="G523" s="38"/>
    </row>
    <row r="524">
      <c r="A524" s="38"/>
      <c r="B524" s="38"/>
      <c r="C524" s="38"/>
      <c r="D524" s="38"/>
      <c r="E524" s="38"/>
      <c r="F524" s="38"/>
      <c r="G524" s="38"/>
    </row>
    <row r="525">
      <c r="A525" s="38"/>
      <c r="B525" s="38"/>
      <c r="C525" s="38"/>
      <c r="D525" s="38"/>
      <c r="E525" s="38"/>
      <c r="F525" s="38"/>
      <c r="G525" s="38"/>
    </row>
    <row r="526">
      <c r="A526" s="38"/>
      <c r="B526" s="38"/>
      <c r="C526" s="38"/>
      <c r="D526" s="38"/>
      <c r="E526" s="38"/>
      <c r="F526" s="38"/>
      <c r="G526" s="38"/>
    </row>
    <row r="527">
      <c r="A527" s="38"/>
      <c r="B527" s="38"/>
      <c r="C527" s="38"/>
      <c r="D527" s="38"/>
      <c r="E527" s="38"/>
      <c r="F527" s="38"/>
      <c r="G527" s="38"/>
    </row>
    <row r="528">
      <c r="A528" s="38"/>
      <c r="B528" s="38"/>
      <c r="C528" s="38"/>
      <c r="D528" s="38"/>
      <c r="E528" s="38"/>
      <c r="F528" s="38"/>
      <c r="G528" s="38"/>
    </row>
    <row r="529">
      <c r="A529" s="38"/>
      <c r="B529" s="38"/>
      <c r="C529" s="38"/>
      <c r="D529" s="38"/>
      <c r="E529" s="38"/>
      <c r="F529" s="38"/>
      <c r="G529" s="38"/>
    </row>
    <row r="530">
      <c r="A530" s="38"/>
      <c r="B530" s="38"/>
      <c r="C530" s="38"/>
      <c r="D530" s="38"/>
      <c r="E530" s="38"/>
      <c r="F530" s="38"/>
      <c r="G530" s="38"/>
    </row>
    <row r="531">
      <c r="A531" s="38"/>
      <c r="B531" s="38"/>
      <c r="C531" s="38"/>
      <c r="D531" s="38"/>
      <c r="E531" s="38"/>
      <c r="F531" s="38"/>
      <c r="G531" s="38"/>
    </row>
    <row r="532">
      <c r="A532" s="38"/>
      <c r="B532" s="38"/>
      <c r="C532" s="38"/>
      <c r="D532" s="38"/>
      <c r="E532" s="38"/>
      <c r="F532" s="38"/>
      <c r="G532" s="38"/>
    </row>
    <row r="533">
      <c r="A533" s="38"/>
      <c r="B533" s="38"/>
      <c r="C533" s="38"/>
      <c r="D533" s="38"/>
      <c r="E533" s="38"/>
      <c r="F533" s="38"/>
      <c r="G533" s="38"/>
    </row>
    <row r="534">
      <c r="A534" s="38"/>
      <c r="B534" s="38"/>
      <c r="C534" s="38"/>
      <c r="D534" s="38"/>
      <c r="E534" s="38"/>
      <c r="F534" s="38"/>
      <c r="G534" s="38"/>
    </row>
    <row r="535">
      <c r="A535" s="38"/>
      <c r="B535" s="38"/>
      <c r="C535" s="38"/>
      <c r="D535" s="38"/>
      <c r="E535" s="38"/>
      <c r="F535" s="38"/>
      <c r="G535" s="38"/>
    </row>
    <row r="536">
      <c r="A536" s="38"/>
      <c r="B536" s="38"/>
      <c r="C536" s="38"/>
      <c r="D536" s="38"/>
      <c r="E536" s="38"/>
      <c r="F536" s="38"/>
      <c r="G536" s="38"/>
    </row>
    <row r="537">
      <c r="A537" s="38"/>
      <c r="B537" s="38"/>
      <c r="C537" s="38"/>
      <c r="D537" s="38"/>
      <c r="E537" s="38"/>
      <c r="F537" s="38"/>
      <c r="G537" s="38"/>
    </row>
    <row r="538">
      <c r="A538" s="38"/>
      <c r="B538" s="38"/>
      <c r="C538" s="38"/>
      <c r="D538" s="38"/>
      <c r="E538" s="38"/>
      <c r="F538" s="38"/>
      <c r="G538" s="38"/>
    </row>
    <row r="539">
      <c r="A539" s="38"/>
      <c r="B539" s="38"/>
      <c r="C539" s="38"/>
      <c r="D539" s="38"/>
      <c r="E539" s="38"/>
      <c r="F539" s="38"/>
      <c r="G539" s="38"/>
    </row>
    <row r="540">
      <c r="A540" s="38"/>
      <c r="B540" s="38"/>
      <c r="C540" s="38"/>
      <c r="D540" s="38"/>
      <c r="E540" s="38"/>
      <c r="F540" s="38"/>
      <c r="G540" s="38"/>
    </row>
    <row r="541">
      <c r="A541" s="38"/>
      <c r="B541" s="38"/>
      <c r="C541" s="38"/>
      <c r="D541" s="38"/>
      <c r="E541" s="38"/>
      <c r="F541" s="38"/>
      <c r="G541" s="38"/>
    </row>
    <row r="542">
      <c r="A542" s="38"/>
      <c r="B542" s="38"/>
      <c r="C542" s="38"/>
      <c r="D542" s="38"/>
      <c r="E542" s="38"/>
      <c r="F542" s="38"/>
      <c r="G542" s="38"/>
    </row>
    <row r="543">
      <c r="A543" s="38"/>
      <c r="B543" s="38"/>
      <c r="C543" s="38"/>
      <c r="D543" s="38"/>
      <c r="E543" s="38"/>
      <c r="F543" s="38"/>
      <c r="G543" s="38"/>
    </row>
    <row r="544">
      <c r="A544" s="38"/>
      <c r="B544" s="38"/>
      <c r="C544" s="38"/>
      <c r="D544" s="38"/>
      <c r="E544" s="38"/>
      <c r="F544" s="38"/>
      <c r="G544" s="38"/>
    </row>
    <row r="545">
      <c r="A545" s="38"/>
      <c r="B545" s="38"/>
      <c r="C545" s="38"/>
      <c r="D545" s="38"/>
      <c r="E545" s="38"/>
      <c r="F545" s="38"/>
      <c r="G545" s="38"/>
    </row>
    <row r="546">
      <c r="A546" s="38"/>
      <c r="B546" s="38"/>
      <c r="C546" s="38"/>
      <c r="D546" s="38"/>
      <c r="E546" s="38"/>
      <c r="F546" s="38"/>
      <c r="G546" s="38"/>
    </row>
    <row r="547">
      <c r="A547" s="38"/>
      <c r="B547" s="38"/>
      <c r="C547" s="38"/>
      <c r="D547" s="38"/>
      <c r="E547" s="38"/>
      <c r="F547" s="38"/>
      <c r="G547" s="38"/>
    </row>
    <row r="548">
      <c r="A548" s="38"/>
      <c r="B548" s="38"/>
      <c r="C548" s="38"/>
      <c r="D548" s="38"/>
      <c r="E548" s="38"/>
      <c r="F548" s="38"/>
      <c r="G548" s="38"/>
    </row>
    <row r="549">
      <c r="A549" s="38"/>
      <c r="B549" s="38"/>
      <c r="C549" s="38"/>
      <c r="D549" s="38"/>
      <c r="E549" s="38"/>
      <c r="F549" s="38"/>
      <c r="G549" s="38"/>
    </row>
    <row r="550">
      <c r="A550" s="38"/>
      <c r="B550" s="38"/>
      <c r="C550" s="38"/>
      <c r="D550" s="38"/>
      <c r="E550" s="38"/>
      <c r="F550" s="38"/>
      <c r="G550" s="38"/>
    </row>
    <row r="551">
      <c r="A551" s="38"/>
      <c r="B551" s="38"/>
      <c r="C551" s="38"/>
      <c r="D551" s="38"/>
      <c r="E551" s="38"/>
      <c r="F551" s="38"/>
      <c r="G551" s="38"/>
    </row>
    <row r="552">
      <c r="A552" s="38"/>
      <c r="B552" s="38"/>
      <c r="C552" s="38"/>
      <c r="D552" s="38"/>
      <c r="E552" s="38"/>
      <c r="F552" s="38"/>
      <c r="G552" s="38"/>
    </row>
    <row r="553">
      <c r="A553" s="38"/>
      <c r="B553" s="38"/>
      <c r="C553" s="38"/>
      <c r="D553" s="38"/>
      <c r="E553" s="38"/>
      <c r="F553" s="38"/>
      <c r="G553" s="38"/>
    </row>
    <row r="554">
      <c r="A554" s="38"/>
      <c r="B554" s="38"/>
      <c r="C554" s="38"/>
      <c r="D554" s="38"/>
      <c r="E554" s="38"/>
      <c r="F554" s="38"/>
      <c r="G554" s="38"/>
    </row>
    <row r="555">
      <c r="A555" s="38"/>
      <c r="B555" s="38"/>
      <c r="C555" s="38"/>
      <c r="D555" s="38"/>
      <c r="E555" s="38"/>
      <c r="F555" s="38"/>
      <c r="G555" s="38"/>
    </row>
    <row r="556">
      <c r="A556" s="38"/>
      <c r="B556" s="38"/>
      <c r="C556" s="38"/>
      <c r="D556" s="38"/>
      <c r="E556" s="38"/>
      <c r="F556" s="38"/>
      <c r="G556" s="38"/>
    </row>
    <row r="557">
      <c r="A557" s="38"/>
      <c r="B557" s="38"/>
      <c r="C557" s="38"/>
      <c r="D557" s="38"/>
      <c r="E557" s="38"/>
      <c r="F557" s="38"/>
      <c r="G557" s="38"/>
    </row>
    <row r="558">
      <c r="A558" s="38"/>
      <c r="B558" s="38"/>
      <c r="C558" s="38"/>
      <c r="D558" s="38"/>
      <c r="E558" s="38"/>
      <c r="F558" s="38"/>
      <c r="G558" s="38"/>
    </row>
    <row r="559">
      <c r="A559" s="38"/>
      <c r="B559" s="38"/>
      <c r="C559" s="38"/>
      <c r="D559" s="38"/>
      <c r="E559" s="38"/>
      <c r="F559" s="38"/>
      <c r="G559" s="38"/>
    </row>
    <row r="560">
      <c r="A560" s="38"/>
      <c r="B560" s="38"/>
      <c r="C560" s="38"/>
      <c r="D560" s="38"/>
      <c r="E560" s="38"/>
      <c r="F560" s="38"/>
      <c r="G560" s="38"/>
    </row>
    <row r="561">
      <c r="A561" s="38"/>
      <c r="B561" s="38"/>
      <c r="C561" s="38"/>
      <c r="D561" s="38"/>
      <c r="E561" s="38"/>
      <c r="F561" s="38"/>
      <c r="G561" s="38"/>
    </row>
    <row r="562">
      <c r="A562" s="38"/>
      <c r="B562" s="38"/>
      <c r="C562" s="38"/>
      <c r="D562" s="38"/>
      <c r="E562" s="38"/>
      <c r="F562" s="38"/>
      <c r="G562" s="38"/>
    </row>
    <row r="563">
      <c r="A563" s="38"/>
      <c r="B563" s="38"/>
      <c r="C563" s="38"/>
      <c r="D563" s="38"/>
      <c r="E563" s="38"/>
      <c r="F563" s="38"/>
      <c r="G563" s="38"/>
    </row>
    <row r="564">
      <c r="A564" s="38"/>
      <c r="B564" s="38"/>
      <c r="C564" s="38"/>
      <c r="D564" s="38"/>
      <c r="E564" s="38"/>
      <c r="F564" s="38"/>
      <c r="G564" s="38"/>
    </row>
    <row r="565">
      <c r="A565" s="38"/>
      <c r="B565" s="38"/>
      <c r="C565" s="38"/>
      <c r="D565" s="38"/>
      <c r="E565" s="38"/>
      <c r="F565" s="38"/>
      <c r="G565" s="38"/>
    </row>
    <row r="566">
      <c r="A566" s="38"/>
      <c r="B566" s="38"/>
      <c r="C566" s="38"/>
      <c r="D566" s="38"/>
      <c r="E566" s="38"/>
      <c r="F566" s="38"/>
      <c r="G566" s="38"/>
    </row>
    <row r="567">
      <c r="A567" s="38"/>
      <c r="B567" s="38"/>
      <c r="C567" s="38"/>
      <c r="D567" s="38"/>
      <c r="E567" s="38"/>
      <c r="F567" s="38"/>
      <c r="G567" s="38"/>
    </row>
    <row r="568">
      <c r="A568" s="38"/>
      <c r="B568" s="38"/>
      <c r="C568" s="38"/>
      <c r="D568" s="38"/>
      <c r="E568" s="38"/>
      <c r="F568" s="38"/>
      <c r="G568" s="38"/>
    </row>
    <row r="569">
      <c r="A569" s="38"/>
      <c r="B569" s="38"/>
      <c r="C569" s="38"/>
      <c r="D569" s="38"/>
      <c r="E569" s="38"/>
      <c r="F569" s="38"/>
      <c r="G569" s="38"/>
    </row>
    <row r="570">
      <c r="A570" s="38"/>
      <c r="B570" s="38"/>
      <c r="C570" s="38"/>
      <c r="D570" s="38"/>
      <c r="E570" s="38"/>
      <c r="F570" s="38"/>
      <c r="G570" s="38"/>
    </row>
    <row r="571">
      <c r="A571" s="38"/>
      <c r="B571" s="38"/>
      <c r="C571" s="38"/>
      <c r="D571" s="38"/>
      <c r="E571" s="38"/>
      <c r="F571" s="38"/>
      <c r="G571" s="38"/>
    </row>
    <row r="572">
      <c r="A572" s="38"/>
      <c r="B572" s="38"/>
      <c r="C572" s="38"/>
      <c r="D572" s="38"/>
      <c r="E572" s="38"/>
      <c r="F572" s="38"/>
      <c r="G572" s="38"/>
    </row>
    <row r="573">
      <c r="A573" s="38"/>
      <c r="B573" s="38"/>
      <c r="C573" s="38"/>
      <c r="D573" s="38"/>
      <c r="E573" s="38"/>
      <c r="F573" s="38"/>
      <c r="G573" s="38"/>
    </row>
    <row r="574">
      <c r="A574" s="38"/>
      <c r="B574" s="38"/>
      <c r="C574" s="38"/>
      <c r="D574" s="38"/>
      <c r="E574" s="38"/>
      <c r="F574" s="38"/>
      <c r="G574" s="38"/>
    </row>
    <row r="575">
      <c r="A575" s="38"/>
      <c r="B575" s="38"/>
      <c r="C575" s="38"/>
      <c r="D575" s="38"/>
      <c r="E575" s="38"/>
      <c r="F575" s="38"/>
      <c r="G575" s="38"/>
    </row>
    <row r="576">
      <c r="A576" s="38"/>
      <c r="B576" s="38"/>
      <c r="C576" s="38"/>
      <c r="D576" s="38"/>
      <c r="E576" s="38"/>
      <c r="F576" s="38"/>
      <c r="G576" s="38"/>
    </row>
    <row r="577">
      <c r="A577" s="38"/>
      <c r="B577" s="38"/>
      <c r="C577" s="38"/>
      <c r="D577" s="38"/>
      <c r="E577" s="38"/>
      <c r="F577" s="38"/>
      <c r="G577" s="38"/>
    </row>
    <row r="578">
      <c r="A578" s="38"/>
      <c r="B578" s="38"/>
      <c r="C578" s="38"/>
      <c r="D578" s="38"/>
      <c r="E578" s="38"/>
      <c r="F578" s="38"/>
      <c r="G578" s="38"/>
    </row>
    <row r="579">
      <c r="A579" s="38"/>
      <c r="B579" s="38"/>
      <c r="C579" s="38"/>
      <c r="D579" s="38"/>
      <c r="E579" s="38"/>
      <c r="F579" s="38"/>
      <c r="G579" s="38"/>
    </row>
    <row r="580">
      <c r="A580" s="38"/>
      <c r="B580" s="38"/>
      <c r="C580" s="38"/>
      <c r="D580" s="38"/>
      <c r="E580" s="38"/>
      <c r="F580" s="38"/>
      <c r="G580" s="38"/>
    </row>
    <row r="581">
      <c r="A581" s="38"/>
      <c r="B581" s="38"/>
      <c r="C581" s="38"/>
      <c r="D581" s="38"/>
      <c r="E581" s="38"/>
      <c r="F581" s="38"/>
      <c r="G581" s="38"/>
    </row>
    <row r="582">
      <c r="A582" s="38"/>
      <c r="B582" s="38"/>
      <c r="C582" s="38"/>
      <c r="D582" s="38"/>
      <c r="E582" s="38"/>
      <c r="F582" s="38"/>
      <c r="G582" s="38"/>
    </row>
    <row r="583">
      <c r="A583" s="38"/>
      <c r="B583" s="38"/>
      <c r="C583" s="38"/>
      <c r="D583" s="38"/>
      <c r="E583" s="38"/>
      <c r="F583" s="38"/>
      <c r="G583" s="38"/>
    </row>
    <row r="584">
      <c r="A584" s="38"/>
      <c r="B584" s="38"/>
      <c r="C584" s="38"/>
      <c r="D584" s="38"/>
      <c r="E584" s="38"/>
      <c r="F584" s="38"/>
      <c r="G584" s="38"/>
    </row>
    <row r="585">
      <c r="A585" s="38"/>
      <c r="B585" s="38"/>
      <c r="C585" s="38"/>
      <c r="D585" s="38"/>
      <c r="E585" s="38"/>
      <c r="F585" s="38"/>
      <c r="G585" s="38"/>
    </row>
    <row r="586">
      <c r="A586" s="38"/>
      <c r="B586" s="38"/>
      <c r="C586" s="38"/>
      <c r="D586" s="38"/>
      <c r="E586" s="38"/>
      <c r="F586" s="38"/>
      <c r="G586" s="38"/>
    </row>
    <row r="587">
      <c r="A587" s="38"/>
      <c r="B587" s="38"/>
      <c r="C587" s="38"/>
      <c r="D587" s="38"/>
      <c r="E587" s="38"/>
      <c r="F587" s="38"/>
      <c r="G587" s="38"/>
    </row>
    <row r="588">
      <c r="A588" s="38"/>
      <c r="B588" s="38"/>
      <c r="C588" s="38"/>
      <c r="D588" s="38"/>
      <c r="E588" s="38"/>
      <c r="F588" s="38"/>
      <c r="G588" s="38"/>
    </row>
    <row r="589">
      <c r="A589" s="38"/>
      <c r="B589" s="38"/>
      <c r="C589" s="38"/>
      <c r="D589" s="38"/>
      <c r="E589" s="38"/>
      <c r="F589" s="38"/>
      <c r="G589" s="38"/>
    </row>
    <row r="590">
      <c r="A590" s="38"/>
      <c r="B590" s="38"/>
      <c r="C590" s="38"/>
      <c r="D590" s="38"/>
      <c r="E590" s="38"/>
      <c r="F590" s="38"/>
      <c r="G590" s="38"/>
    </row>
    <row r="591">
      <c r="A591" s="38"/>
      <c r="B591" s="38"/>
      <c r="C591" s="38"/>
      <c r="D591" s="38"/>
      <c r="E591" s="38"/>
      <c r="F591" s="38"/>
      <c r="G591" s="38"/>
    </row>
    <row r="592">
      <c r="A592" s="38"/>
      <c r="B592" s="38"/>
      <c r="C592" s="38"/>
      <c r="D592" s="38"/>
      <c r="E592" s="38"/>
      <c r="F592" s="38"/>
      <c r="G592" s="38"/>
    </row>
    <row r="593">
      <c r="A593" s="38"/>
      <c r="B593" s="38"/>
      <c r="C593" s="38"/>
      <c r="D593" s="38"/>
      <c r="E593" s="38"/>
      <c r="F593" s="38"/>
      <c r="G593" s="38"/>
    </row>
    <row r="594">
      <c r="A594" s="38"/>
      <c r="B594" s="38"/>
      <c r="C594" s="38"/>
      <c r="D594" s="38"/>
      <c r="E594" s="38"/>
      <c r="F594" s="38"/>
      <c r="G594" s="38"/>
    </row>
    <row r="595">
      <c r="A595" s="38"/>
      <c r="B595" s="38"/>
      <c r="C595" s="38"/>
      <c r="D595" s="38"/>
      <c r="E595" s="38"/>
      <c r="F595" s="38"/>
      <c r="G595" s="38"/>
    </row>
    <row r="596">
      <c r="A596" s="38"/>
      <c r="B596" s="38"/>
      <c r="C596" s="38"/>
      <c r="D596" s="38"/>
      <c r="E596" s="38"/>
      <c r="F596" s="38"/>
      <c r="G596" s="38"/>
    </row>
    <row r="597">
      <c r="A597" s="38"/>
      <c r="B597" s="38"/>
      <c r="C597" s="38"/>
      <c r="D597" s="38"/>
      <c r="E597" s="38"/>
      <c r="F597" s="38"/>
      <c r="G597" s="38"/>
    </row>
    <row r="598">
      <c r="A598" s="38"/>
      <c r="B598" s="38"/>
      <c r="C598" s="38"/>
      <c r="D598" s="38"/>
      <c r="E598" s="38"/>
      <c r="F598" s="38"/>
      <c r="G598" s="38"/>
    </row>
    <row r="599">
      <c r="A599" s="38"/>
      <c r="B599" s="38"/>
      <c r="C599" s="38"/>
      <c r="D599" s="38"/>
      <c r="E599" s="38"/>
      <c r="F599" s="38"/>
      <c r="G599" s="38"/>
    </row>
    <row r="600">
      <c r="A600" s="38"/>
      <c r="B600" s="38"/>
      <c r="C600" s="38"/>
      <c r="D600" s="38"/>
      <c r="E600" s="38"/>
      <c r="F600" s="38"/>
      <c r="G600" s="38"/>
    </row>
    <row r="601">
      <c r="A601" s="38"/>
      <c r="B601" s="38"/>
      <c r="C601" s="38"/>
      <c r="D601" s="38"/>
      <c r="E601" s="38"/>
      <c r="F601" s="38"/>
      <c r="G601" s="38"/>
    </row>
    <row r="602">
      <c r="A602" s="38"/>
      <c r="B602" s="38"/>
      <c r="C602" s="38"/>
      <c r="D602" s="38"/>
      <c r="E602" s="38"/>
      <c r="F602" s="38"/>
      <c r="G602" s="38"/>
    </row>
    <row r="603">
      <c r="A603" s="38"/>
      <c r="B603" s="38"/>
      <c r="C603" s="38"/>
      <c r="D603" s="38"/>
      <c r="E603" s="38"/>
      <c r="F603" s="38"/>
      <c r="G603" s="38"/>
    </row>
    <row r="604">
      <c r="A604" s="38"/>
      <c r="B604" s="38"/>
      <c r="C604" s="38"/>
      <c r="D604" s="38"/>
      <c r="E604" s="38"/>
      <c r="F604" s="38"/>
      <c r="G604" s="38"/>
    </row>
    <row r="605">
      <c r="A605" s="38"/>
      <c r="B605" s="38"/>
      <c r="C605" s="38"/>
      <c r="D605" s="38"/>
      <c r="E605" s="38"/>
      <c r="F605" s="38"/>
      <c r="G605" s="38"/>
    </row>
    <row r="606">
      <c r="A606" s="38"/>
      <c r="B606" s="38"/>
      <c r="C606" s="38"/>
      <c r="D606" s="38"/>
      <c r="E606" s="38"/>
      <c r="F606" s="38"/>
      <c r="G606" s="38"/>
    </row>
    <row r="607">
      <c r="A607" s="38"/>
      <c r="B607" s="38"/>
      <c r="C607" s="38"/>
      <c r="D607" s="38"/>
      <c r="E607" s="38"/>
      <c r="F607" s="38"/>
      <c r="G607" s="38"/>
    </row>
    <row r="608">
      <c r="A608" s="38"/>
      <c r="B608" s="38"/>
      <c r="C608" s="38"/>
      <c r="D608" s="38"/>
      <c r="E608" s="38"/>
      <c r="F608" s="38"/>
      <c r="G608" s="38"/>
    </row>
    <row r="609">
      <c r="A609" s="38"/>
      <c r="B609" s="38"/>
      <c r="C609" s="38"/>
      <c r="D609" s="38"/>
      <c r="E609" s="38"/>
      <c r="F609" s="38"/>
      <c r="G609" s="38"/>
    </row>
    <row r="610">
      <c r="A610" s="38"/>
      <c r="B610" s="38"/>
      <c r="C610" s="38"/>
      <c r="D610" s="38"/>
      <c r="E610" s="38"/>
      <c r="F610" s="38"/>
      <c r="G610" s="38"/>
    </row>
    <row r="611">
      <c r="A611" s="38"/>
      <c r="B611" s="38"/>
      <c r="C611" s="38"/>
      <c r="D611" s="38"/>
      <c r="E611" s="38"/>
      <c r="F611" s="38"/>
      <c r="G611" s="38"/>
    </row>
    <row r="612">
      <c r="A612" s="38"/>
      <c r="B612" s="38"/>
      <c r="C612" s="38"/>
      <c r="D612" s="38"/>
      <c r="E612" s="38"/>
      <c r="F612" s="38"/>
      <c r="G612" s="38"/>
    </row>
    <row r="613">
      <c r="A613" s="38"/>
      <c r="B613" s="38"/>
      <c r="C613" s="38"/>
      <c r="D613" s="38"/>
      <c r="E613" s="38"/>
      <c r="F613" s="38"/>
      <c r="G613" s="38"/>
    </row>
    <row r="614">
      <c r="A614" s="38"/>
      <c r="B614" s="38"/>
      <c r="C614" s="38"/>
      <c r="D614" s="38"/>
      <c r="E614" s="38"/>
      <c r="F614" s="38"/>
      <c r="G614" s="38"/>
    </row>
    <row r="615">
      <c r="A615" s="38"/>
      <c r="B615" s="38"/>
      <c r="C615" s="38"/>
      <c r="D615" s="38"/>
      <c r="E615" s="38"/>
      <c r="F615" s="38"/>
      <c r="G615" s="38"/>
    </row>
    <row r="616">
      <c r="A616" s="38"/>
      <c r="B616" s="38"/>
      <c r="C616" s="38"/>
      <c r="D616" s="38"/>
      <c r="E616" s="38"/>
      <c r="F616" s="38"/>
      <c r="G616" s="38"/>
    </row>
    <row r="617">
      <c r="A617" s="38"/>
      <c r="B617" s="38"/>
      <c r="C617" s="38"/>
      <c r="D617" s="38"/>
      <c r="E617" s="38"/>
      <c r="F617" s="38"/>
      <c r="G617" s="38"/>
    </row>
    <row r="618">
      <c r="A618" s="38"/>
      <c r="B618" s="38"/>
      <c r="C618" s="38"/>
      <c r="D618" s="38"/>
      <c r="E618" s="38"/>
      <c r="F618" s="38"/>
      <c r="G618" s="38"/>
    </row>
    <row r="619">
      <c r="A619" s="38"/>
      <c r="B619" s="38"/>
      <c r="C619" s="38"/>
      <c r="D619" s="38"/>
      <c r="E619" s="38"/>
      <c r="F619" s="38"/>
      <c r="G619" s="38"/>
    </row>
    <row r="620">
      <c r="A620" s="38"/>
      <c r="B620" s="38"/>
      <c r="C620" s="38"/>
      <c r="D620" s="38"/>
      <c r="E620" s="38"/>
      <c r="F620" s="38"/>
      <c r="G620" s="38"/>
    </row>
    <row r="621">
      <c r="A621" s="38"/>
      <c r="B621" s="38"/>
      <c r="C621" s="38"/>
      <c r="D621" s="38"/>
      <c r="E621" s="38"/>
      <c r="F621" s="38"/>
      <c r="G621" s="38"/>
    </row>
    <row r="622">
      <c r="A622" s="38"/>
      <c r="B622" s="38"/>
      <c r="C622" s="38"/>
      <c r="D622" s="38"/>
      <c r="E622" s="38"/>
      <c r="F622" s="38"/>
      <c r="G622" s="38"/>
    </row>
    <row r="623">
      <c r="A623" s="38"/>
      <c r="B623" s="38"/>
      <c r="C623" s="38"/>
      <c r="D623" s="38"/>
      <c r="E623" s="38"/>
      <c r="F623" s="38"/>
      <c r="G623" s="38"/>
    </row>
    <row r="624">
      <c r="A624" s="38"/>
      <c r="B624" s="38"/>
      <c r="C624" s="38"/>
      <c r="D624" s="38"/>
      <c r="E624" s="38"/>
      <c r="F624" s="38"/>
      <c r="G624" s="38"/>
    </row>
    <row r="625">
      <c r="A625" s="38"/>
      <c r="B625" s="38"/>
      <c r="C625" s="38"/>
      <c r="D625" s="38"/>
      <c r="E625" s="38"/>
      <c r="F625" s="38"/>
      <c r="G625" s="38"/>
    </row>
    <row r="626">
      <c r="A626" s="38"/>
      <c r="B626" s="38"/>
      <c r="C626" s="38"/>
      <c r="D626" s="38"/>
      <c r="E626" s="38"/>
      <c r="F626" s="38"/>
      <c r="G626" s="38"/>
    </row>
    <row r="627">
      <c r="A627" s="38"/>
      <c r="B627" s="38"/>
      <c r="C627" s="38"/>
      <c r="D627" s="38"/>
      <c r="E627" s="38"/>
      <c r="F627" s="38"/>
      <c r="G627" s="38"/>
    </row>
    <row r="628">
      <c r="A628" s="38"/>
      <c r="B628" s="38"/>
      <c r="C628" s="38"/>
      <c r="D628" s="38"/>
      <c r="E628" s="38"/>
      <c r="F628" s="38"/>
      <c r="G628" s="38"/>
    </row>
    <row r="629">
      <c r="A629" s="38"/>
      <c r="B629" s="38"/>
      <c r="C629" s="38"/>
      <c r="D629" s="38"/>
      <c r="E629" s="38"/>
      <c r="F629" s="38"/>
      <c r="G629" s="38"/>
    </row>
    <row r="630">
      <c r="A630" s="38"/>
      <c r="B630" s="38"/>
      <c r="C630" s="38"/>
      <c r="D630" s="38"/>
      <c r="E630" s="38"/>
      <c r="F630" s="38"/>
      <c r="G630" s="38"/>
    </row>
    <row r="631">
      <c r="A631" s="38"/>
      <c r="B631" s="38"/>
      <c r="C631" s="38"/>
      <c r="D631" s="38"/>
      <c r="E631" s="38"/>
      <c r="F631" s="38"/>
      <c r="G631" s="38"/>
    </row>
    <row r="632">
      <c r="A632" s="38"/>
      <c r="B632" s="38"/>
      <c r="C632" s="38"/>
      <c r="D632" s="38"/>
      <c r="E632" s="38"/>
      <c r="F632" s="38"/>
      <c r="G632" s="38"/>
    </row>
    <row r="633">
      <c r="A633" s="38"/>
      <c r="B633" s="38"/>
      <c r="C633" s="38"/>
      <c r="D633" s="38"/>
      <c r="E633" s="38"/>
      <c r="F633" s="38"/>
      <c r="G633" s="38"/>
    </row>
    <row r="634">
      <c r="A634" s="38"/>
      <c r="B634" s="38"/>
      <c r="C634" s="38"/>
      <c r="D634" s="38"/>
      <c r="E634" s="38"/>
      <c r="F634" s="38"/>
      <c r="G634" s="38"/>
    </row>
    <row r="635">
      <c r="A635" s="38"/>
      <c r="B635" s="38"/>
      <c r="C635" s="38"/>
      <c r="D635" s="38"/>
      <c r="E635" s="38"/>
      <c r="F635" s="38"/>
      <c r="G635" s="38"/>
    </row>
    <row r="636">
      <c r="A636" s="38"/>
      <c r="B636" s="38"/>
      <c r="C636" s="38"/>
      <c r="D636" s="38"/>
      <c r="E636" s="38"/>
      <c r="F636" s="38"/>
      <c r="G636" s="38"/>
    </row>
    <row r="637">
      <c r="A637" s="38"/>
      <c r="B637" s="38"/>
      <c r="C637" s="38"/>
      <c r="D637" s="38"/>
      <c r="E637" s="38"/>
      <c r="F637" s="38"/>
      <c r="G637" s="38"/>
    </row>
    <row r="638">
      <c r="A638" s="38"/>
      <c r="B638" s="38"/>
      <c r="C638" s="38"/>
      <c r="D638" s="38"/>
      <c r="E638" s="38"/>
      <c r="F638" s="38"/>
      <c r="G638" s="38"/>
    </row>
    <row r="639">
      <c r="A639" s="38"/>
      <c r="B639" s="38"/>
      <c r="C639" s="38"/>
      <c r="D639" s="38"/>
      <c r="E639" s="38"/>
      <c r="F639" s="38"/>
      <c r="G639" s="38"/>
    </row>
    <row r="640">
      <c r="A640" s="38"/>
      <c r="B640" s="38"/>
      <c r="C640" s="38"/>
      <c r="D640" s="38"/>
      <c r="E640" s="38"/>
      <c r="F640" s="38"/>
      <c r="G640" s="38"/>
    </row>
    <row r="641">
      <c r="A641" s="38"/>
      <c r="B641" s="38"/>
      <c r="C641" s="38"/>
      <c r="D641" s="38"/>
      <c r="E641" s="38"/>
      <c r="F641" s="38"/>
      <c r="G641" s="38"/>
    </row>
    <row r="642">
      <c r="A642" s="38"/>
      <c r="B642" s="38"/>
      <c r="C642" s="38"/>
      <c r="D642" s="38"/>
      <c r="E642" s="38"/>
      <c r="F642" s="38"/>
      <c r="G642" s="38"/>
    </row>
    <row r="643">
      <c r="A643" s="38"/>
      <c r="B643" s="38"/>
      <c r="C643" s="38"/>
      <c r="D643" s="38"/>
      <c r="E643" s="38"/>
      <c r="F643" s="38"/>
      <c r="G643" s="38"/>
    </row>
    <row r="644">
      <c r="A644" s="38"/>
      <c r="B644" s="38"/>
      <c r="C644" s="38"/>
      <c r="D644" s="38"/>
      <c r="E644" s="38"/>
      <c r="F644" s="38"/>
      <c r="G644" s="38"/>
    </row>
    <row r="645">
      <c r="A645" s="38"/>
      <c r="B645" s="38"/>
      <c r="C645" s="38"/>
      <c r="D645" s="38"/>
      <c r="E645" s="38"/>
      <c r="F645" s="38"/>
      <c r="G645" s="38"/>
    </row>
    <row r="646">
      <c r="A646" s="38"/>
      <c r="B646" s="38"/>
      <c r="C646" s="38"/>
      <c r="D646" s="38"/>
      <c r="E646" s="38"/>
      <c r="F646" s="38"/>
      <c r="G646" s="38"/>
    </row>
    <row r="647">
      <c r="A647" s="38"/>
      <c r="B647" s="38"/>
      <c r="C647" s="38"/>
      <c r="D647" s="38"/>
      <c r="E647" s="38"/>
      <c r="F647" s="38"/>
      <c r="G647" s="38"/>
    </row>
    <row r="648">
      <c r="A648" s="38"/>
      <c r="B648" s="38"/>
      <c r="C648" s="38"/>
      <c r="D648" s="38"/>
      <c r="E648" s="38"/>
      <c r="F648" s="38"/>
      <c r="G648" s="38"/>
    </row>
    <row r="649">
      <c r="A649" s="38"/>
      <c r="B649" s="38"/>
      <c r="C649" s="38"/>
      <c r="D649" s="38"/>
      <c r="E649" s="38"/>
      <c r="F649" s="38"/>
      <c r="G649" s="38"/>
    </row>
    <row r="650">
      <c r="A650" s="38"/>
      <c r="B650" s="38"/>
      <c r="C650" s="38"/>
      <c r="D650" s="38"/>
      <c r="E650" s="38"/>
      <c r="F650" s="38"/>
      <c r="G650" s="38"/>
    </row>
    <row r="651">
      <c r="A651" s="38"/>
      <c r="B651" s="38"/>
      <c r="C651" s="38"/>
      <c r="D651" s="38"/>
      <c r="E651" s="38"/>
      <c r="F651" s="38"/>
      <c r="G651" s="38"/>
    </row>
    <row r="652">
      <c r="A652" s="38"/>
      <c r="B652" s="38"/>
      <c r="C652" s="38"/>
      <c r="D652" s="38"/>
      <c r="E652" s="38"/>
      <c r="F652" s="38"/>
      <c r="G652" s="38"/>
    </row>
    <row r="653">
      <c r="A653" s="38"/>
      <c r="B653" s="38"/>
      <c r="C653" s="38"/>
      <c r="D653" s="38"/>
      <c r="E653" s="38"/>
      <c r="F653" s="38"/>
      <c r="G653" s="38"/>
    </row>
    <row r="654">
      <c r="A654" s="38"/>
      <c r="B654" s="38"/>
      <c r="C654" s="38"/>
      <c r="D654" s="38"/>
      <c r="E654" s="38"/>
      <c r="F654" s="38"/>
      <c r="G654" s="38"/>
    </row>
    <row r="655">
      <c r="A655" s="38"/>
      <c r="B655" s="38"/>
      <c r="C655" s="38"/>
      <c r="D655" s="38"/>
      <c r="E655" s="38"/>
      <c r="F655" s="38"/>
      <c r="G655" s="38"/>
    </row>
    <row r="656">
      <c r="A656" s="38"/>
      <c r="B656" s="38"/>
      <c r="C656" s="38"/>
      <c r="D656" s="38"/>
      <c r="E656" s="38"/>
      <c r="F656" s="38"/>
      <c r="G656" s="38"/>
    </row>
    <row r="657">
      <c r="A657" s="38"/>
      <c r="B657" s="38"/>
      <c r="C657" s="38"/>
      <c r="D657" s="38"/>
      <c r="E657" s="38"/>
      <c r="F657" s="38"/>
      <c r="G657" s="38"/>
    </row>
    <row r="658">
      <c r="A658" s="38"/>
      <c r="B658" s="38"/>
      <c r="C658" s="38"/>
      <c r="D658" s="38"/>
      <c r="E658" s="38"/>
      <c r="F658" s="38"/>
      <c r="G658" s="38"/>
    </row>
    <row r="659">
      <c r="A659" s="38"/>
      <c r="B659" s="38"/>
      <c r="C659" s="38"/>
      <c r="D659" s="38"/>
      <c r="E659" s="38"/>
      <c r="F659" s="38"/>
      <c r="G659" s="38"/>
    </row>
    <row r="660">
      <c r="A660" s="38"/>
      <c r="B660" s="38"/>
      <c r="C660" s="38"/>
      <c r="D660" s="38"/>
      <c r="E660" s="38"/>
      <c r="F660" s="38"/>
      <c r="G660" s="38"/>
    </row>
    <row r="661">
      <c r="A661" s="38"/>
      <c r="B661" s="38"/>
      <c r="C661" s="38"/>
      <c r="D661" s="38"/>
      <c r="E661" s="38"/>
      <c r="F661" s="38"/>
      <c r="G661" s="38"/>
    </row>
    <row r="662">
      <c r="A662" s="38"/>
      <c r="B662" s="38"/>
      <c r="C662" s="38"/>
      <c r="D662" s="38"/>
      <c r="E662" s="38"/>
      <c r="F662" s="38"/>
      <c r="G662" s="38"/>
    </row>
    <row r="663">
      <c r="A663" s="38"/>
      <c r="B663" s="38"/>
      <c r="C663" s="38"/>
      <c r="D663" s="38"/>
      <c r="E663" s="38"/>
      <c r="F663" s="38"/>
      <c r="G663" s="38"/>
    </row>
    <row r="664">
      <c r="A664" s="38"/>
      <c r="B664" s="38"/>
      <c r="C664" s="38"/>
      <c r="D664" s="38"/>
      <c r="E664" s="38"/>
      <c r="F664" s="38"/>
      <c r="G664" s="38"/>
    </row>
    <row r="665">
      <c r="A665" s="38"/>
      <c r="B665" s="38"/>
      <c r="C665" s="38"/>
      <c r="D665" s="38"/>
      <c r="E665" s="38"/>
      <c r="F665" s="38"/>
      <c r="G665" s="38"/>
    </row>
    <row r="666">
      <c r="A666" s="38"/>
      <c r="B666" s="38"/>
      <c r="C666" s="38"/>
      <c r="D666" s="38"/>
      <c r="E666" s="38"/>
      <c r="F666" s="38"/>
      <c r="G666" s="38"/>
    </row>
    <row r="667">
      <c r="A667" s="38"/>
      <c r="B667" s="38"/>
      <c r="C667" s="38"/>
      <c r="D667" s="38"/>
      <c r="E667" s="38"/>
      <c r="F667" s="38"/>
      <c r="G667" s="38"/>
    </row>
    <row r="668">
      <c r="A668" s="38"/>
      <c r="B668" s="38"/>
      <c r="C668" s="38"/>
      <c r="D668" s="38"/>
      <c r="E668" s="38"/>
      <c r="F668" s="38"/>
      <c r="G668" s="38"/>
    </row>
    <row r="669">
      <c r="A669" s="38"/>
      <c r="B669" s="38"/>
      <c r="C669" s="38"/>
      <c r="D669" s="38"/>
      <c r="E669" s="38"/>
      <c r="F669" s="38"/>
      <c r="G669" s="38"/>
    </row>
    <row r="670">
      <c r="A670" s="38"/>
      <c r="B670" s="38"/>
      <c r="C670" s="38"/>
      <c r="D670" s="38"/>
      <c r="E670" s="38"/>
      <c r="F670" s="38"/>
      <c r="G670" s="38"/>
    </row>
    <row r="671">
      <c r="A671" s="38"/>
      <c r="B671" s="38"/>
      <c r="C671" s="38"/>
      <c r="D671" s="38"/>
      <c r="E671" s="38"/>
      <c r="F671" s="38"/>
      <c r="G671" s="38"/>
    </row>
    <row r="672">
      <c r="A672" s="38"/>
      <c r="B672" s="38"/>
      <c r="C672" s="38"/>
      <c r="D672" s="38"/>
      <c r="E672" s="38"/>
      <c r="F672" s="38"/>
      <c r="G672" s="38"/>
    </row>
    <row r="673">
      <c r="A673" s="38"/>
      <c r="B673" s="38"/>
      <c r="C673" s="38"/>
      <c r="D673" s="38"/>
      <c r="E673" s="38"/>
      <c r="F673" s="38"/>
      <c r="G673" s="38"/>
    </row>
    <row r="674">
      <c r="A674" s="38"/>
      <c r="B674" s="38"/>
      <c r="C674" s="38"/>
      <c r="D674" s="38"/>
      <c r="E674" s="38"/>
      <c r="F674" s="38"/>
      <c r="G674" s="38"/>
    </row>
    <row r="675">
      <c r="A675" s="38"/>
      <c r="B675" s="38"/>
      <c r="C675" s="38"/>
      <c r="D675" s="38"/>
      <c r="E675" s="38"/>
      <c r="F675" s="38"/>
      <c r="G675" s="38"/>
    </row>
    <row r="676">
      <c r="A676" s="38"/>
      <c r="B676" s="38"/>
      <c r="C676" s="38"/>
      <c r="D676" s="38"/>
      <c r="E676" s="38"/>
      <c r="F676" s="38"/>
      <c r="G676" s="38"/>
    </row>
    <row r="677">
      <c r="A677" s="38"/>
      <c r="B677" s="38"/>
      <c r="C677" s="38"/>
      <c r="D677" s="38"/>
      <c r="E677" s="38"/>
      <c r="F677" s="38"/>
      <c r="G677" s="38"/>
    </row>
    <row r="678">
      <c r="A678" s="38"/>
      <c r="B678" s="38"/>
      <c r="C678" s="38"/>
      <c r="D678" s="38"/>
      <c r="E678" s="38"/>
      <c r="F678" s="38"/>
      <c r="G678" s="38"/>
    </row>
    <row r="679">
      <c r="A679" s="38"/>
      <c r="B679" s="38"/>
      <c r="C679" s="38"/>
      <c r="D679" s="38"/>
      <c r="E679" s="38"/>
      <c r="F679" s="38"/>
      <c r="G679" s="38"/>
    </row>
    <row r="680">
      <c r="A680" s="38"/>
      <c r="B680" s="38"/>
      <c r="C680" s="38"/>
      <c r="D680" s="38"/>
      <c r="E680" s="38"/>
      <c r="F680" s="38"/>
      <c r="G680" s="38"/>
    </row>
    <row r="681">
      <c r="A681" s="38"/>
      <c r="B681" s="38"/>
      <c r="C681" s="38"/>
      <c r="D681" s="38"/>
      <c r="E681" s="38"/>
      <c r="F681" s="38"/>
      <c r="G681" s="38"/>
    </row>
    <row r="682">
      <c r="A682" s="38"/>
      <c r="B682" s="38"/>
      <c r="C682" s="38"/>
      <c r="D682" s="38"/>
      <c r="E682" s="38"/>
      <c r="F682" s="38"/>
      <c r="G682" s="38"/>
    </row>
    <row r="683">
      <c r="A683" s="38"/>
      <c r="B683" s="38"/>
      <c r="C683" s="38"/>
      <c r="D683" s="38"/>
      <c r="E683" s="38"/>
      <c r="F683" s="38"/>
      <c r="G683" s="38"/>
    </row>
    <row r="684">
      <c r="A684" s="38"/>
      <c r="B684" s="38"/>
      <c r="C684" s="38"/>
      <c r="D684" s="38"/>
      <c r="E684" s="38"/>
      <c r="F684" s="38"/>
      <c r="G684" s="38"/>
    </row>
    <row r="685">
      <c r="A685" s="38"/>
      <c r="B685" s="38"/>
      <c r="C685" s="38"/>
      <c r="D685" s="38"/>
      <c r="E685" s="38"/>
      <c r="F685" s="38"/>
      <c r="G685" s="38"/>
    </row>
    <row r="686">
      <c r="A686" s="38"/>
      <c r="B686" s="38"/>
      <c r="C686" s="38"/>
      <c r="D686" s="38"/>
      <c r="E686" s="38"/>
      <c r="F686" s="38"/>
      <c r="G686" s="38"/>
    </row>
    <row r="687">
      <c r="A687" s="38"/>
      <c r="B687" s="38"/>
      <c r="C687" s="38"/>
      <c r="D687" s="38"/>
      <c r="E687" s="38"/>
      <c r="F687" s="38"/>
      <c r="G687" s="38"/>
    </row>
    <row r="688">
      <c r="A688" s="38"/>
      <c r="B688" s="38"/>
      <c r="C688" s="38"/>
      <c r="D688" s="38"/>
      <c r="E688" s="38"/>
      <c r="F688" s="38"/>
      <c r="G688" s="38"/>
    </row>
    <row r="689">
      <c r="A689" s="38"/>
      <c r="B689" s="38"/>
      <c r="C689" s="38"/>
      <c r="D689" s="38"/>
      <c r="E689" s="38"/>
      <c r="F689" s="38"/>
      <c r="G689" s="38"/>
    </row>
    <row r="690">
      <c r="A690" s="38"/>
      <c r="B690" s="38"/>
      <c r="C690" s="38"/>
      <c r="D690" s="38"/>
      <c r="E690" s="38"/>
      <c r="F690" s="38"/>
      <c r="G690" s="38"/>
    </row>
    <row r="691">
      <c r="A691" s="38"/>
      <c r="B691" s="38"/>
      <c r="C691" s="38"/>
      <c r="D691" s="38"/>
      <c r="E691" s="38"/>
      <c r="F691" s="38"/>
      <c r="G691" s="38"/>
    </row>
    <row r="692">
      <c r="A692" s="38"/>
      <c r="B692" s="38"/>
      <c r="C692" s="38"/>
      <c r="D692" s="38"/>
      <c r="E692" s="38"/>
      <c r="F692" s="38"/>
      <c r="G692" s="38"/>
    </row>
    <row r="693">
      <c r="A693" s="38"/>
      <c r="B693" s="38"/>
      <c r="C693" s="38"/>
      <c r="D693" s="38"/>
      <c r="E693" s="38"/>
      <c r="F693" s="38"/>
      <c r="G693" s="38"/>
    </row>
    <row r="694">
      <c r="A694" s="38"/>
      <c r="B694" s="38"/>
      <c r="C694" s="38"/>
      <c r="D694" s="38"/>
      <c r="E694" s="38"/>
      <c r="F694" s="38"/>
      <c r="G694" s="38"/>
    </row>
    <row r="695">
      <c r="A695" s="38"/>
      <c r="B695" s="38"/>
      <c r="C695" s="38"/>
      <c r="D695" s="38"/>
      <c r="E695" s="38"/>
      <c r="F695" s="38"/>
      <c r="G695" s="38"/>
    </row>
    <row r="696">
      <c r="A696" s="38"/>
      <c r="B696" s="38"/>
      <c r="C696" s="38"/>
      <c r="D696" s="38"/>
      <c r="E696" s="38"/>
      <c r="F696" s="38"/>
      <c r="G696" s="38"/>
    </row>
    <row r="697">
      <c r="A697" s="38"/>
      <c r="B697" s="38"/>
      <c r="C697" s="38"/>
      <c r="D697" s="38"/>
      <c r="E697" s="38"/>
      <c r="F697" s="38"/>
      <c r="G697" s="38"/>
    </row>
    <row r="698">
      <c r="A698" s="38"/>
      <c r="B698" s="38"/>
      <c r="C698" s="38"/>
      <c r="D698" s="38"/>
      <c r="E698" s="38"/>
      <c r="F698" s="38"/>
      <c r="G698" s="38"/>
    </row>
    <row r="699">
      <c r="A699" s="38"/>
      <c r="B699" s="38"/>
      <c r="C699" s="38"/>
      <c r="D699" s="38"/>
      <c r="E699" s="38"/>
      <c r="F699" s="38"/>
      <c r="G699" s="38"/>
    </row>
    <row r="700">
      <c r="A700" s="38"/>
      <c r="B700" s="38"/>
      <c r="C700" s="38"/>
      <c r="D700" s="38"/>
      <c r="E700" s="38"/>
      <c r="F700" s="38"/>
      <c r="G700" s="38"/>
    </row>
    <row r="701">
      <c r="A701" s="38"/>
      <c r="B701" s="38"/>
      <c r="C701" s="38"/>
      <c r="D701" s="38"/>
      <c r="E701" s="38"/>
      <c r="F701" s="38"/>
      <c r="G701" s="38"/>
    </row>
    <row r="702">
      <c r="A702" s="38"/>
      <c r="B702" s="38"/>
      <c r="C702" s="38"/>
      <c r="D702" s="38"/>
      <c r="E702" s="38"/>
      <c r="F702" s="38"/>
      <c r="G702" s="38"/>
    </row>
    <row r="703">
      <c r="A703" s="38"/>
      <c r="B703" s="38"/>
      <c r="C703" s="38"/>
      <c r="D703" s="38"/>
      <c r="E703" s="38"/>
      <c r="F703" s="38"/>
      <c r="G703" s="38"/>
    </row>
    <row r="704">
      <c r="A704" s="38"/>
      <c r="B704" s="38"/>
      <c r="C704" s="38"/>
      <c r="D704" s="38"/>
      <c r="E704" s="38"/>
      <c r="F704" s="38"/>
      <c r="G704" s="38"/>
    </row>
    <row r="705">
      <c r="A705" s="38"/>
      <c r="B705" s="38"/>
      <c r="C705" s="38"/>
      <c r="D705" s="38"/>
      <c r="E705" s="38"/>
      <c r="F705" s="38"/>
      <c r="G705" s="38"/>
    </row>
    <row r="706">
      <c r="A706" s="38"/>
      <c r="B706" s="38"/>
      <c r="C706" s="38"/>
      <c r="D706" s="38"/>
      <c r="E706" s="38"/>
      <c r="F706" s="38"/>
      <c r="G706" s="38"/>
    </row>
    <row r="707">
      <c r="A707" s="38"/>
      <c r="B707" s="38"/>
      <c r="C707" s="38"/>
      <c r="D707" s="38"/>
      <c r="E707" s="38"/>
      <c r="F707" s="38"/>
      <c r="G707" s="38"/>
    </row>
    <row r="708">
      <c r="A708" s="38"/>
      <c r="B708" s="38"/>
      <c r="C708" s="38"/>
      <c r="D708" s="38"/>
      <c r="E708" s="38"/>
      <c r="F708" s="38"/>
      <c r="G708" s="38"/>
    </row>
    <row r="709">
      <c r="A709" s="38"/>
      <c r="B709" s="38"/>
      <c r="C709" s="38"/>
      <c r="D709" s="38"/>
      <c r="E709" s="38"/>
      <c r="F709" s="38"/>
      <c r="G709" s="38"/>
    </row>
    <row r="710">
      <c r="A710" s="38"/>
      <c r="B710" s="38"/>
      <c r="C710" s="38"/>
      <c r="D710" s="38"/>
      <c r="E710" s="38"/>
      <c r="F710" s="38"/>
      <c r="G710" s="38"/>
    </row>
    <row r="711">
      <c r="A711" s="38"/>
      <c r="B711" s="38"/>
      <c r="C711" s="38"/>
      <c r="D711" s="38"/>
      <c r="E711" s="38"/>
      <c r="F711" s="38"/>
      <c r="G711" s="38"/>
    </row>
    <row r="712">
      <c r="A712" s="38"/>
      <c r="B712" s="38"/>
      <c r="C712" s="38"/>
      <c r="D712" s="38"/>
      <c r="E712" s="38"/>
      <c r="F712" s="38"/>
      <c r="G712" s="38"/>
    </row>
    <row r="713">
      <c r="A713" s="38"/>
      <c r="B713" s="38"/>
      <c r="C713" s="38"/>
      <c r="D713" s="38"/>
      <c r="E713" s="38"/>
      <c r="F713" s="38"/>
      <c r="G713" s="38"/>
    </row>
    <row r="714">
      <c r="A714" s="38"/>
      <c r="B714" s="38"/>
      <c r="C714" s="38"/>
      <c r="D714" s="38"/>
      <c r="E714" s="38"/>
      <c r="F714" s="38"/>
      <c r="G714" s="38"/>
    </row>
    <row r="715">
      <c r="A715" s="38"/>
      <c r="B715" s="38"/>
      <c r="C715" s="38"/>
      <c r="D715" s="38"/>
      <c r="E715" s="38"/>
      <c r="F715" s="38"/>
      <c r="G715" s="38"/>
    </row>
    <row r="716">
      <c r="A716" s="38"/>
      <c r="B716" s="38"/>
      <c r="C716" s="38"/>
      <c r="D716" s="38"/>
      <c r="E716" s="38"/>
      <c r="F716" s="38"/>
      <c r="G716" s="38"/>
    </row>
    <row r="717">
      <c r="A717" s="38"/>
      <c r="B717" s="38"/>
      <c r="C717" s="38"/>
      <c r="D717" s="38"/>
      <c r="E717" s="38"/>
      <c r="F717" s="38"/>
      <c r="G717" s="38"/>
    </row>
    <row r="718">
      <c r="A718" s="38"/>
      <c r="B718" s="38"/>
      <c r="C718" s="38"/>
      <c r="D718" s="38"/>
      <c r="E718" s="38"/>
      <c r="F718" s="38"/>
      <c r="G718" s="38"/>
    </row>
    <row r="719">
      <c r="A719" s="38"/>
      <c r="B719" s="38"/>
      <c r="C719" s="38"/>
      <c r="D719" s="38"/>
      <c r="E719" s="38"/>
      <c r="F719" s="38"/>
      <c r="G719" s="38"/>
    </row>
    <row r="720">
      <c r="A720" s="38"/>
      <c r="B720" s="38"/>
      <c r="C720" s="38"/>
      <c r="D720" s="38"/>
      <c r="E720" s="38"/>
      <c r="F720" s="38"/>
      <c r="G720" s="38"/>
    </row>
    <row r="721">
      <c r="A721" s="38"/>
      <c r="B721" s="38"/>
      <c r="C721" s="38"/>
      <c r="D721" s="38"/>
      <c r="E721" s="38"/>
      <c r="F721" s="38"/>
      <c r="G721" s="38"/>
    </row>
    <row r="722">
      <c r="A722" s="38"/>
      <c r="B722" s="38"/>
      <c r="C722" s="38"/>
      <c r="D722" s="38"/>
      <c r="E722" s="38"/>
      <c r="F722" s="38"/>
      <c r="G722" s="38"/>
    </row>
    <row r="723">
      <c r="A723" s="38"/>
      <c r="B723" s="38"/>
      <c r="C723" s="38"/>
      <c r="D723" s="38"/>
      <c r="E723" s="38"/>
      <c r="F723" s="38"/>
      <c r="G723" s="38"/>
    </row>
    <row r="724">
      <c r="A724" s="38"/>
      <c r="B724" s="38"/>
      <c r="C724" s="38"/>
      <c r="D724" s="38"/>
      <c r="E724" s="38"/>
      <c r="F724" s="38"/>
      <c r="G724" s="38"/>
    </row>
    <row r="725">
      <c r="A725" s="38"/>
      <c r="B725" s="38"/>
      <c r="C725" s="38"/>
      <c r="D725" s="38"/>
      <c r="E725" s="38"/>
      <c r="F725" s="38"/>
      <c r="G725" s="38"/>
    </row>
    <row r="726">
      <c r="A726" s="38"/>
      <c r="B726" s="38"/>
      <c r="C726" s="38"/>
      <c r="D726" s="38"/>
      <c r="E726" s="38"/>
      <c r="F726" s="38"/>
      <c r="G726" s="38"/>
    </row>
    <row r="727">
      <c r="A727" s="38"/>
      <c r="B727" s="38"/>
      <c r="C727" s="38"/>
      <c r="D727" s="38"/>
      <c r="E727" s="38"/>
      <c r="F727" s="38"/>
      <c r="G727" s="38"/>
    </row>
    <row r="728">
      <c r="A728" s="38"/>
      <c r="B728" s="38"/>
      <c r="C728" s="38"/>
      <c r="D728" s="38"/>
      <c r="E728" s="38"/>
      <c r="F728" s="38"/>
      <c r="G728" s="38"/>
    </row>
    <row r="729">
      <c r="A729" s="38"/>
      <c r="B729" s="38"/>
      <c r="C729" s="38"/>
      <c r="D729" s="38"/>
      <c r="E729" s="38"/>
      <c r="F729" s="38"/>
      <c r="G729" s="38"/>
    </row>
    <row r="730">
      <c r="A730" s="38"/>
      <c r="B730" s="38"/>
      <c r="C730" s="38"/>
      <c r="D730" s="38"/>
      <c r="E730" s="38"/>
      <c r="F730" s="38"/>
      <c r="G730" s="38"/>
    </row>
    <row r="731">
      <c r="A731" s="38"/>
      <c r="B731" s="38"/>
      <c r="C731" s="38"/>
      <c r="D731" s="38"/>
      <c r="E731" s="38"/>
      <c r="F731" s="38"/>
      <c r="G731" s="38"/>
    </row>
    <row r="732">
      <c r="A732" s="38"/>
      <c r="B732" s="38"/>
      <c r="C732" s="38"/>
      <c r="D732" s="38"/>
      <c r="E732" s="38"/>
      <c r="F732" s="38"/>
      <c r="G732" s="38"/>
    </row>
    <row r="733">
      <c r="A733" s="38"/>
      <c r="B733" s="38"/>
      <c r="C733" s="38"/>
      <c r="D733" s="38"/>
      <c r="E733" s="38"/>
      <c r="F733" s="38"/>
      <c r="G733" s="38"/>
    </row>
    <row r="734">
      <c r="A734" s="38"/>
      <c r="B734" s="38"/>
      <c r="C734" s="38"/>
      <c r="D734" s="38"/>
      <c r="E734" s="38"/>
      <c r="F734" s="38"/>
      <c r="G734" s="38"/>
    </row>
    <row r="735">
      <c r="A735" s="38"/>
      <c r="B735" s="38"/>
      <c r="C735" s="38"/>
      <c r="D735" s="38"/>
      <c r="E735" s="38"/>
      <c r="F735" s="38"/>
      <c r="G735" s="38"/>
    </row>
    <row r="736">
      <c r="A736" s="38"/>
      <c r="B736" s="38"/>
      <c r="C736" s="38"/>
      <c r="D736" s="38"/>
      <c r="E736" s="38"/>
      <c r="F736" s="38"/>
      <c r="G736" s="38"/>
    </row>
    <row r="737">
      <c r="A737" s="38"/>
      <c r="B737" s="38"/>
      <c r="C737" s="38"/>
      <c r="D737" s="38"/>
      <c r="E737" s="38"/>
      <c r="F737" s="38"/>
      <c r="G737" s="38"/>
    </row>
    <row r="738">
      <c r="A738" s="38"/>
      <c r="B738" s="38"/>
      <c r="C738" s="38"/>
      <c r="D738" s="38"/>
      <c r="E738" s="38"/>
      <c r="F738" s="38"/>
      <c r="G738" s="38"/>
    </row>
    <row r="739">
      <c r="A739" s="38"/>
      <c r="B739" s="38"/>
      <c r="C739" s="38"/>
      <c r="D739" s="38"/>
      <c r="E739" s="38"/>
      <c r="F739" s="38"/>
      <c r="G739" s="38"/>
    </row>
    <row r="740">
      <c r="A740" s="38"/>
      <c r="B740" s="38"/>
      <c r="C740" s="38"/>
      <c r="D740" s="38"/>
      <c r="E740" s="38"/>
      <c r="F740" s="38"/>
      <c r="G740" s="38"/>
    </row>
    <row r="741">
      <c r="A741" s="38"/>
      <c r="B741" s="38"/>
      <c r="C741" s="38"/>
      <c r="D741" s="38"/>
      <c r="E741" s="38"/>
      <c r="F741" s="38"/>
      <c r="G741" s="38"/>
    </row>
    <row r="742">
      <c r="A742" s="38"/>
      <c r="B742" s="38"/>
      <c r="C742" s="38"/>
      <c r="D742" s="38"/>
      <c r="E742" s="38"/>
      <c r="F742" s="38"/>
      <c r="G742" s="38"/>
    </row>
    <row r="743">
      <c r="A743" s="38"/>
      <c r="B743" s="38"/>
      <c r="C743" s="38"/>
      <c r="D743" s="38"/>
      <c r="E743" s="38"/>
      <c r="F743" s="38"/>
      <c r="G743" s="38"/>
    </row>
    <row r="744">
      <c r="A744" s="38"/>
      <c r="B744" s="38"/>
      <c r="C744" s="38"/>
      <c r="D744" s="38"/>
      <c r="E744" s="38"/>
      <c r="F744" s="38"/>
      <c r="G744" s="38"/>
    </row>
    <row r="745">
      <c r="A745" s="38"/>
      <c r="B745" s="38"/>
      <c r="C745" s="38"/>
      <c r="D745" s="38"/>
      <c r="E745" s="38"/>
      <c r="F745" s="38"/>
      <c r="G745" s="38"/>
    </row>
    <row r="746">
      <c r="A746" s="38"/>
      <c r="B746" s="38"/>
      <c r="C746" s="38"/>
      <c r="D746" s="38"/>
      <c r="E746" s="38"/>
      <c r="F746" s="38"/>
      <c r="G746" s="38"/>
    </row>
    <row r="747">
      <c r="A747" s="38"/>
      <c r="B747" s="38"/>
      <c r="C747" s="38"/>
      <c r="D747" s="38"/>
      <c r="E747" s="38"/>
      <c r="F747" s="38"/>
      <c r="G747" s="38"/>
    </row>
    <row r="748">
      <c r="A748" s="38"/>
      <c r="B748" s="38"/>
      <c r="C748" s="38"/>
      <c r="D748" s="38"/>
      <c r="E748" s="38"/>
      <c r="F748" s="38"/>
      <c r="G748" s="38"/>
    </row>
    <row r="749">
      <c r="A749" s="38"/>
      <c r="B749" s="38"/>
      <c r="C749" s="38"/>
      <c r="D749" s="38"/>
      <c r="E749" s="38"/>
      <c r="F749" s="38"/>
      <c r="G749" s="38"/>
    </row>
    <row r="750">
      <c r="A750" s="38"/>
      <c r="B750" s="38"/>
      <c r="C750" s="38"/>
      <c r="D750" s="38"/>
      <c r="E750" s="38"/>
      <c r="F750" s="38"/>
      <c r="G750" s="38"/>
    </row>
    <row r="751">
      <c r="A751" s="38"/>
      <c r="B751" s="38"/>
      <c r="C751" s="38"/>
      <c r="D751" s="38"/>
      <c r="E751" s="38"/>
      <c r="F751" s="38"/>
      <c r="G751" s="38"/>
    </row>
    <row r="752">
      <c r="A752" s="38"/>
      <c r="B752" s="38"/>
      <c r="C752" s="38"/>
      <c r="D752" s="38"/>
      <c r="E752" s="38"/>
      <c r="F752" s="38"/>
      <c r="G752" s="38"/>
    </row>
    <row r="753">
      <c r="A753" s="38"/>
      <c r="B753" s="38"/>
      <c r="C753" s="38"/>
      <c r="D753" s="38"/>
      <c r="E753" s="38"/>
      <c r="F753" s="38"/>
      <c r="G753" s="38"/>
    </row>
    <row r="754">
      <c r="A754" s="38"/>
      <c r="B754" s="38"/>
      <c r="C754" s="38"/>
      <c r="D754" s="38"/>
      <c r="E754" s="38"/>
      <c r="F754" s="38"/>
      <c r="G754" s="38"/>
    </row>
    <row r="755">
      <c r="A755" s="38"/>
      <c r="B755" s="38"/>
      <c r="C755" s="38"/>
      <c r="D755" s="38"/>
      <c r="E755" s="38"/>
      <c r="F755" s="38"/>
      <c r="G755" s="38"/>
    </row>
    <row r="756">
      <c r="A756" s="38"/>
      <c r="B756" s="38"/>
      <c r="C756" s="38"/>
      <c r="D756" s="38"/>
      <c r="E756" s="38"/>
      <c r="F756" s="38"/>
      <c r="G756" s="38"/>
    </row>
    <row r="757">
      <c r="A757" s="38"/>
      <c r="B757" s="38"/>
      <c r="C757" s="38"/>
      <c r="D757" s="38"/>
      <c r="E757" s="38"/>
      <c r="F757" s="38"/>
      <c r="G757" s="38"/>
    </row>
    <row r="758">
      <c r="A758" s="38"/>
      <c r="B758" s="38"/>
      <c r="C758" s="38"/>
      <c r="D758" s="38"/>
      <c r="E758" s="38"/>
      <c r="F758" s="38"/>
      <c r="G758" s="38"/>
    </row>
    <row r="759">
      <c r="A759" s="38"/>
      <c r="B759" s="38"/>
      <c r="C759" s="38"/>
      <c r="D759" s="38"/>
      <c r="E759" s="38"/>
      <c r="F759" s="38"/>
      <c r="G759" s="38"/>
    </row>
    <row r="760">
      <c r="A760" s="38"/>
      <c r="B760" s="38"/>
      <c r="C760" s="38"/>
      <c r="D760" s="38"/>
      <c r="E760" s="38"/>
      <c r="F760" s="38"/>
      <c r="G760" s="38"/>
    </row>
    <row r="761">
      <c r="A761" s="38"/>
      <c r="B761" s="38"/>
      <c r="C761" s="38"/>
      <c r="D761" s="38"/>
      <c r="E761" s="38"/>
      <c r="F761" s="38"/>
      <c r="G761" s="38"/>
    </row>
    <row r="762">
      <c r="A762" s="38"/>
      <c r="B762" s="38"/>
      <c r="C762" s="38"/>
      <c r="D762" s="38"/>
      <c r="E762" s="38"/>
      <c r="F762" s="38"/>
      <c r="G762" s="38"/>
    </row>
    <row r="763">
      <c r="A763" s="38"/>
      <c r="B763" s="38"/>
      <c r="C763" s="38"/>
      <c r="D763" s="38"/>
      <c r="E763" s="38"/>
      <c r="F763" s="38"/>
      <c r="G763" s="38"/>
    </row>
    <row r="764">
      <c r="A764" s="38"/>
      <c r="B764" s="38"/>
      <c r="C764" s="38"/>
      <c r="D764" s="38"/>
      <c r="E764" s="38"/>
      <c r="F764" s="38"/>
      <c r="G764" s="38"/>
    </row>
    <row r="765">
      <c r="A765" s="38"/>
      <c r="B765" s="38"/>
      <c r="C765" s="38"/>
      <c r="D765" s="38"/>
      <c r="E765" s="38"/>
      <c r="F765" s="38"/>
      <c r="G765" s="38"/>
    </row>
    <row r="766">
      <c r="A766" s="38"/>
      <c r="B766" s="38"/>
      <c r="C766" s="38"/>
      <c r="D766" s="38"/>
      <c r="E766" s="38"/>
      <c r="F766" s="38"/>
      <c r="G766" s="38"/>
    </row>
    <row r="767">
      <c r="A767" s="38"/>
      <c r="B767" s="38"/>
      <c r="C767" s="38"/>
      <c r="D767" s="38"/>
      <c r="E767" s="38"/>
      <c r="F767" s="38"/>
      <c r="G767" s="38"/>
    </row>
    <row r="768">
      <c r="A768" s="38"/>
      <c r="B768" s="38"/>
      <c r="C768" s="38"/>
      <c r="D768" s="38"/>
      <c r="E768" s="38"/>
      <c r="F768" s="38"/>
      <c r="G768" s="38"/>
    </row>
    <row r="769">
      <c r="A769" s="38"/>
      <c r="B769" s="38"/>
      <c r="C769" s="38"/>
      <c r="D769" s="38"/>
      <c r="E769" s="38"/>
      <c r="F769" s="38"/>
      <c r="G769" s="38"/>
    </row>
    <row r="770">
      <c r="A770" s="38"/>
      <c r="B770" s="38"/>
      <c r="C770" s="38"/>
      <c r="D770" s="38"/>
      <c r="E770" s="38"/>
      <c r="F770" s="38"/>
      <c r="G770" s="38"/>
    </row>
    <row r="771">
      <c r="A771" s="38"/>
      <c r="B771" s="38"/>
      <c r="C771" s="38"/>
      <c r="D771" s="38"/>
      <c r="E771" s="38"/>
      <c r="F771" s="38"/>
      <c r="G771" s="38"/>
    </row>
    <row r="772">
      <c r="A772" s="38"/>
      <c r="B772" s="38"/>
      <c r="C772" s="38"/>
      <c r="D772" s="38"/>
      <c r="E772" s="38"/>
      <c r="F772" s="38"/>
      <c r="G772" s="38"/>
    </row>
    <row r="773">
      <c r="A773" s="38"/>
      <c r="B773" s="38"/>
      <c r="C773" s="38"/>
      <c r="D773" s="38"/>
      <c r="E773" s="38"/>
      <c r="F773" s="38"/>
      <c r="G773" s="38"/>
    </row>
    <row r="774">
      <c r="A774" s="38"/>
      <c r="B774" s="38"/>
      <c r="C774" s="38"/>
      <c r="D774" s="38"/>
      <c r="E774" s="38"/>
      <c r="F774" s="38"/>
      <c r="G774" s="38"/>
    </row>
    <row r="775">
      <c r="A775" s="38"/>
      <c r="B775" s="38"/>
      <c r="C775" s="38"/>
      <c r="D775" s="38"/>
      <c r="E775" s="38"/>
      <c r="F775" s="38"/>
      <c r="G775" s="38"/>
    </row>
    <row r="776">
      <c r="A776" s="38"/>
      <c r="B776" s="38"/>
      <c r="C776" s="38"/>
      <c r="D776" s="38"/>
      <c r="E776" s="38"/>
      <c r="F776" s="38"/>
      <c r="G776" s="38"/>
    </row>
    <row r="777">
      <c r="A777" s="38"/>
      <c r="B777" s="38"/>
      <c r="C777" s="38"/>
      <c r="D777" s="38"/>
      <c r="E777" s="38"/>
      <c r="F777" s="38"/>
      <c r="G777" s="38"/>
    </row>
    <row r="778">
      <c r="A778" s="38"/>
      <c r="B778" s="38"/>
      <c r="C778" s="38"/>
      <c r="D778" s="38"/>
      <c r="E778" s="38"/>
      <c r="F778" s="38"/>
      <c r="G778" s="38"/>
    </row>
    <row r="779">
      <c r="A779" s="38"/>
      <c r="B779" s="38"/>
      <c r="C779" s="38"/>
      <c r="D779" s="38"/>
      <c r="E779" s="38"/>
      <c r="F779" s="38"/>
      <c r="G779" s="38"/>
    </row>
    <row r="780">
      <c r="A780" s="38"/>
      <c r="B780" s="38"/>
      <c r="C780" s="38"/>
      <c r="D780" s="38"/>
      <c r="E780" s="38"/>
      <c r="F780" s="38"/>
      <c r="G780" s="38"/>
    </row>
    <row r="781">
      <c r="A781" s="38"/>
      <c r="B781" s="38"/>
      <c r="C781" s="38"/>
      <c r="D781" s="38"/>
      <c r="E781" s="38"/>
      <c r="F781" s="38"/>
      <c r="G781" s="38"/>
    </row>
    <row r="782">
      <c r="A782" s="38"/>
      <c r="B782" s="38"/>
      <c r="C782" s="38"/>
      <c r="D782" s="38"/>
      <c r="E782" s="38"/>
      <c r="F782" s="38"/>
      <c r="G782" s="38"/>
    </row>
    <row r="783">
      <c r="A783" s="38"/>
      <c r="B783" s="38"/>
      <c r="C783" s="38"/>
      <c r="D783" s="38"/>
      <c r="E783" s="38"/>
      <c r="F783" s="38"/>
      <c r="G783" s="38"/>
    </row>
    <row r="784">
      <c r="A784" s="38"/>
      <c r="B784" s="38"/>
      <c r="C784" s="38"/>
      <c r="D784" s="38"/>
      <c r="E784" s="38"/>
      <c r="F784" s="38"/>
      <c r="G784" s="38"/>
    </row>
    <row r="785">
      <c r="A785" s="38"/>
      <c r="B785" s="38"/>
      <c r="C785" s="38"/>
      <c r="D785" s="38"/>
      <c r="E785" s="38"/>
      <c r="F785" s="38"/>
      <c r="G785" s="38"/>
    </row>
    <row r="786">
      <c r="A786" s="38"/>
      <c r="B786" s="38"/>
      <c r="C786" s="38"/>
      <c r="D786" s="38"/>
      <c r="E786" s="38"/>
      <c r="F786" s="38"/>
      <c r="G786" s="38"/>
    </row>
    <row r="787">
      <c r="A787" s="38"/>
      <c r="B787" s="38"/>
      <c r="C787" s="38"/>
      <c r="D787" s="38"/>
      <c r="E787" s="38"/>
      <c r="F787" s="38"/>
      <c r="G787" s="38"/>
    </row>
    <row r="788">
      <c r="A788" s="38"/>
      <c r="B788" s="38"/>
      <c r="C788" s="38"/>
      <c r="D788" s="38"/>
      <c r="E788" s="38"/>
      <c r="F788" s="38"/>
      <c r="G788" s="38"/>
    </row>
    <row r="789">
      <c r="A789" s="38"/>
      <c r="B789" s="38"/>
      <c r="C789" s="38"/>
      <c r="D789" s="38"/>
      <c r="E789" s="38"/>
      <c r="F789" s="38"/>
      <c r="G789" s="38"/>
    </row>
    <row r="790">
      <c r="A790" s="38"/>
      <c r="B790" s="38"/>
      <c r="C790" s="38"/>
      <c r="D790" s="38"/>
      <c r="E790" s="38"/>
      <c r="F790" s="38"/>
      <c r="G790" s="38"/>
    </row>
    <row r="791">
      <c r="A791" s="38"/>
      <c r="B791" s="38"/>
      <c r="C791" s="38"/>
      <c r="D791" s="38"/>
      <c r="E791" s="38"/>
      <c r="F791" s="38"/>
      <c r="G791" s="38"/>
    </row>
    <row r="792">
      <c r="A792" s="38"/>
      <c r="B792" s="38"/>
      <c r="C792" s="38"/>
      <c r="D792" s="38"/>
      <c r="E792" s="38"/>
      <c r="F792" s="38"/>
      <c r="G792" s="38"/>
    </row>
    <row r="793">
      <c r="A793" s="38"/>
      <c r="B793" s="38"/>
      <c r="C793" s="38"/>
      <c r="D793" s="38"/>
      <c r="E793" s="38"/>
      <c r="F793" s="38"/>
      <c r="G793" s="38"/>
    </row>
    <row r="794">
      <c r="A794" s="38"/>
      <c r="B794" s="38"/>
      <c r="C794" s="38"/>
      <c r="D794" s="38"/>
      <c r="E794" s="38"/>
      <c r="F794" s="38"/>
      <c r="G794" s="38"/>
    </row>
    <row r="795">
      <c r="A795" s="38"/>
      <c r="B795" s="38"/>
      <c r="C795" s="38"/>
      <c r="D795" s="38"/>
      <c r="E795" s="38"/>
      <c r="F795" s="38"/>
      <c r="G795" s="38"/>
    </row>
    <row r="796">
      <c r="A796" s="38"/>
      <c r="B796" s="38"/>
      <c r="C796" s="38"/>
      <c r="D796" s="38"/>
      <c r="E796" s="38"/>
      <c r="F796" s="38"/>
      <c r="G796" s="38"/>
    </row>
    <row r="797">
      <c r="A797" s="38"/>
      <c r="B797" s="38"/>
      <c r="C797" s="38"/>
      <c r="D797" s="38"/>
      <c r="E797" s="38"/>
      <c r="F797" s="38"/>
      <c r="G797" s="38"/>
    </row>
    <row r="798">
      <c r="A798" s="38"/>
      <c r="B798" s="38"/>
      <c r="C798" s="38"/>
      <c r="D798" s="38"/>
      <c r="E798" s="38"/>
      <c r="F798" s="38"/>
      <c r="G798" s="38"/>
    </row>
    <row r="799">
      <c r="A799" s="38"/>
      <c r="B799" s="38"/>
      <c r="C799" s="38"/>
      <c r="D799" s="38"/>
      <c r="E799" s="38"/>
      <c r="F799" s="38"/>
      <c r="G799" s="38"/>
    </row>
    <row r="800">
      <c r="A800" s="38"/>
      <c r="B800" s="38"/>
      <c r="C800" s="38"/>
      <c r="D800" s="38"/>
      <c r="E800" s="38"/>
      <c r="F800" s="38"/>
      <c r="G800" s="38"/>
    </row>
    <row r="801">
      <c r="A801" s="38"/>
      <c r="B801" s="38"/>
      <c r="C801" s="38"/>
      <c r="D801" s="38"/>
      <c r="E801" s="38"/>
      <c r="F801" s="38"/>
      <c r="G801" s="38"/>
    </row>
    <row r="802">
      <c r="A802" s="38"/>
      <c r="B802" s="38"/>
      <c r="C802" s="38"/>
      <c r="D802" s="38"/>
      <c r="E802" s="38"/>
      <c r="F802" s="38"/>
      <c r="G802" s="38"/>
    </row>
    <row r="803">
      <c r="A803" s="38"/>
      <c r="B803" s="38"/>
      <c r="C803" s="38"/>
      <c r="D803" s="38"/>
      <c r="E803" s="38"/>
      <c r="F803" s="38"/>
      <c r="G803" s="38"/>
    </row>
    <row r="804">
      <c r="A804" s="38"/>
      <c r="B804" s="38"/>
      <c r="C804" s="38"/>
      <c r="D804" s="38"/>
      <c r="E804" s="38"/>
      <c r="F804" s="38"/>
      <c r="G804" s="38"/>
    </row>
    <row r="805">
      <c r="A805" s="38"/>
      <c r="B805" s="38"/>
      <c r="C805" s="38"/>
      <c r="D805" s="38"/>
      <c r="E805" s="38"/>
      <c r="F805" s="38"/>
      <c r="G805" s="38"/>
    </row>
    <row r="806">
      <c r="A806" s="38"/>
      <c r="B806" s="38"/>
      <c r="C806" s="38"/>
      <c r="D806" s="38"/>
      <c r="E806" s="38"/>
      <c r="F806" s="38"/>
      <c r="G806" s="38"/>
    </row>
    <row r="807">
      <c r="A807" s="38"/>
      <c r="B807" s="38"/>
      <c r="C807" s="38"/>
      <c r="D807" s="38"/>
      <c r="E807" s="38"/>
      <c r="F807" s="38"/>
      <c r="G807" s="38"/>
    </row>
    <row r="808">
      <c r="A808" s="38"/>
      <c r="B808" s="38"/>
      <c r="C808" s="38"/>
      <c r="D808" s="38"/>
      <c r="E808" s="38"/>
      <c r="F808" s="38"/>
      <c r="G808" s="38"/>
    </row>
    <row r="809">
      <c r="A809" s="38"/>
      <c r="B809" s="38"/>
      <c r="C809" s="38"/>
      <c r="D809" s="38"/>
      <c r="E809" s="38"/>
      <c r="F809" s="38"/>
      <c r="G809" s="38"/>
    </row>
    <row r="810">
      <c r="A810" s="38"/>
      <c r="B810" s="38"/>
      <c r="C810" s="38"/>
      <c r="D810" s="38"/>
      <c r="E810" s="38"/>
      <c r="F810" s="38"/>
      <c r="G810" s="38"/>
    </row>
    <row r="811">
      <c r="A811" s="38"/>
      <c r="B811" s="38"/>
      <c r="C811" s="38"/>
      <c r="D811" s="38"/>
      <c r="E811" s="38"/>
      <c r="F811" s="38"/>
      <c r="G811" s="38"/>
    </row>
    <row r="812">
      <c r="A812" s="38"/>
      <c r="B812" s="38"/>
      <c r="C812" s="38"/>
      <c r="D812" s="38"/>
      <c r="E812" s="38"/>
      <c r="F812" s="38"/>
      <c r="G812" s="38"/>
    </row>
    <row r="813">
      <c r="A813" s="38"/>
      <c r="B813" s="38"/>
      <c r="C813" s="38"/>
      <c r="D813" s="38"/>
      <c r="E813" s="38"/>
      <c r="F813" s="38"/>
      <c r="G813" s="38"/>
    </row>
    <row r="814">
      <c r="A814" s="38"/>
      <c r="B814" s="38"/>
      <c r="C814" s="38"/>
      <c r="D814" s="38"/>
      <c r="E814" s="38"/>
      <c r="F814" s="38"/>
      <c r="G814" s="38"/>
    </row>
    <row r="815">
      <c r="A815" s="38"/>
      <c r="B815" s="38"/>
      <c r="C815" s="38"/>
      <c r="D815" s="38"/>
      <c r="E815" s="38"/>
      <c r="F815" s="38"/>
      <c r="G815" s="38"/>
    </row>
    <row r="816">
      <c r="A816" s="38"/>
      <c r="B816" s="38"/>
      <c r="C816" s="38"/>
      <c r="D816" s="38"/>
      <c r="E816" s="38"/>
      <c r="F816" s="38"/>
      <c r="G816" s="38"/>
    </row>
    <row r="817">
      <c r="A817" s="38"/>
      <c r="B817" s="38"/>
      <c r="C817" s="38"/>
      <c r="D817" s="38"/>
      <c r="E817" s="38"/>
      <c r="F817" s="38"/>
      <c r="G817" s="38"/>
    </row>
    <row r="818">
      <c r="A818" s="38"/>
      <c r="B818" s="38"/>
      <c r="C818" s="38"/>
      <c r="D818" s="38"/>
      <c r="E818" s="38"/>
      <c r="F818" s="38"/>
      <c r="G818" s="38"/>
    </row>
    <row r="819">
      <c r="A819" s="38"/>
      <c r="B819" s="38"/>
      <c r="C819" s="38"/>
      <c r="D819" s="38"/>
      <c r="E819" s="38"/>
      <c r="F819" s="38"/>
      <c r="G819" s="38"/>
    </row>
    <row r="820">
      <c r="A820" s="38"/>
      <c r="B820" s="38"/>
      <c r="C820" s="38"/>
      <c r="D820" s="38"/>
      <c r="E820" s="38"/>
      <c r="F820" s="38"/>
      <c r="G820" s="38"/>
    </row>
    <row r="821">
      <c r="A821" s="38"/>
      <c r="B821" s="38"/>
      <c r="C821" s="38"/>
      <c r="D821" s="38"/>
      <c r="E821" s="38"/>
      <c r="F821" s="38"/>
      <c r="G821" s="38"/>
    </row>
    <row r="822">
      <c r="A822" s="38"/>
      <c r="B822" s="38"/>
      <c r="C822" s="38"/>
      <c r="D822" s="38"/>
      <c r="E822" s="38"/>
      <c r="F822" s="38"/>
      <c r="G822" s="38"/>
    </row>
    <row r="823">
      <c r="A823" s="38"/>
      <c r="B823" s="38"/>
      <c r="C823" s="38"/>
      <c r="D823" s="38"/>
      <c r="E823" s="38"/>
      <c r="F823" s="38"/>
      <c r="G823" s="38"/>
    </row>
    <row r="824">
      <c r="A824" s="38"/>
      <c r="B824" s="38"/>
      <c r="C824" s="38"/>
      <c r="D824" s="38"/>
      <c r="E824" s="38"/>
      <c r="F824" s="38"/>
      <c r="G824" s="38"/>
    </row>
    <row r="825">
      <c r="A825" s="38"/>
      <c r="B825" s="38"/>
      <c r="C825" s="38"/>
      <c r="D825" s="38"/>
      <c r="E825" s="38"/>
      <c r="F825" s="38"/>
      <c r="G825" s="38"/>
    </row>
    <row r="826">
      <c r="A826" s="38"/>
      <c r="B826" s="38"/>
      <c r="C826" s="38"/>
      <c r="D826" s="38"/>
      <c r="E826" s="38"/>
      <c r="F826" s="38"/>
      <c r="G826" s="38"/>
    </row>
    <row r="827">
      <c r="A827" s="38"/>
      <c r="B827" s="38"/>
      <c r="C827" s="38"/>
      <c r="D827" s="38"/>
      <c r="E827" s="38"/>
      <c r="F827" s="38"/>
      <c r="G827" s="38"/>
    </row>
    <row r="828">
      <c r="A828" s="38"/>
      <c r="B828" s="38"/>
      <c r="C828" s="38"/>
      <c r="D828" s="38"/>
      <c r="E828" s="38"/>
      <c r="F828" s="38"/>
      <c r="G828" s="38"/>
    </row>
    <row r="829">
      <c r="A829" s="38"/>
      <c r="B829" s="38"/>
      <c r="C829" s="38"/>
      <c r="D829" s="38"/>
      <c r="E829" s="38"/>
      <c r="F829" s="38"/>
      <c r="G829" s="38"/>
    </row>
    <row r="830">
      <c r="A830" s="38"/>
      <c r="B830" s="38"/>
      <c r="C830" s="38"/>
      <c r="D830" s="38"/>
      <c r="E830" s="38"/>
      <c r="F830" s="38"/>
      <c r="G830" s="38"/>
    </row>
    <row r="831">
      <c r="A831" s="38"/>
      <c r="B831" s="38"/>
      <c r="C831" s="38"/>
      <c r="D831" s="38"/>
      <c r="E831" s="38"/>
      <c r="F831" s="38"/>
      <c r="G831" s="38"/>
    </row>
    <row r="832">
      <c r="A832" s="38"/>
      <c r="B832" s="38"/>
      <c r="C832" s="38"/>
      <c r="D832" s="38"/>
      <c r="E832" s="38"/>
      <c r="F832" s="38"/>
      <c r="G832" s="38"/>
    </row>
    <row r="833">
      <c r="A833" s="38"/>
      <c r="B833" s="38"/>
      <c r="C833" s="38"/>
      <c r="D833" s="38"/>
      <c r="E833" s="38"/>
      <c r="F833" s="38"/>
      <c r="G833" s="38"/>
    </row>
    <row r="834">
      <c r="A834" s="38"/>
      <c r="B834" s="38"/>
      <c r="C834" s="38"/>
      <c r="D834" s="38"/>
      <c r="E834" s="38"/>
      <c r="F834" s="38"/>
      <c r="G834" s="38"/>
    </row>
    <row r="835">
      <c r="A835" s="38"/>
      <c r="B835" s="38"/>
      <c r="C835" s="38"/>
      <c r="D835" s="38"/>
      <c r="E835" s="38"/>
      <c r="F835" s="38"/>
      <c r="G835" s="38"/>
    </row>
    <row r="836">
      <c r="A836" s="38"/>
      <c r="B836" s="38"/>
      <c r="C836" s="38"/>
      <c r="D836" s="38"/>
      <c r="E836" s="38"/>
      <c r="F836" s="38"/>
      <c r="G836" s="38"/>
    </row>
    <row r="837">
      <c r="A837" s="38"/>
      <c r="B837" s="38"/>
      <c r="C837" s="38"/>
      <c r="D837" s="38"/>
      <c r="E837" s="38"/>
      <c r="F837" s="38"/>
      <c r="G837" s="38"/>
    </row>
    <row r="838">
      <c r="A838" s="38"/>
      <c r="B838" s="38"/>
      <c r="C838" s="38"/>
      <c r="D838" s="38"/>
      <c r="E838" s="38"/>
      <c r="F838" s="38"/>
      <c r="G838" s="38"/>
    </row>
    <row r="839">
      <c r="A839" s="38"/>
      <c r="B839" s="38"/>
      <c r="C839" s="38"/>
      <c r="D839" s="38"/>
      <c r="E839" s="38"/>
      <c r="F839" s="38"/>
      <c r="G839" s="38"/>
    </row>
    <row r="840">
      <c r="A840" s="38"/>
      <c r="B840" s="38"/>
      <c r="C840" s="38"/>
      <c r="D840" s="38"/>
      <c r="E840" s="38"/>
      <c r="F840" s="38"/>
      <c r="G840" s="38"/>
    </row>
    <row r="841">
      <c r="A841" s="38"/>
      <c r="B841" s="38"/>
      <c r="C841" s="38"/>
      <c r="D841" s="38"/>
      <c r="E841" s="38"/>
      <c r="F841" s="38"/>
      <c r="G841" s="38"/>
    </row>
    <row r="842">
      <c r="A842" s="38"/>
      <c r="B842" s="38"/>
      <c r="C842" s="38"/>
      <c r="D842" s="38"/>
      <c r="E842" s="38"/>
      <c r="F842" s="38"/>
      <c r="G842" s="38"/>
    </row>
    <row r="843">
      <c r="A843" s="38"/>
      <c r="B843" s="38"/>
      <c r="C843" s="38"/>
      <c r="D843" s="38"/>
      <c r="E843" s="38"/>
      <c r="F843" s="38"/>
      <c r="G843" s="38"/>
    </row>
    <row r="844">
      <c r="A844" s="38"/>
      <c r="B844" s="38"/>
      <c r="C844" s="38"/>
      <c r="D844" s="38"/>
      <c r="E844" s="38"/>
      <c r="F844" s="38"/>
      <c r="G844" s="38"/>
    </row>
    <row r="845">
      <c r="A845" s="38"/>
      <c r="B845" s="38"/>
      <c r="C845" s="38"/>
      <c r="D845" s="38"/>
      <c r="E845" s="38"/>
      <c r="F845" s="38"/>
      <c r="G845" s="38"/>
    </row>
    <row r="846">
      <c r="A846" s="38"/>
      <c r="B846" s="38"/>
      <c r="C846" s="38"/>
      <c r="D846" s="38"/>
      <c r="E846" s="38"/>
      <c r="F846" s="38"/>
      <c r="G846" s="38"/>
    </row>
    <row r="847">
      <c r="A847" s="38"/>
      <c r="B847" s="38"/>
      <c r="C847" s="38"/>
      <c r="D847" s="38"/>
      <c r="E847" s="38"/>
      <c r="F847" s="38"/>
      <c r="G847" s="38"/>
    </row>
    <row r="848">
      <c r="A848" s="38"/>
      <c r="B848" s="38"/>
      <c r="C848" s="38"/>
      <c r="D848" s="38"/>
      <c r="E848" s="38"/>
      <c r="F848" s="38"/>
      <c r="G848" s="38"/>
    </row>
    <row r="849">
      <c r="A849" s="38"/>
      <c r="B849" s="38"/>
      <c r="C849" s="38"/>
      <c r="D849" s="38"/>
      <c r="E849" s="38"/>
      <c r="F849" s="38"/>
      <c r="G849" s="38"/>
    </row>
    <row r="850">
      <c r="A850" s="38"/>
      <c r="B850" s="38"/>
      <c r="C850" s="38"/>
      <c r="D850" s="38"/>
      <c r="E850" s="38"/>
      <c r="F850" s="38"/>
      <c r="G850" s="38"/>
    </row>
    <row r="851">
      <c r="A851" s="38"/>
      <c r="B851" s="38"/>
      <c r="C851" s="38"/>
      <c r="D851" s="38"/>
      <c r="E851" s="38"/>
      <c r="F851" s="38"/>
      <c r="G851" s="38"/>
    </row>
    <row r="852">
      <c r="A852" s="38"/>
      <c r="B852" s="38"/>
      <c r="C852" s="38"/>
      <c r="D852" s="38"/>
      <c r="E852" s="38"/>
      <c r="F852" s="38"/>
      <c r="G852" s="38"/>
    </row>
    <row r="853">
      <c r="A853" s="38"/>
      <c r="B853" s="38"/>
      <c r="C853" s="38"/>
      <c r="D853" s="38"/>
      <c r="E853" s="38"/>
      <c r="F853" s="38"/>
      <c r="G853" s="38"/>
    </row>
    <row r="854">
      <c r="A854" s="38"/>
      <c r="B854" s="38"/>
      <c r="C854" s="38"/>
      <c r="D854" s="38"/>
      <c r="E854" s="38"/>
      <c r="F854" s="38"/>
      <c r="G854" s="38"/>
    </row>
    <row r="855">
      <c r="A855" s="38"/>
      <c r="B855" s="38"/>
      <c r="C855" s="38"/>
      <c r="D855" s="38"/>
      <c r="E855" s="38"/>
      <c r="F855" s="38"/>
      <c r="G855" s="38"/>
    </row>
    <row r="856">
      <c r="A856" s="38"/>
      <c r="B856" s="38"/>
      <c r="C856" s="38"/>
      <c r="D856" s="38"/>
      <c r="E856" s="38"/>
      <c r="F856" s="38"/>
      <c r="G856" s="38"/>
    </row>
    <row r="857">
      <c r="A857" s="38"/>
      <c r="B857" s="38"/>
      <c r="C857" s="38"/>
      <c r="D857" s="38"/>
      <c r="E857" s="38"/>
      <c r="F857" s="38"/>
      <c r="G857" s="38"/>
    </row>
    <row r="858">
      <c r="A858" s="38"/>
      <c r="B858" s="38"/>
      <c r="C858" s="38"/>
      <c r="D858" s="38"/>
      <c r="E858" s="38"/>
      <c r="F858" s="38"/>
      <c r="G858" s="38"/>
    </row>
    <row r="859">
      <c r="A859" s="38"/>
      <c r="B859" s="38"/>
      <c r="C859" s="38"/>
      <c r="D859" s="38"/>
      <c r="E859" s="38"/>
      <c r="F859" s="38"/>
      <c r="G859" s="38"/>
    </row>
    <row r="860">
      <c r="A860" s="38"/>
      <c r="B860" s="38"/>
      <c r="C860" s="38"/>
      <c r="D860" s="38"/>
      <c r="E860" s="38"/>
      <c r="F860" s="38"/>
      <c r="G860" s="38"/>
    </row>
    <row r="861">
      <c r="A861" s="38"/>
      <c r="B861" s="38"/>
      <c r="C861" s="38"/>
      <c r="D861" s="38"/>
      <c r="E861" s="38"/>
      <c r="F861" s="38"/>
      <c r="G861" s="38"/>
    </row>
    <row r="862">
      <c r="A862" s="38"/>
      <c r="B862" s="38"/>
      <c r="C862" s="38"/>
      <c r="D862" s="38"/>
      <c r="E862" s="38"/>
      <c r="F862" s="38"/>
      <c r="G862" s="38"/>
    </row>
    <row r="863">
      <c r="A863" s="38"/>
      <c r="B863" s="38"/>
      <c r="C863" s="38"/>
      <c r="D863" s="38"/>
      <c r="E863" s="38"/>
      <c r="F863" s="38"/>
      <c r="G863" s="38"/>
    </row>
    <row r="864">
      <c r="A864" s="38"/>
      <c r="B864" s="38"/>
      <c r="C864" s="38"/>
      <c r="D864" s="38"/>
      <c r="E864" s="38"/>
      <c r="F864" s="38"/>
      <c r="G864" s="38"/>
    </row>
    <row r="865">
      <c r="A865" s="38"/>
      <c r="B865" s="38"/>
      <c r="C865" s="38"/>
      <c r="D865" s="38"/>
      <c r="E865" s="38"/>
      <c r="F865" s="38"/>
      <c r="G865" s="38"/>
    </row>
    <row r="866">
      <c r="A866" s="38"/>
      <c r="B866" s="38"/>
      <c r="C866" s="38"/>
      <c r="D866" s="38"/>
      <c r="E866" s="38"/>
      <c r="F866" s="38"/>
      <c r="G866" s="38"/>
    </row>
    <row r="867">
      <c r="A867" s="38"/>
      <c r="B867" s="38"/>
      <c r="C867" s="38"/>
      <c r="D867" s="38"/>
      <c r="E867" s="38"/>
      <c r="F867" s="38"/>
      <c r="G867" s="38"/>
    </row>
    <row r="868">
      <c r="A868" s="38"/>
      <c r="B868" s="38"/>
      <c r="C868" s="38"/>
      <c r="D868" s="38"/>
      <c r="E868" s="38"/>
      <c r="F868" s="38"/>
      <c r="G868" s="38"/>
    </row>
    <row r="869">
      <c r="A869" s="38"/>
      <c r="B869" s="38"/>
      <c r="C869" s="38"/>
      <c r="D869" s="38"/>
      <c r="E869" s="38"/>
      <c r="F869" s="38"/>
      <c r="G869" s="38"/>
    </row>
    <row r="870">
      <c r="A870" s="38"/>
      <c r="B870" s="38"/>
      <c r="C870" s="38"/>
      <c r="D870" s="38"/>
      <c r="E870" s="38"/>
      <c r="F870" s="38"/>
      <c r="G870" s="38"/>
    </row>
    <row r="871">
      <c r="A871" s="38"/>
      <c r="B871" s="38"/>
      <c r="C871" s="38"/>
      <c r="D871" s="38"/>
      <c r="E871" s="38"/>
      <c r="F871" s="38"/>
      <c r="G871" s="38"/>
    </row>
    <row r="872">
      <c r="A872" s="38"/>
      <c r="B872" s="38"/>
      <c r="C872" s="38"/>
      <c r="D872" s="38"/>
      <c r="E872" s="38"/>
      <c r="F872" s="38"/>
      <c r="G872" s="38"/>
    </row>
    <row r="873">
      <c r="A873" s="38"/>
      <c r="B873" s="38"/>
      <c r="C873" s="38"/>
      <c r="D873" s="38"/>
      <c r="E873" s="38"/>
      <c r="F873" s="38"/>
      <c r="G873" s="38"/>
    </row>
    <row r="874">
      <c r="A874" s="38"/>
      <c r="B874" s="38"/>
      <c r="C874" s="38"/>
      <c r="D874" s="38"/>
      <c r="E874" s="38"/>
      <c r="F874" s="38"/>
      <c r="G874" s="38"/>
    </row>
    <row r="875">
      <c r="A875" s="38"/>
      <c r="B875" s="38"/>
      <c r="C875" s="38"/>
      <c r="D875" s="38"/>
      <c r="E875" s="38"/>
      <c r="F875" s="38"/>
      <c r="G875" s="38"/>
    </row>
    <row r="876">
      <c r="A876" s="38"/>
      <c r="B876" s="38"/>
      <c r="C876" s="38"/>
      <c r="D876" s="38"/>
      <c r="E876" s="38"/>
      <c r="F876" s="38"/>
      <c r="G876" s="38"/>
    </row>
    <row r="877">
      <c r="A877" s="38"/>
      <c r="B877" s="38"/>
      <c r="C877" s="38"/>
      <c r="D877" s="38"/>
      <c r="E877" s="38"/>
      <c r="F877" s="38"/>
      <c r="G877" s="38"/>
    </row>
    <row r="878">
      <c r="A878" s="38"/>
      <c r="B878" s="38"/>
      <c r="C878" s="38"/>
      <c r="D878" s="38"/>
      <c r="E878" s="38"/>
      <c r="F878" s="38"/>
      <c r="G878" s="38"/>
    </row>
    <row r="879">
      <c r="A879" s="38"/>
      <c r="B879" s="38"/>
      <c r="C879" s="38"/>
      <c r="D879" s="38"/>
      <c r="E879" s="38"/>
      <c r="F879" s="38"/>
      <c r="G879" s="38"/>
    </row>
    <row r="880">
      <c r="A880" s="38"/>
      <c r="B880" s="38"/>
      <c r="C880" s="38"/>
      <c r="D880" s="38"/>
      <c r="E880" s="38"/>
      <c r="F880" s="38"/>
      <c r="G880" s="38"/>
    </row>
    <row r="881">
      <c r="A881" s="38"/>
      <c r="B881" s="38"/>
      <c r="C881" s="38"/>
      <c r="D881" s="38"/>
      <c r="E881" s="38"/>
      <c r="F881" s="38"/>
      <c r="G881" s="38"/>
    </row>
    <row r="882">
      <c r="A882" s="38"/>
      <c r="B882" s="38"/>
      <c r="C882" s="38"/>
      <c r="D882" s="38"/>
      <c r="E882" s="38"/>
      <c r="F882" s="38"/>
      <c r="G882" s="38"/>
    </row>
    <row r="883">
      <c r="A883" s="38"/>
      <c r="B883" s="38"/>
      <c r="C883" s="38"/>
      <c r="D883" s="38"/>
      <c r="E883" s="38"/>
      <c r="F883" s="38"/>
      <c r="G883" s="38"/>
    </row>
    <row r="884">
      <c r="A884" s="38"/>
      <c r="B884" s="38"/>
      <c r="C884" s="38"/>
      <c r="D884" s="38"/>
      <c r="E884" s="38"/>
      <c r="F884" s="38"/>
      <c r="G884" s="38"/>
    </row>
    <row r="885">
      <c r="A885" s="38"/>
      <c r="B885" s="38"/>
      <c r="C885" s="38"/>
      <c r="D885" s="38"/>
      <c r="E885" s="38"/>
      <c r="F885" s="38"/>
      <c r="G885" s="38"/>
    </row>
    <row r="886">
      <c r="A886" s="38"/>
      <c r="B886" s="38"/>
      <c r="C886" s="38"/>
      <c r="D886" s="38"/>
      <c r="E886" s="38"/>
      <c r="F886" s="38"/>
      <c r="G886" s="38"/>
    </row>
    <row r="887">
      <c r="A887" s="38"/>
      <c r="B887" s="38"/>
      <c r="C887" s="38"/>
      <c r="D887" s="38"/>
      <c r="E887" s="38"/>
      <c r="F887" s="38"/>
      <c r="G887" s="38"/>
    </row>
    <row r="888">
      <c r="A888" s="38"/>
      <c r="B888" s="38"/>
      <c r="C888" s="38"/>
      <c r="D888" s="38"/>
      <c r="E888" s="38"/>
      <c r="F888" s="38"/>
      <c r="G888" s="38"/>
    </row>
    <row r="889">
      <c r="A889" s="38"/>
      <c r="B889" s="38"/>
      <c r="C889" s="38"/>
      <c r="D889" s="38"/>
      <c r="E889" s="38"/>
      <c r="F889" s="38"/>
      <c r="G889" s="38"/>
    </row>
    <row r="890">
      <c r="A890" s="38"/>
      <c r="B890" s="38"/>
      <c r="C890" s="38"/>
      <c r="D890" s="38"/>
      <c r="E890" s="38"/>
      <c r="F890" s="38"/>
      <c r="G890" s="38"/>
    </row>
    <row r="891">
      <c r="A891" s="38"/>
      <c r="B891" s="38"/>
      <c r="C891" s="38"/>
      <c r="D891" s="38"/>
      <c r="E891" s="38"/>
      <c r="F891" s="38"/>
      <c r="G891" s="38"/>
    </row>
    <row r="892">
      <c r="A892" s="38"/>
      <c r="B892" s="38"/>
      <c r="C892" s="38"/>
      <c r="D892" s="38"/>
      <c r="E892" s="38"/>
      <c r="F892" s="38"/>
      <c r="G892" s="38"/>
    </row>
    <row r="893">
      <c r="A893" s="38"/>
      <c r="B893" s="38"/>
      <c r="C893" s="38"/>
      <c r="D893" s="38"/>
      <c r="E893" s="38"/>
      <c r="F893" s="38"/>
      <c r="G893" s="38"/>
    </row>
    <row r="894">
      <c r="A894" s="38"/>
      <c r="B894" s="38"/>
      <c r="C894" s="38"/>
      <c r="D894" s="38"/>
      <c r="E894" s="38"/>
      <c r="F894" s="38"/>
      <c r="G894" s="38"/>
    </row>
    <row r="895">
      <c r="A895" s="38"/>
      <c r="B895" s="38"/>
      <c r="C895" s="38"/>
      <c r="D895" s="38"/>
      <c r="E895" s="38"/>
      <c r="F895" s="38"/>
      <c r="G895" s="38"/>
    </row>
    <row r="896">
      <c r="A896" s="38"/>
      <c r="B896" s="38"/>
      <c r="C896" s="38"/>
      <c r="D896" s="38"/>
      <c r="E896" s="38"/>
      <c r="F896" s="38"/>
      <c r="G896" s="38"/>
    </row>
    <row r="897">
      <c r="A897" s="38"/>
      <c r="B897" s="38"/>
      <c r="C897" s="38"/>
      <c r="D897" s="38"/>
      <c r="E897" s="38"/>
      <c r="F897" s="38"/>
      <c r="G897" s="38"/>
    </row>
    <row r="898">
      <c r="A898" s="38"/>
      <c r="B898" s="38"/>
      <c r="C898" s="38"/>
      <c r="D898" s="38"/>
      <c r="E898" s="38"/>
      <c r="F898" s="38"/>
      <c r="G898" s="38"/>
    </row>
    <row r="899">
      <c r="A899" s="38"/>
      <c r="B899" s="38"/>
      <c r="C899" s="38"/>
      <c r="D899" s="38"/>
      <c r="E899" s="38"/>
      <c r="F899" s="38"/>
      <c r="G899" s="38"/>
    </row>
    <row r="900">
      <c r="A900" s="38"/>
      <c r="B900" s="38"/>
      <c r="C900" s="38"/>
      <c r="D900" s="38"/>
      <c r="E900" s="38"/>
      <c r="F900" s="38"/>
      <c r="G900" s="38"/>
    </row>
    <row r="901">
      <c r="A901" s="38"/>
      <c r="B901" s="38"/>
      <c r="C901" s="38"/>
      <c r="D901" s="38"/>
      <c r="E901" s="38"/>
      <c r="F901" s="38"/>
      <c r="G901" s="38"/>
    </row>
    <row r="902">
      <c r="A902" s="38"/>
      <c r="B902" s="38"/>
      <c r="C902" s="38"/>
      <c r="D902" s="38"/>
      <c r="E902" s="38"/>
      <c r="F902" s="38"/>
      <c r="G902" s="38"/>
    </row>
    <row r="903">
      <c r="A903" s="38"/>
      <c r="B903" s="38"/>
      <c r="C903" s="38"/>
      <c r="D903" s="38"/>
      <c r="E903" s="38"/>
      <c r="F903" s="38"/>
      <c r="G903" s="38"/>
    </row>
    <row r="904">
      <c r="A904" s="38"/>
      <c r="B904" s="38"/>
      <c r="C904" s="38"/>
      <c r="D904" s="38"/>
      <c r="E904" s="38"/>
      <c r="F904" s="38"/>
      <c r="G904" s="38"/>
    </row>
    <row r="905">
      <c r="A905" s="38"/>
      <c r="B905" s="38"/>
      <c r="C905" s="38"/>
      <c r="D905" s="38"/>
      <c r="E905" s="38"/>
      <c r="F905" s="38"/>
      <c r="G905" s="38"/>
    </row>
    <row r="906">
      <c r="A906" s="38"/>
      <c r="B906" s="38"/>
      <c r="C906" s="38"/>
      <c r="D906" s="38"/>
      <c r="E906" s="38"/>
      <c r="F906" s="38"/>
      <c r="G906" s="38"/>
    </row>
    <row r="907">
      <c r="A907" s="38"/>
      <c r="B907" s="38"/>
      <c r="C907" s="38"/>
      <c r="D907" s="38"/>
      <c r="E907" s="38"/>
      <c r="F907" s="38"/>
      <c r="G907" s="38"/>
    </row>
    <row r="908">
      <c r="A908" s="38"/>
      <c r="B908" s="38"/>
      <c r="C908" s="38"/>
      <c r="D908" s="38"/>
      <c r="E908" s="38"/>
      <c r="F908" s="38"/>
      <c r="G908" s="38"/>
    </row>
    <row r="909">
      <c r="A909" s="38"/>
      <c r="B909" s="38"/>
      <c r="C909" s="38"/>
      <c r="D909" s="38"/>
      <c r="E909" s="38"/>
      <c r="F909" s="38"/>
      <c r="G909" s="38"/>
    </row>
    <row r="910">
      <c r="A910" s="38"/>
      <c r="B910" s="38"/>
      <c r="C910" s="38"/>
      <c r="D910" s="38"/>
      <c r="E910" s="38"/>
      <c r="F910" s="38"/>
      <c r="G910" s="38"/>
    </row>
    <row r="911">
      <c r="A911" s="38"/>
      <c r="B911" s="38"/>
      <c r="C911" s="38"/>
      <c r="D911" s="38"/>
      <c r="E911" s="38"/>
      <c r="F911" s="38"/>
      <c r="G911" s="38"/>
    </row>
    <row r="912">
      <c r="A912" s="38"/>
      <c r="B912" s="38"/>
      <c r="C912" s="38"/>
      <c r="D912" s="38"/>
      <c r="E912" s="38"/>
      <c r="F912" s="38"/>
      <c r="G912" s="38"/>
    </row>
    <row r="913">
      <c r="A913" s="38"/>
      <c r="B913" s="38"/>
      <c r="C913" s="38"/>
      <c r="D913" s="38"/>
      <c r="E913" s="38"/>
      <c r="F913" s="38"/>
      <c r="G913" s="38"/>
    </row>
    <row r="914">
      <c r="A914" s="38"/>
      <c r="B914" s="38"/>
      <c r="C914" s="38"/>
      <c r="D914" s="38"/>
      <c r="E914" s="38"/>
      <c r="F914" s="38"/>
      <c r="G914" s="38"/>
    </row>
    <row r="915">
      <c r="A915" s="38"/>
      <c r="B915" s="38"/>
      <c r="C915" s="38"/>
      <c r="D915" s="38"/>
      <c r="E915" s="38"/>
      <c r="F915" s="38"/>
      <c r="G915" s="38"/>
    </row>
    <row r="916">
      <c r="A916" s="38"/>
      <c r="B916" s="38"/>
      <c r="C916" s="38"/>
      <c r="D916" s="38"/>
      <c r="E916" s="38"/>
      <c r="F916" s="38"/>
      <c r="G916" s="38"/>
    </row>
    <row r="917">
      <c r="A917" s="38"/>
      <c r="B917" s="38"/>
      <c r="C917" s="38"/>
      <c r="D917" s="38"/>
      <c r="E917" s="38"/>
      <c r="F917" s="38"/>
      <c r="G917" s="38"/>
    </row>
    <row r="918">
      <c r="A918" s="38"/>
      <c r="B918" s="38"/>
      <c r="C918" s="38"/>
      <c r="D918" s="38"/>
      <c r="E918" s="38"/>
      <c r="F918" s="38"/>
      <c r="G918" s="38"/>
    </row>
    <row r="919">
      <c r="A919" s="38"/>
      <c r="B919" s="38"/>
      <c r="C919" s="38"/>
      <c r="D919" s="38"/>
      <c r="E919" s="38"/>
      <c r="F919" s="38"/>
      <c r="G919" s="38"/>
    </row>
    <row r="920">
      <c r="A920" s="38"/>
      <c r="B920" s="38"/>
      <c r="C920" s="38"/>
      <c r="D920" s="38"/>
      <c r="E920" s="38"/>
      <c r="F920" s="38"/>
      <c r="G920" s="38"/>
    </row>
    <row r="921">
      <c r="A921" s="38"/>
      <c r="B921" s="38"/>
      <c r="C921" s="38"/>
      <c r="D921" s="38"/>
      <c r="E921" s="38"/>
      <c r="F921" s="38"/>
      <c r="G921" s="38"/>
    </row>
    <row r="922">
      <c r="A922" s="38"/>
      <c r="B922" s="38"/>
      <c r="C922" s="38"/>
      <c r="D922" s="38"/>
      <c r="E922" s="38"/>
      <c r="F922" s="38"/>
      <c r="G922" s="38"/>
    </row>
    <row r="923">
      <c r="A923" s="38"/>
      <c r="B923" s="38"/>
      <c r="C923" s="38"/>
      <c r="D923" s="38"/>
      <c r="E923" s="38"/>
      <c r="F923" s="38"/>
      <c r="G923" s="38"/>
    </row>
    <row r="924">
      <c r="A924" s="38"/>
      <c r="B924" s="38"/>
      <c r="C924" s="38"/>
      <c r="D924" s="38"/>
      <c r="E924" s="38"/>
      <c r="F924" s="38"/>
      <c r="G924" s="38"/>
    </row>
    <row r="925">
      <c r="A925" s="38"/>
      <c r="B925" s="38"/>
      <c r="C925" s="38"/>
      <c r="D925" s="38"/>
      <c r="E925" s="38"/>
      <c r="F925" s="38"/>
      <c r="G925" s="38"/>
    </row>
    <row r="926">
      <c r="A926" s="38"/>
      <c r="B926" s="38"/>
      <c r="C926" s="38"/>
      <c r="D926" s="38"/>
      <c r="E926" s="38"/>
      <c r="F926" s="38"/>
      <c r="G926" s="38"/>
    </row>
    <row r="927">
      <c r="A927" s="38"/>
      <c r="B927" s="38"/>
      <c r="C927" s="38"/>
      <c r="D927" s="38"/>
      <c r="E927" s="38"/>
      <c r="F927" s="38"/>
      <c r="G927" s="38"/>
    </row>
    <row r="928">
      <c r="A928" s="38"/>
      <c r="B928" s="38"/>
      <c r="C928" s="38"/>
      <c r="D928" s="38"/>
      <c r="E928" s="38"/>
      <c r="F928" s="38"/>
      <c r="G928" s="38"/>
    </row>
    <row r="929">
      <c r="A929" s="38"/>
      <c r="B929" s="38"/>
      <c r="C929" s="38"/>
      <c r="D929" s="38"/>
      <c r="E929" s="38"/>
      <c r="F929" s="38"/>
      <c r="G929" s="38"/>
    </row>
    <row r="930">
      <c r="A930" s="38"/>
      <c r="B930" s="38"/>
      <c r="C930" s="38"/>
      <c r="D930" s="38"/>
      <c r="E930" s="38"/>
      <c r="F930" s="38"/>
      <c r="G930" s="38"/>
    </row>
    <row r="931">
      <c r="A931" s="38"/>
      <c r="B931" s="38"/>
      <c r="C931" s="38"/>
      <c r="D931" s="38"/>
      <c r="E931" s="38"/>
      <c r="F931" s="38"/>
      <c r="G931" s="38"/>
    </row>
    <row r="932">
      <c r="A932" s="38"/>
      <c r="B932" s="38"/>
      <c r="C932" s="38"/>
      <c r="D932" s="38"/>
      <c r="E932" s="38"/>
      <c r="F932" s="38"/>
      <c r="G932" s="38"/>
    </row>
    <row r="933">
      <c r="A933" s="38"/>
      <c r="B933" s="38"/>
      <c r="C933" s="38"/>
      <c r="D933" s="38"/>
      <c r="E933" s="38"/>
      <c r="F933" s="38"/>
      <c r="G933" s="38"/>
    </row>
    <row r="934">
      <c r="A934" s="38"/>
      <c r="B934" s="38"/>
      <c r="C934" s="38"/>
      <c r="D934" s="38"/>
      <c r="E934" s="38"/>
      <c r="F934" s="38"/>
      <c r="G934" s="38"/>
    </row>
    <row r="935">
      <c r="A935" s="38"/>
      <c r="B935" s="38"/>
      <c r="C935" s="38"/>
      <c r="D935" s="38"/>
      <c r="E935" s="38"/>
      <c r="F935" s="38"/>
      <c r="G935" s="38"/>
    </row>
  </sheetData>
  <drawing r:id="rId1"/>
</worksheet>
</file>